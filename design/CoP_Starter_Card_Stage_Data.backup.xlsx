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comments2.xml" ContentType="application/vnd.openxmlformats-officedocument.spreadsheetml.comments+xml"/>
  <Override PartName="/xl/comments1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1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alance" sheetId="2" state="visible" r:id="rId4"/>
    <sheet name="Suits" sheetId="3" state="visible" r:id="rId5"/>
    <sheet name="Stages" sheetId="4" state="visible" r:id="rId6"/>
    <sheet name="Affinity" sheetId="5" state="visible" r:id="rId7"/>
    <sheet name="Cards" sheetId="6" state="visible" r:id="rId8"/>
    <sheet name="CardStage" sheetId="7" state="visible" r:id="rId9"/>
    <sheet name="Segments" sheetId="8" state="visible" r:id="rId10"/>
    <sheet name="Modifiers" sheetId="9" state="visible" r:id="rId11"/>
    <sheet name="Boosters" sheetId="10" state="visible" r:id="rId12"/>
    <sheet name="Opponents" sheetId="11" state="visible" r:id="rId13"/>
    <sheet name="Yoron" sheetId="12" state="visible" r:id="rId14"/>
    <sheet name="Bills" sheetId="13" state="visible" r:id="rId15"/>
    <sheet name="Committee" sheetId="14" state="visible" r:id="rId16"/>
    <sheet name="Modules" sheetId="15" state="visible" r:id="rId17"/>
    <sheet name="Sanban" sheetId="16" state="visible" r:id="rId18"/>
    <sheet name="Lists" sheetId="17" state="visible" r:id="rId19"/>
    <sheet name="Assets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1" authorId="0">
      <text>
        <r>
          <rPr>
            <sz val="10"/>
            <rFont val="Arial"/>
            <family val="2"/>
          </rPr>
          <t xml:space="preserve">Normal band (6–7) is my interpolation between Cameron's Easy 3–5 and Hard 8–10. Confirm or drop.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Proposed name. Alternative: </t>
        </r>
        <r>
          <rPr>
            <sz val="10"/>
            <rFont val="Noto Sans CJK SC"/>
            <family val="2"/>
          </rPr>
          <t xml:space="preserve">総務会 </t>
        </r>
        <r>
          <rPr>
            <sz val="10"/>
            <rFont val="Arial"/>
            <family val="2"/>
          </rPr>
          <t xml:space="preserve">Sōmukai (party general council).</t>
        </r>
      </text>
    </comment>
    <comment ref="G2" authorId="0">
      <text>
        <r>
          <rPr>
            <sz val="10"/>
            <rFont val="Arial"/>
            <family val="2"/>
          </rPr>
          <t xml:space="preserve">Set per module by difficulty (Balance rows 20–22; Modules col N).</t>
        </r>
      </text>
    </comment>
    <comment ref="W2" authorId="0">
      <text>
        <r>
          <rPr>
            <sz val="10"/>
            <rFont val="Arial"/>
            <family val="2"/>
          </rPr>
          <t xml:space="preserve">ΔJiban/Kanban/Kaban = change to Sanban meta-variables on a stage win.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If the protagonist can be a Five Point Independent, 'Party Faction' needs a stand-in (their coordinating bloc).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Starting stances are proposals; Against count sets the committee's opposition at start (Modules col I).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Assumption: 'caucus support' is a persistent meta-variable fed by caucus stage results, not the in-stage bar.</t>
        </r>
      </text>
    </comment>
  </commentList>
</comments>
</file>

<file path=xl/sharedStrings.xml><?xml version="1.0" encoding="utf-8"?>
<sst xmlns="http://schemas.openxmlformats.org/spreadsheetml/2006/main" count="1818" uniqueCount="1001">
  <si>
    <t xml:space="preserve">Coliseum of Parliament — Starter Card &amp; Stage Data</t>
  </si>
  <si>
    <t xml:space="preserve">Purpose</t>
  </si>
  <si>
    <t xml:space="preserve">Source-of-truth data for the rhetoric card battler. Each tab = one data table the engine reads (export each tab to CSV/JSON). Keep IDs stable; rename freely.</t>
  </si>
  <si>
    <t xml:space="preserve">Status</t>
  </si>
  <si>
    <t xml:space="preserve">STARTER / PLACEHOLDER. Canon fields come from the Lore Databook; every number is a first-pass value for playtesting.</t>
  </si>
  <si>
    <t xml:space="preserve">TAB GUIDE</t>
  </si>
  <si>
    <t xml:space="preserve">Balance</t>
  </si>
  <si>
    <t xml:space="preserve">Global levers: power-score weights, deck shares, XP tiers, bill difficulty, committee size by difficulty, Jiban &amp; Party support thresholds.</t>
  </si>
  <si>
    <t xml:space="preserve">Suits</t>
  </si>
  <si>
    <t xml:space="preserve">The six canon rhetorical Elements → card suits, with proposed Japanese names.</t>
  </si>
  <si>
    <t xml:space="preserve">Affinity</t>
  </si>
  <si>
    <t xml:space="preserve">Suit × Stage power multipliers. Drives 'favored suit' per stage and the CardStage view.</t>
  </si>
  <si>
    <t xml:space="preserve">Cards</t>
  </si>
  <si>
    <t xml:space="preserve">24 starter cards (4 per suit). Power Score and Power/Cost are formulas for balancing.</t>
  </si>
  <si>
    <t xml:space="preserve">CardStage</t>
  </si>
  <si>
    <t xml:space="preserve">Read-only view: each card's effective power in each stage (Power Score × Affinity).</t>
  </si>
  <si>
    <t xml:space="preserve">Stages</t>
  </si>
  <si>
    <r>
      <rPr>
        <sz val="11"/>
        <rFont val="Arial"/>
        <family val="0"/>
        <charset val="1"/>
      </rPr>
      <t xml:space="preserve">Seven combat stages (incl. ST08 Party Steering Committee) + one non-combat mode (</t>
    </r>
    <r>
      <rPr>
        <sz val="11"/>
        <rFont val="Noto Sans CJK SC"/>
        <family val="2"/>
      </rPr>
      <t xml:space="preserve">陳情 </t>
    </r>
    <r>
      <rPr>
        <sz val="11"/>
        <rFont val="Arial"/>
        <family val="0"/>
        <charset val="1"/>
      </rPr>
      <t xml:space="preserve">office hours).</t>
    </r>
  </si>
  <si>
    <t xml:space="preserve">Segments</t>
  </si>
  <si>
    <t xml:space="preserve">Audience segments that Jinmyaku modifiers key off.</t>
  </si>
  <si>
    <t xml:space="preserve">Modifiers</t>
  </si>
  <si>
    <t xml:space="preserve">Modifier effects (M01–M15), each linked to its source booster organization.</t>
  </si>
  <si>
    <t xml:space="preserve">Opponents</t>
  </si>
  <si>
    <t xml:space="preserve">Nine canon MPs (2018 roster) incl. Walter Peard; deck composition derived from their Elements.</t>
  </si>
  <si>
    <t xml:space="preserve">Yoron</t>
  </si>
  <si>
    <t xml:space="preserve">世論 public-opinion topics (drawn from databook policy dimensions).</t>
  </si>
  <si>
    <t xml:space="preserve">Bills</t>
  </si>
  <si>
    <t xml:space="preserve">Example bills; difficulty modifier is computed from Yoron alignment.</t>
  </si>
  <si>
    <t xml:space="preserve">Modules</t>
  </si>
  <si>
    <t xml:space="preserve">Module 01 vertical slice: stage sequence with computed opponent start support and XP. Committee size/opposition read from Committee tab.</t>
  </si>
  <si>
    <t xml:space="preserve">Sanban</t>
  </si>
  <si>
    <t xml:space="preserve">三バン meta-variables (地盤 Jiban, 看板 Kanban, 鞄 Kaban) plus 党内支持 Party support.</t>
  </si>
  <si>
    <t xml:space="preserve">Lists</t>
  </si>
  <si>
    <t xml:space="preserve">Dropdown sources for data validation.</t>
  </si>
  <si>
    <t xml:space="preserve">COLOR KEY</t>
  </si>
  <si>
    <t xml:space="preserve">Blue text</t>
  </si>
  <si>
    <t xml:space="preserve">Hardcoded input — edit freely.</t>
  </si>
  <si>
    <t xml:space="preserve">Black text</t>
  </si>
  <si>
    <t xml:space="preserve">Formula — do not overwrite.</t>
  </si>
  <si>
    <t xml:space="preserve">Green text</t>
  </si>
  <si>
    <t xml:space="preserve">Direct link to another tab.</t>
  </si>
  <si>
    <t xml:space="preserve">Yellow fill</t>
  </si>
  <si>
    <t xml:space="preserve">Open design decision — needs your call.</t>
  </si>
  <si>
    <t xml:space="preserve">SOURCING / CONFIDENCE</t>
  </si>
  <si>
    <t xml:space="preserve">Canon [H]</t>
  </si>
  <si>
    <t xml:space="preserve">Opponent name, party, committee, Positioning, Element 1/2; 101 seats / 51 majority; Element list. Source: Lore Databook 6.10.25, October_2018_Politicians &amp; Party_and_Coalition sheets.</t>
  </si>
  <si>
    <t xml:space="preserve">Proposed [M]</t>
  </si>
  <si>
    <r>
      <rPr>
        <sz val="11"/>
        <rFont val="Arial"/>
        <family val="0"/>
        <charset val="1"/>
      </rPr>
      <t xml:space="preserve">All Japanese mechanic/card names — review for tone; many are real Japanese political terms (</t>
    </r>
    <r>
      <rPr>
        <sz val="11"/>
        <rFont val="Noto Sans CJK SC"/>
        <family val="2"/>
      </rPr>
      <t xml:space="preserve">根回し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玉虫色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記憶にございません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三バン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番記者</t>
    </r>
    <r>
      <rPr>
        <sz val="11"/>
        <rFont val="Arial"/>
        <family val="0"/>
        <charset val="1"/>
      </rPr>
      <t xml:space="preserve">).</t>
    </r>
  </si>
  <si>
    <t xml:space="preserve">Placeholder [L]</t>
  </si>
  <si>
    <t xml:space="preserve">All numbers, bill titles, committee size (11), Yoron starting values (50).</t>
  </si>
  <si>
    <t xml:space="preserve">OPEN DECISIONS</t>
  </si>
  <si>
    <t xml:space="preserve">1. Jiban floor</t>
  </si>
  <si>
    <t xml:space="preserve">RESOLVED: Jiban ≤ 15 triggers Town Hall event; Jiban = 0 freezes all funding. Recall dropped.</t>
  </si>
  <si>
    <t xml:space="preserve">2. Protagonist</t>
  </si>
  <si>
    <t xml:space="preserve">Canon MP or new character? Party determines the Caucus opponent (Modules row 3).</t>
  </si>
  <si>
    <t xml:space="preserve">3. Yoron seeding</t>
  </si>
  <si>
    <t xml:space="preserve">Seed from databook party scores, or set independently (keeps lore separate from analytics)?</t>
  </si>
  <si>
    <t xml:space="preserve">4. Committee size</t>
  </si>
  <si>
    <t xml:space="preserve">RESOLVED: Easy 3–5, Hard 8–10 (Normal 6–7 proposed, Balance!A21). Set per module in Modules col N.</t>
  </si>
  <si>
    <t xml:space="preserve">5. Data hygiene</t>
  </si>
  <si>
    <t xml:space="preserve">Databook Positioning value 'Authortarian' is misspelled — fix before engine string-matching.</t>
  </si>
  <si>
    <t xml:space="preserve">6. Steering name</t>
  </si>
  <si>
    <r>
      <rPr>
        <sz val="11"/>
        <rFont val="Arial"/>
        <family val="0"/>
        <charset val="1"/>
      </rPr>
      <t xml:space="preserve">Stage ST08 Japanese name: </t>
    </r>
    <r>
      <rPr>
        <sz val="11"/>
        <rFont val="Noto Sans CJK SC"/>
        <family val="2"/>
      </rPr>
      <t xml:space="preserve">党運営委員会 </t>
    </r>
    <r>
      <rPr>
        <sz val="11"/>
        <rFont val="Arial"/>
        <family val="0"/>
        <charset val="1"/>
      </rPr>
      <t xml:space="preserve">(proposed) vs </t>
    </r>
    <r>
      <rPr>
        <sz val="11"/>
        <rFont val="Noto Sans CJK SC"/>
        <family val="2"/>
      </rPr>
      <t xml:space="preserve">総務会</t>
    </r>
    <r>
      <rPr>
        <sz val="11"/>
        <rFont val="Arial"/>
        <family val="0"/>
        <charset val="1"/>
      </rPr>
      <t xml:space="preserve">.</t>
    </r>
  </si>
  <si>
    <t xml:space="preserve">7. Party thresholds</t>
  </si>
  <si>
    <t xml:space="preserve">RESOLVED: &gt;75 allied buff (M09); &lt;50 debuff (M10); &lt;25 Steering Committee (ST08). Magnitudes are placeholders.</t>
  </si>
  <si>
    <t xml:space="preserve">TABS ADDED (REV 3)</t>
  </si>
  <si>
    <t xml:space="preserve">Boosters</t>
  </si>
  <si>
    <t xml:space="preserve">10 booster organizations (2 Party / 4 Constituency / 4 National) with linked modifiers and tier-balance check.</t>
  </si>
  <si>
    <t xml:space="preserve">Committee</t>
  </si>
  <si>
    <t xml:space="preserve">Canon Environment committee members for Module 01 with proposed starting stances.</t>
  </si>
  <si>
    <t xml:space="preserve">Assets</t>
  </si>
  <si>
    <t xml:space="preserve">Production inventory: ~190 visual assets, audio, text; Status dropdown and progress summary (cols L–P).</t>
  </si>
  <si>
    <t xml:space="preserve">MORE OPEN DECISIONS</t>
  </si>
  <si>
    <t xml:space="preserve">8. Turn-limit ending</t>
  </si>
  <si>
    <t xml:space="preserve">If neither side reaches threshold at the turn limit: loss, tie, or highest support wins?</t>
  </si>
  <si>
    <t xml:space="preserve">9. Opponent win</t>
  </si>
  <si>
    <t xml:space="preserve">Does the opponent win by reaching its own threshold, or only by running out your clock?</t>
  </si>
  <si>
    <t xml:space="preserve">10. Opponent engine</t>
  </si>
  <si>
    <t xml:space="preserve">Real decks vs. scripted intent patterns (recommended for MVP).</t>
  </si>
  <si>
    <t xml:space="preserve">11. Protagonist party</t>
  </si>
  <si>
    <t xml:space="preserve">Party Faction (BO02) needs a stand-in if protagonist is a Five Point Independent.</t>
  </si>
  <si>
    <t xml:space="preserve">12. Fisheries topic</t>
  </si>
  <si>
    <t xml:space="preserve">M15 uses Environment until a Fisheries Yoron topic is chosen.</t>
  </si>
  <si>
    <t xml:space="preserve">CHANGELOG</t>
  </si>
  <si>
    <t xml:space="preserve">Rev 2</t>
  </si>
  <si>
    <t xml:space="preserve">Jiban triggers (15 / 0); Party support thresholds (75 / 50 / 25) + ST08 Steering Committee; committee size by difficulty.</t>
  </si>
  <si>
    <t xml:space="preserve">Rev 3</t>
  </si>
  <si>
    <t xml:space="preserve">Card renames C03 Formal Apology, C11 Groundwork, C13 Present the Stats; canon fix: Module 01 committee chair Brigham → Walter Peard (OP09); Boosters, Committee, Assets tabs; M05/M06 renamed; M11–M15 added.</t>
  </si>
  <si>
    <t xml:space="preserve">Lever</t>
  </si>
  <si>
    <t xml:space="preserve">Value</t>
  </si>
  <si>
    <t xml:space="preserve">Note</t>
  </si>
  <si>
    <t xml:space="preserve">W_self (own support gain)</t>
  </si>
  <si>
    <t xml:space="preserve">Weight in Power Score</t>
  </si>
  <si>
    <t xml:space="preserve">W_opp (opponent support loss)</t>
  </si>
  <si>
    <t xml:space="preserve">Swing value &gt; self gain: it moves the relative gap directly</t>
  </si>
  <si>
    <t xml:space="preserve">W_guard (block)</t>
  </si>
  <si>
    <t xml:space="preserve">Block only matters if opponent attacks</t>
  </si>
  <si>
    <t xml:space="preserve">W_draw (per card drawn)</t>
  </si>
  <si>
    <t xml:space="preserve">Card advantage</t>
  </si>
  <si>
    <r>
      <rPr>
        <sz val="11"/>
        <color rgb="FF000000"/>
        <rFont val="Arial"/>
        <family val="0"/>
        <charset val="1"/>
      </rPr>
      <t xml:space="preserve">W_gaffe (</t>
    </r>
    <r>
      <rPr>
        <sz val="11"/>
        <color rgb="FF000000"/>
        <rFont val="Noto Sans CJK SC"/>
        <family val="2"/>
      </rPr>
      <t xml:space="preserve">失言 </t>
    </r>
    <r>
      <rPr>
        <sz val="11"/>
        <color rgb="FF000000"/>
        <rFont val="Arial"/>
        <family val="0"/>
        <charset val="1"/>
      </rPr>
      <t xml:space="preserve">penalty per point)</t>
    </r>
  </si>
  <si>
    <t xml:space="preserve">Risk cost of gaffe meter</t>
  </si>
  <si>
    <t xml:space="preserve">Starter deck size</t>
  </si>
  <si>
    <t xml:space="preserve">Player and default opponent deck size</t>
  </si>
  <si>
    <t xml:space="preserve">Primary suit share</t>
  </si>
  <si>
    <t xml:space="preserve">Opponent deck share from Element 1</t>
  </si>
  <si>
    <t xml:space="preserve">Secondary suit share</t>
  </si>
  <si>
    <t xml:space="preserve">Opponent deck share from Element 2</t>
  </si>
  <si>
    <t xml:space="preserve">XP TIER TABLE</t>
  </si>
  <si>
    <t xml:space="preserve">Starter</t>
  </si>
  <si>
    <t xml:space="preserve">XP to unlock — tier table</t>
  </si>
  <si>
    <t xml:space="preserve">Tier 1</t>
  </si>
  <si>
    <t xml:space="preserve">XP to unlock</t>
  </si>
  <si>
    <t xml:space="preserve">Tier 2</t>
  </si>
  <si>
    <t xml:space="preserve">Bill difficulty factor</t>
  </si>
  <si>
    <t xml:space="preserve">Opp start support change per point of Yoron misalignment</t>
  </si>
  <si>
    <t xml:space="preserve">Yoron neutral point</t>
  </si>
  <si>
    <t xml:space="preserve">Opinion value treated as neutral (0–100 scale)</t>
  </si>
  <si>
    <t xml:space="preserve">COMMITTEE SIZE BY DIFFICULTY</t>
  </si>
  <si>
    <t xml:space="preserve">Min</t>
  </si>
  <si>
    <t xml:space="preserve">Max</t>
  </si>
  <si>
    <t xml:space="preserve">Easy</t>
  </si>
  <si>
    <t xml:space="preserve">Normal</t>
  </si>
  <si>
    <t xml:space="preserve">Hard</t>
  </si>
  <si>
    <t xml:space="preserve">Committee: share of members opposed at start</t>
  </si>
  <si>
    <t xml:space="preserve">Fallback only when a committee stage has no members listed in the Committee tab</t>
  </si>
  <si>
    <t xml:space="preserve">Jiban Town Hall trigger (≤)</t>
  </si>
  <si>
    <t xml:space="preserve">Cameron decision: triggers Town Hall event</t>
  </si>
  <si>
    <t xml:space="preserve">Jiban funding freeze (≤)</t>
  </si>
  <si>
    <t xml:space="preserve">Cameron decision: all funding frozen</t>
  </si>
  <si>
    <t xml:space="preserve">Party support: allied buff (&gt;)</t>
  </si>
  <si>
    <t xml:space="preserve">Cameron decision → M09</t>
  </si>
  <si>
    <t xml:space="preserve">Party support: debuff (&lt;)</t>
  </si>
  <si>
    <t xml:space="preserve">Cameron decision → M10</t>
  </si>
  <si>
    <t xml:space="preserve">Party support: Steering Committee (&lt;)</t>
  </si>
  <si>
    <t xml:space="preserve">Cameron decision → ST08</t>
  </si>
  <si>
    <t xml:space="preserve">Element (canon)</t>
  </si>
  <si>
    <t xml:space="preserve">Suit (JP)</t>
  </si>
  <si>
    <t xml:space="preserve">Romaji</t>
  </si>
  <si>
    <t xml:space="preserve">Gloss</t>
  </si>
  <si>
    <t xml:space="preserve">Play pattern</t>
  </si>
  <si>
    <t xml:space="preserve">Cards in pool</t>
  </si>
  <si>
    <t xml:space="preserve">Earnest</t>
  </si>
  <si>
    <t xml:space="preserve">誠実</t>
  </si>
  <si>
    <t xml:space="preserve">Seijitsu</t>
  </si>
  <si>
    <t xml:space="preserve">sincerity</t>
  </si>
  <si>
    <t xml:space="preserve">Steady own-support gain; resists and cleans up gaffes</t>
  </si>
  <si>
    <t xml:space="preserve">Emotional</t>
  </si>
  <si>
    <t xml:space="preserve">情熱</t>
  </si>
  <si>
    <t xml:space="preserve">Jōnetsu</t>
  </si>
  <si>
    <t xml:space="preserve">passion</t>
  </si>
  <si>
    <t xml:space="preserve">Burst gains that scale with crowd size; some gaffe risk</t>
  </si>
  <si>
    <t xml:space="preserve">Appeal</t>
  </si>
  <si>
    <t xml:space="preserve">求心</t>
  </si>
  <si>
    <t xml:space="preserve">Kyūshin</t>
  </si>
  <si>
    <t xml:space="preserve">rallying pull</t>
  </si>
  <si>
    <r>
      <rPr>
        <sz val="11"/>
        <color rgb="FF0000FF"/>
        <rFont val="Arial"/>
        <family val="0"/>
        <charset val="1"/>
      </rPr>
      <t xml:space="preserve">Segment-targeted gains, setup and card flow (</t>
    </r>
    <r>
      <rPr>
        <sz val="11"/>
        <color rgb="FF0000FF"/>
        <rFont val="Noto Sans CJK SC"/>
        <family val="2"/>
      </rPr>
      <t xml:space="preserve">根回し</t>
    </r>
    <r>
      <rPr>
        <sz val="11"/>
        <color rgb="FF0000FF"/>
        <rFont val="Arial"/>
        <family val="0"/>
        <charset val="1"/>
      </rPr>
      <t xml:space="preserve">)</t>
    </r>
  </si>
  <si>
    <t xml:space="preserve">Data Driven</t>
  </si>
  <si>
    <t xml:space="preserve">実証</t>
  </si>
  <si>
    <t xml:space="preserve">Jisshō</t>
  </si>
  <si>
    <t xml:space="preserve">evidence</t>
  </si>
  <si>
    <t xml:space="preserve">Refutation: lowers opponent support; strong in committee</t>
  </si>
  <si>
    <t xml:space="preserve">Divisive</t>
  </si>
  <si>
    <t xml:space="preserve">分断</t>
  </si>
  <si>
    <t xml:space="preserve">Bundan</t>
  </si>
  <si>
    <t xml:space="preserve">division</t>
  </si>
  <si>
    <t xml:space="preserve">Steals support both ways; polarizes; moderate gaffe risk</t>
  </si>
  <si>
    <t xml:space="preserve">Duplicitous</t>
  </si>
  <si>
    <t xml:space="preserve">二枚舌</t>
  </si>
  <si>
    <t xml:space="preserve">Nimaijita</t>
  </si>
  <si>
    <t xml:space="preserve">two tongues</t>
  </si>
  <si>
    <t xml:space="preserve">High power and strong guards, heavy gaffe accrual</t>
  </si>
  <si>
    <t xml:space="preserve">Stage ID</t>
  </si>
  <si>
    <t xml:space="preserve">Stage (EN)</t>
  </si>
  <si>
    <t xml:space="preserve">Stage (JP)</t>
  </si>
  <si>
    <t xml:space="preserve">Mode</t>
  </si>
  <si>
    <t xml:space="preserve">Bar unit</t>
  </si>
  <si>
    <t xml:space="preserve">Bar max</t>
  </si>
  <si>
    <t xml:space="preserve">Win threshold</t>
  </si>
  <si>
    <t xml:space="preserve">Win %</t>
  </si>
  <si>
    <t xml:space="preserve">Turn limit</t>
  </si>
  <si>
    <t xml:space="preserve">持ち時間 / turn (energy)</t>
  </si>
  <si>
    <t xml:space="preserve">Hand size</t>
  </si>
  <si>
    <t xml:space="preserve">失言 gaffe limit</t>
  </si>
  <si>
    <t xml:space="preserve">Player start</t>
  </si>
  <si>
    <t xml:space="preserve">Opp start</t>
  </si>
  <si>
    <t xml:space="preserve">% Press</t>
  </si>
  <si>
    <t xml:space="preserve">% Loyalists</t>
  </si>
  <si>
    <t xml:space="preserve">% Constituents</t>
  </si>
  <si>
    <t xml:space="preserve">% Donors</t>
  </si>
  <si>
    <t xml:space="preserve">% Bureaucrats</t>
  </si>
  <si>
    <t xml:space="preserve">Segment check</t>
  </si>
  <si>
    <t xml:space="preserve">Favored suit</t>
  </si>
  <si>
    <t xml:space="preserve">Win ΔJiban</t>
  </si>
  <si>
    <t xml:space="preserve">Win ΔKanban</t>
  </si>
  <si>
    <t xml:space="preserve">Win ΔKaban</t>
  </si>
  <si>
    <t xml:space="preserve">XP reward</t>
  </si>
  <si>
    <t xml:space="preserve">Signature rule</t>
  </si>
  <si>
    <t xml:space="preserve">Win ΔParty support</t>
  </si>
  <si>
    <t xml:space="preserve">ST01</t>
  </si>
  <si>
    <t xml:space="preserve">委員会</t>
  </si>
  <si>
    <t xml:space="preserve">Iinkai</t>
  </si>
  <si>
    <t xml:space="preserve">Combat</t>
  </si>
  <si>
    <t xml:space="preserve">Members</t>
  </si>
  <si>
    <t xml:space="preserve">varies</t>
  </si>
  <si>
    <t xml:space="preserve">majority</t>
  </si>
  <si>
    <t xml:space="preserve">Each member has a Positioning; winning a member locks their vote.</t>
  </si>
  <si>
    <t xml:space="preserve">ST02</t>
  </si>
  <si>
    <t xml:space="preserve">Floor Debate</t>
  </si>
  <si>
    <t xml:space="preserve">本会議</t>
  </si>
  <si>
    <t xml:space="preserve">Honkaigi</t>
  </si>
  <si>
    <t xml:space="preserve">Seats</t>
  </si>
  <si>
    <t xml:space="preserve">Party blocs vote together; flip a bloc to swing seats.</t>
  </si>
  <si>
    <t xml:space="preserve">ST03</t>
  </si>
  <si>
    <t xml:space="preserve">Party Caucus</t>
  </si>
  <si>
    <t xml:space="preserve">議員総会</t>
  </si>
  <si>
    <t xml:space="preserve">Giin Sōkai</t>
  </si>
  <si>
    <t xml:space="preserve">Support</t>
  </si>
  <si>
    <r>
      <rPr>
        <sz val="11"/>
        <color rgb="FF0000FF"/>
        <rFont val="Arial"/>
        <family val="0"/>
        <charset val="1"/>
      </rPr>
      <t xml:space="preserve">Result feeds </t>
    </r>
    <r>
      <rPr>
        <sz val="11"/>
        <color rgb="FF0000FF"/>
        <rFont val="Noto Sans CJK SC"/>
        <family val="2"/>
      </rPr>
      <t xml:space="preserve">党内支持 </t>
    </r>
    <r>
      <rPr>
        <sz val="11"/>
        <color rgb="FF0000FF"/>
        <rFont val="Arial"/>
        <family val="0"/>
        <charset val="1"/>
      </rPr>
      <t xml:space="preserve">Party support (Sanban row 5).</t>
    </r>
  </si>
  <si>
    <t xml:space="preserve">ST04</t>
  </si>
  <si>
    <t xml:space="preserve">Press Conference</t>
  </si>
  <si>
    <t xml:space="preserve">記者会見</t>
  </si>
  <si>
    <t xml:space="preserve">Kisha Kaiken</t>
  </si>
  <si>
    <t xml:space="preserve">Press tone</t>
  </si>
  <si>
    <t xml:space="preserve">Questions arrive as enemy intents; gaffe limit is tight.</t>
  </si>
  <si>
    <t xml:space="preserve">ST05</t>
  </si>
  <si>
    <t xml:space="preserve">Town Hall</t>
  </si>
  <si>
    <t xml:space="preserve">住民集会</t>
  </si>
  <si>
    <t xml:space="preserve">Jūmin Shūkai</t>
  </si>
  <si>
    <t xml:space="preserve">Heckler events add random debuffs; win feeds Jiban.</t>
  </si>
  <si>
    <t xml:space="preserve">ST06</t>
  </si>
  <si>
    <t xml:space="preserve">TV Debate / Interview</t>
  </si>
  <si>
    <t xml:space="preserve">討論番組</t>
  </si>
  <si>
    <t xml:space="preserve">Tōron Bangumi</t>
  </si>
  <si>
    <t xml:space="preserve">Win = stay at/above threshold every turn (survival).</t>
  </si>
  <si>
    <t xml:space="preserve">ST07</t>
  </si>
  <si>
    <t xml:space="preserve">Office Hours</t>
  </si>
  <si>
    <t xml:space="preserve">陳情</t>
  </si>
  <si>
    <t xml:space="preserve">Chinjō</t>
  </si>
  <si>
    <t xml:space="preserve">Non-combat</t>
  </si>
  <si>
    <t xml:space="preserve">Time slots</t>
  </si>
  <si>
    <t xml:space="preserve">Visitors arrive as event cards; spend time slots to respond. Outputs Jiban, Kaban, unlocks.</t>
  </si>
  <si>
    <t xml:space="preserve">ST08</t>
  </si>
  <si>
    <t xml:space="preserve">Party Steering Committee</t>
  </si>
  <si>
    <t xml:space="preserve">党運営委員会</t>
  </si>
  <si>
    <t xml:space="preserve">Tō Un'ei Iinkai</t>
  </si>
  <si>
    <t xml:space="preserve">Triggered when Party support &lt; 25. Entry cost: one Kōenkai and one Bankisha modifier disabled for the next module. Win restores Party support.</t>
  </si>
  <si>
    <t xml:space="preserve">Element</t>
  </si>
  <si>
    <t xml:space="preserve">Stage name →</t>
  </si>
  <si>
    <t xml:space="preserve">Column average</t>
  </si>
  <si>
    <t xml:space="preserve">Card ID</t>
  </si>
  <si>
    <t xml:space="preserve">Name (EN)</t>
  </si>
  <si>
    <t xml:space="preserve">Name (JP)</t>
  </si>
  <si>
    <t xml:space="preserve">Suit (Element)</t>
  </si>
  <si>
    <t xml:space="preserve">Type</t>
  </si>
  <si>
    <r>
      <rPr>
        <b val="true"/>
        <sz val="11"/>
        <color rgb="FFFFFFFF"/>
        <rFont val="Arial"/>
        <family val="0"/>
        <charset val="1"/>
      </rPr>
      <t xml:space="preserve">Cost (</t>
    </r>
    <r>
      <rPr>
        <b val="true"/>
        <sz val="11"/>
        <color rgb="FFFFFFFF"/>
        <rFont val="Noto Sans CJK SC"/>
        <family val="2"/>
      </rPr>
      <t xml:space="preserve">持ち時間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</si>
  <si>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Self +</t>
  </si>
  <si>
    <t xml:space="preserve">Opp −</t>
  </si>
  <si>
    <t xml:space="preserve">Guard</t>
  </si>
  <si>
    <t xml:space="preserve">Draw</t>
  </si>
  <si>
    <t xml:space="preserve">Gaffe +/−</t>
  </si>
  <si>
    <t xml:space="preserve">Target segment</t>
  </si>
  <si>
    <t xml:space="preserve">Effect text</t>
  </si>
  <si>
    <t xml:space="preserve">Upgrade (+)</t>
  </si>
  <si>
    <t xml:space="preserve">Tier</t>
  </si>
  <si>
    <t xml:space="preserve">Power Score</t>
  </si>
  <si>
    <t xml:space="preserve">Power / Cost</t>
  </si>
  <si>
    <t xml:space="preserve">Balance flag</t>
  </si>
  <si>
    <t xml:space="preserve">C01</t>
  </si>
  <si>
    <t xml:space="preserve">Record of Service</t>
  </si>
  <si>
    <t xml:space="preserve">実績報告</t>
  </si>
  <si>
    <t xml:space="preserve">Jisseki Hōkoku</t>
  </si>
  <si>
    <t xml:space="preserve">Gain</t>
  </si>
  <si>
    <t xml:space="preserve">Any</t>
  </si>
  <si>
    <t xml:space="preserve">Gain 3 support.</t>
  </si>
  <si>
    <t xml:space="preserve">Gain 4.</t>
  </si>
  <si>
    <t xml:space="preserve">C02</t>
  </si>
  <si>
    <t xml:space="preserve">Sincere Answer</t>
  </si>
  <si>
    <t xml:space="preserve">誠意ある答弁</t>
  </si>
  <si>
    <t xml:space="preserve">Seii aru Tōben</t>
  </si>
  <si>
    <t xml:space="preserve">Defend</t>
  </si>
  <si>
    <t xml:space="preserve">Gain 1. Guard 4 this turn.</t>
  </si>
  <si>
    <t xml:space="preserve">Guard 6.</t>
  </si>
  <si>
    <t xml:space="preserve">C03</t>
  </si>
  <si>
    <t xml:space="preserve">Formal Apology</t>
  </si>
  <si>
    <t xml:space="preserve">深々と頭を下げる</t>
  </si>
  <si>
    <t xml:space="preserve">Fukabuka to Atama o Sageru</t>
  </si>
  <si>
    <t xml:space="preserve">Utility</t>
  </si>
  <si>
    <t xml:space="preserve">Gain 2. Reduce gaffe meter by 3.</t>
  </si>
  <si>
    <t xml:space="preserve">Also draw 1.</t>
  </si>
  <si>
    <t xml:space="preserve">C04</t>
  </si>
  <si>
    <t xml:space="preserve">Return to First Principles</t>
  </si>
  <si>
    <t xml:space="preserve">初心表明</t>
  </si>
  <si>
    <t xml:space="preserve">Shoshin Hyōmei</t>
  </si>
  <si>
    <t xml:space="preserve">Gain 6; +2 more if Kanban ≥ 60.</t>
  </si>
  <si>
    <t xml:space="preserve">Cost 2.</t>
  </si>
  <si>
    <t xml:space="preserve">C05</t>
  </si>
  <si>
    <t xml:space="preserve">Impassioned Speech</t>
  </si>
  <si>
    <t xml:space="preserve">熱弁</t>
  </si>
  <si>
    <t xml:space="preserve">Netsuben</t>
  </si>
  <si>
    <t xml:space="preserve">Gain 5. Gaffe +1.</t>
  </si>
  <si>
    <t xml:space="preserve">Gain 7.</t>
  </si>
  <si>
    <t xml:space="preserve">C06</t>
  </si>
  <si>
    <t xml:space="preserve">Tearful Appeal</t>
  </si>
  <si>
    <t xml:space="preserve">涙の訴え</t>
  </si>
  <si>
    <t xml:space="preserve">Namida no Uttae</t>
  </si>
  <si>
    <t xml:space="preserve">Constituents</t>
  </si>
  <si>
    <t xml:space="preserve">Gain 4; doubled if Constituents ≥ 50%.</t>
  </si>
  <si>
    <t xml:space="preserve">Gain 5.</t>
  </si>
  <si>
    <t xml:space="preserve">C07</t>
  </si>
  <si>
    <t xml:space="preserve">Rousing Applause</t>
  </si>
  <si>
    <t xml:space="preserve">拍手喝采</t>
  </si>
  <si>
    <t xml:space="preserve">Hakushu Kassai</t>
  </si>
  <si>
    <t xml:space="preserve">Gain 2. Draw 1.</t>
  </si>
  <si>
    <t xml:space="preserve">Draw 2.</t>
  </si>
  <si>
    <t xml:space="preserve">C08</t>
  </si>
  <si>
    <t xml:space="preserve">Speech from the Soul</t>
  </si>
  <si>
    <t xml:space="preserve">魂の演説</t>
  </si>
  <si>
    <t xml:space="preserve">Tamashii no Enzetsu</t>
  </si>
  <si>
    <t xml:space="preserve">Gain 8. Gaffe +2.</t>
  </si>
  <si>
    <t xml:space="preserve">Gaffe +1.</t>
  </si>
  <si>
    <t xml:space="preserve">C09</t>
  </si>
  <si>
    <t xml:space="preserve">Party Unity</t>
  </si>
  <si>
    <t xml:space="preserve">党の結束</t>
  </si>
  <si>
    <t xml:space="preserve">Tō no Kessoku</t>
  </si>
  <si>
    <t xml:space="preserve">Loyalists</t>
  </si>
  <si>
    <t xml:space="preserve">Gain 3; +2 if Loyalists ≥ 50%.</t>
  </si>
  <si>
    <t xml:space="preserve">C10</t>
  </si>
  <si>
    <t xml:space="preserve">Voice of the Hometown</t>
  </si>
  <si>
    <t xml:space="preserve">地元の声</t>
  </si>
  <si>
    <t xml:space="preserve">Jimoto no Koe</t>
  </si>
  <si>
    <t xml:space="preserve">Gain 3; +2 if Constituents ≥ 50%.</t>
  </si>
  <si>
    <t xml:space="preserve">C11</t>
  </si>
  <si>
    <t xml:space="preserve">Groundwork</t>
  </si>
  <si>
    <t xml:space="preserve">根回し</t>
  </si>
  <si>
    <t xml:space="preserve">Nemawashi</t>
  </si>
  <si>
    <t xml:space="preserve">Buff</t>
  </si>
  <si>
    <t xml:space="preserve">Gain 2. Your next card this turn gets +2.</t>
  </si>
  <si>
    <t xml:space="preserve">Next card +3.</t>
  </si>
  <si>
    <t xml:space="preserve">C12</t>
  </si>
  <si>
    <t xml:space="preserve">Head Count</t>
  </si>
  <si>
    <t xml:space="preserve">票読み</t>
  </si>
  <si>
    <t xml:space="preserve">Hyōyomi</t>
  </si>
  <si>
    <t xml:space="preserve">Draw 2. Reveal opponent's next intent.</t>
  </si>
  <si>
    <t xml:space="preserve">Cost 1.</t>
  </si>
  <si>
    <t xml:space="preserve">C13</t>
  </si>
  <si>
    <t xml:space="preserve">Present the Stats</t>
  </si>
  <si>
    <t xml:space="preserve">統計提示</t>
  </si>
  <si>
    <t xml:space="preserve">Tōkei Teiji</t>
  </si>
  <si>
    <t xml:space="preserve">Attack</t>
  </si>
  <si>
    <t xml:space="preserve">Opponent −3.</t>
  </si>
  <si>
    <t xml:space="preserve">Opponent −4.</t>
  </si>
  <si>
    <t xml:space="preserve">C14</t>
  </si>
  <si>
    <t xml:space="preserve">Document Request</t>
  </si>
  <si>
    <t xml:space="preserve">資料請求</t>
  </si>
  <si>
    <t xml:space="preserve">Shiryō Seikyū</t>
  </si>
  <si>
    <t xml:space="preserve">Bureaucrats</t>
  </si>
  <si>
    <t xml:space="preserve">Opponent −1. Draw 1.</t>
  </si>
  <si>
    <t xml:space="preserve">C15</t>
  </si>
  <si>
    <t xml:space="preserve">Pursue the Contradiction</t>
  </si>
  <si>
    <t xml:space="preserve">矛盾追及</t>
  </si>
  <si>
    <t xml:space="preserve">Mujun Tsuikyū</t>
  </si>
  <si>
    <t xml:space="preserve">Opponent −6; −2 more if opponent gaffe &gt; 0.</t>
  </si>
  <si>
    <t xml:space="preserve">Opponent −8.</t>
  </si>
  <si>
    <t xml:space="preserve">C16</t>
  </si>
  <si>
    <t xml:space="preserve">White Paper</t>
  </si>
  <si>
    <t xml:space="preserve">白書</t>
  </si>
  <si>
    <t xml:space="preserve">Hakusho</t>
  </si>
  <si>
    <t xml:space="preserve">Gain 3. Opponent −5.</t>
  </si>
  <si>
    <t xml:space="preserve">C17</t>
  </si>
  <si>
    <t xml:space="preserve">Labeling</t>
  </si>
  <si>
    <t xml:space="preserve">レッテル貼り</t>
  </si>
  <si>
    <t xml:space="preserve">Retteru-bari</t>
  </si>
  <si>
    <t xml:space="preserve">Opponent −4. Gaffe +1.</t>
  </si>
  <si>
    <t xml:space="preserve">Opponent −5.</t>
  </si>
  <si>
    <t xml:space="preserve">C18</t>
  </si>
  <si>
    <t xml:space="preserve">Drawing Battle Lines</t>
  </si>
  <si>
    <t xml:space="preserve">敵味方の線引き</t>
  </si>
  <si>
    <t xml:space="preserve">Tekimikata no Senbiki</t>
  </si>
  <si>
    <t xml:space="preserve">Gain 3. Opponent −3. Gaffe +1.</t>
  </si>
  <si>
    <t xml:space="preserve">Gain 4. Opp −4.</t>
  </si>
  <si>
    <t xml:space="preserve">C19</t>
  </si>
  <si>
    <t xml:space="preserve">Agitation</t>
  </si>
  <si>
    <t xml:space="preserve">煽動</t>
  </si>
  <si>
    <t xml:space="preserve">Sendō</t>
  </si>
  <si>
    <t xml:space="preserve">Gain 5. Opponent −2. Gaffe +2.</t>
  </si>
  <si>
    <t xml:space="preserve">C20</t>
  </si>
  <si>
    <t xml:space="preserve">Loyalty Test</t>
  </si>
  <si>
    <t xml:space="preserve">踏み絵</t>
  </si>
  <si>
    <t xml:space="preserve">Fumie</t>
  </si>
  <si>
    <t xml:space="preserve">Opponent −7. Gaffe +2.</t>
  </si>
  <si>
    <t xml:space="preserve">Opponent −9.</t>
  </si>
  <si>
    <t xml:space="preserve">C21</t>
  </si>
  <si>
    <t xml:space="preserve">Iridescent Answer</t>
  </si>
  <si>
    <t xml:space="preserve">玉虫色の答弁</t>
  </si>
  <si>
    <t xml:space="preserve">Tamamushi-iro no Tōben</t>
  </si>
  <si>
    <t xml:space="preserve">Press</t>
  </si>
  <si>
    <t xml:space="preserve">Guard 5. Gaffe +1.</t>
  </si>
  <si>
    <t xml:space="preserve">Guard 7.</t>
  </si>
  <si>
    <t xml:space="preserve">C22</t>
  </si>
  <si>
    <t xml:space="preserve">"I Have No Recollection"</t>
  </si>
  <si>
    <t xml:space="preserve">記憶にございません</t>
  </si>
  <si>
    <t xml:space="preserve">Kioku ni Gozaimasen</t>
  </si>
  <si>
    <t xml:space="preserve">Guard 6. Gaffe +2.</t>
  </si>
  <si>
    <t xml:space="preserve">C23</t>
  </si>
  <si>
    <t xml:space="preserve">Shifting the Issue</t>
  </si>
  <si>
    <t xml:space="preserve">論点ずらし</t>
  </si>
  <si>
    <t xml:space="preserve">Ronten-zurashi</t>
  </si>
  <si>
    <t xml:space="preserve">Gain 2. Opponent −3. Gaffe +2.</t>
  </si>
  <si>
    <t xml:space="preserve">Gain 3. Opp −4.</t>
  </si>
  <si>
    <t xml:space="preserve">C24</t>
  </si>
  <si>
    <t xml:space="preserve">Secret Pact</t>
  </si>
  <si>
    <t xml:space="preserve">密約</t>
  </si>
  <si>
    <t xml:space="preserve">Mitsuyaku</t>
  </si>
  <si>
    <t xml:space="preserve">Donors</t>
  </si>
  <si>
    <t xml:space="preserve">Gain 7. Opponent −2. Gaffe +3.</t>
  </si>
  <si>
    <t xml:space="preserve">Gaffe +2.</t>
  </si>
  <si>
    <t xml:space="preserve">Avg Power/Cost</t>
  </si>
  <si>
    <t xml:space="preserve">Flag if P/C &gt; avg × 1.3 or &lt; avg × 0.7 — candidates to rebalance</t>
  </si>
  <si>
    <t xml:space="preserve">Name</t>
  </si>
  <si>
    <t xml:space="preserve">Suit</t>
  </si>
  <si>
    <t xml:space="preserve">Stage average</t>
  </si>
  <si>
    <t xml:space="preserve">Segment ID</t>
  </si>
  <si>
    <t xml:space="preserve">Segment (EN)</t>
  </si>
  <si>
    <t xml:space="preserve">Segment (JP)</t>
  </si>
  <si>
    <t xml:space="preserve">Description</t>
  </si>
  <si>
    <t xml:space="preserve">SG01</t>
  </si>
  <si>
    <t xml:space="preserve">報道陣</t>
  </si>
  <si>
    <t xml:space="preserve">Hōdōjin</t>
  </si>
  <si>
    <t xml:space="preserve">Reporters, editors, camera crews</t>
  </si>
  <si>
    <t xml:space="preserve">SG02</t>
  </si>
  <si>
    <t xml:space="preserve">党員</t>
  </si>
  <si>
    <t xml:space="preserve">Tōin</t>
  </si>
  <si>
    <t xml:space="preserve">Party members and whips</t>
  </si>
  <si>
    <t xml:space="preserve">SG03</t>
  </si>
  <si>
    <t xml:space="preserve">有権者</t>
  </si>
  <si>
    <t xml:space="preserve">Yūkensha</t>
  </si>
  <si>
    <t xml:space="preserve">Voters of the protagonist's district and the general public</t>
  </si>
  <si>
    <t xml:space="preserve">SG04</t>
  </si>
  <si>
    <t xml:space="preserve">支援者</t>
  </si>
  <si>
    <t xml:space="preserve">Shiensha</t>
  </si>
  <si>
    <t xml:space="preserve">Backers, business associations, Kōenkai members</t>
  </si>
  <si>
    <t xml:space="preserve">SG05</t>
  </si>
  <si>
    <t xml:space="preserve">官僚</t>
  </si>
  <si>
    <t xml:space="preserve">Kanryō</t>
  </si>
  <si>
    <t xml:space="preserve">Ministry officials and committee staff</t>
  </si>
  <si>
    <t xml:space="preserve">Mod ID</t>
  </si>
  <si>
    <t xml:space="preserve">Category</t>
  </si>
  <si>
    <t xml:space="preserve">Category (JP)</t>
  </si>
  <si>
    <t xml:space="preserve">Trigger segment</t>
  </si>
  <si>
    <t xml:space="preserve">Trigger min %</t>
  </si>
  <si>
    <t xml:space="preserve">Effect</t>
  </si>
  <si>
    <t xml:space="preserve">Magnitude</t>
  </si>
  <si>
    <t xml:space="preserve">Kaban cost</t>
  </si>
  <si>
    <t xml:space="preserve">Available to</t>
  </si>
  <si>
    <t xml:space="preserve">Source booster</t>
  </si>
  <si>
    <t xml:space="preserve">M01</t>
  </si>
  <si>
    <t xml:space="preserve">Kōenkai</t>
  </si>
  <si>
    <t xml:space="preserve">後援会</t>
  </si>
  <si>
    <t xml:space="preserve">Local Support Association</t>
  </si>
  <si>
    <t xml:space="preserve">地元後援会</t>
  </si>
  <si>
    <t xml:space="preserve">Jimoto Kōenkai</t>
  </si>
  <si>
    <t xml:space="preserve">+Magnitude player start support</t>
  </si>
  <si>
    <t xml:space="preserve">Both</t>
  </si>
  <si>
    <t xml:space="preserve">BO03</t>
  </si>
  <si>
    <t xml:space="preserve">M02</t>
  </si>
  <si>
    <t xml:space="preserve">Business Backers' Circle</t>
  </si>
  <si>
    <t xml:space="preserve">経済人の会</t>
  </si>
  <si>
    <t xml:space="preserve">Keizaijin no Kai</t>
  </si>
  <si>
    <t xml:space="preserve">+Magnitude Kaban after each stage win</t>
  </si>
  <si>
    <t xml:space="preserve">BO05</t>
  </si>
  <si>
    <t xml:space="preserve">M03</t>
  </si>
  <si>
    <t xml:space="preserve">Bankisha</t>
  </si>
  <si>
    <t xml:space="preserve">番記者</t>
  </si>
  <si>
    <t xml:space="preserve">Friendly Beat Reporter</t>
  </si>
  <si>
    <t xml:space="preserve">好意的な番記者</t>
  </si>
  <si>
    <t xml:space="preserve">Kōiteki na Bankisha</t>
  </si>
  <si>
    <t xml:space="preserve">−Magnitude starting gaffe meter</t>
  </si>
  <si>
    <t xml:space="preserve">BO08</t>
  </si>
  <si>
    <t xml:space="preserve">M04</t>
  </si>
  <si>
    <t xml:space="preserve">Editorial Board Backing</t>
  </si>
  <si>
    <t xml:space="preserve">論説委員の支持</t>
  </si>
  <si>
    <t xml:space="preserve">Ronsetsu Iin no Shiji</t>
  </si>
  <si>
    <t xml:space="preserve">M05</t>
  </si>
  <si>
    <t xml:space="preserve">Dantai</t>
  </si>
  <si>
    <t xml:space="preserve">団体</t>
  </si>
  <si>
    <t xml:space="preserve">Agricultural Cooperatives</t>
  </si>
  <si>
    <t xml:space="preserve">農協</t>
  </si>
  <si>
    <t xml:space="preserve">Nōkyō</t>
  </si>
  <si>
    <t xml:space="preserve">−Magnitude opp start support on bills tagged Rural Focus</t>
  </si>
  <si>
    <t xml:space="preserve">BO10</t>
  </si>
  <si>
    <t xml:space="preserve">M06</t>
  </si>
  <si>
    <t xml:space="preserve">Labor Federation</t>
  </si>
  <si>
    <t xml:space="preserve">労働組合連合</t>
  </si>
  <si>
    <t xml:space="preserve">Rōdō Kumiai Rengō</t>
  </si>
  <si>
    <t xml:space="preserve">+Magnitude player start support in Caucus/Floor</t>
  </si>
  <si>
    <t xml:space="preserve">BO09</t>
  </si>
  <si>
    <t xml:space="preserve">M07</t>
  </si>
  <si>
    <t xml:space="preserve">Debuff</t>
  </si>
  <si>
    <t xml:space="preserve">逆風</t>
  </si>
  <si>
    <t xml:space="preserve">Scandal Coverage</t>
  </si>
  <si>
    <t xml:space="preserve">スキャンダル報道</t>
  </si>
  <si>
    <t xml:space="preserve">Sukyandaru Hōdō</t>
  </si>
  <si>
    <t xml:space="preserve">+Magnitude target's starting gaffe meter</t>
  </si>
  <si>
    <t xml:space="preserve">Opponent</t>
  </si>
  <si>
    <t xml:space="preserve">—</t>
  </si>
  <si>
    <t xml:space="preserve">M08</t>
  </si>
  <si>
    <t xml:space="preserve">Faction Rebellion</t>
  </si>
  <si>
    <t xml:space="preserve">造反</t>
  </si>
  <si>
    <t xml:space="preserve">Zōhan</t>
  </si>
  <si>
    <t xml:space="preserve">−Magnitude target's start support</t>
  </si>
  <si>
    <t xml:space="preserve">M09</t>
  </si>
  <si>
    <t xml:space="preserve">Party</t>
  </si>
  <si>
    <t xml:space="preserve">党</t>
  </si>
  <si>
    <t xml:space="preserve">Party Backing</t>
  </si>
  <si>
    <t xml:space="preserve">党の後押し</t>
  </si>
  <si>
    <t xml:space="preserve">Tō no Atooshi</t>
  </si>
  <si>
    <t xml:space="preserve">While Party support &gt; 75: +Magnitude start support in Caucus &amp; Floor</t>
  </si>
  <si>
    <t xml:space="preserve">Party support (meta)</t>
  </si>
  <si>
    <t xml:space="preserve">M10</t>
  </si>
  <si>
    <t xml:space="preserve">Cold Shoulder</t>
  </si>
  <si>
    <t xml:space="preserve">党内の冷遇</t>
  </si>
  <si>
    <t xml:space="preserve">Tōnai no Reigū</t>
  </si>
  <si>
    <t xml:space="preserve">While Party support &lt; 50: −Magnitude start support in Caucus &amp; Floor; −1 hand size on Floor</t>
  </si>
  <si>
    <t xml:space="preserve">M11</t>
  </si>
  <si>
    <t xml:space="preserve">Official Endorsement</t>
  </si>
  <si>
    <t xml:space="preserve">党公認</t>
  </si>
  <si>
    <t xml:space="preserve">Tō Kōnin</t>
  </si>
  <si>
    <t xml:space="preserve">Negates Cold Shoulder (M10); +Magnitude Kaban per module</t>
  </si>
  <si>
    <t xml:space="preserve">BO01</t>
  </si>
  <si>
    <t xml:space="preserve">M12</t>
  </si>
  <si>
    <t xml:space="preserve">Faction Patronage</t>
  </si>
  <si>
    <t xml:space="preserve">派閥の庇護</t>
  </si>
  <si>
    <t xml:space="preserve">Habatsu no Higo</t>
  </si>
  <si>
    <t xml:space="preserve">+Magnitude Party support per module; Party Backing triggers 5 points sooner</t>
  </si>
  <si>
    <t xml:space="preserve">BO02</t>
  </si>
  <si>
    <t xml:space="preserve">M13</t>
  </si>
  <si>
    <t xml:space="preserve">Local</t>
  </si>
  <si>
    <t xml:space="preserve">地元</t>
  </si>
  <si>
    <t xml:space="preserve">Mayors' Endorsement</t>
  </si>
  <si>
    <t xml:space="preserve">首長の推薦</t>
  </si>
  <si>
    <t xml:space="preserve">Shuchō no Suisen</t>
  </si>
  <si>
    <t xml:space="preserve">+Magnitude Jiban per module win; +1 start member lean in committee on local bills</t>
  </si>
  <si>
    <t xml:space="preserve">BO04</t>
  </si>
  <si>
    <t xml:space="preserve">M14</t>
  </si>
  <si>
    <t xml:space="preserve">Community Canvass</t>
  </si>
  <si>
    <t xml:space="preserve">町内会の支援</t>
  </si>
  <si>
    <t xml:space="preserve">Chōnaikai no Shien</t>
  </si>
  <si>
    <t xml:space="preserve">+Magnitude start support in Town Hall; Jiban losses halved</t>
  </si>
  <si>
    <t xml:space="preserve">BO06</t>
  </si>
  <si>
    <t xml:space="preserve">M15</t>
  </si>
  <si>
    <t xml:space="preserve">Fishing Fleet Support</t>
  </si>
  <si>
    <t xml:space="preserve">漁協の支援</t>
  </si>
  <si>
    <t xml:space="preserve">Gyokyō no Shien</t>
  </si>
  <si>
    <t xml:space="preserve">−Magnitude opp start support on Environment-tagged bills (fisheries topic TBD)</t>
  </si>
  <si>
    <t xml:space="preserve">BO07</t>
  </si>
  <si>
    <t xml:space="preserve">Booster ID</t>
  </si>
  <si>
    <t xml:space="preserve">Organization (EN)</t>
  </si>
  <si>
    <t xml:space="preserve">Organization (JP)</t>
  </si>
  <si>
    <t xml:space="preserve">Boosts</t>
  </si>
  <si>
    <t xml:space="preserve">Linked modifiers</t>
  </si>
  <si>
    <t xml:space="preserve">Modifier count</t>
  </si>
  <si>
    <t xml:space="preserve">Party Headquarters</t>
  </si>
  <si>
    <t xml:space="preserve">党本部</t>
  </si>
  <si>
    <t xml:space="preserve">Tōhonbu</t>
  </si>
  <si>
    <t xml:space="preserve">Endorsement, funds; protection from Cold Shoulder (M10)</t>
  </si>
  <si>
    <t xml:space="preserve">Party Faction</t>
  </si>
  <si>
    <t xml:space="preserve">派閥</t>
  </si>
  <si>
    <t xml:space="preserve">Habatsu</t>
  </si>
  <si>
    <t xml:space="preserve">Party support, patronage, small funds</t>
  </si>
  <si>
    <t xml:space="preserve">Local Kōenkai</t>
  </si>
  <si>
    <t xml:space="preserve">Constituency</t>
  </si>
  <si>
    <t xml:space="preserve">Start support when constituents present; donations</t>
  </si>
  <si>
    <t xml:space="preserve">Mayors' Network</t>
  </si>
  <si>
    <t xml:space="preserve">市町村長会</t>
  </si>
  <si>
    <t xml:space="preserve">Shichōsonchō-kai</t>
  </si>
  <si>
    <t xml:space="preserve">Jiban gains; standing on local bills</t>
  </si>
  <si>
    <t xml:space="preserve">Chamber of Commerce</t>
  </si>
  <si>
    <t xml:space="preserve">商工会議所</t>
  </si>
  <si>
    <t xml:space="preserve">Shōkō Kaigisho</t>
  </si>
  <si>
    <t xml:space="preserve">National</t>
  </si>
  <si>
    <t xml:space="preserve">Funds; donor-audience bonus</t>
  </si>
  <si>
    <t xml:space="preserve">Neighborhood Associations</t>
  </si>
  <si>
    <t xml:space="preserve">町内会</t>
  </si>
  <si>
    <t xml:space="preserve">Chōnaikai</t>
  </si>
  <si>
    <t xml:space="preserve">Town hall bonus; slows Jiban loss</t>
  </si>
  <si>
    <t xml:space="preserve">Fisheries Cooperative</t>
  </si>
  <si>
    <t xml:space="preserve">漁協</t>
  </si>
  <si>
    <t xml:space="preserve">Gyokyō</t>
  </si>
  <si>
    <t xml:space="preserve">Fisheries, environment, and Kuril bills</t>
  </si>
  <si>
    <t xml:space="preserve">National Media</t>
  </si>
  <si>
    <t xml:space="preserve">全国紙</t>
  </si>
  <si>
    <t xml:space="preserve">Zenkokushi</t>
  </si>
  <si>
    <t xml:space="preserve">Press tone; Kanban</t>
  </si>
  <si>
    <t xml:space="preserve">M03, M04</t>
  </si>
  <si>
    <t xml:space="preserve">Loyalists; caucus and floor stages</t>
  </si>
  <si>
    <t xml:space="preserve">Rural Focus bills</t>
  </si>
  <si>
    <t xml:space="preserve">Tier balance</t>
  </si>
  <si>
    <t xml:space="preserve">Opp ID</t>
  </si>
  <si>
    <t xml:space="preserve">Positioning</t>
  </si>
  <si>
    <t xml:space="preserve">Element 1</t>
  </si>
  <si>
    <t xml:space="preserve">Element 2</t>
  </si>
  <si>
    <t xml:space="preserve">Primary suit</t>
  </si>
  <si>
    <t xml:space="preserve">Secondary suit</t>
  </si>
  <si>
    <t xml:space="preserve">Deck size</t>
  </si>
  <si>
    <t xml:space="preserve">Primary cards</t>
  </si>
  <si>
    <t xml:space="preserve">Secondary cards</t>
  </si>
  <si>
    <t xml:space="preserve">Other cards</t>
  </si>
  <si>
    <t xml:space="preserve">AI style [proposed]</t>
  </si>
  <si>
    <t xml:space="preserve">Loadout mods</t>
  </si>
  <si>
    <t xml:space="preserve">Source</t>
  </si>
  <si>
    <t xml:space="preserve">OP01</t>
  </si>
  <si>
    <t xml:space="preserve">Barclay Brigham</t>
  </si>
  <si>
    <t xml:space="preserve">Keizaijiyuutou</t>
  </si>
  <si>
    <t xml:space="preserve">National Assembly</t>
  </si>
  <si>
    <t xml:space="preserve">Technocratic</t>
  </si>
  <si>
    <t xml:space="preserve">Methodical: builds guard, then refutes with evidence.</t>
  </si>
  <si>
    <t xml:space="preserve">Canon: Lore Databook, October_2018_Politicians (cols B–G)</t>
  </si>
  <si>
    <t xml:space="preserve">OP02</t>
  </si>
  <si>
    <t xml:space="preserve">Yuriko Mayeda</t>
  </si>
  <si>
    <t xml:space="preserve">Frontier Party</t>
  </si>
  <si>
    <t xml:space="preserve">Construction and Development</t>
  </si>
  <si>
    <t xml:space="preserve">Populist</t>
  </si>
  <si>
    <t xml:space="preserve">Aggressive bursts; accepts gaffe risk.</t>
  </si>
  <si>
    <t xml:space="preserve">OP03</t>
  </si>
  <si>
    <t xml:space="preserve">Masato Maruyama</t>
  </si>
  <si>
    <t xml:space="preserve">Country Initiative</t>
  </si>
  <si>
    <t xml:space="preserve">Identity</t>
  </si>
  <si>
    <t xml:space="preserve">Evasive guards, then polarizing strikes.</t>
  </si>
  <si>
    <t xml:space="preserve">OP04</t>
  </si>
  <si>
    <t xml:space="preserve">Kitahime Haibi</t>
  </si>
  <si>
    <t xml:space="preserve">Five Point Independents</t>
  </si>
  <si>
    <t xml:space="preserve">Finance</t>
  </si>
  <si>
    <t xml:space="preserve">Free Markets</t>
  </si>
  <si>
    <t xml:space="preserve">Precise, segment-targeted; low gaffe.</t>
  </si>
  <si>
    <t xml:space="preserve">OP05</t>
  </si>
  <si>
    <t xml:space="preserve">Shizutake Matsumae</t>
  </si>
  <si>
    <t xml:space="preserve">Nationalist</t>
  </si>
  <si>
    <t xml:space="preserve">Rallies loyalists, then draws battle lines.</t>
  </si>
  <si>
    <t xml:space="preserve">OP06</t>
  </si>
  <si>
    <t xml:space="preserve">Mao Saeki</t>
  </si>
  <si>
    <t xml:space="preserve">Butsutou</t>
  </si>
  <si>
    <t xml:space="preserve">Foreign Affairs</t>
  </si>
  <si>
    <t xml:space="preserve">Globalist</t>
  </si>
  <si>
    <t xml:space="preserve">Patient, clean; wins long debates.</t>
  </si>
  <si>
    <t xml:space="preserve">OP07</t>
  </si>
  <si>
    <t xml:space="preserve">Tobira Hideyoshi</t>
  </si>
  <si>
    <t xml:space="preserve">Ethics and Prosecution</t>
  </si>
  <si>
    <t xml:space="preserve">Liberal</t>
  </si>
  <si>
    <t xml:space="preserve">High-variance trickster.</t>
  </si>
  <si>
    <t xml:space="preserve">OP08</t>
  </si>
  <si>
    <t xml:space="preserve">Aki Rono</t>
  </si>
  <si>
    <t xml:space="preserve">Yezo Heritage Party</t>
  </si>
  <si>
    <t xml:space="preserve">Prime Minister</t>
  </si>
  <si>
    <t xml:space="preserve">Boss: sincere resilience plus passionate bursts.</t>
  </si>
  <si>
    <t xml:space="preserve">M01, M04</t>
  </si>
  <si>
    <t xml:space="preserve">OP09</t>
  </si>
  <si>
    <t xml:space="preserve">Walter Peard</t>
  </si>
  <si>
    <t xml:space="preserve">Environment</t>
  </si>
  <si>
    <t xml:space="preserve">Ecologist</t>
  </si>
  <si>
    <t xml:space="preserve">Committee chair: emotional pressure on undecided members, evasive guards.</t>
  </si>
  <si>
    <t xml:space="preserve">Topic ID</t>
  </si>
  <si>
    <t xml:space="preserve">Topic (databook dimension)</t>
  </si>
  <si>
    <t xml:space="preserve">Topic (JP)</t>
  </si>
  <si>
    <t xml:space="preserve">Start value (0–100)</t>
  </si>
  <si>
    <t xml:space="preserve">Y01</t>
  </si>
  <si>
    <t xml:space="preserve">Taxation</t>
  </si>
  <si>
    <t xml:space="preserve">税制</t>
  </si>
  <si>
    <t xml:space="preserve">Zeisei</t>
  </si>
  <si>
    <t xml:space="preserve">Placeholder. Value = public support for MORE of this topic. Seeding decision pending (README #3).</t>
  </si>
  <si>
    <t xml:space="preserve">Y02</t>
  </si>
  <si>
    <t xml:space="preserve">Federal Spending</t>
  </si>
  <si>
    <t xml:space="preserve">財政支出</t>
  </si>
  <si>
    <t xml:space="preserve">Zaisei Shishutsu</t>
  </si>
  <si>
    <t xml:space="preserve">Y03</t>
  </si>
  <si>
    <t xml:space="preserve">Environmentalism</t>
  </si>
  <si>
    <t xml:space="preserve">環境</t>
  </si>
  <si>
    <t xml:space="preserve">Kankyō</t>
  </si>
  <si>
    <t xml:space="preserve">Y04</t>
  </si>
  <si>
    <t xml:space="preserve">Ainu Enhancement</t>
  </si>
  <si>
    <t xml:space="preserve">アイヌ施策</t>
  </si>
  <si>
    <t xml:space="preserve">Ainu Shisaku</t>
  </si>
  <si>
    <t xml:space="preserve">Y05</t>
  </si>
  <si>
    <t xml:space="preserve">Immigration</t>
  </si>
  <si>
    <t xml:space="preserve">移民</t>
  </si>
  <si>
    <t xml:space="preserve">Imin</t>
  </si>
  <si>
    <t xml:space="preserve">Y06</t>
  </si>
  <si>
    <t xml:space="preserve">Militarism</t>
  </si>
  <si>
    <t xml:space="preserve">防衛</t>
  </si>
  <si>
    <t xml:space="preserve">Bōei</t>
  </si>
  <si>
    <t xml:space="preserve">Y07</t>
  </si>
  <si>
    <t xml:space="preserve">Regulation</t>
  </si>
  <si>
    <t xml:space="preserve">規制</t>
  </si>
  <si>
    <t xml:space="preserve">Kisei</t>
  </si>
  <si>
    <t xml:space="preserve">Y08</t>
  </si>
  <si>
    <t xml:space="preserve">Rural Focus</t>
  </si>
  <si>
    <t xml:space="preserve">農村振興</t>
  </si>
  <si>
    <t xml:space="preserve">Nōson Shinkō</t>
  </si>
  <si>
    <t xml:space="preserve">Bill ID</t>
  </si>
  <si>
    <t xml:space="preserve">Title [placeholder]</t>
  </si>
  <si>
    <t xml:space="preserve">Topic</t>
  </si>
  <si>
    <t xml:space="preserve">Direction (+1 more / −1 less)</t>
  </si>
  <si>
    <t xml:space="preserve">Yoron value</t>
  </si>
  <si>
    <t xml:space="preserve">Alignment</t>
  </si>
  <si>
    <t xml:space="preserve">Difficulty mod (opp start +)</t>
  </si>
  <si>
    <t xml:space="preserve">B01</t>
  </si>
  <si>
    <t xml:space="preserve">Example: Coastal Resilience Act</t>
  </si>
  <si>
    <t xml:space="preserve">Titles are illustrative only — replace with canon bills.</t>
  </si>
  <si>
    <t xml:space="preserve">B02</t>
  </si>
  <si>
    <t xml:space="preserve">Example: Consumption Tax Reduction</t>
  </si>
  <si>
    <t xml:space="preserve">B03</t>
  </si>
  <si>
    <t xml:space="preserve">Example: Ainu Language Education Act</t>
  </si>
  <si>
    <t xml:space="preserve">Module</t>
  </si>
  <si>
    <t xml:space="preserve">Seq</t>
  </si>
  <si>
    <t xml:space="preserve">Member</t>
  </si>
  <si>
    <t xml:space="preserve">Starting stance [proposed]</t>
  </si>
  <si>
    <t xml:space="preserve">MOD01</t>
  </si>
  <si>
    <t xml:space="preserve">Noah Kain</t>
  </si>
  <si>
    <t xml:space="preserve">Undecided</t>
  </si>
  <si>
    <t xml:space="preserve">Canon: Lore Databook, Environment committee (2018)</t>
  </si>
  <si>
    <t xml:space="preserve">Ran Sachiko</t>
  </si>
  <si>
    <t xml:space="preserve">Kotake Kasumu</t>
  </si>
  <si>
    <t xml:space="preserve">Isoroku Adams</t>
  </si>
  <si>
    <t xml:space="preserve">Against</t>
  </si>
  <si>
    <t xml:space="preserve">Stage</t>
  </si>
  <si>
    <t xml:space="preserve">Opp start support</t>
  </si>
  <si>
    <t xml:space="preserve">Difficulty</t>
  </si>
  <si>
    <t xml:space="preserve">Committee size</t>
  </si>
  <si>
    <t xml:space="preserve">Size in band?</t>
  </si>
  <si>
    <t xml:space="preserve">Pre-module office hours: sets Jiban/Kaban going in.</t>
  </si>
  <si>
    <t xml:space="preserve">Environment committee review of B01. Chair: Walter Peard (canon Environment member). Members listed in Committee tab.</t>
  </si>
  <si>
    <t xml:space="preserve">Caucus rival — replace with same-party opponent once protagonist's party is set (README #2).</t>
  </si>
  <si>
    <t xml:space="preserve">Floor vote: 51 of 101 seats.</t>
  </si>
  <si>
    <t xml:space="preserve">Module XP</t>
  </si>
  <si>
    <t xml:space="preserve">Variable</t>
  </si>
  <si>
    <t xml:space="preserve">JP</t>
  </si>
  <si>
    <t xml:space="preserve">Start</t>
  </si>
  <si>
    <t xml:space="preserve">Low threshold</t>
  </si>
  <si>
    <t xml:space="preserve">Low consequence</t>
  </si>
  <si>
    <t xml:space="preserve">High threshold</t>
  </si>
  <si>
    <t xml:space="preserve">High consequence</t>
  </si>
  <si>
    <t xml:space="preserve">Fed by</t>
  </si>
  <si>
    <t xml:space="preserve">Critical threshold</t>
  </si>
  <si>
    <t xml:space="preserve">Critical consequence</t>
  </si>
  <si>
    <t xml:space="preserve">Constituency support</t>
  </si>
  <si>
    <t xml:space="preserve">地盤</t>
  </si>
  <si>
    <t xml:space="preserve">Jiban</t>
  </si>
  <si>
    <t xml:space="preserve">Triggers Town Hall event (ST05); winning it restores Jiban.</t>
  </si>
  <si>
    <t xml:space="preserve">Election victory; party post eligibility (titles TBD)</t>
  </si>
  <si>
    <t xml:space="preserve">Office hours, Town Hall wins</t>
  </si>
  <si>
    <t xml:space="preserve">All funding frozen (Kaban income = 0) until Jiban rises above 0.</t>
  </si>
  <si>
    <t xml:space="preserve">Reputation</t>
  </si>
  <si>
    <t xml:space="preserve">看板</t>
  </si>
  <si>
    <t xml:space="preserve">Kanban</t>
  </si>
  <si>
    <t xml:space="preserve">Press stages start at −5 support</t>
  </si>
  <si>
    <t xml:space="preserve">Press stages start at +5 support</t>
  </si>
  <si>
    <t xml:space="preserve">Press Conference, TV Debate</t>
  </si>
  <si>
    <t xml:space="preserve">Funds</t>
  </si>
  <si>
    <t xml:space="preserve">鞄</t>
  </si>
  <si>
    <t xml:space="preserve">Kaban</t>
  </si>
  <si>
    <t xml:space="preserve">Cannot buy modifiers or hire staff</t>
  </si>
  <si>
    <t xml:space="preserve">Unlock premium modifiers</t>
  </si>
  <si>
    <t xml:space="preserve">Donor visits, M02</t>
  </si>
  <si>
    <t xml:space="preserve">Party support</t>
  </si>
  <si>
    <t xml:space="preserve">党内支持</t>
  </si>
  <si>
    <t xml:space="preserve">Tōnai Shiji</t>
  </si>
  <si>
    <t xml:space="preserve">Debuff M10 (Cold Shoulder) active</t>
  </si>
  <si>
    <t xml:space="preserve">Allied buff M09 (Party Backing) active</t>
  </si>
  <si>
    <t xml:space="preserve">Caucus results (Stages col AB), party-line votes</t>
  </si>
  <si>
    <t xml:space="preserve">Party Steering Committee stage (ST08) triggered</t>
  </si>
  <si>
    <t xml:space="preserve">Types</t>
  </si>
  <si>
    <t xml:space="preserve">Tiers</t>
  </si>
  <si>
    <t xml:space="preserve">Modes</t>
  </si>
  <si>
    <t xml:space="preserve">ModCategory</t>
  </si>
  <si>
    <t xml:space="preserve">Stance</t>
  </si>
  <si>
    <t xml:space="preserve">AssetSource</t>
  </si>
  <si>
    <t xml:space="preserve">Not started</t>
  </si>
  <si>
    <t xml:space="preserve">For</t>
  </si>
  <si>
    <t xml:space="preserve">ComiPo!</t>
  </si>
  <si>
    <t xml:space="preserve">Rendered</t>
  </si>
  <si>
    <t xml:space="preserve">Midjourney</t>
  </si>
  <si>
    <t xml:space="preserve">Edited</t>
  </si>
  <si>
    <t xml:space="preserve">ComiPo! + Midjourney</t>
  </si>
  <si>
    <t xml:space="preserve">In engine</t>
  </si>
  <si>
    <t xml:space="preserve">Manual</t>
  </si>
  <si>
    <t xml:space="preserve">Engine/UI</t>
  </si>
  <si>
    <t xml:space="preserve">Library</t>
  </si>
  <si>
    <t xml:space="preserve">Writing</t>
  </si>
  <si>
    <t xml:space="preserve">Export</t>
  </si>
  <si>
    <t xml:space="preserve">Asset ID</t>
  </si>
  <si>
    <t xml:space="preserve">Asset</t>
  </si>
  <si>
    <t xml:space="preserve">Detail</t>
  </si>
  <si>
    <t xml:space="preserve">Linked ID</t>
  </si>
  <si>
    <t xml:space="preserve">Full count</t>
  </si>
  <si>
    <t xml:space="preserve">Module 01 count</t>
  </si>
  <si>
    <t xml:space="preserve">Notes</t>
  </si>
  <si>
    <t xml:space="preserve">Module 01</t>
  </si>
  <si>
    <t xml:space="preserve">% done</t>
  </si>
  <si>
    <t xml:space="preserve">CH01</t>
  </si>
  <si>
    <t xml:space="preserve">Characters</t>
  </si>
  <si>
    <t xml:space="preserve">Protagonist</t>
  </si>
  <si>
    <t xml:space="preserve">Bust portrait: neutral, confident, attacking, flustered, victory, defeat</t>
  </si>
  <si>
    <t xml:space="preserve">Build all from one base pose</t>
  </si>
  <si>
    <t xml:space="preserve">CH02</t>
  </si>
  <si>
    <t xml:space="preserve">5 expressions: neutral, attacking, confident, flustered, defeated</t>
  </si>
  <si>
    <t xml:space="preserve">CH03</t>
  </si>
  <si>
    <t xml:space="preserve">Backgrounds</t>
  </si>
  <si>
    <t xml:space="preserve">CH04</t>
  </si>
  <si>
    <t xml:space="preserve">Icons</t>
  </si>
  <si>
    <t xml:space="preserve">CH05</t>
  </si>
  <si>
    <t xml:space="preserve">Screens</t>
  </si>
  <si>
    <t xml:space="preserve">CH06</t>
  </si>
  <si>
    <t xml:space="preserve">Branding</t>
  </si>
  <si>
    <t xml:space="preserve">CH07</t>
  </si>
  <si>
    <t xml:space="preserve">Audio</t>
  </si>
  <si>
    <t xml:space="preserve">CH08</t>
  </si>
  <si>
    <t xml:space="preserve">Text</t>
  </si>
  <si>
    <t xml:space="preserve">CH09</t>
  </si>
  <si>
    <t xml:space="preserve">Data</t>
  </si>
  <si>
    <t xml:space="preserve">CH10</t>
  </si>
  <si>
    <t xml:space="preserve">Visual total</t>
  </si>
  <si>
    <t xml:space="preserve">CH11</t>
  </si>
  <si>
    <t xml:space="preserve">Committee tile portrait (For/Against overlays applied in engine)</t>
  </si>
  <si>
    <t xml:space="preserve">Grand total</t>
  </si>
  <si>
    <t xml:space="preserve">CH12</t>
  </si>
  <si>
    <t xml:space="preserve">CH13</t>
  </si>
  <si>
    <t xml:space="preserve">CH14</t>
  </si>
  <si>
    <t xml:space="preserve">CH15</t>
  </si>
  <si>
    <t xml:space="preserve">Committee member pool</t>
  </si>
  <si>
    <t xml:space="preserve">Additional canon members for later committees</t>
  </si>
  <si>
    <t xml:space="preserve">CH16</t>
  </si>
  <si>
    <t xml:space="preserve">Reporters</t>
  </si>
  <si>
    <t xml:space="preserve">Press-stage question askers</t>
  </si>
  <si>
    <t xml:space="preserve">CH17</t>
  </si>
  <si>
    <t xml:space="preserve">Office-hours visitors</t>
  </si>
  <si>
    <t xml:space="preserve">Constituent, donor, lobbyist, journalist, mayor, fisher</t>
  </si>
  <si>
    <t xml:space="preserve">CH18</t>
  </si>
  <si>
    <t xml:space="preserve">Staff (deferred)</t>
  </si>
  <si>
    <t xml:space="preserve">Secretary types</t>
  </si>
  <si>
    <t xml:space="preserve">Low priority</t>
  </si>
  <si>
    <t xml:space="preserve">CA01</t>
  </si>
  <si>
    <t xml:space="preserve">Card illustration</t>
  </si>
  <si>
    <t xml:space="preserve">CA02</t>
  </si>
  <si>
    <t xml:space="preserve">CA03</t>
  </si>
  <si>
    <t xml:space="preserve">CA04</t>
  </si>
  <si>
    <t xml:space="preserve">CA05</t>
  </si>
  <si>
    <t xml:space="preserve">CA06</t>
  </si>
  <si>
    <t xml:space="preserve">CA07</t>
  </si>
  <si>
    <t xml:space="preserve">CA08</t>
  </si>
  <si>
    <t xml:space="preserve">CA09</t>
  </si>
  <si>
    <t xml:space="preserve">CA10</t>
  </si>
  <si>
    <t xml:space="preserve">CA11</t>
  </si>
  <si>
    <t xml:space="preserve">CA12</t>
  </si>
  <si>
    <t xml:space="preserve">CA13</t>
  </si>
  <si>
    <t xml:space="preserve">CA14</t>
  </si>
  <si>
    <t xml:space="preserve">CA15</t>
  </si>
  <si>
    <t xml:space="preserve">CA16</t>
  </si>
  <si>
    <t xml:space="preserve">CA17</t>
  </si>
  <si>
    <t xml:space="preserve">CA18</t>
  </si>
  <si>
    <t xml:space="preserve">CA19</t>
  </si>
  <si>
    <t xml:space="preserve">CA20</t>
  </si>
  <si>
    <t xml:space="preserve">CA21</t>
  </si>
  <si>
    <t xml:space="preserve">CA22</t>
  </si>
  <si>
    <t xml:space="preserve">CA23</t>
  </si>
  <si>
    <t xml:space="preserve">CA24</t>
  </si>
  <si>
    <t xml:space="preserve">CA25</t>
  </si>
  <si>
    <t xml:space="preserve">Card frames</t>
  </si>
  <si>
    <t xml:space="preserve">One per suit</t>
  </si>
  <si>
    <t xml:space="preserve">CA26</t>
  </si>
  <si>
    <t xml:space="preserve">Upgraded-card overlay</t>
  </si>
  <si>
    <t xml:space="preserve">Border/badge for upgraded cards</t>
  </si>
  <si>
    <t xml:space="preserve">CA27</t>
  </si>
  <si>
    <t xml:space="preserve">Card back</t>
  </si>
  <si>
    <t xml:space="preserve">Deck and discard</t>
  </si>
  <si>
    <t xml:space="preserve">CA28</t>
  </si>
  <si>
    <t xml:space="preserve">Cost badge + tier marker</t>
  </si>
  <si>
    <t xml:space="preserve">Shared templates</t>
  </si>
  <si>
    <t xml:space="preserve">CA29</t>
  </si>
  <si>
    <t xml:space="preserve">Tap-to-zoom layout</t>
  </si>
  <si>
    <t xml:space="preserve">Full text, suit, art</t>
  </si>
  <si>
    <t xml:space="preserve">BG01</t>
  </si>
  <si>
    <t xml:space="preserve">Portrait 9:19.5 stage background</t>
  </si>
  <si>
    <t xml:space="preserve">Manual cleanup for UI safe zones</t>
  </si>
  <si>
    <t xml:space="preserve">BG02</t>
  </si>
  <si>
    <t xml:space="preserve">BG03</t>
  </si>
  <si>
    <t xml:space="preserve">BG04</t>
  </si>
  <si>
    <t xml:space="preserve">BG05</t>
  </si>
  <si>
    <t xml:space="preserve">BG06</t>
  </si>
  <si>
    <t xml:space="preserve">BG07</t>
  </si>
  <si>
    <t xml:space="preserve">BG08</t>
  </si>
  <si>
    <t xml:space="preserve">IC01</t>
  </si>
  <si>
    <t xml:space="preserve">Suit icons</t>
  </si>
  <si>
    <t xml:space="preserve">Six rhetorical suits</t>
  </si>
  <si>
    <t xml:space="preserve">IC02</t>
  </si>
  <si>
    <t xml:space="preserve">Intent icons</t>
  </si>
  <si>
    <t xml:space="preserve">Attack, gain, block, pressure, question, special</t>
  </si>
  <si>
    <t xml:space="preserve">IC03</t>
  </si>
  <si>
    <t xml:space="preserve">Segment icons</t>
  </si>
  <si>
    <t xml:space="preserve">Press, loyalists, constituents, donors, bureaucrats</t>
  </si>
  <si>
    <t xml:space="preserve">IC04</t>
  </si>
  <si>
    <t xml:space="preserve">Meta stat icons</t>
  </si>
  <si>
    <t xml:space="preserve">Jiban, Kanban, Kaban, Party support</t>
  </si>
  <si>
    <t xml:space="preserve">IC05</t>
  </si>
  <si>
    <t xml:space="preserve">Opinion topic icons</t>
  </si>
  <si>
    <t xml:space="preserve">One per Yoron topic</t>
  </si>
  <si>
    <t xml:space="preserve">IC06</t>
  </si>
  <si>
    <t xml:space="preserve">Status icons</t>
  </si>
  <si>
    <t xml:space="preserve">Buff, debuff, locked, block, gaffe, frozen funds</t>
  </si>
  <si>
    <t xml:space="preserve">IC07</t>
  </si>
  <si>
    <t xml:space="preserve">General UI icons</t>
  </si>
  <si>
    <t xml:space="preserve">Deck, discard, turn, energy, settings, back, details, XP</t>
  </si>
  <si>
    <t xml:space="preserve">IC08</t>
  </si>
  <si>
    <t xml:space="preserve">Booster emblem</t>
  </si>
  <si>
    <t xml:space="preserve">IC09</t>
  </si>
  <si>
    <t xml:space="preserve">IC10</t>
  </si>
  <si>
    <t xml:space="preserve">IC11</t>
  </si>
  <si>
    <t xml:space="preserve">IC12</t>
  </si>
  <si>
    <t xml:space="preserve">IC13</t>
  </si>
  <si>
    <t xml:space="preserve">IC14</t>
  </si>
  <si>
    <t xml:space="preserve">IC15</t>
  </si>
  <si>
    <t xml:space="preserve">IC16</t>
  </si>
  <si>
    <t xml:space="preserve">IC17</t>
  </si>
  <si>
    <t xml:space="preserve">SC01</t>
  </si>
  <si>
    <t xml:space="preserve">Battle HUD</t>
  </si>
  <si>
    <t xml:space="preserve">Bars, win line, turn, energy, gaffes, member tiles, End turn</t>
  </si>
  <si>
    <t xml:space="preserve">SC02</t>
  </si>
  <si>
    <t xml:space="preserve">Details panel</t>
  </si>
  <si>
    <t xml:space="preserve">Deck/discard, modifiers, opinion chip</t>
  </si>
  <si>
    <t xml:space="preserve">SC03</t>
  </si>
  <si>
    <t xml:space="preserve">Results screen</t>
  </si>
  <si>
    <t xml:space="preserve">Win/loss variants; XP and meta changes</t>
  </si>
  <si>
    <t xml:space="preserve">SC04</t>
  </si>
  <si>
    <t xml:space="preserve">Checkpoint shop</t>
  </si>
  <si>
    <t xml:space="preserve">Spend XP on unlocks and upgrades</t>
  </si>
  <si>
    <t xml:space="preserve">SC05</t>
  </si>
  <si>
    <t xml:space="preserve">Module map</t>
  </si>
  <si>
    <t xml:space="preserve">Stage ladder and progress</t>
  </si>
  <si>
    <t xml:space="preserve">SC06</t>
  </si>
  <si>
    <t xml:space="preserve">Office hours screen</t>
  </si>
  <si>
    <t xml:space="preserve">Visitor queue and time slots</t>
  </si>
  <si>
    <t xml:space="preserve">SC07</t>
  </si>
  <si>
    <t xml:space="preserve">Meta dashboard</t>
  </si>
  <si>
    <t xml:space="preserve">Jiban, Kanban, Kaban, Party support, boosters</t>
  </si>
  <si>
    <t xml:space="preserve">SC08</t>
  </si>
  <si>
    <t xml:space="preserve">Deck viewer</t>
  </si>
  <si>
    <t xml:space="preserve">Card list and filters</t>
  </si>
  <si>
    <t xml:space="preserve">SC09</t>
  </si>
  <si>
    <t xml:space="preserve">Main menu, settings, save</t>
  </si>
  <si>
    <t xml:space="preserve">Standard screens</t>
  </si>
  <si>
    <t xml:space="preserve">SC10</t>
  </si>
  <si>
    <t xml:space="preserve">Tutorial overlays</t>
  </si>
  <si>
    <t xml:space="preserve">Callouts</t>
  </si>
  <si>
    <t xml:space="preserve">BR01</t>
  </si>
  <si>
    <t xml:space="preserve">Game logo</t>
  </si>
  <si>
    <t xml:space="preserve">English title with Japanese accent</t>
  </si>
  <si>
    <t xml:space="preserve">BR02</t>
  </si>
  <si>
    <t xml:space="preserve">App icon</t>
  </si>
  <si>
    <t xml:space="preserve">Master; export all required sizes</t>
  </si>
  <si>
    <t xml:space="preserve">BR03</t>
  </si>
  <si>
    <t xml:space="preserve">Splash screen</t>
  </si>
  <si>
    <t xml:space="preserve">BR04</t>
  </si>
  <si>
    <t xml:space="preserve">Store screenshots</t>
  </si>
  <si>
    <t xml:space="preserve">Portrait</t>
  </si>
  <si>
    <t xml:space="preserve">BR05</t>
  </si>
  <si>
    <t xml:space="preserve">Play Store feature graphic</t>
  </si>
  <si>
    <t xml:space="preserve">BR06</t>
  </si>
  <si>
    <t xml:space="preserve">Trailer (optional)</t>
  </si>
  <si>
    <t xml:space="preserve">Optional</t>
  </si>
  <si>
    <t xml:space="preserve">AU01</t>
  </si>
  <si>
    <t xml:space="preserve">Music</t>
  </si>
  <si>
    <t xml:space="preserve">Menu, stage moods, victory, defeat</t>
  </si>
  <si>
    <t xml:space="preserve">Audio not yet designed</t>
  </si>
  <si>
    <t xml:space="preserve">AU02</t>
  </si>
  <si>
    <t xml:space="preserve">Sound effects</t>
  </si>
  <si>
    <t xml:space="preserve">Card play, draw, shuffle, bar move, gaffe, lock, turn end, win, lose, tap</t>
  </si>
  <si>
    <t xml:space="preserve">AU03</t>
  </si>
  <si>
    <t xml:space="preserve">Ambience</t>
  </si>
  <si>
    <t xml:space="preserve">Chamber murmur, camera shutters, crowd</t>
  </si>
  <si>
    <t xml:space="preserve">TX01</t>
  </si>
  <si>
    <t xml:space="preserve">Card text</t>
  </si>
  <si>
    <t xml:space="preserve">Base + upgraded, per card</t>
  </si>
  <si>
    <t xml:space="preserve">TX02</t>
  </si>
  <si>
    <t xml:space="preserve">Opponent barks</t>
  </si>
  <si>
    <t xml:space="preserve">5 lines per opponent</t>
  </si>
  <si>
    <t xml:space="preserve">TX03</t>
  </si>
  <si>
    <t xml:space="preserve">Press question pool</t>
  </si>
  <si>
    <t xml:space="preserve">TX04</t>
  </si>
  <si>
    <t xml:space="preserve">Office-hours visitor events</t>
  </si>
  <si>
    <t xml:space="preserve">TX05</t>
  </si>
  <si>
    <t xml:space="preserve">Bill descriptions</t>
  </si>
  <si>
    <t xml:space="preserve">One per bill</t>
  </si>
  <si>
    <t xml:space="preserve">TX06</t>
  </si>
  <si>
    <t xml:space="preserve">Stage intros + tutorial copy</t>
  </si>
  <si>
    <t xml:space="preserve">TX07</t>
  </si>
  <si>
    <t xml:space="preserve">Glossary (EN with JP accent)</t>
  </si>
  <si>
    <t xml:space="preserve">TX08</t>
  </si>
  <si>
    <t xml:space="preserve">JSON exports</t>
  </si>
  <si>
    <t xml:space="preserve">One per data tab</t>
  </si>
  <si>
    <t xml:space="preserve">Balance through Assets</t>
  </si>
  <si>
    <t xml:space="preserve">TX09</t>
  </si>
  <si>
    <t xml:space="preserve">Fonts</t>
  </si>
  <si>
    <t xml:space="preserve">Noto Sans JP + optional display font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</si>
</sst>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.00\x"/>
    <numFmt numFmtId="167" formatCode="0.0"/>
    <numFmt numFmtId="168" formatCode="0.00"/>
    <numFmt numFmtId="169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name val="Noto Sans CJK SC"/>
      <family val="2"/>
    </font>
    <font>
      <sz val="11"/>
      <name val="Noto Sans CJK SC"/>
      <family val="2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Noto Sans CJK SC"/>
      <family val="2"/>
    </font>
    <font>
      <sz val="10"/>
      <name val="Arial"/>
      <family val="2"/>
    </font>
    <font>
      <sz val="11"/>
      <color rgb="FF0000FF"/>
      <name val="Noto Sans CJK SC"/>
      <family val="2"/>
      <charset val="1"/>
    </font>
    <font>
      <sz val="11"/>
      <color rgb="FF0000FF"/>
      <name val="Noto Sans CJK SC"/>
      <family val="2"/>
    </font>
    <font>
      <b val="true"/>
      <sz val="11"/>
      <color rgb="FFFFFFFF"/>
      <name val="Noto Sans CJK SC"/>
      <family val="2"/>
      <charset val="1"/>
    </font>
    <font>
      <sz val="10"/>
      <name val="Noto Sans CJK SC"/>
      <family val="2"/>
    </font>
    <font>
      <i val="true"/>
      <sz val="11"/>
      <name val="Arial"/>
      <family val="0"/>
      <charset val="1"/>
    </font>
    <font>
      <b val="true"/>
      <sz val="11"/>
      <color rgb="FFFFFFFF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A1F2B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A1F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4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5"/>
  </cols>
  <sheetData>
    <row r="1" customFormat="false" ht="17.25" hidden="false" customHeight="true" outlineLevel="0" collapsed="false">
      <c r="A1" s="2" t="s">
        <v>0</v>
      </c>
      <c r="B1" s="3"/>
    </row>
    <row r="2" customFormat="false" ht="26.25" hidden="false" customHeight="true" outlineLevel="0" collapsed="false">
      <c r="A2" s="4" t="s">
        <v>1</v>
      </c>
      <c r="B2" s="3" t="s">
        <v>2</v>
      </c>
    </row>
    <row r="3" customFormat="false" ht="26.25" hidden="false" customHeight="true" outlineLevel="0" collapsed="false">
      <c r="A3" s="4" t="s">
        <v>3</v>
      </c>
      <c r="B3" s="3" t="s">
        <v>4</v>
      </c>
    </row>
    <row r="4" customFormat="false" ht="15" hidden="false" customHeight="true" outlineLevel="0" collapsed="false">
      <c r="A4" s="4"/>
      <c r="B4" s="3"/>
    </row>
    <row r="5" customFormat="false" ht="15" hidden="false" customHeight="true" outlineLevel="0" collapsed="false">
      <c r="A5" s="5" t="s">
        <v>5</v>
      </c>
      <c r="B5" s="3"/>
    </row>
    <row r="6" customFormat="false" ht="26.25" hidden="false" customHeight="true" outlineLevel="0" collapsed="false">
      <c r="A6" s="4" t="s">
        <v>6</v>
      </c>
      <c r="B6" s="3" t="s">
        <v>7</v>
      </c>
    </row>
    <row r="7" customFormat="false" ht="15" hidden="false" customHeight="true" outlineLevel="0" collapsed="false">
      <c r="A7" s="4" t="s">
        <v>8</v>
      </c>
      <c r="B7" s="3" t="s">
        <v>9</v>
      </c>
    </row>
    <row r="8" customFormat="false" ht="15" hidden="false" customHeight="true" outlineLevel="0" collapsed="false">
      <c r="A8" s="4" t="s">
        <v>10</v>
      </c>
      <c r="B8" s="3" t="s">
        <v>11</v>
      </c>
    </row>
    <row r="9" customFormat="false" ht="15" hidden="false" customHeight="true" outlineLevel="0" collapsed="false">
      <c r="A9" s="4" t="s">
        <v>12</v>
      </c>
      <c r="B9" s="3" t="s">
        <v>13</v>
      </c>
    </row>
    <row r="10" customFormat="false" ht="15" hidden="false" customHeight="true" outlineLevel="0" collapsed="false">
      <c r="A10" s="4" t="s">
        <v>14</v>
      </c>
      <c r="B10" s="3" t="s">
        <v>15</v>
      </c>
    </row>
    <row r="11" customFormat="false" ht="29.25" hidden="false" customHeight="true" outlineLevel="0" collapsed="false">
      <c r="A11" s="4" t="s">
        <v>16</v>
      </c>
      <c r="B11" s="3" t="s">
        <v>17</v>
      </c>
    </row>
    <row r="12" customFormat="false" ht="15" hidden="false" customHeight="true" outlineLevel="0" collapsed="false">
      <c r="A12" s="4" t="s">
        <v>18</v>
      </c>
      <c r="B12" s="3" t="s">
        <v>19</v>
      </c>
    </row>
    <row r="13" customFormat="false" ht="16.5" hidden="false" customHeight="true" outlineLevel="0" collapsed="false">
      <c r="A13" s="4" t="s">
        <v>20</v>
      </c>
      <c r="B13" s="6" t="s">
        <v>21</v>
      </c>
    </row>
    <row r="14" customFormat="false" ht="15" hidden="false" customHeight="true" outlineLevel="0" collapsed="false">
      <c r="A14" s="4" t="s">
        <v>22</v>
      </c>
      <c r="B14" s="3" t="s">
        <v>23</v>
      </c>
    </row>
    <row r="15" customFormat="false" ht="16.5" hidden="false" customHeight="true" outlineLevel="0" collapsed="false">
      <c r="A15" s="4" t="s">
        <v>24</v>
      </c>
      <c r="B15" s="6" t="s">
        <v>25</v>
      </c>
    </row>
    <row r="16" customFormat="false" ht="15" hidden="false" customHeight="true" outlineLevel="0" collapsed="false">
      <c r="A16" s="4" t="s">
        <v>26</v>
      </c>
      <c r="B16" s="3" t="s">
        <v>27</v>
      </c>
    </row>
    <row r="17" customFormat="false" ht="15" hidden="false" customHeight="true" outlineLevel="0" collapsed="false">
      <c r="A17" s="4" t="s">
        <v>28</v>
      </c>
      <c r="B17" s="3" t="s">
        <v>29</v>
      </c>
    </row>
    <row r="18" customFormat="false" ht="16.5" hidden="false" customHeight="true" outlineLevel="0" collapsed="false">
      <c r="A18" s="4" t="s">
        <v>30</v>
      </c>
      <c r="B18" s="6" t="s">
        <v>31</v>
      </c>
    </row>
    <row r="19" customFormat="false" ht="15" hidden="false" customHeight="true" outlineLevel="0" collapsed="false">
      <c r="A19" s="4" t="s">
        <v>32</v>
      </c>
      <c r="B19" s="3" t="s">
        <v>33</v>
      </c>
    </row>
    <row r="20" customFormat="false" ht="15" hidden="false" customHeight="true" outlineLevel="0" collapsed="false">
      <c r="A20" s="4"/>
      <c r="B20" s="3"/>
    </row>
    <row r="21" customFormat="false" ht="15" hidden="false" customHeight="true" outlineLevel="0" collapsed="false">
      <c r="A21" s="5" t="s">
        <v>34</v>
      </c>
      <c r="B21" s="3"/>
    </row>
    <row r="22" customFormat="false" ht="15" hidden="false" customHeight="true" outlineLevel="0" collapsed="false">
      <c r="A22" s="4" t="s">
        <v>35</v>
      </c>
      <c r="B22" s="7" t="s">
        <v>36</v>
      </c>
    </row>
    <row r="23" customFormat="false" ht="15" hidden="false" customHeight="true" outlineLevel="0" collapsed="false">
      <c r="A23" s="4" t="s">
        <v>37</v>
      </c>
      <c r="B23" s="3" t="s">
        <v>38</v>
      </c>
    </row>
    <row r="24" customFormat="false" ht="15" hidden="false" customHeight="true" outlineLevel="0" collapsed="false">
      <c r="A24" s="4" t="s">
        <v>39</v>
      </c>
      <c r="B24" s="8" t="s">
        <v>40</v>
      </c>
    </row>
    <row r="25" customFormat="false" ht="15" hidden="false" customHeight="true" outlineLevel="0" collapsed="false">
      <c r="A25" s="4" t="s">
        <v>41</v>
      </c>
      <c r="B25" s="9" t="s">
        <v>42</v>
      </c>
    </row>
    <row r="26" customFormat="false" ht="15" hidden="false" customHeight="true" outlineLevel="0" collapsed="false">
      <c r="A26" s="4"/>
      <c r="B26" s="3"/>
    </row>
    <row r="27" customFormat="false" ht="15" hidden="false" customHeight="true" outlineLevel="0" collapsed="false">
      <c r="A27" s="5" t="s">
        <v>43</v>
      </c>
      <c r="B27" s="3"/>
    </row>
    <row r="28" customFormat="false" ht="26.25" hidden="false" customHeight="true" outlineLevel="0" collapsed="false">
      <c r="A28" s="4" t="s">
        <v>44</v>
      </c>
      <c r="B28" s="3" t="s">
        <v>45</v>
      </c>
    </row>
    <row r="29" customFormat="false" ht="32.25" hidden="false" customHeight="true" outlineLevel="0" collapsed="false">
      <c r="A29" s="4" t="s">
        <v>46</v>
      </c>
      <c r="B29" s="3" t="s">
        <v>47</v>
      </c>
    </row>
    <row r="30" customFormat="false" ht="15" hidden="false" customHeight="true" outlineLevel="0" collapsed="false">
      <c r="A30" s="4" t="s">
        <v>48</v>
      </c>
      <c r="B30" s="3" t="s">
        <v>49</v>
      </c>
    </row>
    <row r="31" customFormat="false" ht="15" hidden="false" customHeight="true" outlineLevel="0" collapsed="false">
      <c r="A31" s="4"/>
      <c r="B31" s="3"/>
    </row>
    <row r="32" customFormat="false" ht="15" hidden="false" customHeight="true" outlineLevel="0" collapsed="false">
      <c r="A32" s="5" t="s">
        <v>50</v>
      </c>
      <c r="B32" s="3"/>
    </row>
    <row r="33" customFormat="false" ht="42" hidden="false" customHeight="true" outlineLevel="0" collapsed="false">
      <c r="A33" s="4" t="s">
        <v>51</v>
      </c>
      <c r="B33" s="3" t="s">
        <v>52</v>
      </c>
    </row>
    <row r="34" customFormat="false" ht="15" hidden="false" customHeight="true" outlineLevel="0" collapsed="false">
      <c r="A34" s="10" t="s">
        <v>53</v>
      </c>
      <c r="B34" s="3" t="s">
        <v>54</v>
      </c>
    </row>
    <row r="35" customFormat="false" ht="15" hidden="false" customHeight="true" outlineLevel="0" collapsed="false">
      <c r="A35" s="10" t="s">
        <v>55</v>
      </c>
      <c r="B35" s="3" t="s">
        <v>56</v>
      </c>
    </row>
    <row r="36" customFormat="false" ht="15" hidden="false" customHeight="true" outlineLevel="0" collapsed="false">
      <c r="A36" s="4" t="s">
        <v>57</v>
      </c>
      <c r="B36" s="3" t="s">
        <v>58</v>
      </c>
    </row>
    <row r="37" customFormat="false" ht="15" hidden="false" customHeight="true" outlineLevel="0" collapsed="false">
      <c r="A37" s="10" t="s">
        <v>59</v>
      </c>
      <c r="B37" s="3" t="s">
        <v>60</v>
      </c>
    </row>
    <row r="38" customFormat="false" ht="16.5" hidden="false" customHeight="true" outlineLevel="0" collapsed="false">
      <c r="A38" s="11" t="s">
        <v>61</v>
      </c>
      <c r="B38" s="12" t="s">
        <v>62</v>
      </c>
    </row>
    <row r="39" customFormat="false" ht="26.25" hidden="false" customHeight="true" outlineLevel="0" collapsed="false">
      <c r="A39" s="13" t="s">
        <v>63</v>
      </c>
      <c r="B39" s="12" t="s">
        <v>64</v>
      </c>
    </row>
    <row r="41" customFormat="false" ht="15" hidden="false" customHeight="false" outlineLevel="0" collapsed="false">
      <c r="A41" s="14" t="s">
        <v>65</v>
      </c>
      <c r="B41" s="3"/>
    </row>
    <row r="42" customFormat="false" ht="26.85" hidden="false" customHeight="false" outlineLevel="0" collapsed="false">
      <c r="A42" s="15" t="s">
        <v>66</v>
      </c>
      <c r="B42" s="3" t="s">
        <v>67</v>
      </c>
    </row>
    <row r="43" customFormat="false" ht="15" hidden="false" customHeight="false" outlineLevel="0" collapsed="false">
      <c r="A43" s="15" t="s">
        <v>68</v>
      </c>
      <c r="B43" s="3" t="s">
        <v>69</v>
      </c>
    </row>
    <row r="44" customFormat="false" ht="26.85" hidden="false" customHeight="false" outlineLevel="0" collapsed="false">
      <c r="A44" s="15" t="s">
        <v>70</v>
      </c>
      <c r="B44" s="3" t="s">
        <v>71</v>
      </c>
    </row>
    <row r="46" customFormat="false" ht="15" hidden="false" customHeight="false" outlineLevel="0" collapsed="false">
      <c r="A46" s="14" t="s">
        <v>72</v>
      </c>
      <c r="B46" s="3"/>
    </row>
    <row r="47" customFormat="false" ht="15" hidden="false" customHeight="false" outlineLevel="0" collapsed="false">
      <c r="A47" s="16" t="s">
        <v>73</v>
      </c>
      <c r="B47" s="3" t="s">
        <v>74</v>
      </c>
    </row>
    <row r="48" customFormat="false" ht="15" hidden="false" customHeight="false" outlineLevel="0" collapsed="false">
      <c r="A48" s="16" t="s">
        <v>75</v>
      </c>
      <c r="B48" s="3" t="s">
        <v>76</v>
      </c>
    </row>
    <row r="49" customFormat="false" ht="15" hidden="false" customHeight="false" outlineLevel="0" collapsed="false">
      <c r="A49" s="16" t="s">
        <v>77</v>
      </c>
      <c r="B49" s="3" t="s">
        <v>78</v>
      </c>
    </row>
    <row r="50" customFormat="false" ht="15" hidden="false" customHeight="false" outlineLevel="0" collapsed="false">
      <c r="A50" s="16" t="s">
        <v>79</v>
      </c>
      <c r="B50" s="3" t="s">
        <v>80</v>
      </c>
    </row>
    <row r="51" customFormat="false" ht="15" hidden="false" customHeight="false" outlineLevel="0" collapsed="false">
      <c r="A51" s="16" t="s">
        <v>81</v>
      </c>
      <c r="B51" s="3" t="s">
        <v>82</v>
      </c>
    </row>
    <row r="53" customFormat="false" ht="15" hidden="false" customHeight="false" outlineLevel="0" collapsed="false">
      <c r="A53" s="14" t="s">
        <v>83</v>
      </c>
      <c r="B53" s="3"/>
    </row>
    <row r="54" customFormat="false" ht="26.85" hidden="false" customHeight="false" outlineLevel="0" collapsed="false">
      <c r="A54" s="15" t="s">
        <v>84</v>
      </c>
      <c r="B54" s="3" t="s">
        <v>85</v>
      </c>
    </row>
    <row r="55" customFormat="false" ht="39.55" hidden="false" customHeight="false" outlineLevel="0" collapsed="false">
      <c r="A55" s="15" t="s">
        <v>86</v>
      </c>
      <c r="B55" s="3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70"/>
  </cols>
  <sheetData>
    <row r="1" customFormat="false" ht="31.5" hidden="false" customHeight="true" outlineLevel="0" collapsed="false">
      <c r="A1" s="17" t="s">
        <v>88</v>
      </c>
      <c r="B1" s="17" t="s">
        <v>89</v>
      </c>
      <c r="C1" s="17" t="s">
        <v>90</v>
      </c>
    </row>
    <row r="2" customFormat="false" ht="15" hidden="false" customHeight="true" outlineLevel="0" collapsed="false">
      <c r="A2" s="18" t="s">
        <v>91</v>
      </c>
      <c r="B2" s="19" t="n">
        <v>1</v>
      </c>
      <c r="C2" s="18" t="s">
        <v>92</v>
      </c>
    </row>
    <row r="3" customFormat="false" ht="15" hidden="false" customHeight="true" outlineLevel="0" collapsed="false">
      <c r="A3" s="18" t="s">
        <v>93</v>
      </c>
      <c r="B3" s="19" t="n">
        <v>1.2</v>
      </c>
      <c r="C3" s="18" t="s">
        <v>94</v>
      </c>
    </row>
    <row r="4" customFormat="false" ht="15" hidden="false" customHeight="true" outlineLevel="0" collapsed="false">
      <c r="A4" s="18" t="s">
        <v>95</v>
      </c>
      <c r="B4" s="19" t="n">
        <v>0.6</v>
      </c>
      <c r="C4" s="18" t="s">
        <v>96</v>
      </c>
    </row>
    <row r="5" customFormat="false" ht="15" hidden="false" customHeight="true" outlineLevel="0" collapsed="false">
      <c r="A5" s="18" t="s">
        <v>97</v>
      </c>
      <c r="B5" s="19" t="n">
        <v>2</v>
      </c>
      <c r="C5" s="18" t="s">
        <v>98</v>
      </c>
    </row>
    <row r="6" customFormat="false" ht="29.25" hidden="false" customHeight="true" outlineLevel="0" collapsed="false">
      <c r="A6" s="18" t="s">
        <v>99</v>
      </c>
      <c r="B6" s="19" t="n">
        <v>1.5</v>
      </c>
      <c r="C6" s="18" t="s">
        <v>100</v>
      </c>
    </row>
    <row r="8" customFormat="false" ht="15" hidden="false" customHeight="true" outlineLevel="0" collapsed="false">
      <c r="A8" s="18" t="s">
        <v>101</v>
      </c>
      <c r="B8" s="19" t="n">
        <v>12</v>
      </c>
      <c r="C8" s="18" t="s">
        <v>102</v>
      </c>
    </row>
    <row r="9" customFormat="false" ht="15" hidden="false" customHeight="true" outlineLevel="0" collapsed="false">
      <c r="A9" s="18" t="s">
        <v>103</v>
      </c>
      <c r="B9" s="20" t="n">
        <v>0.5</v>
      </c>
      <c r="C9" s="18" t="s">
        <v>104</v>
      </c>
    </row>
    <row r="10" customFormat="false" ht="15" hidden="false" customHeight="true" outlineLevel="0" collapsed="false">
      <c r="A10" s="18" t="s">
        <v>105</v>
      </c>
      <c r="B10" s="20" t="n">
        <v>0.3</v>
      </c>
      <c r="C10" s="18" t="s">
        <v>106</v>
      </c>
    </row>
    <row r="11" customFormat="false" ht="15" hidden="false" customHeight="true" outlineLevel="0" collapsed="false">
      <c r="A11" s="21" t="s">
        <v>107</v>
      </c>
    </row>
    <row r="12" customFormat="false" ht="15" hidden="false" customHeight="true" outlineLevel="0" collapsed="false">
      <c r="A12" s="18" t="s">
        <v>108</v>
      </c>
      <c r="B12" s="19" t="n">
        <v>0</v>
      </c>
      <c r="C12" s="18" t="s">
        <v>109</v>
      </c>
    </row>
    <row r="13" customFormat="false" ht="15" hidden="false" customHeight="true" outlineLevel="0" collapsed="false">
      <c r="A13" s="18" t="s">
        <v>110</v>
      </c>
      <c r="B13" s="19" t="n">
        <v>60</v>
      </c>
      <c r="C13" s="18" t="s">
        <v>111</v>
      </c>
    </row>
    <row r="14" customFormat="false" ht="15" hidden="false" customHeight="true" outlineLevel="0" collapsed="false">
      <c r="A14" s="18" t="s">
        <v>112</v>
      </c>
      <c r="B14" s="19" t="n">
        <v>120</v>
      </c>
      <c r="C14" s="18" t="s">
        <v>111</v>
      </c>
    </row>
    <row r="16" customFormat="false" ht="15" hidden="false" customHeight="true" outlineLevel="0" collapsed="false">
      <c r="A16" s="18" t="s">
        <v>113</v>
      </c>
      <c r="B16" s="19" t="n">
        <v>0.2</v>
      </c>
      <c r="C16" s="18" t="s">
        <v>114</v>
      </c>
    </row>
    <row r="17" customFormat="false" ht="15" hidden="false" customHeight="true" outlineLevel="0" collapsed="false">
      <c r="A17" s="18" t="s">
        <v>115</v>
      </c>
      <c r="B17" s="19" t="n">
        <v>50</v>
      </c>
      <c r="C17" s="18" t="s">
        <v>116</v>
      </c>
    </row>
    <row r="19" customFormat="false" ht="26.25" hidden="false" customHeight="true" outlineLevel="0" collapsed="false">
      <c r="A19" s="21" t="s">
        <v>117</v>
      </c>
      <c r="B19" s="21" t="s">
        <v>118</v>
      </c>
      <c r="C19" s="21" t="s">
        <v>119</v>
      </c>
    </row>
    <row r="20" customFormat="false" ht="15" hidden="false" customHeight="true" outlineLevel="0" collapsed="false">
      <c r="A20" s="18" t="s">
        <v>120</v>
      </c>
      <c r="B20" s="19" t="n">
        <v>3</v>
      </c>
      <c r="C20" s="19" t="n">
        <v>5</v>
      </c>
    </row>
    <row r="21" customFormat="false" ht="15" hidden="false" customHeight="true" outlineLevel="0" collapsed="false">
      <c r="A21" s="22" t="s">
        <v>121</v>
      </c>
      <c r="B21" s="19" t="n">
        <v>6</v>
      </c>
      <c r="C21" s="19" t="n">
        <v>7</v>
      </c>
    </row>
    <row r="22" customFormat="false" ht="15" hidden="false" customHeight="true" outlineLevel="0" collapsed="false">
      <c r="A22" s="18" t="s">
        <v>122</v>
      </c>
      <c r="B22" s="19" t="n">
        <v>8</v>
      </c>
      <c r="C22" s="19" t="n">
        <v>10</v>
      </c>
    </row>
    <row r="23" customFormat="false" ht="26.25" hidden="false" customHeight="true" outlineLevel="0" collapsed="false">
      <c r="A23" s="18" t="s">
        <v>123</v>
      </c>
      <c r="B23" s="20" t="n">
        <v>0.4</v>
      </c>
      <c r="C23" s="18" t="s">
        <v>124</v>
      </c>
    </row>
    <row r="25" customFormat="false" ht="15" hidden="false" customHeight="true" outlineLevel="0" collapsed="false">
      <c r="A25" s="18" t="s">
        <v>125</v>
      </c>
      <c r="B25" s="19" t="n">
        <v>15</v>
      </c>
      <c r="C25" s="18" t="s">
        <v>126</v>
      </c>
    </row>
    <row r="26" customFormat="false" ht="15" hidden="false" customHeight="true" outlineLevel="0" collapsed="false">
      <c r="A26" s="18" t="s">
        <v>127</v>
      </c>
      <c r="B26" s="19" t="n">
        <v>0</v>
      </c>
      <c r="C26" s="18" t="s">
        <v>128</v>
      </c>
    </row>
    <row r="27" customFormat="false" ht="15" hidden="false" customHeight="true" outlineLevel="0" collapsed="false">
      <c r="A27" s="18" t="s">
        <v>129</v>
      </c>
      <c r="B27" s="19" t="n">
        <v>75</v>
      </c>
      <c r="C27" s="18" t="s">
        <v>130</v>
      </c>
    </row>
    <row r="28" customFormat="false" ht="15" hidden="false" customHeight="true" outlineLevel="0" collapsed="false">
      <c r="A28" s="18" t="s">
        <v>131</v>
      </c>
      <c r="B28" s="19" t="n">
        <v>50</v>
      </c>
      <c r="C28" s="18" t="s">
        <v>132</v>
      </c>
    </row>
    <row r="29" customFormat="false" ht="26.25" hidden="false" customHeight="true" outlineLevel="0" collapsed="false">
      <c r="A29" s="18" t="s">
        <v>133</v>
      </c>
      <c r="B29" s="19" t="n">
        <v>25</v>
      </c>
      <c r="C29" s="18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2"/>
    <col collapsed="false" customWidth="true" hidden="false" outlineLevel="0" max="4" min="4" style="1" width="22"/>
    <col collapsed="false" customWidth="true" hidden="false" outlineLevel="0" max="5" min="5" style="1" width="55"/>
    <col collapsed="false" customWidth="true" hidden="false" outlineLevel="0" max="6" min="6" style="1" width="12"/>
  </cols>
  <sheetData>
    <row r="1" customFormat="false" ht="31.5" hidden="false" customHeight="true" outlineLevel="0" collapsed="false">
      <c r="A1" s="17" t="s">
        <v>135</v>
      </c>
      <c r="B1" s="17" t="s">
        <v>136</v>
      </c>
      <c r="C1" s="17" t="s">
        <v>137</v>
      </c>
      <c r="D1" s="17" t="s">
        <v>138</v>
      </c>
      <c r="E1" s="17" t="s">
        <v>139</v>
      </c>
      <c r="F1" s="17" t="s">
        <v>140</v>
      </c>
    </row>
    <row r="2" customFormat="false" ht="16.5" hidden="false" customHeight="true" outlineLevel="0" collapsed="false">
      <c r="A2" s="19" t="s">
        <v>141</v>
      </c>
      <c r="B2" s="23" t="s">
        <v>142</v>
      </c>
      <c r="C2" s="19" t="s">
        <v>143</v>
      </c>
      <c r="D2" s="19" t="s">
        <v>144</v>
      </c>
      <c r="E2" s="19" t="s">
        <v>145</v>
      </c>
      <c r="F2" s="18" t="n">
        <f aca="false">COUNTIF(Cards!$E$2:$E$200,A2)</f>
        <v>4</v>
      </c>
    </row>
    <row r="3" customFormat="false" ht="16.5" hidden="false" customHeight="true" outlineLevel="0" collapsed="false">
      <c r="A3" s="19" t="s">
        <v>146</v>
      </c>
      <c r="B3" s="23" t="s">
        <v>147</v>
      </c>
      <c r="C3" s="19" t="s">
        <v>148</v>
      </c>
      <c r="D3" s="19" t="s">
        <v>149</v>
      </c>
      <c r="E3" s="19" t="s">
        <v>150</v>
      </c>
      <c r="F3" s="18" t="n">
        <f aca="false">COUNTIF(Cards!$E$2:$E$200,A3)</f>
        <v>4</v>
      </c>
    </row>
    <row r="4" customFormat="false" ht="16.5" hidden="false" customHeight="true" outlineLevel="0" collapsed="false">
      <c r="A4" s="19" t="s">
        <v>151</v>
      </c>
      <c r="B4" s="23" t="s">
        <v>152</v>
      </c>
      <c r="C4" s="19" t="s">
        <v>153</v>
      </c>
      <c r="D4" s="19" t="s">
        <v>154</v>
      </c>
      <c r="E4" s="19" t="s">
        <v>155</v>
      </c>
      <c r="F4" s="18" t="n">
        <f aca="false">COUNTIF(Cards!$E$2:$E$200,A4)</f>
        <v>4</v>
      </c>
    </row>
    <row r="5" customFormat="false" ht="16.5" hidden="false" customHeight="true" outlineLevel="0" collapsed="false">
      <c r="A5" s="19" t="s">
        <v>156</v>
      </c>
      <c r="B5" s="23" t="s">
        <v>157</v>
      </c>
      <c r="C5" s="19" t="s">
        <v>158</v>
      </c>
      <c r="D5" s="19" t="s">
        <v>159</v>
      </c>
      <c r="E5" s="19" t="s">
        <v>160</v>
      </c>
      <c r="F5" s="18" t="n">
        <f aca="false">COUNTIF(Cards!$E$2:$E$200,A5)</f>
        <v>4</v>
      </c>
    </row>
    <row r="6" customFormat="false" ht="16.5" hidden="false" customHeight="true" outlineLevel="0" collapsed="false">
      <c r="A6" s="19" t="s">
        <v>161</v>
      </c>
      <c r="B6" s="23" t="s">
        <v>162</v>
      </c>
      <c r="C6" s="19" t="s">
        <v>163</v>
      </c>
      <c r="D6" s="19" t="s">
        <v>164</v>
      </c>
      <c r="E6" s="19" t="s">
        <v>165</v>
      </c>
      <c r="F6" s="18" t="n">
        <f aca="false">COUNTIF(Cards!$E$2:$E$200,A6)</f>
        <v>4</v>
      </c>
    </row>
    <row r="7" customFormat="false" ht="16.5" hidden="false" customHeight="true" outlineLevel="0" collapsed="false">
      <c r="A7" s="19" t="s">
        <v>166</v>
      </c>
      <c r="B7" s="23" t="s">
        <v>167</v>
      </c>
      <c r="C7" s="19" t="s">
        <v>168</v>
      </c>
      <c r="D7" s="19" t="s">
        <v>169</v>
      </c>
      <c r="E7" s="19" t="s">
        <v>170</v>
      </c>
      <c r="F7" s="18" t="n">
        <f aca="false">COUNTIF(Cards!$E$2:$E$200,A7)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6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7" min="7" style="1" width="8"/>
    <col collapsed="false" customWidth="true" hidden="false" outlineLevel="0" max="8" min="8" style="1" width="9"/>
    <col collapsed="false" customWidth="true" hidden="false" outlineLevel="0" max="9" min="9" style="1" width="8"/>
    <col collapsed="false" customWidth="true" hidden="false" outlineLevel="0" max="10" min="10" style="1" width="7"/>
    <col collapsed="false" customWidth="true" hidden="false" outlineLevel="0" max="11" min="11" style="1" width="10"/>
    <col collapsed="false" customWidth="true" hidden="false" outlineLevel="0" max="12" min="12" style="1" width="7"/>
    <col collapsed="false" customWidth="true" hidden="false" outlineLevel="0" max="17" min="13" style="1" width="8"/>
    <col collapsed="false" customWidth="true" hidden="false" outlineLevel="0" max="18" min="18" style="1" width="9"/>
    <col collapsed="false" customWidth="true" hidden="false" outlineLevel="0" max="19" min="19" style="1" width="8"/>
    <col collapsed="false" customWidth="true" hidden="false" outlineLevel="0" max="21" min="20" style="1" width="9"/>
    <col collapsed="false" customWidth="true" hidden="false" outlineLevel="0" max="22" min="22" style="1" width="13"/>
    <col collapsed="false" customWidth="true" hidden="false" outlineLevel="0" max="26" min="23" style="1" width="8"/>
    <col collapsed="false" customWidth="true" hidden="false" outlineLevel="0" max="27" min="27" style="1" width="50"/>
    <col collapsed="false" customWidth="true" hidden="false" outlineLevel="0" max="28" min="28" style="1" width="10"/>
  </cols>
  <sheetData>
    <row r="1" customFormat="false" ht="31.5" hidden="false" customHeight="true" outlineLevel="0" collapsed="false">
      <c r="A1" s="17" t="s">
        <v>171</v>
      </c>
      <c r="B1" s="17" t="s">
        <v>172</v>
      </c>
      <c r="C1" s="17" t="s">
        <v>173</v>
      </c>
      <c r="D1" s="17" t="s">
        <v>137</v>
      </c>
      <c r="E1" s="17" t="s">
        <v>174</v>
      </c>
      <c r="F1" s="17" t="s">
        <v>175</v>
      </c>
      <c r="G1" s="17" t="s">
        <v>176</v>
      </c>
      <c r="H1" s="17" t="s">
        <v>177</v>
      </c>
      <c r="I1" s="17" t="s">
        <v>178</v>
      </c>
      <c r="J1" s="17" t="s">
        <v>179</v>
      </c>
      <c r="K1" s="24" t="s">
        <v>180</v>
      </c>
      <c r="L1" s="17" t="s">
        <v>181</v>
      </c>
      <c r="M1" s="24" t="s">
        <v>182</v>
      </c>
      <c r="N1" s="17" t="s">
        <v>183</v>
      </c>
      <c r="O1" s="17" t="s">
        <v>184</v>
      </c>
      <c r="P1" s="17" t="s">
        <v>185</v>
      </c>
      <c r="Q1" s="17" t="s">
        <v>186</v>
      </c>
      <c r="R1" s="17" t="s">
        <v>187</v>
      </c>
      <c r="S1" s="17" t="s">
        <v>188</v>
      </c>
      <c r="T1" s="17" t="s">
        <v>189</v>
      </c>
      <c r="U1" s="17" t="s">
        <v>190</v>
      </c>
      <c r="V1" s="17" t="s">
        <v>191</v>
      </c>
      <c r="W1" s="17" t="s">
        <v>192</v>
      </c>
      <c r="X1" s="17" t="s">
        <v>193</v>
      </c>
      <c r="Y1" s="17" t="s">
        <v>194</v>
      </c>
      <c r="Z1" s="17" t="s">
        <v>195</v>
      </c>
      <c r="AA1" s="17" t="s">
        <v>196</v>
      </c>
      <c r="AB1" s="17" t="s">
        <v>197</v>
      </c>
    </row>
    <row r="2" customFormat="false" ht="26.25" hidden="false" customHeight="true" outlineLevel="0" collapsed="false">
      <c r="A2" s="19" t="s">
        <v>198</v>
      </c>
      <c r="B2" s="19" t="s">
        <v>68</v>
      </c>
      <c r="C2" s="23" t="s">
        <v>199</v>
      </c>
      <c r="D2" s="19" t="s">
        <v>200</v>
      </c>
      <c r="E2" s="19" t="s">
        <v>201</v>
      </c>
      <c r="F2" s="19" t="s">
        <v>202</v>
      </c>
      <c r="G2" s="18" t="s">
        <v>203</v>
      </c>
      <c r="H2" s="18" t="s">
        <v>204</v>
      </c>
      <c r="I2" s="25" t="str">
        <f aca="false">IF(AND(ISNUMBER(G2),ISNUMBER(H2)),IF(G2=0,"",H2/G2),"varies")</f>
        <v>varies</v>
      </c>
      <c r="J2" s="19" t="n">
        <v>6</v>
      </c>
      <c r="K2" s="19" t="n">
        <v>3</v>
      </c>
      <c r="L2" s="19" t="n">
        <v>5</v>
      </c>
      <c r="M2" s="19" t="n">
        <v>5</v>
      </c>
      <c r="N2" s="18" t="s">
        <v>203</v>
      </c>
      <c r="O2" s="18" t="s">
        <v>203</v>
      </c>
      <c r="P2" s="20" t="n">
        <v>0.1</v>
      </c>
      <c r="Q2" s="20" t="n">
        <v>0.4</v>
      </c>
      <c r="R2" s="20" t="n">
        <v>0</v>
      </c>
      <c r="S2" s="20" t="n">
        <v>0</v>
      </c>
      <c r="T2" s="20" t="n">
        <v>0.5</v>
      </c>
      <c r="U2" s="25" t="n">
        <f aca="false">SUM(P2:T2)</f>
        <v>1</v>
      </c>
      <c r="V2" s="18" t="str">
        <f aca="false">IF(E2&lt;&gt;"Combat","—",IFERROR(INDEX(Affinity!$A$2:$A$7,MATCH(MAX(INDEX(Affinity!$B$2:$H$7,0,MATCH(A2,Affinity!$B$1:$H$1,0))),INDEX(Affinity!$B$2:$H$7,0,MATCH(A2,Affinity!$B$1:$H$1,0)),0)),"—"))</f>
        <v>Data Driven</v>
      </c>
      <c r="W2" s="19" t="n">
        <v>0</v>
      </c>
      <c r="X2" s="19" t="n">
        <v>1</v>
      </c>
      <c r="Y2" s="19" t="n">
        <v>0</v>
      </c>
      <c r="Z2" s="19" t="n">
        <v>20</v>
      </c>
      <c r="AA2" s="19" t="s">
        <v>205</v>
      </c>
      <c r="AB2" s="19" t="n">
        <v>0</v>
      </c>
    </row>
    <row r="3" customFormat="false" ht="16.5" hidden="false" customHeight="true" outlineLevel="0" collapsed="false">
      <c r="A3" s="19" t="s">
        <v>206</v>
      </c>
      <c r="B3" s="19" t="s">
        <v>207</v>
      </c>
      <c r="C3" s="23" t="s">
        <v>208</v>
      </c>
      <c r="D3" s="19" t="s">
        <v>209</v>
      </c>
      <c r="E3" s="19" t="s">
        <v>201</v>
      </c>
      <c r="F3" s="19" t="s">
        <v>210</v>
      </c>
      <c r="G3" s="19" t="n">
        <v>101</v>
      </c>
      <c r="H3" s="19" t="n">
        <v>51</v>
      </c>
      <c r="I3" s="25" t="n">
        <f aca="false">IF(AND(ISNUMBER(G3),ISNUMBER(H3)),IF(G3=0,"",H3/G3),"varies")</f>
        <v>0.504950495049505</v>
      </c>
      <c r="J3" s="19" t="n">
        <v>8</v>
      </c>
      <c r="K3" s="19" t="n">
        <v>3</v>
      </c>
      <c r="L3" s="19" t="n">
        <v>5</v>
      </c>
      <c r="M3" s="19" t="n">
        <v>6</v>
      </c>
      <c r="N3" s="19" t="n">
        <v>40</v>
      </c>
      <c r="O3" s="19" t="n">
        <v>40</v>
      </c>
      <c r="P3" s="20" t="n">
        <v>0.2</v>
      </c>
      <c r="Q3" s="20" t="n">
        <v>0.6</v>
      </c>
      <c r="R3" s="20" t="n">
        <v>0.1</v>
      </c>
      <c r="S3" s="20" t="n">
        <v>0</v>
      </c>
      <c r="T3" s="20" t="n">
        <v>0.1</v>
      </c>
      <c r="U3" s="25" t="n">
        <f aca="false">SUM(P3:T3)</f>
        <v>1</v>
      </c>
      <c r="V3" s="18" t="str">
        <f aca="false">IF(E3&lt;&gt;"Combat","—",IFERROR(INDEX(Affinity!$A$2:$A$7,MATCH(MAX(INDEX(Affinity!$B$2:$H$7,0,MATCH(A3,Affinity!$B$1:$H$1,0))),INDEX(Affinity!$B$2:$H$7,0,MATCH(A3,Affinity!$B$1:$H$1,0)),0)),"—"))</f>
        <v>Appeal</v>
      </c>
      <c r="W3" s="19" t="n">
        <v>1</v>
      </c>
      <c r="X3" s="19" t="n">
        <v>2</v>
      </c>
      <c r="Y3" s="19" t="n">
        <v>0</v>
      </c>
      <c r="Z3" s="19" t="n">
        <v>40</v>
      </c>
      <c r="AA3" s="19" t="s">
        <v>211</v>
      </c>
      <c r="AB3" s="19" t="n">
        <v>3</v>
      </c>
    </row>
    <row r="4" customFormat="false" ht="16.5" hidden="false" customHeight="true" outlineLevel="0" collapsed="false">
      <c r="A4" s="19" t="s">
        <v>212</v>
      </c>
      <c r="B4" s="19" t="s">
        <v>213</v>
      </c>
      <c r="C4" s="23" t="s">
        <v>214</v>
      </c>
      <c r="D4" s="19" t="s">
        <v>215</v>
      </c>
      <c r="E4" s="19" t="s">
        <v>201</v>
      </c>
      <c r="F4" s="19" t="s">
        <v>216</v>
      </c>
      <c r="G4" s="19" t="n">
        <v>100</v>
      </c>
      <c r="H4" s="19" t="n">
        <v>60</v>
      </c>
      <c r="I4" s="25" t="n">
        <f aca="false">IF(AND(ISNUMBER(G4),ISNUMBER(H4)),IF(G4=0,"",H4/G4),"varies")</f>
        <v>0.6</v>
      </c>
      <c r="J4" s="19" t="n">
        <v>6</v>
      </c>
      <c r="K4" s="19" t="n">
        <v>3</v>
      </c>
      <c r="L4" s="19" t="n">
        <v>5</v>
      </c>
      <c r="M4" s="19" t="n">
        <v>5</v>
      </c>
      <c r="N4" s="19" t="n">
        <v>40</v>
      </c>
      <c r="O4" s="19" t="n">
        <v>40</v>
      </c>
      <c r="P4" s="20" t="n">
        <v>0</v>
      </c>
      <c r="Q4" s="20" t="n">
        <v>0.9</v>
      </c>
      <c r="R4" s="20" t="n">
        <v>0</v>
      </c>
      <c r="S4" s="20" t="n">
        <v>0.1</v>
      </c>
      <c r="T4" s="20" t="n">
        <v>0</v>
      </c>
      <c r="U4" s="25" t="n">
        <f aca="false">SUM(P4:T4)</f>
        <v>1</v>
      </c>
      <c r="V4" s="18" t="str">
        <f aca="false">IF(E4&lt;&gt;"Combat","—",IFERROR(INDEX(Affinity!$A$2:$A$7,MATCH(MAX(INDEX(Affinity!$B$2:$H$7,0,MATCH(A4,Affinity!$B$1:$H$1,0))),INDEX(Affinity!$B$2:$H$7,0,MATCH(A4,Affinity!$B$1:$H$1,0)),0)),"—"))</f>
        <v>Appeal</v>
      </c>
      <c r="W4" s="19" t="n">
        <v>0</v>
      </c>
      <c r="X4" s="19" t="n">
        <v>0</v>
      </c>
      <c r="Y4" s="19" t="n">
        <v>0</v>
      </c>
      <c r="Z4" s="19" t="n">
        <v>25</v>
      </c>
      <c r="AA4" s="19" t="s">
        <v>217</v>
      </c>
      <c r="AB4" s="19" t="n">
        <v>10</v>
      </c>
    </row>
    <row r="5" customFormat="false" ht="26.25" hidden="false" customHeight="true" outlineLevel="0" collapsed="false">
      <c r="A5" s="19" t="s">
        <v>218</v>
      </c>
      <c r="B5" s="19" t="s">
        <v>219</v>
      </c>
      <c r="C5" s="23" t="s">
        <v>220</v>
      </c>
      <c r="D5" s="19" t="s">
        <v>221</v>
      </c>
      <c r="E5" s="19" t="s">
        <v>201</v>
      </c>
      <c r="F5" s="19" t="s">
        <v>222</v>
      </c>
      <c r="G5" s="19" t="n">
        <v>100</v>
      </c>
      <c r="H5" s="19" t="n">
        <v>55</v>
      </c>
      <c r="I5" s="25" t="n">
        <f aca="false">IF(AND(ISNUMBER(G5),ISNUMBER(H5)),IF(G5=0,"",H5/G5),"varies")</f>
        <v>0.55</v>
      </c>
      <c r="J5" s="19" t="n">
        <v>5</v>
      </c>
      <c r="K5" s="19" t="n">
        <v>3</v>
      </c>
      <c r="L5" s="19" t="n">
        <v>5</v>
      </c>
      <c r="M5" s="19" t="n">
        <v>4</v>
      </c>
      <c r="N5" s="19" t="n">
        <v>45</v>
      </c>
      <c r="O5" s="19" t="n">
        <v>45</v>
      </c>
      <c r="P5" s="20" t="n">
        <v>0.9</v>
      </c>
      <c r="Q5" s="20" t="n">
        <v>0</v>
      </c>
      <c r="R5" s="20" t="n">
        <v>0</v>
      </c>
      <c r="S5" s="20" t="n">
        <v>0</v>
      </c>
      <c r="T5" s="20" t="n">
        <v>0.1</v>
      </c>
      <c r="U5" s="25" t="n">
        <f aca="false">SUM(P5:T5)</f>
        <v>1</v>
      </c>
      <c r="V5" s="18" t="str">
        <f aca="false">IF(E5&lt;&gt;"Combat","—",IFERROR(INDEX(Affinity!$A$2:$A$7,MATCH(MAX(INDEX(Affinity!$B$2:$H$7,0,MATCH(A5,Affinity!$B$1:$H$1,0))),INDEX(Affinity!$B$2:$H$7,0,MATCH(A5,Affinity!$B$1:$H$1,0)),0)),"—"))</f>
        <v>Earnest</v>
      </c>
      <c r="W5" s="19" t="n">
        <v>0</v>
      </c>
      <c r="X5" s="19" t="n">
        <v>3</v>
      </c>
      <c r="Y5" s="19" t="n">
        <v>0</v>
      </c>
      <c r="Z5" s="19" t="n">
        <v>25</v>
      </c>
      <c r="AA5" s="19" t="s">
        <v>223</v>
      </c>
      <c r="AB5" s="19" t="n">
        <v>0</v>
      </c>
    </row>
    <row r="6" customFormat="false" ht="26.25" hidden="false" customHeight="true" outlineLevel="0" collapsed="false">
      <c r="A6" s="19" t="s">
        <v>224</v>
      </c>
      <c r="B6" s="19" t="s">
        <v>225</v>
      </c>
      <c r="C6" s="23" t="s">
        <v>226</v>
      </c>
      <c r="D6" s="19" t="s">
        <v>227</v>
      </c>
      <c r="E6" s="19" t="s">
        <v>201</v>
      </c>
      <c r="F6" s="19" t="s">
        <v>216</v>
      </c>
      <c r="G6" s="19" t="n">
        <v>100</v>
      </c>
      <c r="H6" s="19" t="n">
        <v>60</v>
      </c>
      <c r="I6" s="25" t="n">
        <f aca="false">IF(AND(ISNUMBER(G6),ISNUMBER(H6)),IF(G6=0,"",H6/G6),"varies")</f>
        <v>0.6</v>
      </c>
      <c r="J6" s="19" t="n">
        <v>6</v>
      </c>
      <c r="K6" s="19" t="n">
        <v>3</v>
      </c>
      <c r="L6" s="19" t="n">
        <v>5</v>
      </c>
      <c r="M6" s="19" t="n">
        <v>6</v>
      </c>
      <c r="N6" s="19" t="n">
        <v>40</v>
      </c>
      <c r="O6" s="19" t="n">
        <v>40</v>
      </c>
      <c r="P6" s="20" t="n">
        <v>0.1</v>
      </c>
      <c r="Q6" s="20" t="n">
        <v>0.1</v>
      </c>
      <c r="R6" s="20" t="n">
        <v>0.7</v>
      </c>
      <c r="S6" s="20" t="n">
        <v>0.1</v>
      </c>
      <c r="T6" s="20" t="n">
        <v>0</v>
      </c>
      <c r="U6" s="25" t="n">
        <f aca="false">SUM(P6:T6)</f>
        <v>1</v>
      </c>
      <c r="V6" s="18" t="str">
        <f aca="false">IF(E6&lt;&gt;"Combat","—",IFERROR(INDEX(Affinity!$A$2:$A$7,MATCH(MAX(INDEX(Affinity!$B$2:$H$7,0,MATCH(A6,Affinity!$B$1:$H$1,0))),INDEX(Affinity!$B$2:$H$7,0,MATCH(A6,Affinity!$B$1:$H$1,0)),0)),"—"))</f>
        <v>Emotional</v>
      </c>
      <c r="W6" s="19" t="n">
        <v>4</v>
      </c>
      <c r="X6" s="19" t="n">
        <v>1</v>
      </c>
      <c r="Y6" s="19" t="n">
        <v>0</v>
      </c>
      <c r="Z6" s="19" t="n">
        <v>20</v>
      </c>
      <c r="AA6" s="19" t="s">
        <v>228</v>
      </c>
      <c r="AB6" s="19" t="n">
        <v>0</v>
      </c>
    </row>
    <row r="7" customFormat="false" ht="26.25" hidden="false" customHeight="true" outlineLevel="0" collapsed="false">
      <c r="A7" s="19" t="s">
        <v>229</v>
      </c>
      <c r="B7" s="19" t="s">
        <v>230</v>
      </c>
      <c r="C7" s="23" t="s">
        <v>231</v>
      </c>
      <c r="D7" s="19" t="s">
        <v>232</v>
      </c>
      <c r="E7" s="19" t="s">
        <v>201</v>
      </c>
      <c r="F7" s="19" t="s">
        <v>216</v>
      </c>
      <c r="G7" s="19" t="n">
        <v>100</v>
      </c>
      <c r="H7" s="19" t="n">
        <v>50</v>
      </c>
      <c r="I7" s="25" t="n">
        <f aca="false">IF(AND(ISNUMBER(G7),ISNUMBER(H7)),IF(G7=0,"",H7/G7),"varies")</f>
        <v>0.5</v>
      </c>
      <c r="J7" s="19" t="n">
        <v>6</v>
      </c>
      <c r="K7" s="19" t="n">
        <v>3</v>
      </c>
      <c r="L7" s="19" t="n">
        <v>5</v>
      </c>
      <c r="M7" s="19" t="n">
        <v>5</v>
      </c>
      <c r="N7" s="19" t="n">
        <v>50</v>
      </c>
      <c r="O7" s="19" t="n">
        <v>50</v>
      </c>
      <c r="P7" s="20" t="n">
        <v>0.5</v>
      </c>
      <c r="Q7" s="20" t="n">
        <v>0.2</v>
      </c>
      <c r="R7" s="20" t="n">
        <v>0.3</v>
      </c>
      <c r="S7" s="20" t="n">
        <v>0</v>
      </c>
      <c r="T7" s="20" t="n">
        <v>0</v>
      </c>
      <c r="U7" s="25" t="n">
        <f aca="false">SUM(P7:T7)</f>
        <v>1</v>
      </c>
      <c r="V7" s="18" t="str">
        <f aca="false">IF(E7&lt;&gt;"Combat","—",IFERROR(INDEX(Affinity!$A$2:$A$7,MATCH(MAX(INDEX(Affinity!$B$2:$H$7,0,MATCH(A7,Affinity!$B$1:$H$1,0))),INDEX(Affinity!$B$2:$H$7,0,MATCH(A7,Affinity!$B$1:$H$1,0)),0)),"—"))</f>
        <v>Data Driven</v>
      </c>
      <c r="W7" s="19" t="n">
        <v>0</v>
      </c>
      <c r="X7" s="19" t="n">
        <v>3</v>
      </c>
      <c r="Y7" s="19" t="n">
        <v>0</v>
      </c>
      <c r="Z7" s="19" t="n">
        <v>25</v>
      </c>
      <c r="AA7" s="19" t="s">
        <v>233</v>
      </c>
      <c r="AB7" s="19" t="n">
        <v>0</v>
      </c>
    </row>
    <row r="8" customFormat="false" ht="26.25" hidden="false" customHeight="true" outlineLevel="0" collapsed="false">
      <c r="A8" s="19" t="s">
        <v>234</v>
      </c>
      <c r="B8" s="19" t="s">
        <v>235</v>
      </c>
      <c r="C8" s="23" t="s">
        <v>236</v>
      </c>
      <c r="D8" s="19" t="s">
        <v>237</v>
      </c>
      <c r="E8" s="19" t="s">
        <v>238</v>
      </c>
      <c r="F8" s="19" t="s">
        <v>239</v>
      </c>
      <c r="G8" s="18"/>
      <c r="H8" s="18"/>
      <c r="I8" s="25" t="str">
        <f aca="false">IF(AND(ISNUMBER(G8),ISNUMBER(H8)),IF(G8=0,"",H8/G8),"varies")</f>
        <v>varies</v>
      </c>
      <c r="J8" s="18"/>
      <c r="K8" s="19" t="n">
        <v>5</v>
      </c>
      <c r="L8" s="18"/>
      <c r="M8" s="18"/>
      <c r="N8" s="18"/>
      <c r="O8" s="18"/>
      <c r="P8" s="20" t="n">
        <v>0</v>
      </c>
      <c r="Q8" s="20" t="n">
        <v>0</v>
      </c>
      <c r="R8" s="20" t="n">
        <v>0.6</v>
      </c>
      <c r="S8" s="20" t="n">
        <v>0.3</v>
      </c>
      <c r="T8" s="20" t="n">
        <v>0.1</v>
      </c>
      <c r="U8" s="25" t="n">
        <f aca="false">SUM(P8:T8)</f>
        <v>1</v>
      </c>
      <c r="V8" s="18" t="str">
        <f aca="false">IF(E8&lt;&gt;"Combat","—",IFERROR(INDEX(Affinity!$A$2:$A$7,MATCH(MAX(INDEX(Affinity!$B$2:$H$7,0,MATCH(A8,Affinity!$B$1:$H$1,0))),INDEX(Affinity!$B$2:$H$7,0,MATCH(A8,Affinity!$B$1:$H$1,0)),0)),"—"))</f>
        <v>—</v>
      </c>
      <c r="W8" s="18"/>
      <c r="X8" s="18"/>
      <c r="Y8" s="18"/>
      <c r="Z8" s="19" t="n">
        <v>10</v>
      </c>
      <c r="AA8" s="19" t="s">
        <v>240</v>
      </c>
      <c r="AB8" s="18"/>
    </row>
    <row r="9" customFormat="false" ht="39" hidden="false" customHeight="true" outlineLevel="0" collapsed="false">
      <c r="A9" s="19" t="s">
        <v>241</v>
      </c>
      <c r="B9" s="19" t="s">
        <v>242</v>
      </c>
      <c r="C9" s="26" t="s">
        <v>243</v>
      </c>
      <c r="D9" s="19" t="s">
        <v>244</v>
      </c>
      <c r="E9" s="19" t="s">
        <v>201</v>
      </c>
      <c r="F9" s="19" t="s">
        <v>216</v>
      </c>
      <c r="G9" s="19" t="n">
        <v>100</v>
      </c>
      <c r="H9" s="19" t="n">
        <v>60</v>
      </c>
      <c r="I9" s="25" t="n">
        <f aca="false">IF(AND(ISNUMBER(G9),ISNUMBER(H9)),IF(G9=0,"",H9/G9),"varies")</f>
        <v>0.6</v>
      </c>
      <c r="J9" s="19" t="n">
        <v>6</v>
      </c>
      <c r="K9" s="19" t="n">
        <v>3</v>
      </c>
      <c r="L9" s="19" t="n">
        <v>5</v>
      </c>
      <c r="M9" s="19" t="n">
        <v>5</v>
      </c>
      <c r="N9" s="19" t="n">
        <v>20</v>
      </c>
      <c r="O9" s="19" t="n">
        <v>50</v>
      </c>
      <c r="P9" s="20" t="n">
        <v>0</v>
      </c>
      <c r="Q9" s="20" t="n">
        <v>0.8</v>
      </c>
      <c r="R9" s="20" t="n">
        <v>0</v>
      </c>
      <c r="S9" s="20" t="n">
        <v>0</v>
      </c>
      <c r="T9" s="20" t="n">
        <v>0.2</v>
      </c>
      <c r="U9" s="25" t="n">
        <f aca="false">SUM(P9:T9)</f>
        <v>1</v>
      </c>
      <c r="V9" s="18" t="str">
        <f aca="false">IF(E9&lt;&gt;"Combat","—",IFERROR(INDEX(Affinity!$A$2:$A$7,MATCH(MAX(INDEX(Affinity!$B$2:$H$7,0,MATCH(A9,Affinity!$B$1:$H$1,0))),INDEX(Affinity!$B$2:$H$7,0,MATCH(A9,Affinity!$B$1:$H$1,0)),0)),"—"))</f>
        <v>Appeal</v>
      </c>
      <c r="W9" s="19" t="n">
        <v>0</v>
      </c>
      <c r="X9" s="19" t="n">
        <v>-3</v>
      </c>
      <c r="Y9" s="19" t="n">
        <v>-20</v>
      </c>
      <c r="Z9" s="19" t="n">
        <v>15</v>
      </c>
      <c r="AA9" s="19" t="s">
        <v>245</v>
      </c>
      <c r="AB9" s="19" t="n">
        <v>30</v>
      </c>
    </row>
  </sheetData>
  <dataValidations count="1">
    <dataValidation allowBlank="true" errorStyle="stop" operator="between" showDropDown="false" showErrorMessage="false" showInputMessage="false" sqref="E2:E50" type="list">
      <formula1>Lists!$E$2:$E$3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8" min="2" style="1" width="12"/>
  </cols>
  <sheetData>
    <row r="1" customFormat="false" ht="31.5" hidden="false" customHeight="true" outlineLevel="0" collapsed="false">
      <c r="A1" s="17" t="s">
        <v>246</v>
      </c>
      <c r="B1" s="17" t="s">
        <v>198</v>
      </c>
      <c r="C1" s="17" t="s">
        <v>206</v>
      </c>
      <c r="D1" s="17" t="s">
        <v>212</v>
      </c>
      <c r="E1" s="17" t="s">
        <v>218</v>
      </c>
      <c r="F1" s="17" t="s">
        <v>224</v>
      </c>
      <c r="G1" s="17" t="s">
        <v>229</v>
      </c>
      <c r="H1" s="17" t="s">
        <v>241</v>
      </c>
    </row>
    <row r="2" customFormat="false" ht="15" hidden="false" customHeight="true" outlineLevel="0" collapsed="false">
      <c r="A2" s="19" t="s">
        <v>141</v>
      </c>
      <c r="B2" s="27" t="n">
        <v>1</v>
      </c>
      <c r="C2" s="27" t="n">
        <v>1</v>
      </c>
      <c r="D2" s="27" t="n">
        <v>1.1</v>
      </c>
      <c r="E2" s="27" t="n">
        <v>1.2</v>
      </c>
      <c r="F2" s="27" t="n">
        <v>1.2</v>
      </c>
      <c r="G2" s="27" t="n">
        <v>1.1</v>
      </c>
      <c r="H2" s="27" t="n">
        <v>1.2</v>
      </c>
    </row>
    <row r="3" customFormat="false" ht="15" hidden="false" customHeight="true" outlineLevel="0" collapsed="false">
      <c r="A3" s="19" t="s">
        <v>146</v>
      </c>
      <c r="B3" s="27" t="n">
        <v>0.8</v>
      </c>
      <c r="C3" s="27" t="n">
        <v>1.1</v>
      </c>
      <c r="D3" s="27" t="n">
        <v>1</v>
      </c>
      <c r="E3" s="27" t="n">
        <v>0.9</v>
      </c>
      <c r="F3" s="27" t="n">
        <v>1.3</v>
      </c>
      <c r="G3" s="27" t="n">
        <v>1</v>
      </c>
      <c r="H3" s="27" t="n">
        <v>0.9</v>
      </c>
    </row>
    <row r="4" customFormat="false" ht="15" hidden="false" customHeight="true" outlineLevel="0" collapsed="false">
      <c r="A4" s="19" t="s">
        <v>151</v>
      </c>
      <c r="B4" s="27" t="n">
        <v>1</v>
      </c>
      <c r="C4" s="27" t="n">
        <v>1.2</v>
      </c>
      <c r="D4" s="27" t="n">
        <v>1.25</v>
      </c>
      <c r="E4" s="27" t="n">
        <v>0.9</v>
      </c>
      <c r="F4" s="27" t="n">
        <v>1.1</v>
      </c>
      <c r="G4" s="27" t="n">
        <v>1</v>
      </c>
      <c r="H4" s="27" t="n">
        <v>1.3</v>
      </c>
    </row>
    <row r="5" customFormat="false" ht="15" hidden="false" customHeight="true" outlineLevel="0" collapsed="false">
      <c r="A5" s="19" t="s">
        <v>156</v>
      </c>
      <c r="B5" s="27" t="n">
        <v>1.3</v>
      </c>
      <c r="C5" s="27" t="n">
        <v>1.1</v>
      </c>
      <c r="D5" s="27" t="n">
        <v>0.9</v>
      </c>
      <c r="E5" s="27" t="n">
        <v>1</v>
      </c>
      <c r="F5" s="27" t="n">
        <v>0.8</v>
      </c>
      <c r="G5" s="27" t="n">
        <v>1.2</v>
      </c>
      <c r="H5" s="27" t="n">
        <v>1</v>
      </c>
    </row>
    <row r="6" customFormat="false" ht="15" hidden="false" customHeight="true" outlineLevel="0" collapsed="false">
      <c r="A6" s="19" t="s">
        <v>161</v>
      </c>
      <c r="B6" s="27" t="n">
        <v>0.8</v>
      </c>
      <c r="C6" s="27" t="n">
        <v>1.2</v>
      </c>
      <c r="D6" s="27" t="n">
        <v>0.8</v>
      </c>
      <c r="E6" s="27" t="n">
        <v>1</v>
      </c>
      <c r="F6" s="27" t="n">
        <v>1.1</v>
      </c>
      <c r="G6" s="27" t="n">
        <v>1.1</v>
      </c>
      <c r="H6" s="27" t="n">
        <v>0.7</v>
      </c>
    </row>
    <row r="7" customFormat="false" ht="15" hidden="false" customHeight="true" outlineLevel="0" collapsed="false">
      <c r="A7" s="19" t="s">
        <v>166</v>
      </c>
      <c r="B7" s="27" t="n">
        <v>1.1</v>
      </c>
      <c r="C7" s="27" t="n">
        <v>1</v>
      </c>
      <c r="D7" s="27" t="n">
        <v>1.1</v>
      </c>
      <c r="E7" s="27" t="n">
        <v>0.7</v>
      </c>
      <c r="F7" s="27" t="n">
        <v>0.9</v>
      </c>
      <c r="G7" s="27" t="n">
        <v>0.8</v>
      </c>
      <c r="H7" s="27" t="n">
        <v>1</v>
      </c>
    </row>
    <row r="9" customFormat="false" ht="26.25" hidden="false" customHeight="true" outlineLevel="0" collapsed="false">
      <c r="A9" s="28" t="s">
        <v>247</v>
      </c>
      <c r="B9" s="18" t="str">
        <f aca="false">IFERROR(INDEX(Stages!$B$2:$B$9,MATCH(B$1,Stages!$A$2:$A$9,0)),"")</f>
        <v>Committee</v>
      </c>
      <c r="C9" s="18" t="str">
        <f aca="false">IFERROR(INDEX(Stages!$B$2:$B$9,MATCH(C$1,Stages!$A$2:$A$9,0)),"")</f>
        <v>Floor Debate</v>
      </c>
      <c r="D9" s="18" t="str">
        <f aca="false">IFERROR(INDEX(Stages!$B$2:$B$9,MATCH(D$1,Stages!$A$2:$A$9,0)),"")</f>
        <v>Party Caucus</v>
      </c>
      <c r="E9" s="18" t="str">
        <f aca="false">IFERROR(INDEX(Stages!$B$2:$B$9,MATCH(E$1,Stages!$A$2:$A$9,0)),"")</f>
        <v>Press Conference</v>
      </c>
      <c r="F9" s="18" t="str">
        <f aca="false">IFERROR(INDEX(Stages!$B$2:$B$9,MATCH(F$1,Stages!$A$2:$A$9,0)),"")</f>
        <v>Town Hall</v>
      </c>
      <c r="G9" s="18" t="str">
        <f aca="false">IFERROR(INDEX(Stages!$B$2:$B$9,MATCH(G$1,Stages!$A$2:$A$9,0)),"")</f>
        <v>TV Debate / Interview</v>
      </c>
      <c r="H9" s="18" t="str">
        <f aca="false">IFERROR(INDEX(Stages!$B$2:$B$9,MATCH(H$1,Stages!$A$2:$A$9,0)),"")</f>
        <v>Party Steering Committee</v>
      </c>
    </row>
    <row r="10" customFormat="false" ht="15" hidden="false" customHeight="true" outlineLevel="0" collapsed="false">
      <c r="A10" s="28" t="s">
        <v>248</v>
      </c>
      <c r="B10" s="29" t="n">
        <f aca="false">AVERAGE(B2:B7)</f>
        <v>1</v>
      </c>
      <c r="C10" s="29" t="n">
        <f aca="false">AVERAGE(C2:C7)</f>
        <v>1.1</v>
      </c>
      <c r="D10" s="29" t="n">
        <f aca="false">AVERAGE(D2:D7)</f>
        <v>1.025</v>
      </c>
      <c r="E10" s="29" t="n">
        <f aca="false">AVERAGE(E2:E7)</f>
        <v>0.95</v>
      </c>
      <c r="F10" s="29" t="n">
        <f aca="false">AVERAGE(F2:F7)</f>
        <v>1.06666666666667</v>
      </c>
      <c r="G10" s="29" t="n">
        <f aca="false">AVERAGE(G2:G7)</f>
        <v>1.03333333333333</v>
      </c>
      <c r="H10" s="29" t="n">
        <f aca="false">AVERAGE(H2:H7)</f>
        <v>1.01666666666667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13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8" min="8" style="1" width="9"/>
    <col collapsed="false" customWidth="true" hidden="false" outlineLevel="0" max="12" min="9" style="1" width="7"/>
    <col collapsed="false" customWidth="true" hidden="false" outlineLevel="0" max="13" min="13" style="1" width="8"/>
    <col collapsed="false" customWidth="true" hidden="false" outlineLevel="0" max="14" min="14" style="1" width="13"/>
    <col collapsed="false" customWidth="true" hidden="false" outlineLevel="0" max="15" min="15" style="1" width="40"/>
    <col collapsed="false" customWidth="true" hidden="false" outlineLevel="0" max="16" min="16" style="1" width="32"/>
    <col collapsed="false" customWidth="true" hidden="false" outlineLevel="0" max="20" min="17" style="1" width="9"/>
    <col collapsed="false" customWidth="true" hidden="false" outlineLevel="0" max="21" min="21" style="1" width="11"/>
  </cols>
  <sheetData>
    <row r="1" customFormat="false" ht="31.5" hidden="false" customHeight="true" outlineLevel="0" collapsed="false">
      <c r="A1" s="17" t="s">
        <v>249</v>
      </c>
      <c r="B1" s="17" t="s">
        <v>250</v>
      </c>
      <c r="C1" s="17" t="s">
        <v>251</v>
      </c>
      <c r="D1" s="17" t="s">
        <v>137</v>
      </c>
      <c r="E1" s="17" t="s">
        <v>252</v>
      </c>
      <c r="F1" s="17" t="s">
        <v>136</v>
      </c>
      <c r="G1" s="17" t="s">
        <v>253</v>
      </c>
      <c r="H1" s="17" t="s">
        <v>254</v>
      </c>
      <c r="I1" s="17" t="s">
        <v>255</v>
      </c>
      <c r="J1" s="17" t="s">
        <v>256</v>
      </c>
      <c r="K1" s="17" t="s">
        <v>257</v>
      </c>
      <c r="L1" s="17" t="s">
        <v>258</v>
      </c>
      <c r="M1" s="17" t="s">
        <v>259</v>
      </c>
      <c r="N1" s="17" t="s">
        <v>260</v>
      </c>
      <c r="O1" s="17" t="s">
        <v>261</v>
      </c>
      <c r="P1" s="17" t="s">
        <v>262</v>
      </c>
      <c r="Q1" s="17" t="s">
        <v>263</v>
      </c>
      <c r="R1" s="17" t="s">
        <v>111</v>
      </c>
      <c r="S1" s="17" t="s">
        <v>264</v>
      </c>
      <c r="T1" s="17" t="s">
        <v>265</v>
      </c>
      <c r="U1" s="30" t="s">
        <v>266</v>
      </c>
    </row>
    <row r="2" customFormat="false" ht="16.5" hidden="false" customHeight="true" outlineLevel="0" collapsed="false">
      <c r="A2" s="19" t="s">
        <v>267</v>
      </c>
      <c r="B2" s="19" t="s">
        <v>268</v>
      </c>
      <c r="C2" s="23" t="s">
        <v>269</v>
      </c>
      <c r="D2" s="19" t="s">
        <v>270</v>
      </c>
      <c r="E2" s="19" t="s">
        <v>141</v>
      </c>
      <c r="F2" s="18" t="str">
        <f aca="false">IFERROR(INDEX(Suits!$B$2:$B$7,MATCH(E2,Suits!$A$2:$A$7,0)),"?")</f>
        <v>誠実</v>
      </c>
      <c r="G2" s="19" t="s">
        <v>271</v>
      </c>
      <c r="H2" s="19" t="n">
        <v>1</v>
      </c>
      <c r="I2" s="19" t="n">
        <v>3</v>
      </c>
      <c r="J2" s="19" t="n">
        <v>0</v>
      </c>
      <c r="K2" s="19" t="n">
        <v>0</v>
      </c>
      <c r="L2" s="19" t="n">
        <v>0</v>
      </c>
      <c r="M2" s="19" t="n">
        <v>0</v>
      </c>
      <c r="N2" s="19" t="s">
        <v>272</v>
      </c>
      <c r="O2" s="19" t="s">
        <v>273</v>
      </c>
      <c r="P2" s="19" t="s">
        <v>274</v>
      </c>
      <c r="Q2" s="19" t="s">
        <v>108</v>
      </c>
      <c r="R2" s="18" t="n">
        <f aca="false">IFERROR(INDEX(Balance!$B$12:$B$14,MATCH(Q2,Balance!$A$12:$A$14,0)),"")</f>
        <v>0</v>
      </c>
      <c r="S2" s="31" t="n">
        <f aca="false">I2*Balance!$B$2+J2*Balance!$B$3+K2*Balance!$B$4+L2*Balance!$B$5-M2*Balance!$B$6</f>
        <v>3</v>
      </c>
      <c r="T2" s="32" t="n">
        <f aca="false">IF(H2=0,"",S2/H2)</f>
        <v>3</v>
      </c>
      <c r="U2" s="18" t="str">
        <f aca="false">IF(T2="","",IF(T2&gt;$T$27*1.3,"HIGH",IF(T2&lt;$T$27*0.7,"LOW","ok")))</f>
        <v>ok</v>
      </c>
    </row>
    <row r="3" customFormat="false" ht="16.5" hidden="false" customHeight="true" outlineLevel="0" collapsed="false">
      <c r="A3" s="19" t="s">
        <v>275</v>
      </c>
      <c r="B3" s="19" t="s">
        <v>276</v>
      </c>
      <c r="C3" s="23" t="s">
        <v>277</v>
      </c>
      <c r="D3" s="19" t="s">
        <v>278</v>
      </c>
      <c r="E3" s="19" t="s">
        <v>141</v>
      </c>
      <c r="F3" s="18" t="str">
        <f aca="false">IFERROR(INDEX(Suits!$B$2:$B$7,MATCH(E3,Suits!$A$2:$A$7,0)),"?")</f>
        <v>誠実</v>
      </c>
      <c r="G3" s="19" t="s">
        <v>279</v>
      </c>
      <c r="H3" s="19" t="n">
        <v>1</v>
      </c>
      <c r="I3" s="19" t="n">
        <v>1</v>
      </c>
      <c r="J3" s="19" t="n">
        <v>0</v>
      </c>
      <c r="K3" s="19" t="n">
        <v>4</v>
      </c>
      <c r="L3" s="19" t="n">
        <v>0</v>
      </c>
      <c r="M3" s="19" t="n">
        <v>0</v>
      </c>
      <c r="N3" s="19" t="s">
        <v>272</v>
      </c>
      <c r="O3" s="19" t="s">
        <v>280</v>
      </c>
      <c r="P3" s="19" t="s">
        <v>281</v>
      </c>
      <c r="Q3" s="19" t="s">
        <v>108</v>
      </c>
      <c r="R3" s="18" t="n">
        <f aca="false">IFERROR(INDEX(Balance!$B$12:$B$14,MATCH(Q3,Balance!$A$12:$A$14,0)),"")</f>
        <v>0</v>
      </c>
      <c r="S3" s="31" t="n">
        <f aca="false">I3*Balance!$B$2+J3*Balance!$B$3+K3*Balance!$B$4+L3*Balance!$B$5-M3*Balance!$B$6</f>
        <v>3.4</v>
      </c>
      <c r="T3" s="32" t="n">
        <f aca="false">IF(H3=0,"",S3/H3)</f>
        <v>3.4</v>
      </c>
      <c r="U3" s="18" t="str">
        <f aca="false">IF(T3="","",IF(T3&gt;$T$27*1.3,"HIGH",IF(T3&lt;$T$27*0.7,"LOW","ok")))</f>
        <v>HIGH</v>
      </c>
    </row>
    <row r="4" customFormat="false" ht="32.25" hidden="false" customHeight="true" outlineLevel="0" collapsed="false">
      <c r="A4" s="19" t="s">
        <v>282</v>
      </c>
      <c r="B4" s="19" t="s">
        <v>283</v>
      </c>
      <c r="C4" s="23" t="s">
        <v>284</v>
      </c>
      <c r="D4" s="19" t="s">
        <v>285</v>
      </c>
      <c r="E4" s="19" t="s">
        <v>141</v>
      </c>
      <c r="F4" s="18" t="str">
        <f aca="false">IFERROR(INDEX(Suits!$B$2:$B$7,MATCH(E4,Suits!$A$2:$A$7,0)),"?")</f>
        <v>誠実</v>
      </c>
      <c r="G4" s="19" t="s">
        <v>286</v>
      </c>
      <c r="H4" s="19" t="n">
        <v>2</v>
      </c>
      <c r="I4" s="19" t="n">
        <v>2</v>
      </c>
      <c r="J4" s="19" t="n">
        <v>0</v>
      </c>
      <c r="K4" s="19" t="n">
        <v>0</v>
      </c>
      <c r="L4" s="19" t="n">
        <v>0</v>
      </c>
      <c r="M4" s="19" t="n">
        <v>-3</v>
      </c>
      <c r="N4" s="19" t="s">
        <v>272</v>
      </c>
      <c r="O4" s="19" t="s">
        <v>287</v>
      </c>
      <c r="P4" s="19" t="s">
        <v>288</v>
      </c>
      <c r="Q4" s="19" t="s">
        <v>110</v>
      </c>
      <c r="R4" s="18" t="n">
        <f aca="false">IFERROR(INDEX(Balance!$B$12:$B$14,MATCH(Q4,Balance!$A$12:$A$14,0)),"")</f>
        <v>60</v>
      </c>
      <c r="S4" s="31" t="n">
        <f aca="false">I4*Balance!$B$2+J4*Balance!$B$3+K4*Balance!$B$4+L4*Balance!$B$5-M4*Balance!$B$6</f>
        <v>6.5</v>
      </c>
      <c r="T4" s="32" t="n">
        <f aca="false">IF(H4=0,"",S4/H4)</f>
        <v>3.25</v>
      </c>
      <c r="U4" s="18" t="str">
        <f aca="false">IF(T4="","",IF(T4&gt;$T$27*1.3,"HIGH",IF(T4&lt;$T$27*0.7,"LOW","ok")))</f>
        <v>HIGH</v>
      </c>
    </row>
    <row r="5" customFormat="false" ht="16.5" hidden="false" customHeight="true" outlineLevel="0" collapsed="false">
      <c r="A5" s="19" t="s">
        <v>289</v>
      </c>
      <c r="B5" s="19" t="s">
        <v>290</v>
      </c>
      <c r="C5" s="23" t="s">
        <v>291</v>
      </c>
      <c r="D5" s="19" t="s">
        <v>292</v>
      </c>
      <c r="E5" s="19" t="s">
        <v>141</v>
      </c>
      <c r="F5" s="18" t="str">
        <f aca="false">IFERROR(INDEX(Suits!$B$2:$B$7,MATCH(E5,Suits!$A$2:$A$7,0)),"?")</f>
        <v>誠実</v>
      </c>
      <c r="G5" s="19" t="s">
        <v>271</v>
      </c>
      <c r="H5" s="19" t="n">
        <v>3</v>
      </c>
      <c r="I5" s="19" t="n">
        <v>6</v>
      </c>
      <c r="J5" s="19" t="n">
        <v>0</v>
      </c>
      <c r="K5" s="19" t="n">
        <v>0</v>
      </c>
      <c r="L5" s="19" t="n">
        <v>0</v>
      </c>
      <c r="M5" s="19" t="n">
        <v>0</v>
      </c>
      <c r="N5" s="19" t="s">
        <v>272</v>
      </c>
      <c r="O5" s="19" t="s">
        <v>293</v>
      </c>
      <c r="P5" s="19" t="s">
        <v>294</v>
      </c>
      <c r="Q5" s="19" t="s">
        <v>112</v>
      </c>
      <c r="R5" s="18" t="n">
        <f aca="false">IFERROR(INDEX(Balance!$B$12:$B$14,MATCH(Q5,Balance!$A$12:$A$14,0)),"")</f>
        <v>120</v>
      </c>
      <c r="S5" s="31" t="n">
        <f aca="false">I5*Balance!$B$2+J5*Balance!$B$3+K5*Balance!$B$4+L5*Balance!$B$5-M5*Balance!$B$6</f>
        <v>6</v>
      </c>
      <c r="T5" s="32" t="n">
        <f aca="false">IF(H5=0,"",S5/H5)</f>
        <v>2</v>
      </c>
      <c r="U5" s="18" t="str">
        <f aca="false">IF(T5="","",IF(T5&gt;$T$27*1.3,"HIGH",IF(T5&lt;$T$27*0.7,"LOW","ok")))</f>
        <v>ok</v>
      </c>
    </row>
    <row r="6" customFormat="false" ht="16.5" hidden="false" customHeight="true" outlineLevel="0" collapsed="false">
      <c r="A6" s="19" t="s">
        <v>295</v>
      </c>
      <c r="B6" s="19" t="s">
        <v>296</v>
      </c>
      <c r="C6" s="23" t="s">
        <v>297</v>
      </c>
      <c r="D6" s="19" t="s">
        <v>298</v>
      </c>
      <c r="E6" s="19" t="s">
        <v>146</v>
      </c>
      <c r="F6" s="18" t="str">
        <f aca="false">IFERROR(INDEX(Suits!$B$2:$B$7,MATCH(E6,Suits!$A$2:$A$7,0)),"?")</f>
        <v>情熱</v>
      </c>
      <c r="G6" s="19" t="s">
        <v>271</v>
      </c>
      <c r="H6" s="19" t="n">
        <v>2</v>
      </c>
      <c r="I6" s="19" t="n">
        <v>5</v>
      </c>
      <c r="J6" s="19" t="n">
        <v>0</v>
      </c>
      <c r="K6" s="19" t="n">
        <v>0</v>
      </c>
      <c r="L6" s="19" t="n">
        <v>0</v>
      </c>
      <c r="M6" s="19" t="n">
        <v>1</v>
      </c>
      <c r="N6" s="19" t="s">
        <v>272</v>
      </c>
      <c r="O6" s="19" t="s">
        <v>299</v>
      </c>
      <c r="P6" s="19" t="s">
        <v>300</v>
      </c>
      <c r="Q6" s="19" t="s">
        <v>108</v>
      </c>
      <c r="R6" s="18" t="n">
        <f aca="false">IFERROR(INDEX(Balance!$B$12:$B$14,MATCH(Q6,Balance!$A$12:$A$14,0)),"")</f>
        <v>0</v>
      </c>
      <c r="S6" s="31" t="n">
        <f aca="false">I6*Balance!$B$2+J6*Balance!$B$3+K6*Balance!$B$4+L6*Balance!$B$5-M6*Balance!$B$6</f>
        <v>3.5</v>
      </c>
      <c r="T6" s="32" t="n">
        <f aca="false">IF(H6=0,"",S6/H6)</f>
        <v>1.75</v>
      </c>
      <c r="U6" s="18" t="str">
        <f aca="false">IF(T6="","",IF(T6&gt;$T$27*1.3,"HIGH",IF(T6&lt;$T$27*0.7,"LOW","ok")))</f>
        <v>ok</v>
      </c>
    </row>
    <row r="7" customFormat="false" ht="16.5" hidden="false" customHeight="true" outlineLevel="0" collapsed="false">
      <c r="A7" s="19" t="s">
        <v>301</v>
      </c>
      <c r="B7" s="19" t="s">
        <v>302</v>
      </c>
      <c r="C7" s="23" t="s">
        <v>303</v>
      </c>
      <c r="D7" s="19" t="s">
        <v>304</v>
      </c>
      <c r="E7" s="19" t="s">
        <v>146</v>
      </c>
      <c r="F7" s="18" t="str">
        <f aca="false">IFERROR(INDEX(Suits!$B$2:$B$7,MATCH(E7,Suits!$A$2:$A$7,0)),"?")</f>
        <v>情熱</v>
      </c>
      <c r="G7" s="19" t="s">
        <v>271</v>
      </c>
      <c r="H7" s="19" t="n">
        <v>2</v>
      </c>
      <c r="I7" s="19" t="n">
        <v>4</v>
      </c>
      <c r="J7" s="19" t="n">
        <v>0</v>
      </c>
      <c r="K7" s="19" t="n">
        <v>0</v>
      </c>
      <c r="L7" s="19" t="n">
        <v>0</v>
      </c>
      <c r="M7" s="19" t="n">
        <v>0</v>
      </c>
      <c r="N7" s="19" t="s">
        <v>305</v>
      </c>
      <c r="O7" s="19" t="s">
        <v>306</v>
      </c>
      <c r="P7" s="19" t="s">
        <v>307</v>
      </c>
      <c r="Q7" s="19" t="s">
        <v>108</v>
      </c>
      <c r="R7" s="18" t="n">
        <f aca="false">IFERROR(INDEX(Balance!$B$12:$B$14,MATCH(Q7,Balance!$A$12:$A$14,0)),"")</f>
        <v>0</v>
      </c>
      <c r="S7" s="31" t="n">
        <f aca="false">I7*Balance!$B$2+J7*Balance!$B$3+K7*Balance!$B$4+L7*Balance!$B$5-M7*Balance!$B$6</f>
        <v>4</v>
      </c>
      <c r="T7" s="32" t="n">
        <f aca="false">IF(H7=0,"",S7/H7)</f>
        <v>2</v>
      </c>
      <c r="U7" s="18" t="str">
        <f aca="false">IF(T7="","",IF(T7&gt;$T$27*1.3,"HIGH",IF(T7&lt;$T$27*0.7,"LOW","ok")))</f>
        <v>ok</v>
      </c>
    </row>
    <row r="8" customFormat="false" ht="16.5" hidden="false" customHeight="true" outlineLevel="0" collapsed="false">
      <c r="A8" s="19" t="s">
        <v>308</v>
      </c>
      <c r="B8" s="19" t="s">
        <v>309</v>
      </c>
      <c r="C8" s="23" t="s">
        <v>310</v>
      </c>
      <c r="D8" s="19" t="s">
        <v>311</v>
      </c>
      <c r="E8" s="19" t="s">
        <v>146</v>
      </c>
      <c r="F8" s="18" t="str">
        <f aca="false">IFERROR(INDEX(Suits!$B$2:$B$7,MATCH(E8,Suits!$A$2:$A$7,0)),"?")</f>
        <v>情熱</v>
      </c>
      <c r="G8" s="19" t="s">
        <v>286</v>
      </c>
      <c r="H8" s="19" t="n">
        <v>1</v>
      </c>
      <c r="I8" s="19" t="n">
        <v>2</v>
      </c>
      <c r="J8" s="19" t="n">
        <v>0</v>
      </c>
      <c r="K8" s="19" t="n">
        <v>0</v>
      </c>
      <c r="L8" s="19" t="n">
        <v>1</v>
      </c>
      <c r="M8" s="19" t="n">
        <v>0</v>
      </c>
      <c r="N8" s="19" t="s">
        <v>272</v>
      </c>
      <c r="O8" s="19" t="s">
        <v>312</v>
      </c>
      <c r="P8" s="19" t="s">
        <v>313</v>
      </c>
      <c r="Q8" s="19" t="s">
        <v>110</v>
      </c>
      <c r="R8" s="18" t="n">
        <f aca="false">IFERROR(INDEX(Balance!$B$12:$B$14,MATCH(Q8,Balance!$A$12:$A$14,0)),"")</f>
        <v>60</v>
      </c>
      <c r="S8" s="31" t="n">
        <f aca="false">I8*Balance!$B$2+J8*Balance!$B$3+K8*Balance!$B$4+L8*Balance!$B$5-M8*Balance!$B$6</f>
        <v>4</v>
      </c>
      <c r="T8" s="32" t="n">
        <f aca="false">IF(H8=0,"",S8/H8)</f>
        <v>4</v>
      </c>
      <c r="U8" s="18" t="str">
        <f aca="false">IF(T8="","",IF(T8&gt;$T$27*1.3,"HIGH",IF(T8&lt;$T$27*0.7,"LOW","ok")))</f>
        <v>HIGH</v>
      </c>
    </row>
    <row r="9" customFormat="false" ht="26.25" hidden="false" customHeight="true" outlineLevel="0" collapsed="false">
      <c r="A9" s="19" t="s">
        <v>314</v>
      </c>
      <c r="B9" s="19" t="s">
        <v>315</v>
      </c>
      <c r="C9" s="23" t="s">
        <v>316</v>
      </c>
      <c r="D9" s="19" t="s">
        <v>317</v>
      </c>
      <c r="E9" s="19" t="s">
        <v>146</v>
      </c>
      <c r="F9" s="18" t="str">
        <f aca="false">IFERROR(INDEX(Suits!$B$2:$B$7,MATCH(E9,Suits!$A$2:$A$7,0)),"?")</f>
        <v>情熱</v>
      </c>
      <c r="G9" s="19" t="s">
        <v>271</v>
      </c>
      <c r="H9" s="19" t="n">
        <v>3</v>
      </c>
      <c r="I9" s="19" t="n">
        <v>8</v>
      </c>
      <c r="J9" s="19" t="n">
        <v>0</v>
      </c>
      <c r="K9" s="19" t="n">
        <v>0</v>
      </c>
      <c r="L9" s="19" t="n">
        <v>0</v>
      </c>
      <c r="M9" s="19" t="n">
        <v>2</v>
      </c>
      <c r="N9" s="19" t="s">
        <v>272</v>
      </c>
      <c r="O9" s="19" t="s">
        <v>318</v>
      </c>
      <c r="P9" s="19" t="s">
        <v>319</v>
      </c>
      <c r="Q9" s="19" t="s">
        <v>112</v>
      </c>
      <c r="R9" s="18" t="n">
        <f aca="false">IFERROR(INDEX(Balance!$B$12:$B$14,MATCH(Q9,Balance!$A$12:$A$14,0)),"")</f>
        <v>120</v>
      </c>
      <c r="S9" s="31" t="n">
        <f aca="false">I9*Balance!$B$2+J9*Balance!$B$3+K9*Balance!$B$4+L9*Balance!$B$5-M9*Balance!$B$6</f>
        <v>5</v>
      </c>
      <c r="T9" s="32" t="n">
        <f aca="false">IF(H9=0,"",S9/H9)</f>
        <v>1.66666666666667</v>
      </c>
      <c r="U9" s="18" t="str">
        <f aca="false">IF(T9="","",IF(T9&gt;$T$27*1.3,"HIGH",IF(T9&lt;$T$27*0.7,"LOW","ok")))</f>
        <v>LOW</v>
      </c>
    </row>
    <row r="10" customFormat="false" ht="16.5" hidden="false" customHeight="true" outlineLevel="0" collapsed="false">
      <c r="A10" s="19" t="s">
        <v>320</v>
      </c>
      <c r="B10" s="19" t="s">
        <v>321</v>
      </c>
      <c r="C10" s="23" t="s">
        <v>322</v>
      </c>
      <c r="D10" s="19" t="s">
        <v>323</v>
      </c>
      <c r="E10" s="19" t="s">
        <v>151</v>
      </c>
      <c r="F10" s="18" t="str">
        <f aca="false">IFERROR(INDEX(Suits!$B$2:$B$7,MATCH(E10,Suits!$A$2:$A$7,0)),"?")</f>
        <v>求心</v>
      </c>
      <c r="G10" s="19" t="s">
        <v>271</v>
      </c>
      <c r="H10" s="19" t="n">
        <v>1</v>
      </c>
      <c r="I10" s="19" t="n">
        <v>3</v>
      </c>
      <c r="J10" s="19" t="n">
        <v>0</v>
      </c>
      <c r="K10" s="19" t="n">
        <v>0</v>
      </c>
      <c r="L10" s="19" t="n">
        <v>0</v>
      </c>
      <c r="M10" s="19" t="n">
        <v>0</v>
      </c>
      <c r="N10" s="19" t="s">
        <v>324</v>
      </c>
      <c r="O10" s="19" t="s">
        <v>325</v>
      </c>
      <c r="P10" s="19" t="s">
        <v>274</v>
      </c>
      <c r="Q10" s="19" t="s">
        <v>108</v>
      </c>
      <c r="R10" s="18" t="n">
        <f aca="false">IFERROR(INDEX(Balance!$B$12:$B$14,MATCH(Q10,Balance!$A$12:$A$14,0)),"")</f>
        <v>0</v>
      </c>
      <c r="S10" s="31" t="n">
        <f aca="false">I10*Balance!$B$2+J10*Balance!$B$3+K10*Balance!$B$4+L10*Balance!$B$5-M10*Balance!$B$6</f>
        <v>3</v>
      </c>
      <c r="T10" s="32" t="n">
        <f aca="false">IF(H10=0,"",S10/H10)</f>
        <v>3</v>
      </c>
      <c r="U10" s="18" t="str">
        <f aca="false">IF(T10="","",IF(T10&gt;$T$27*1.3,"HIGH",IF(T10&lt;$T$27*0.7,"LOW","ok")))</f>
        <v>ok</v>
      </c>
    </row>
    <row r="11" customFormat="false" ht="16.5" hidden="false" customHeight="true" outlineLevel="0" collapsed="false">
      <c r="A11" s="19" t="s">
        <v>326</v>
      </c>
      <c r="B11" s="19" t="s">
        <v>327</v>
      </c>
      <c r="C11" s="23" t="s">
        <v>328</v>
      </c>
      <c r="D11" s="19" t="s">
        <v>329</v>
      </c>
      <c r="E11" s="19" t="s">
        <v>151</v>
      </c>
      <c r="F11" s="18" t="str">
        <f aca="false">IFERROR(INDEX(Suits!$B$2:$B$7,MATCH(E11,Suits!$A$2:$A$7,0)),"?")</f>
        <v>求心</v>
      </c>
      <c r="G11" s="19" t="s">
        <v>271</v>
      </c>
      <c r="H11" s="19" t="n">
        <v>1</v>
      </c>
      <c r="I11" s="19" t="n">
        <v>3</v>
      </c>
      <c r="J11" s="19" t="n">
        <v>0</v>
      </c>
      <c r="K11" s="19" t="n">
        <v>0</v>
      </c>
      <c r="L11" s="19" t="n">
        <v>0</v>
      </c>
      <c r="M11" s="19" t="n">
        <v>0</v>
      </c>
      <c r="N11" s="19" t="s">
        <v>305</v>
      </c>
      <c r="O11" s="19" t="s">
        <v>330</v>
      </c>
      <c r="P11" s="19" t="s">
        <v>274</v>
      </c>
      <c r="Q11" s="19" t="s">
        <v>108</v>
      </c>
      <c r="R11" s="18" t="n">
        <f aca="false">IFERROR(INDEX(Balance!$B$12:$B$14,MATCH(Q11,Balance!$A$12:$A$14,0)),"")</f>
        <v>0</v>
      </c>
      <c r="S11" s="31" t="n">
        <f aca="false">I11*Balance!$B$2+J11*Balance!$B$3+K11*Balance!$B$4+L11*Balance!$B$5-M11*Balance!$B$6</f>
        <v>3</v>
      </c>
      <c r="T11" s="32" t="n">
        <f aca="false">IF(H11=0,"",S11/H11)</f>
        <v>3</v>
      </c>
      <c r="U11" s="18" t="str">
        <f aca="false">IF(T11="","",IF(T11&gt;$T$27*1.3,"HIGH",IF(T11&lt;$T$27*0.7,"LOW","ok")))</f>
        <v>ok</v>
      </c>
    </row>
    <row r="12" customFormat="false" ht="16.5" hidden="false" customHeight="true" outlineLevel="0" collapsed="false">
      <c r="A12" s="19" t="s">
        <v>331</v>
      </c>
      <c r="B12" s="19" t="s">
        <v>332</v>
      </c>
      <c r="C12" s="23" t="s">
        <v>333</v>
      </c>
      <c r="D12" s="19" t="s">
        <v>334</v>
      </c>
      <c r="E12" s="19" t="s">
        <v>151</v>
      </c>
      <c r="F12" s="18" t="str">
        <f aca="false">IFERROR(INDEX(Suits!$B$2:$B$7,MATCH(E12,Suits!$A$2:$A$7,0)),"?")</f>
        <v>求心</v>
      </c>
      <c r="G12" s="19" t="s">
        <v>335</v>
      </c>
      <c r="H12" s="19" t="n">
        <v>2</v>
      </c>
      <c r="I12" s="19" t="n">
        <v>2</v>
      </c>
      <c r="J12" s="19" t="n">
        <v>0</v>
      </c>
      <c r="K12" s="19" t="n">
        <v>0</v>
      </c>
      <c r="L12" s="19" t="n">
        <v>0</v>
      </c>
      <c r="M12" s="19" t="n">
        <v>0</v>
      </c>
      <c r="N12" s="19" t="s">
        <v>272</v>
      </c>
      <c r="O12" s="19" t="s">
        <v>336</v>
      </c>
      <c r="P12" s="19" t="s">
        <v>337</v>
      </c>
      <c r="Q12" s="19" t="s">
        <v>110</v>
      </c>
      <c r="R12" s="18" t="n">
        <f aca="false">IFERROR(INDEX(Balance!$B$12:$B$14,MATCH(Q12,Balance!$A$12:$A$14,0)),"")</f>
        <v>60</v>
      </c>
      <c r="S12" s="31" t="n">
        <f aca="false">I12*Balance!$B$2+J12*Balance!$B$3+K12*Balance!$B$4+L12*Balance!$B$5-M12*Balance!$B$6</f>
        <v>2</v>
      </c>
      <c r="T12" s="32" t="n">
        <f aca="false">IF(H12=0,"",S12/H12)</f>
        <v>1</v>
      </c>
      <c r="U12" s="18" t="str">
        <f aca="false">IF(T12="","",IF(T12&gt;$T$27*1.3,"HIGH",IF(T12&lt;$T$27*0.7,"LOW","ok")))</f>
        <v>LOW</v>
      </c>
    </row>
    <row r="13" customFormat="false" ht="16.5" hidden="false" customHeight="true" outlineLevel="0" collapsed="false">
      <c r="A13" s="19" t="s">
        <v>338</v>
      </c>
      <c r="B13" s="19" t="s">
        <v>339</v>
      </c>
      <c r="C13" s="23" t="s">
        <v>340</v>
      </c>
      <c r="D13" s="19" t="s">
        <v>341</v>
      </c>
      <c r="E13" s="19" t="s">
        <v>151</v>
      </c>
      <c r="F13" s="18" t="str">
        <f aca="false">IFERROR(INDEX(Suits!$B$2:$B$7,MATCH(E13,Suits!$A$2:$A$7,0)),"?")</f>
        <v>求心</v>
      </c>
      <c r="G13" s="19" t="s">
        <v>286</v>
      </c>
      <c r="H13" s="19" t="n">
        <v>2</v>
      </c>
      <c r="I13" s="19" t="n">
        <v>0</v>
      </c>
      <c r="J13" s="19" t="n">
        <v>0</v>
      </c>
      <c r="K13" s="19" t="n">
        <v>0</v>
      </c>
      <c r="L13" s="19" t="n">
        <v>2</v>
      </c>
      <c r="M13" s="19" t="n">
        <v>0</v>
      </c>
      <c r="N13" s="19" t="s">
        <v>272</v>
      </c>
      <c r="O13" s="19" t="s">
        <v>342</v>
      </c>
      <c r="P13" s="19" t="s">
        <v>343</v>
      </c>
      <c r="Q13" s="19" t="s">
        <v>110</v>
      </c>
      <c r="R13" s="18" t="n">
        <f aca="false">IFERROR(INDEX(Balance!$B$12:$B$14,MATCH(Q13,Balance!$A$12:$A$14,0)),"")</f>
        <v>60</v>
      </c>
      <c r="S13" s="31" t="n">
        <f aca="false">I13*Balance!$B$2+J13*Balance!$B$3+K13*Balance!$B$4+L13*Balance!$B$5-M13*Balance!$B$6</f>
        <v>4</v>
      </c>
      <c r="T13" s="32" t="n">
        <f aca="false">IF(H13=0,"",S13/H13)</f>
        <v>2</v>
      </c>
      <c r="U13" s="18" t="str">
        <f aca="false">IF(T13="","",IF(T13&gt;$T$27*1.3,"HIGH",IF(T13&lt;$T$27*0.7,"LOW","ok")))</f>
        <v>ok</v>
      </c>
    </row>
    <row r="14" customFormat="false" ht="16.5" hidden="false" customHeight="true" outlineLevel="0" collapsed="false">
      <c r="A14" s="19" t="s">
        <v>344</v>
      </c>
      <c r="B14" s="19" t="s">
        <v>345</v>
      </c>
      <c r="C14" s="23" t="s">
        <v>346</v>
      </c>
      <c r="D14" s="19" t="s">
        <v>347</v>
      </c>
      <c r="E14" s="19" t="s">
        <v>156</v>
      </c>
      <c r="F14" s="18" t="str">
        <f aca="false">IFERROR(INDEX(Suits!$B$2:$B$7,MATCH(E14,Suits!$A$2:$A$7,0)),"?")</f>
        <v>実証</v>
      </c>
      <c r="G14" s="19" t="s">
        <v>348</v>
      </c>
      <c r="H14" s="19" t="n">
        <v>1</v>
      </c>
      <c r="I14" s="19" t="n">
        <v>0</v>
      </c>
      <c r="J14" s="19" t="n">
        <v>3</v>
      </c>
      <c r="K14" s="19" t="n">
        <v>0</v>
      </c>
      <c r="L14" s="19" t="n">
        <v>0</v>
      </c>
      <c r="M14" s="19" t="n">
        <v>0</v>
      </c>
      <c r="N14" s="19" t="s">
        <v>272</v>
      </c>
      <c r="O14" s="19" t="s">
        <v>349</v>
      </c>
      <c r="P14" s="19" t="s">
        <v>350</v>
      </c>
      <c r="Q14" s="19" t="s">
        <v>108</v>
      </c>
      <c r="R14" s="18" t="n">
        <f aca="false">IFERROR(INDEX(Balance!$B$12:$B$14,MATCH(Q14,Balance!$A$12:$A$14,0)),"")</f>
        <v>0</v>
      </c>
      <c r="S14" s="31" t="n">
        <f aca="false">I14*Balance!$B$2+J14*Balance!$B$3+K14*Balance!$B$4+L14*Balance!$B$5-M14*Balance!$B$6</f>
        <v>3.6</v>
      </c>
      <c r="T14" s="32" t="n">
        <f aca="false">IF(H14=0,"",S14/H14)</f>
        <v>3.6</v>
      </c>
      <c r="U14" s="18" t="str">
        <f aca="false">IF(T14="","",IF(T14&gt;$T$27*1.3,"HIGH",IF(T14&lt;$T$27*0.7,"LOW","ok")))</f>
        <v>HIGH</v>
      </c>
    </row>
    <row r="15" customFormat="false" ht="16.5" hidden="false" customHeight="true" outlineLevel="0" collapsed="false">
      <c r="A15" s="19" t="s">
        <v>351</v>
      </c>
      <c r="B15" s="19" t="s">
        <v>352</v>
      </c>
      <c r="C15" s="23" t="s">
        <v>353</v>
      </c>
      <c r="D15" s="19" t="s">
        <v>354</v>
      </c>
      <c r="E15" s="19" t="s">
        <v>156</v>
      </c>
      <c r="F15" s="18" t="str">
        <f aca="false">IFERROR(INDEX(Suits!$B$2:$B$7,MATCH(E15,Suits!$A$2:$A$7,0)),"?")</f>
        <v>実証</v>
      </c>
      <c r="G15" s="19" t="s">
        <v>286</v>
      </c>
      <c r="H15" s="19" t="n">
        <v>1</v>
      </c>
      <c r="I15" s="19" t="n">
        <v>0</v>
      </c>
      <c r="J15" s="19" t="n">
        <v>1</v>
      </c>
      <c r="K15" s="19" t="n">
        <v>0</v>
      </c>
      <c r="L15" s="19" t="n">
        <v>1</v>
      </c>
      <c r="M15" s="19" t="n">
        <v>0</v>
      </c>
      <c r="N15" s="19" t="s">
        <v>355</v>
      </c>
      <c r="O15" s="19" t="s">
        <v>356</v>
      </c>
      <c r="P15" s="19" t="s">
        <v>313</v>
      </c>
      <c r="Q15" s="19" t="s">
        <v>108</v>
      </c>
      <c r="R15" s="18" t="n">
        <f aca="false">IFERROR(INDEX(Balance!$B$12:$B$14,MATCH(Q15,Balance!$A$12:$A$14,0)),"")</f>
        <v>0</v>
      </c>
      <c r="S15" s="31" t="n">
        <f aca="false">I15*Balance!$B$2+J15*Balance!$B$3+K15*Balance!$B$4+L15*Balance!$B$5-M15*Balance!$B$6</f>
        <v>3.2</v>
      </c>
      <c r="T15" s="32" t="n">
        <f aca="false">IF(H15=0,"",S15/H15)</f>
        <v>3.2</v>
      </c>
      <c r="U15" s="18" t="str">
        <f aca="false">IF(T15="","",IF(T15&gt;$T$27*1.3,"HIGH",IF(T15&lt;$T$27*0.7,"LOW","ok")))</f>
        <v>HIGH</v>
      </c>
    </row>
    <row r="16" customFormat="false" ht="26.25" hidden="false" customHeight="true" outlineLevel="0" collapsed="false">
      <c r="A16" s="19" t="s">
        <v>357</v>
      </c>
      <c r="B16" s="19" t="s">
        <v>358</v>
      </c>
      <c r="C16" s="23" t="s">
        <v>359</v>
      </c>
      <c r="D16" s="19" t="s">
        <v>360</v>
      </c>
      <c r="E16" s="19" t="s">
        <v>156</v>
      </c>
      <c r="F16" s="18" t="str">
        <f aca="false">IFERROR(INDEX(Suits!$B$2:$B$7,MATCH(E16,Suits!$A$2:$A$7,0)),"?")</f>
        <v>実証</v>
      </c>
      <c r="G16" s="19" t="s">
        <v>348</v>
      </c>
      <c r="H16" s="19" t="n">
        <v>2</v>
      </c>
      <c r="I16" s="19" t="n">
        <v>0</v>
      </c>
      <c r="J16" s="19" t="n">
        <v>6</v>
      </c>
      <c r="K16" s="19" t="n">
        <v>0</v>
      </c>
      <c r="L16" s="19" t="n">
        <v>0</v>
      </c>
      <c r="M16" s="19" t="n">
        <v>0</v>
      </c>
      <c r="N16" s="19" t="s">
        <v>272</v>
      </c>
      <c r="O16" s="19" t="s">
        <v>361</v>
      </c>
      <c r="P16" s="19" t="s">
        <v>362</v>
      </c>
      <c r="Q16" s="19" t="s">
        <v>110</v>
      </c>
      <c r="R16" s="18" t="n">
        <f aca="false">IFERROR(INDEX(Balance!$B$12:$B$14,MATCH(Q16,Balance!$A$12:$A$14,0)),"")</f>
        <v>60</v>
      </c>
      <c r="S16" s="31" t="n">
        <f aca="false">I16*Balance!$B$2+J16*Balance!$B$3+K16*Balance!$B$4+L16*Balance!$B$5-M16*Balance!$B$6</f>
        <v>7.2</v>
      </c>
      <c r="T16" s="32" t="n">
        <f aca="false">IF(H16=0,"",S16/H16)</f>
        <v>3.6</v>
      </c>
      <c r="U16" s="18" t="str">
        <f aca="false">IF(T16="","",IF(T16&gt;$T$27*1.3,"HIGH",IF(T16&lt;$T$27*0.7,"LOW","ok")))</f>
        <v>HIGH</v>
      </c>
    </row>
    <row r="17" customFormat="false" ht="16.5" hidden="false" customHeight="true" outlineLevel="0" collapsed="false">
      <c r="A17" s="19" t="s">
        <v>363</v>
      </c>
      <c r="B17" s="19" t="s">
        <v>364</v>
      </c>
      <c r="C17" s="23" t="s">
        <v>365</v>
      </c>
      <c r="D17" s="19" t="s">
        <v>366</v>
      </c>
      <c r="E17" s="19" t="s">
        <v>156</v>
      </c>
      <c r="F17" s="18" t="str">
        <f aca="false">IFERROR(INDEX(Suits!$B$2:$B$7,MATCH(E17,Suits!$A$2:$A$7,0)),"?")</f>
        <v>実証</v>
      </c>
      <c r="G17" s="19" t="s">
        <v>348</v>
      </c>
      <c r="H17" s="19" t="n">
        <v>3</v>
      </c>
      <c r="I17" s="19" t="n">
        <v>3</v>
      </c>
      <c r="J17" s="19" t="n">
        <v>5</v>
      </c>
      <c r="K17" s="19" t="n">
        <v>0</v>
      </c>
      <c r="L17" s="19" t="n">
        <v>0</v>
      </c>
      <c r="M17" s="19" t="n">
        <v>0</v>
      </c>
      <c r="N17" s="19" t="s">
        <v>355</v>
      </c>
      <c r="O17" s="19" t="s">
        <v>367</v>
      </c>
      <c r="P17" s="19" t="s">
        <v>294</v>
      </c>
      <c r="Q17" s="19" t="s">
        <v>112</v>
      </c>
      <c r="R17" s="18" t="n">
        <f aca="false">IFERROR(INDEX(Balance!$B$12:$B$14,MATCH(Q17,Balance!$A$12:$A$14,0)),"")</f>
        <v>120</v>
      </c>
      <c r="S17" s="31" t="n">
        <f aca="false">I17*Balance!$B$2+J17*Balance!$B$3+K17*Balance!$B$4+L17*Balance!$B$5-M17*Balance!$B$6</f>
        <v>9</v>
      </c>
      <c r="T17" s="32" t="n">
        <f aca="false">IF(H17=0,"",S17/H17)</f>
        <v>3</v>
      </c>
      <c r="U17" s="18" t="str">
        <f aca="false">IF(T17="","",IF(T17&gt;$T$27*1.3,"HIGH",IF(T17&lt;$T$27*0.7,"LOW","ok")))</f>
        <v>ok</v>
      </c>
    </row>
    <row r="18" customFormat="false" ht="16.5" hidden="false" customHeight="true" outlineLevel="0" collapsed="false">
      <c r="A18" s="19" t="s">
        <v>368</v>
      </c>
      <c r="B18" s="19" t="s">
        <v>369</v>
      </c>
      <c r="C18" s="23" t="s">
        <v>370</v>
      </c>
      <c r="D18" s="19" t="s">
        <v>371</v>
      </c>
      <c r="E18" s="19" t="s">
        <v>161</v>
      </c>
      <c r="F18" s="18" t="str">
        <f aca="false">IFERROR(INDEX(Suits!$B$2:$B$7,MATCH(E18,Suits!$A$2:$A$7,0)),"?")</f>
        <v>分断</v>
      </c>
      <c r="G18" s="19" t="s">
        <v>348</v>
      </c>
      <c r="H18" s="19" t="n">
        <v>1</v>
      </c>
      <c r="I18" s="19" t="n">
        <v>0</v>
      </c>
      <c r="J18" s="19" t="n">
        <v>4</v>
      </c>
      <c r="K18" s="19" t="n">
        <v>0</v>
      </c>
      <c r="L18" s="19" t="n">
        <v>0</v>
      </c>
      <c r="M18" s="19" t="n">
        <v>1</v>
      </c>
      <c r="N18" s="19" t="s">
        <v>272</v>
      </c>
      <c r="O18" s="19" t="s">
        <v>372</v>
      </c>
      <c r="P18" s="19" t="s">
        <v>373</v>
      </c>
      <c r="Q18" s="19" t="s">
        <v>108</v>
      </c>
      <c r="R18" s="18" t="n">
        <f aca="false">IFERROR(INDEX(Balance!$B$12:$B$14,MATCH(Q18,Balance!$A$12:$A$14,0)),"")</f>
        <v>0</v>
      </c>
      <c r="S18" s="31" t="n">
        <f aca="false">I18*Balance!$B$2+J18*Balance!$B$3+K18*Balance!$B$4+L18*Balance!$B$5-M18*Balance!$B$6</f>
        <v>3.3</v>
      </c>
      <c r="T18" s="32" t="n">
        <f aca="false">IF(H18=0,"",S18/H18)</f>
        <v>3.3</v>
      </c>
      <c r="U18" s="18" t="str">
        <f aca="false">IF(T18="","",IF(T18&gt;$T$27*1.3,"HIGH",IF(T18&lt;$T$27*0.7,"LOW","ok")))</f>
        <v>HIGH</v>
      </c>
    </row>
    <row r="19" customFormat="false" ht="26.25" hidden="false" customHeight="true" outlineLevel="0" collapsed="false">
      <c r="A19" s="19" t="s">
        <v>374</v>
      </c>
      <c r="B19" s="19" t="s">
        <v>375</v>
      </c>
      <c r="C19" s="23" t="s">
        <v>376</v>
      </c>
      <c r="D19" s="19" t="s">
        <v>377</v>
      </c>
      <c r="E19" s="19" t="s">
        <v>161</v>
      </c>
      <c r="F19" s="18" t="str">
        <f aca="false">IFERROR(INDEX(Suits!$B$2:$B$7,MATCH(E19,Suits!$A$2:$A$7,0)),"?")</f>
        <v>分断</v>
      </c>
      <c r="G19" s="19" t="s">
        <v>348</v>
      </c>
      <c r="H19" s="19" t="n">
        <v>2</v>
      </c>
      <c r="I19" s="19" t="n">
        <v>3</v>
      </c>
      <c r="J19" s="19" t="n">
        <v>3</v>
      </c>
      <c r="K19" s="19" t="n">
        <v>0</v>
      </c>
      <c r="L19" s="19" t="n">
        <v>0</v>
      </c>
      <c r="M19" s="19" t="n">
        <v>1</v>
      </c>
      <c r="N19" s="19" t="s">
        <v>324</v>
      </c>
      <c r="O19" s="19" t="s">
        <v>378</v>
      </c>
      <c r="P19" s="19" t="s">
        <v>379</v>
      </c>
      <c r="Q19" s="19" t="s">
        <v>108</v>
      </c>
      <c r="R19" s="18" t="n">
        <f aca="false">IFERROR(INDEX(Balance!$B$12:$B$14,MATCH(Q19,Balance!$A$12:$A$14,0)),"")</f>
        <v>0</v>
      </c>
      <c r="S19" s="31" t="n">
        <f aca="false">I19*Balance!$B$2+J19*Balance!$B$3+K19*Balance!$B$4+L19*Balance!$B$5-M19*Balance!$B$6</f>
        <v>5.1</v>
      </c>
      <c r="T19" s="32" t="n">
        <f aca="false">IF(H19=0,"",S19/H19)</f>
        <v>2.55</v>
      </c>
      <c r="U19" s="18" t="str">
        <f aca="false">IF(T19="","",IF(T19&gt;$T$27*1.3,"HIGH",IF(T19&lt;$T$27*0.7,"LOW","ok")))</f>
        <v>ok</v>
      </c>
    </row>
    <row r="20" customFormat="false" ht="16.5" hidden="false" customHeight="true" outlineLevel="0" collapsed="false">
      <c r="A20" s="19" t="s">
        <v>380</v>
      </c>
      <c r="B20" s="19" t="s">
        <v>381</v>
      </c>
      <c r="C20" s="23" t="s">
        <v>382</v>
      </c>
      <c r="D20" s="19" t="s">
        <v>383</v>
      </c>
      <c r="E20" s="19" t="s">
        <v>161</v>
      </c>
      <c r="F20" s="18" t="str">
        <f aca="false">IFERROR(INDEX(Suits!$B$2:$B$7,MATCH(E20,Suits!$A$2:$A$7,0)),"?")</f>
        <v>分断</v>
      </c>
      <c r="G20" s="19" t="s">
        <v>271</v>
      </c>
      <c r="H20" s="19" t="n">
        <v>2</v>
      </c>
      <c r="I20" s="19" t="n">
        <v>5</v>
      </c>
      <c r="J20" s="19" t="n">
        <v>2</v>
      </c>
      <c r="K20" s="19" t="n">
        <v>0</v>
      </c>
      <c r="L20" s="19" t="n">
        <v>0</v>
      </c>
      <c r="M20" s="19" t="n">
        <v>2</v>
      </c>
      <c r="N20" s="19" t="s">
        <v>305</v>
      </c>
      <c r="O20" s="19" t="s">
        <v>384</v>
      </c>
      <c r="P20" s="19" t="s">
        <v>319</v>
      </c>
      <c r="Q20" s="19" t="s">
        <v>110</v>
      </c>
      <c r="R20" s="18" t="n">
        <f aca="false">IFERROR(INDEX(Balance!$B$12:$B$14,MATCH(Q20,Balance!$A$12:$A$14,0)),"")</f>
        <v>60</v>
      </c>
      <c r="S20" s="31" t="n">
        <f aca="false">I20*Balance!$B$2+J20*Balance!$B$3+K20*Balance!$B$4+L20*Balance!$B$5-M20*Balance!$B$6</f>
        <v>4.4</v>
      </c>
      <c r="T20" s="32" t="n">
        <f aca="false">IF(H20=0,"",S20/H20)</f>
        <v>2.2</v>
      </c>
      <c r="U20" s="18" t="str">
        <f aca="false">IF(T20="","",IF(T20&gt;$T$27*1.3,"HIGH",IF(T20&lt;$T$27*0.7,"LOW","ok")))</f>
        <v>ok</v>
      </c>
    </row>
    <row r="21" customFormat="false" ht="16.5" hidden="false" customHeight="true" outlineLevel="0" collapsed="false">
      <c r="A21" s="19" t="s">
        <v>385</v>
      </c>
      <c r="B21" s="19" t="s">
        <v>386</v>
      </c>
      <c r="C21" s="23" t="s">
        <v>387</v>
      </c>
      <c r="D21" s="19" t="s">
        <v>388</v>
      </c>
      <c r="E21" s="19" t="s">
        <v>161</v>
      </c>
      <c r="F21" s="18" t="str">
        <f aca="false">IFERROR(INDEX(Suits!$B$2:$B$7,MATCH(E21,Suits!$A$2:$A$7,0)),"?")</f>
        <v>分断</v>
      </c>
      <c r="G21" s="19" t="s">
        <v>348</v>
      </c>
      <c r="H21" s="19" t="n">
        <v>3</v>
      </c>
      <c r="I21" s="19" t="n">
        <v>0</v>
      </c>
      <c r="J21" s="19" t="n">
        <v>7</v>
      </c>
      <c r="K21" s="19" t="n">
        <v>0</v>
      </c>
      <c r="L21" s="19" t="n">
        <v>0</v>
      </c>
      <c r="M21" s="19" t="n">
        <v>2</v>
      </c>
      <c r="N21" s="19" t="s">
        <v>324</v>
      </c>
      <c r="O21" s="19" t="s">
        <v>389</v>
      </c>
      <c r="P21" s="19" t="s">
        <v>390</v>
      </c>
      <c r="Q21" s="19" t="s">
        <v>112</v>
      </c>
      <c r="R21" s="18" t="n">
        <f aca="false">IFERROR(INDEX(Balance!$B$12:$B$14,MATCH(Q21,Balance!$A$12:$A$14,0)),"")</f>
        <v>120</v>
      </c>
      <c r="S21" s="31" t="n">
        <f aca="false">I21*Balance!$B$2+J21*Balance!$B$3+K21*Balance!$B$4+L21*Balance!$B$5-M21*Balance!$B$6</f>
        <v>5.4</v>
      </c>
      <c r="T21" s="32" t="n">
        <f aca="false">IF(H21=0,"",S21/H21)</f>
        <v>1.8</v>
      </c>
      <c r="U21" s="18" t="str">
        <f aca="false">IF(T21="","",IF(T21&gt;$T$27*1.3,"HIGH",IF(T21&lt;$T$27*0.7,"LOW","ok")))</f>
        <v>ok</v>
      </c>
    </row>
    <row r="22" customFormat="false" ht="26.25" hidden="false" customHeight="true" outlineLevel="0" collapsed="false">
      <c r="A22" s="19" t="s">
        <v>391</v>
      </c>
      <c r="B22" s="19" t="s">
        <v>392</v>
      </c>
      <c r="C22" s="23" t="s">
        <v>393</v>
      </c>
      <c r="D22" s="19" t="s">
        <v>394</v>
      </c>
      <c r="E22" s="19" t="s">
        <v>166</v>
      </c>
      <c r="F22" s="18" t="str">
        <f aca="false">IFERROR(INDEX(Suits!$B$2:$B$7,MATCH(E22,Suits!$A$2:$A$7,0)),"?")</f>
        <v>二枚舌</v>
      </c>
      <c r="G22" s="19" t="s">
        <v>279</v>
      </c>
      <c r="H22" s="19" t="n">
        <v>1</v>
      </c>
      <c r="I22" s="19" t="n">
        <v>0</v>
      </c>
      <c r="J22" s="19" t="n">
        <v>0</v>
      </c>
      <c r="K22" s="19" t="n">
        <v>5</v>
      </c>
      <c r="L22" s="19" t="n">
        <v>0</v>
      </c>
      <c r="M22" s="19" t="n">
        <v>1</v>
      </c>
      <c r="N22" s="19" t="s">
        <v>395</v>
      </c>
      <c r="O22" s="19" t="s">
        <v>396</v>
      </c>
      <c r="P22" s="19" t="s">
        <v>397</v>
      </c>
      <c r="Q22" s="19" t="s">
        <v>108</v>
      </c>
      <c r="R22" s="18" t="n">
        <f aca="false">IFERROR(INDEX(Balance!$B$12:$B$14,MATCH(Q22,Balance!$A$12:$A$14,0)),"")</f>
        <v>0</v>
      </c>
      <c r="S22" s="31" t="n">
        <f aca="false">I22*Balance!$B$2+J22*Balance!$B$3+K22*Balance!$B$4+L22*Balance!$B$5-M22*Balance!$B$6</f>
        <v>1.5</v>
      </c>
      <c r="T22" s="32" t="n">
        <f aca="false">IF(H22=0,"",S22/H22)</f>
        <v>1.5</v>
      </c>
      <c r="U22" s="18" t="str">
        <f aca="false">IF(T22="","",IF(T22&gt;$T$27*1.3,"HIGH",IF(T22&lt;$T$27*0.7,"LOW","ok")))</f>
        <v>LOW</v>
      </c>
    </row>
    <row r="23" customFormat="false" ht="32.25" hidden="false" customHeight="true" outlineLevel="0" collapsed="false">
      <c r="A23" s="19" t="s">
        <v>398</v>
      </c>
      <c r="B23" s="19" t="s">
        <v>399</v>
      </c>
      <c r="C23" s="23" t="s">
        <v>400</v>
      </c>
      <c r="D23" s="19" t="s">
        <v>401</v>
      </c>
      <c r="E23" s="19" t="s">
        <v>166</v>
      </c>
      <c r="F23" s="18" t="str">
        <f aca="false">IFERROR(INDEX(Suits!$B$2:$B$7,MATCH(E23,Suits!$A$2:$A$7,0)),"?")</f>
        <v>二枚舌</v>
      </c>
      <c r="G23" s="19" t="s">
        <v>279</v>
      </c>
      <c r="H23" s="19" t="n">
        <v>1</v>
      </c>
      <c r="I23" s="19" t="n">
        <v>0</v>
      </c>
      <c r="J23" s="19" t="n">
        <v>0</v>
      </c>
      <c r="K23" s="19" t="n">
        <v>6</v>
      </c>
      <c r="L23" s="19" t="n">
        <v>0</v>
      </c>
      <c r="M23" s="19" t="n">
        <v>2</v>
      </c>
      <c r="N23" s="19" t="s">
        <v>395</v>
      </c>
      <c r="O23" s="19" t="s">
        <v>402</v>
      </c>
      <c r="P23" s="19" t="s">
        <v>319</v>
      </c>
      <c r="Q23" s="19" t="s">
        <v>108</v>
      </c>
      <c r="R23" s="18" t="n">
        <f aca="false">IFERROR(INDEX(Balance!$B$12:$B$14,MATCH(Q23,Balance!$A$12:$A$14,0)),"")</f>
        <v>0</v>
      </c>
      <c r="S23" s="31" t="n">
        <f aca="false">I23*Balance!$B$2+J23*Balance!$B$3+K23*Balance!$B$4+L23*Balance!$B$5-M23*Balance!$B$6</f>
        <v>0.6</v>
      </c>
      <c r="T23" s="32" t="n">
        <f aca="false">IF(H23=0,"",S23/H23)</f>
        <v>0.6</v>
      </c>
      <c r="U23" s="18" t="str">
        <f aca="false">IF(T23="","",IF(T23&gt;$T$27*1.3,"HIGH",IF(T23&lt;$T$27*0.7,"LOW","ok")))</f>
        <v>LOW</v>
      </c>
    </row>
    <row r="24" customFormat="false" ht="16.5" hidden="false" customHeight="true" outlineLevel="0" collapsed="false">
      <c r="A24" s="19" t="s">
        <v>403</v>
      </c>
      <c r="B24" s="19" t="s">
        <v>404</v>
      </c>
      <c r="C24" s="23" t="s">
        <v>405</v>
      </c>
      <c r="D24" s="19" t="s">
        <v>406</v>
      </c>
      <c r="E24" s="19" t="s">
        <v>166</v>
      </c>
      <c r="F24" s="18" t="str">
        <f aca="false">IFERROR(INDEX(Suits!$B$2:$B$7,MATCH(E24,Suits!$A$2:$A$7,0)),"?")</f>
        <v>二枚舌</v>
      </c>
      <c r="G24" s="19" t="s">
        <v>348</v>
      </c>
      <c r="H24" s="19" t="n">
        <v>2</v>
      </c>
      <c r="I24" s="19" t="n">
        <v>2</v>
      </c>
      <c r="J24" s="19" t="n">
        <v>3</v>
      </c>
      <c r="K24" s="19" t="n">
        <v>0</v>
      </c>
      <c r="L24" s="19" t="n">
        <v>0</v>
      </c>
      <c r="M24" s="19" t="n">
        <v>2</v>
      </c>
      <c r="N24" s="19" t="s">
        <v>272</v>
      </c>
      <c r="O24" s="19" t="s">
        <v>407</v>
      </c>
      <c r="P24" s="19" t="s">
        <v>408</v>
      </c>
      <c r="Q24" s="19" t="s">
        <v>110</v>
      </c>
      <c r="R24" s="18" t="n">
        <f aca="false">IFERROR(INDEX(Balance!$B$12:$B$14,MATCH(Q24,Balance!$A$12:$A$14,0)),"")</f>
        <v>60</v>
      </c>
      <c r="S24" s="31" t="n">
        <f aca="false">I24*Balance!$B$2+J24*Balance!$B$3+K24*Balance!$B$4+L24*Balance!$B$5-M24*Balance!$B$6</f>
        <v>2.6</v>
      </c>
      <c r="T24" s="32" t="n">
        <f aca="false">IF(H24=0,"",S24/H24)</f>
        <v>1.3</v>
      </c>
      <c r="U24" s="18" t="str">
        <f aca="false">IF(T24="","",IF(T24&gt;$T$27*1.3,"HIGH",IF(T24&lt;$T$27*0.7,"LOW","ok")))</f>
        <v>LOW</v>
      </c>
    </row>
    <row r="25" customFormat="false" ht="16.5" hidden="false" customHeight="true" outlineLevel="0" collapsed="false">
      <c r="A25" s="19" t="s">
        <v>409</v>
      </c>
      <c r="B25" s="19" t="s">
        <v>410</v>
      </c>
      <c r="C25" s="23" t="s">
        <v>411</v>
      </c>
      <c r="D25" s="19" t="s">
        <v>412</v>
      </c>
      <c r="E25" s="19" t="s">
        <v>166</v>
      </c>
      <c r="F25" s="18" t="str">
        <f aca="false">IFERROR(INDEX(Suits!$B$2:$B$7,MATCH(E25,Suits!$A$2:$A$7,0)),"?")</f>
        <v>二枚舌</v>
      </c>
      <c r="G25" s="19" t="s">
        <v>271</v>
      </c>
      <c r="H25" s="19" t="n">
        <v>3</v>
      </c>
      <c r="I25" s="19" t="n">
        <v>7</v>
      </c>
      <c r="J25" s="19" t="n">
        <v>2</v>
      </c>
      <c r="K25" s="19" t="n">
        <v>0</v>
      </c>
      <c r="L25" s="19" t="n">
        <v>0</v>
      </c>
      <c r="M25" s="19" t="n">
        <v>3</v>
      </c>
      <c r="N25" s="19" t="s">
        <v>413</v>
      </c>
      <c r="O25" s="19" t="s">
        <v>414</v>
      </c>
      <c r="P25" s="19" t="s">
        <v>415</v>
      </c>
      <c r="Q25" s="19" t="s">
        <v>112</v>
      </c>
      <c r="R25" s="18" t="n">
        <f aca="false">IFERROR(INDEX(Balance!$B$12:$B$14,MATCH(Q25,Balance!$A$12:$A$14,0)),"")</f>
        <v>120</v>
      </c>
      <c r="S25" s="31" t="n">
        <f aca="false">I25*Balance!$B$2+J25*Balance!$B$3+K25*Balance!$B$4+L25*Balance!$B$5-M25*Balance!$B$6</f>
        <v>4.9</v>
      </c>
      <c r="T25" s="32" t="n">
        <f aca="false">IF(H25=0,"",S25/H25)</f>
        <v>1.63333333333333</v>
      </c>
      <c r="U25" s="18" t="str">
        <f aca="false">IF(T25="","",IF(T25&gt;$T$27*1.3,"HIGH",IF(T25&lt;$T$27*0.7,"LOW","ok")))</f>
        <v>LOW</v>
      </c>
    </row>
    <row r="27" customFormat="false" ht="39" hidden="false" customHeight="true" outlineLevel="0" collapsed="false">
      <c r="A27" s="21" t="s">
        <v>416</v>
      </c>
      <c r="T27" s="32" t="n">
        <f aca="false">AVERAGE(T2:T25)</f>
        <v>2.43125</v>
      </c>
    </row>
    <row r="28" customFormat="false" ht="15" hidden="false" customHeight="true" outlineLevel="0" collapsed="false">
      <c r="A28" s="28" t="s">
        <v>417</v>
      </c>
      <c r="B28" s="28"/>
      <c r="C28" s="28"/>
      <c r="D28" s="28"/>
      <c r="E28" s="28"/>
      <c r="F28" s="28"/>
      <c r="G28" s="28"/>
      <c r="H28" s="28"/>
      <c r="I28" s="28"/>
      <c r="J28" s="28"/>
    </row>
  </sheetData>
  <mergeCells count="1">
    <mergeCell ref="A28:J28"/>
  </mergeCells>
  <dataValidations count="4">
    <dataValidation allowBlank="true" errorStyle="stop" operator="between" showDropDown="false" showErrorMessage="false" showInputMessage="false" sqref="E2:E200" type="list">
      <formula1>Lists!$A$2:$A$7</formula1>
      <formula2>0</formula2>
    </dataValidation>
    <dataValidation allowBlank="true" errorStyle="stop" operator="between" showDropDown="false" showErrorMessage="false" showInputMessage="false" sqref="G2:G200" type="list">
      <formula1>Lists!$B$2:$B$6</formula1>
      <formula2>0</formula2>
    </dataValidation>
    <dataValidation allowBlank="true" errorStyle="stop" operator="between" showDropDown="false" showErrorMessage="false" showInputMessage="false" sqref="N2:N200" type="list">
      <formula1>Lists!$C$2:$C$7</formula1>
      <formula2>0</formula2>
    </dataValidation>
    <dataValidation allowBlank="true" errorStyle="stop" operator="between" showDropDown="false" showErrorMessage="false" showInputMessage="false" sqref="Q2:Q200" type="list">
      <formula1>Lists!$D$2:$D$4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3" min="3" style="1" width="13"/>
    <col collapsed="false" customWidth="true" hidden="false" outlineLevel="0" max="10" min="4" style="1" width="9"/>
  </cols>
  <sheetData>
    <row r="1" customFormat="false" ht="31.5" hidden="false" customHeight="true" outlineLevel="0" collapsed="false">
      <c r="A1" s="17" t="s">
        <v>249</v>
      </c>
      <c r="B1" s="17" t="s">
        <v>418</v>
      </c>
      <c r="C1" s="17" t="s">
        <v>419</v>
      </c>
      <c r="D1" s="17" t="s">
        <v>198</v>
      </c>
      <c r="E1" s="17" t="s">
        <v>206</v>
      </c>
      <c r="F1" s="17" t="s">
        <v>212</v>
      </c>
      <c r="G1" s="17" t="s">
        <v>218</v>
      </c>
      <c r="H1" s="17" t="s">
        <v>224</v>
      </c>
      <c r="I1" s="17" t="s">
        <v>229</v>
      </c>
      <c r="J1" s="17" t="s">
        <v>241</v>
      </c>
    </row>
    <row r="2" customFormat="false" ht="15" hidden="false" customHeight="true" outlineLevel="0" collapsed="false">
      <c r="A2" s="33" t="str">
        <f aca="false">Cards!A2</f>
        <v>C01</v>
      </c>
      <c r="B2" s="33" t="str">
        <f aca="false">Cards!B2</f>
        <v>Record of Service</v>
      </c>
      <c r="C2" s="33" t="str">
        <f aca="false">Cards!E2</f>
        <v>Earnest</v>
      </c>
      <c r="D2" s="34" t="n">
        <f aca="false">ROUND(Cards!$S2*INDEX(Affinity!$B$2:$H$7,MATCH($C2,Affinity!$A$2:$A$7,0),MATCH(D$1,Affinity!$B$1:$H$1,0)),1)</f>
        <v>3</v>
      </c>
      <c r="E2" s="34" t="n">
        <f aca="false">ROUND(Cards!$S2*INDEX(Affinity!$B$2:$H$7,MATCH($C2,Affinity!$A$2:$A$7,0),MATCH(E$1,Affinity!$B$1:$H$1,0)),1)</f>
        <v>3</v>
      </c>
      <c r="F2" s="34" t="n">
        <f aca="false">ROUND(Cards!$S2*INDEX(Affinity!$B$2:$H$7,MATCH($C2,Affinity!$A$2:$A$7,0),MATCH(F$1,Affinity!$B$1:$H$1,0)),1)</f>
        <v>3.3</v>
      </c>
      <c r="G2" s="34" t="n">
        <f aca="false">ROUND(Cards!$S2*INDEX(Affinity!$B$2:$H$7,MATCH($C2,Affinity!$A$2:$A$7,0),MATCH(G$1,Affinity!$B$1:$H$1,0)),1)</f>
        <v>3.6</v>
      </c>
      <c r="H2" s="34" t="n">
        <f aca="false">ROUND(Cards!$S2*INDEX(Affinity!$B$2:$H$7,MATCH($C2,Affinity!$A$2:$A$7,0),MATCH(H$1,Affinity!$B$1:$H$1,0)),1)</f>
        <v>3.6</v>
      </c>
      <c r="I2" s="34" t="n">
        <f aca="false">ROUND(Cards!$S2*INDEX(Affinity!$B$2:$H$7,MATCH($C2,Affinity!$A$2:$A$7,0),MATCH(I$1,Affinity!$B$1:$H$1,0)),1)</f>
        <v>3.3</v>
      </c>
      <c r="J2" s="34" t="n">
        <f aca="false">ROUND(Cards!$S2*INDEX(Affinity!$B$2:$H$7,MATCH($C2,Affinity!$A$2:$A$7,0),MATCH(J$1,Affinity!$B$1:$H$1,0)),1)</f>
        <v>3.6</v>
      </c>
    </row>
    <row r="3" customFormat="false" ht="15" hidden="false" customHeight="true" outlineLevel="0" collapsed="false">
      <c r="A3" s="33" t="str">
        <f aca="false">Cards!A3</f>
        <v>C02</v>
      </c>
      <c r="B3" s="33" t="str">
        <f aca="false">Cards!B3</f>
        <v>Sincere Answer</v>
      </c>
      <c r="C3" s="33" t="str">
        <f aca="false">Cards!E3</f>
        <v>Earnest</v>
      </c>
      <c r="D3" s="34" t="n">
        <f aca="false">ROUND(Cards!$S3*INDEX(Affinity!$B$2:$H$7,MATCH($C3,Affinity!$A$2:$A$7,0),MATCH(D$1,Affinity!$B$1:$H$1,0)),1)</f>
        <v>3.4</v>
      </c>
      <c r="E3" s="34" t="n">
        <f aca="false">ROUND(Cards!$S3*INDEX(Affinity!$B$2:$H$7,MATCH($C3,Affinity!$A$2:$A$7,0),MATCH(E$1,Affinity!$B$1:$H$1,0)),1)</f>
        <v>3.4</v>
      </c>
      <c r="F3" s="34" t="n">
        <f aca="false">ROUND(Cards!$S3*INDEX(Affinity!$B$2:$H$7,MATCH($C3,Affinity!$A$2:$A$7,0),MATCH(F$1,Affinity!$B$1:$H$1,0)),1)</f>
        <v>3.7</v>
      </c>
      <c r="G3" s="34" t="n">
        <f aca="false">ROUND(Cards!$S3*INDEX(Affinity!$B$2:$H$7,MATCH($C3,Affinity!$A$2:$A$7,0),MATCH(G$1,Affinity!$B$1:$H$1,0)),1)</f>
        <v>4.1</v>
      </c>
      <c r="H3" s="34" t="n">
        <f aca="false">ROUND(Cards!$S3*INDEX(Affinity!$B$2:$H$7,MATCH($C3,Affinity!$A$2:$A$7,0),MATCH(H$1,Affinity!$B$1:$H$1,0)),1)</f>
        <v>4.1</v>
      </c>
      <c r="I3" s="34" t="n">
        <f aca="false">ROUND(Cards!$S3*INDEX(Affinity!$B$2:$H$7,MATCH($C3,Affinity!$A$2:$A$7,0),MATCH(I$1,Affinity!$B$1:$H$1,0)),1)</f>
        <v>3.7</v>
      </c>
      <c r="J3" s="34" t="n">
        <f aca="false">ROUND(Cards!$S3*INDEX(Affinity!$B$2:$H$7,MATCH($C3,Affinity!$A$2:$A$7,0),MATCH(J$1,Affinity!$B$1:$H$1,0)),1)</f>
        <v>4.1</v>
      </c>
    </row>
    <row r="4" customFormat="false" ht="15" hidden="false" customHeight="true" outlineLevel="0" collapsed="false">
      <c r="A4" s="33" t="str">
        <f aca="false">Cards!A4</f>
        <v>C03</v>
      </c>
      <c r="B4" s="33" t="str">
        <f aca="false">Cards!B4</f>
        <v>Formal Apology</v>
      </c>
      <c r="C4" s="33" t="str">
        <f aca="false">Cards!E4</f>
        <v>Earnest</v>
      </c>
      <c r="D4" s="34" t="n">
        <f aca="false">ROUND(Cards!$S4*INDEX(Affinity!$B$2:$H$7,MATCH($C4,Affinity!$A$2:$A$7,0),MATCH(D$1,Affinity!$B$1:$H$1,0)),1)</f>
        <v>6.5</v>
      </c>
      <c r="E4" s="34" t="n">
        <f aca="false">ROUND(Cards!$S4*INDEX(Affinity!$B$2:$H$7,MATCH($C4,Affinity!$A$2:$A$7,0),MATCH(E$1,Affinity!$B$1:$H$1,0)),1)</f>
        <v>6.5</v>
      </c>
      <c r="F4" s="34" t="n">
        <f aca="false">ROUND(Cards!$S4*INDEX(Affinity!$B$2:$H$7,MATCH($C4,Affinity!$A$2:$A$7,0),MATCH(F$1,Affinity!$B$1:$H$1,0)),1)</f>
        <v>7.2</v>
      </c>
      <c r="G4" s="34" t="n">
        <f aca="false">ROUND(Cards!$S4*INDEX(Affinity!$B$2:$H$7,MATCH($C4,Affinity!$A$2:$A$7,0),MATCH(G$1,Affinity!$B$1:$H$1,0)),1)</f>
        <v>7.8</v>
      </c>
      <c r="H4" s="34" t="n">
        <f aca="false">ROUND(Cards!$S4*INDEX(Affinity!$B$2:$H$7,MATCH($C4,Affinity!$A$2:$A$7,0),MATCH(H$1,Affinity!$B$1:$H$1,0)),1)</f>
        <v>7.8</v>
      </c>
      <c r="I4" s="34" t="n">
        <f aca="false">ROUND(Cards!$S4*INDEX(Affinity!$B$2:$H$7,MATCH($C4,Affinity!$A$2:$A$7,0),MATCH(I$1,Affinity!$B$1:$H$1,0)),1)</f>
        <v>7.2</v>
      </c>
      <c r="J4" s="34" t="n">
        <f aca="false">ROUND(Cards!$S4*INDEX(Affinity!$B$2:$H$7,MATCH($C4,Affinity!$A$2:$A$7,0),MATCH(J$1,Affinity!$B$1:$H$1,0)),1)</f>
        <v>7.8</v>
      </c>
    </row>
    <row r="5" customFormat="false" ht="15" hidden="false" customHeight="true" outlineLevel="0" collapsed="false">
      <c r="A5" s="33" t="str">
        <f aca="false">Cards!A5</f>
        <v>C04</v>
      </c>
      <c r="B5" s="33" t="str">
        <f aca="false">Cards!B5</f>
        <v>Return to First Principles</v>
      </c>
      <c r="C5" s="33" t="str">
        <f aca="false">Cards!E5</f>
        <v>Earnest</v>
      </c>
      <c r="D5" s="34" t="n">
        <f aca="false">ROUND(Cards!$S5*INDEX(Affinity!$B$2:$H$7,MATCH($C5,Affinity!$A$2:$A$7,0),MATCH(D$1,Affinity!$B$1:$H$1,0)),1)</f>
        <v>6</v>
      </c>
      <c r="E5" s="34" t="n">
        <f aca="false">ROUND(Cards!$S5*INDEX(Affinity!$B$2:$H$7,MATCH($C5,Affinity!$A$2:$A$7,0),MATCH(E$1,Affinity!$B$1:$H$1,0)),1)</f>
        <v>6</v>
      </c>
      <c r="F5" s="34" t="n">
        <f aca="false">ROUND(Cards!$S5*INDEX(Affinity!$B$2:$H$7,MATCH($C5,Affinity!$A$2:$A$7,0),MATCH(F$1,Affinity!$B$1:$H$1,0)),1)</f>
        <v>6.6</v>
      </c>
      <c r="G5" s="34" t="n">
        <f aca="false">ROUND(Cards!$S5*INDEX(Affinity!$B$2:$H$7,MATCH($C5,Affinity!$A$2:$A$7,0),MATCH(G$1,Affinity!$B$1:$H$1,0)),1)</f>
        <v>7.2</v>
      </c>
      <c r="H5" s="34" t="n">
        <f aca="false">ROUND(Cards!$S5*INDEX(Affinity!$B$2:$H$7,MATCH($C5,Affinity!$A$2:$A$7,0),MATCH(H$1,Affinity!$B$1:$H$1,0)),1)</f>
        <v>7.2</v>
      </c>
      <c r="I5" s="34" t="n">
        <f aca="false">ROUND(Cards!$S5*INDEX(Affinity!$B$2:$H$7,MATCH($C5,Affinity!$A$2:$A$7,0),MATCH(I$1,Affinity!$B$1:$H$1,0)),1)</f>
        <v>6.6</v>
      </c>
      <c r="J5" s="34" t="n">
        <f aca="false">ROUND(Cards!$S5*INDEX(Affinity!$B$2:$H$7,MATCH($C5,Affinity!$A$2:$A$7,0),MATCH(J$1,Affinity!$B$1:$H$1,0)),1)</f>
        <v>7.2</v>
      </c>
    </row>
    <row r="6" customFormat="false" ht="15" hidden="false" customHeight="true" outlineLevel="0" collapsed="false">
      <c r="A6" s="33" t="str">
        <f aca="false">Cards!A6</f>
        <v>C05</v>
      </c>
      <c r="B6" s="33" t="str">
        <f aca="false">Cards!B6</f>
        <v>Impassioned Speech</v>
      </c>
      <c r="C6" s="33" t="str">
        <f aca="false">Cards!E6</f>
        <v>Emotional</v>
      </c>
      <c r="D6" s="34" t="n">
        <f aca="false">ROUND(Cards!$S6*INDEX(Affinity!$B$2:$H$7,MATCH($C6,Affinity!$A$2:$A$7,0),MATCH(D$1,Affinity!$B$1:$H$1,0)),1)</f>
        <v>2.8</v>
      </c>
      <c r="E6" s="34" t="n">
        <f aca="false">ROUND(Cards!$S6*INDEX(Affinity!$B$2:$H$7,MATCH($C6,Affinity!$A$2:$A$7,0),MATCH(E$1,Affinity!$B$1:$H$1,0)),1)</f>
        <v>3.9</v>
      </c>
      <c r="F6" s="34" t="n">
        <f aca="false">ROUND(Cards!$S6*INDEX(Affinity!$B$2:$H$7,MATCH($C6,Affinity!$A$2:$A$7,0),MATCH(F$1,Affinity!$B$1:$H$1,0)),1)</f>
        <v>3.5</v>
      </c>
      <c r="G6" s="34" t="n">
        <f aca="false">ROUND(Cards!$S6*INDEX(Affinity!$B$2:$H$7,MATCH($C6,Affinity!$A$2:$A$7,0),MATCH(G$1,Affinity!$B$1:$H$1,0)),1)</f>
        <v>3.2</v>
      </c>
      <c r="H6" s="34" t="n">
        <f aca="false">ROUND(Cards!$S6*INDEX(Affinity!$B$2:$H$7,MATCH($C6,Affinity!$A$2:$A$7,0),MATCH(H$1,Affinity!$B$1:$H$1,0)),1)</f>
        <v>4.6</v>
      </c>
      <c r="I6" s="34" t="n">
        <f aca="false">ROUND(Cards!$S6*INDEX(Affinity!$B$2:$H$7,MATCH($C6,Affinity!$A$2:$A$7,0),MATCH(I$1,Affinity!$B$1:$H$1,0)),1)</f>
        <v>3.5</v>
      </c>
      <c r="J6" s="34" t="n">
        <f aca="false">ROUND(Cards!$S6*INDEX(Affinity!$B$2:$H$7,MATCH($C6,Affinity!$A$2:$A$7,0),MATCH(J$1,Affinity!$B$1:$H$1,0)),1)</f>
        <v>3.2</v>
      </c>
    </row>
    <row r="7" customFormat="false" ht="15" hidden="false" customHeight="true" outlineLevel="0" collapsed="false">
      <c r="A7" s="33" t="str">
        <f aca="false">Cards!A7</f>
        <v>C06</v>
      </c>
      <c r="B7" s="33" t="str">
        <f aca="false">Cards!B7</f>
        <v>Tearful Appeal</v>
      </c>
      <c r="C7" s="33" t="str">
        <f aca="false">Cards!E7</f>
        <v>Emotional</v>
      </c>
      <c r="D7" s="34" t="n">
        <f aca="false">ROUND(Cards!$S7*INDEX(Affinity!$B$2:$H$7,MATCH($C7,Affinity!$A$2:$A$7,0),MATCH(D$1,Affinity!$B$1:$H$1,0)),1)</f>
        <v>3.2</v>
      </c>
      <c r="E7" s="34" t="n">
        <f aca="false">ROUND(Cards!$S7*INDEX(Affinity!$B$2:$H$7,MATCH($C7,Affinity!$A$2:$A$7,0),MATCH(E$1,Affinity!$B$1:$H$1,0)),1)</f>
        <v>4.4</v>
      </c>
      <c r="F7" s="34" t="n">
        <f aca="false">ROUND(Cards!$S7*INDEX(Affinity!$B$2:$H$7,MATCH($C7,Affinity!$A$2:$A$7,0),MATCH(F$1,Affinity!$B$1:$H$1,0)),1)</f>
        <v>4</v>
      </c>
      <c r="G7" s="34" t="n">
        <f aca="false">ROUND(Cards!$S7*INDEX(Affinity!$B$2:$H$7,MATCH($C7,Affinity!$A$2:$A$7,0),MATCH(G$1,Affinity!$B$1:$H$1,0)),1)</f>
        <v>3.6</v>
      </c>
      <c r="H7" s="34" t="n">
        <f aca="false">ROUND(Cards!$S7*INDEX(Affinity!$B$2:$H$7,MATCH($C7,Affinity!$A$2:$A$7,0),MATCH(H$1,Affinity!$B$1:$H$1,0)),1)</f>
        <v>5.2</v>
      </c>
      <c r="I7" s="34" t="n">
        <f aca="false">ROUND(Cards!$S7*INDEX(Affinity!$B$2:$H$7,MATCH($C7,Affinity!$A$2:$A$7,0),MATCH(I$1,Affinity!$B$1:$H$1,0)),1)</f>
        <v>4</v>
      </c>
      <c r="J7" s="34" t="n">
        <f aca="false">ROUND(Cards!$S7*INDEX(Affinity!$B$2:$H$7,MATCH($C7,Affinity!$A$2:$A$7,0),MATCH(J$1,Affinity!$B$1:$H$1,0)),1)</f>
        <v>3.6</v>
      </c>
    </row>
    <row r="8" customFormat="false" ht="15" hidden="false" customHeight="true" outlineLevel="0" collapsed="false">
      <c r="A8" s="33" t="str">
        <f aca="false">Cards!A8</f>
        <v>C07</v>
      </c>
      <c r="B8" s="33" t="str">
        <f aca="false">Cards!B8</f>
        <v>Rousing Applause</v>
      </c>
      <c r="C8" s="33" t="str">
        <f aca="false">Cards!E8</f>
        <v>Emotional</v>
      </c>
      <c r="D8" s="34" t="n">
        <f aca="false">ROUND(Cards!$S8*INDEX(Affinity!$B$2:$H$7,MATCH($C8,Affinity!$A$2:$A$7,0),MATCH(D$1,Affinity!$B$1:$H$1,0)),1)</f>
        <v>3.2</v>
      </c>
      <c r="E8" s="34" t="n">
        <f aca="false">ROUND(Cards!$S8*INDEX(Affinity!$B$2:$H$7,MATCH($C8,Affinity!$A$2:$A$7,0),MATCH(E$1,Affinity!$B$1:$H$1,0)),1)</f>
        <v>4.4</v>
      </c>
      <c r="F8" s="34" t="n">
        <f aca="false">ROUND(Cards!$S8*INDEX(Affinity!$B$2:$H$7,MATCH($C8,Affinity!$A$2:$A$7,0),MATCH(F$1,Affinity!$B$1:$H$1,0)),1)</f>
        <v>4</v>
      </c>
      <c r="G8" s="34" t="n">
        <f aca="false">ROUND(Cards!$S8*INDEX(Affinity!$B$2:$H$7,MATCH($C8,Affinity!$A$2:$A$7,0),MATCH(G$1,Affinity!$B$1:$H$1,0)),1)</f>
        <v>3.6</v>
      </c>
      <c r="H8" s="34" t="n">
        <f aca="false">ROUND(Cards!$S8*INDEX(Affinity!$B$2:$H$7,MATCH($C8,Affinity!$A$2:$A$7,0),MATCH(H$1,Affinity!$B$1:$H$1,0)),1)</f>
        <v>5.2</v>
      </c>
      <c r="I8" s="34" t="n">
        <f aca="false">ROUND(Cards!$S8*INDEX(Affinity!$B$2:$H$7,MATCH($C8,Affinity!$A$2:$A$7,0),MATCH(I$1,Affinity!$B$1:$H$1,0)),1)</f>
        <v>4</v>
      </c>
      <c r="J8" s="34" t="n">
        <f aca="false">ROUND(Cards!$S8*INDEX(Affinity!$B$2:$H$7,MATCH($C8,Affinity!$A$2:$A$7,0),MATCH(J$1,Affinity!$B$1:$H$1,0)),1)</f>
        <v>3.6</v>
      </c>
    </row>
    <row r="9" customFormat="false" ht="15" hidden="false" customHeight="true" outlineLevel="0" collapsed="false">
      <c r="A9" s="33" t="str">
        <f aca="false">Cards!A9</f>
        <v>C08</v>
      </c>
      <c r="B9" s="33" t="str">
        <f aca="false">Cards!B9</f>
        <v>Speech from the Soul</v>
      </c>
      <c r="C9" s="33" t="str">
        <f aca="false">Cards!E9</f>
        <v>Emotional</v>
      </c>
      <c r="D9" s="34" t="n">
        <f aca="false">ROUND(Cards!$S9*INDEX(Affinity!$B$2:$H$7,MATCH($C9,Affinity!$A$2:$A$7,0),MATCH(D$1,Affinity!$B$1:$H$1,0)),1)</f>
        <v>4</v>
      </c>
      <c r="E9" s="34" t="n">
        <f aca="false">ROUND(Cards!$S9*INDEX(Affinity!$B$2:$H$7,MATCH($C9,Affinity!$A$2:$A$7,0),MATCH(E$1,Affinity!$B$1:$H$1,0)),1)</f>
        <v>5.5</v>
      </c>
      <c r="F9" s="34" t="n">
        <f aca="false">ROUND(Cards!$S9*INDEX(Affinity!$B$2:$H$7,MATCH($C9,Affinity!$A$2:$A$7,0),MATCH(F$1,Affinity!$B$1:$H$1,0)),1)</f>
        <v>5</v>
      </c>
      <c r="G9" s="34" t="n">
        <f aca="false">ROUND(Cards!$S9*INDEX(Affinity!$B$2:$H$7,MATCH($C9,Affinity!$A$2:$A$7,0),MATCH(G$1,Affinity!$B$1:$H$1,0)),1)</f>
        <v>4.5</v>
      </c>
      <c r="H9" s="34" t="n">
        <f aca="false">ROUND(Cards!$S9*INDEX(Affinity!$B$2:$H$7,MATCH($C9,Affinity!$A$2:$A$7,0),MATCH(H$1,Affinity!$B$1:$H$1,0)),1)</f>
        <v>6.5</v>
      </c>
      <c r="I9" s="34" t="n">
        <f aca="false">ROUND(Cards!$S9*INDEX(Affinity!$B$2:$H$7,MATCH($C9,Affinity!$A$2:$A$7,0),MATCH(I$1,Affinity!$B$1:$H$1,0)),1)</f>
        <v>5</v>
      </c>
      <c r="J9" s="34" t="n">
        <f aca="false">ROUND(Cards!$S9*INDEX(Affinity!$B$2:$H$7,MATCH($C9,Affinity!$A$2:$A$7,0),MATCH(J$1,Affinity!$B$1:$H$1,0)),1)</f>
        <v>4.5</v>
      </c>
    </row>
    <row r="10" customFormat="false" ht="15" hidden="false" customHeight="true" outlineLevel="0" collapsed="false">
      <c r="A10" s="33" t="str">
        <f aca="false">Cards!A10</f>
        <v>C09</v>
      </c>
      <c r="B10" s="33" t="str">
        <f aca="false">Cards!B10</f>
        <v>Party Unity</v>
      </c>
      <c r="C10" s="33" t="str">
        <f aca="false">Cards!E10</f>
        <v>Appeal</v>
      </c>
      <c r="D10" s="34" t="n">
        <f aca="false">ROUND(Cards!$S10*INDEX(Affinity!$B$2:$H$7,MATCH($C10,Affinity!$A$2:$A$7,0),MATCH(D$1,Affinity!$B$1:$H$1,0)),1)</f>
        <v>3</v>
      </c>
      <c r="E10" s="34" t="n">
        <f aca="false">ROUND(Cards!$S10*INDEX(Affinity!$B$2:$H$7,MATCH($C10,Affinity!$A$2:$A$7,0),MATCH(E$1,Affinity!$B$1:$H$1,0)),1)</f>
        <v>3.6</v>
      </c>
      <c r="F10" s="34" t="n">
        <f aca="false">ROUND(Cards!$S10*INDEX(Affinity!$B$2:$H$7,MATCH($C10,Affinity!$A$2:$A$7,0),MATCH(F$1,Affinity!$B$1:$H$1,0)),1)</f>
        <v>3.8</v>
      </c>
      <c r="G10" s="34" t="n">
        <f aca="false">ROUND(Cards!$S10*INDEX(Affinity!$B$2:$H$7,MATCH($C10,Affinity!$A$2:$A$7,0),MATCH(G$1,Affinity!$B$1:$H$1,0)),1)</f>
        <v>2.7</v>
      </c>
      <c r="H10" s="34" t="n">
        <f aca="false">ROUND(Cards!$S10*INDEX(Affinity!$B$2:$H$7,MATCH($C10,Affinity!$A$2:$A$7,0),MATCH(H$1,Affinity!$B$1:$H$1,0)),1)</f>
        <v>3.3</v>
      </c>
      <c r="I10" s="34" t="n">
        <f aca="false">ROUND(Cards!$S10*INDEX(Affinity!$B$2:$H$7,MATCH($C10,Affinity!$A$2:$A$7,0),MATCH(I$1,Affinity!$B$1:$H$1,0)),1)</f>
        <v>3</v>
      </c>
      <c r="J10" s="34" t="n">
        <f aca="false">ROUND(Cards!$S10*INDEX(Affinity!$B$2:$H$7,MATCH($C10,Affinity!$A$2:$A$7,0),MATCH(J$1,Affinity!$B$1:$H$1,0)),1)</f>
        <v>3.9</v>
      </c>
    </row>
    <row r="11" customFormat="false" ht="15" hidden="false" customHeight="true" outlineLevel="0" collapsed="false">
      <c r="A11" s="33" t="str">
        <f aca="false">Cards!A11</f>
        <v>C10</v>
      </c>
      <c r="B11" s="33" t="str">
        <f aca="false">Cards!B11</f>
        <v>Voice of the Hometown</v>
      </c>
      <c r="C11" s="33" t="str">
        <f aca="false">Cards!E11</f>
        <v>Appeal</v>
      </c>
      <c r="D11" s="34" t="n">
        <f aca="false">ROUND(Cards!$S11*INDEX(Affinity!$B$2:$H$7,MATCH($C11,Affinity!$A$2:$A$7,0),MATCH(D$1,Affinity!$B$1:$H$1,0)),1)</f>
        <v>3</v>
      </c>
      <c r="E11" s="34" t="n">
        <f aca="false">ROUND(Cards!$S11*INDEX(Affinity!$B$2:$H$7,MATCH($C11,Affinity!$A$2:$A$7,0),MATCH(E$1,Affinity!$B$1:$H$1,0)),1)</f>
        <v>3.6</v>
      </c>
      <c r="F11" s="34" t="n">
        <f aca="false">ROUND(Cards!$S11*INDEX(Affinity!$B$2:$H$7,MATCH($C11,Affinity!$A$2:$A$7,0),MATCH(F$1,Affinity!$B$1:$H$1,0)),1)</f>
        <v>3.8</v>
      </c>
      <c r="G11" s="34" t="n">
        <f aca="false">ROUND(Cards!$S11*INDEX(Affinity!$B$2:$H$7,MATCH($C11,Affinity!$A$2:$A$7,0),MATCH(G$1,Affinity!$B$1:$H$1,0)),1)</f>
        <v>2.7</v>
      </c>
      <c r="H11" s="34" t="n">
        <f aca="false">ROUND(Cards!$S11*INDEX(Affinity!$B$2:$H$7,MATCH($C11,Affinity!$A$2:$A$7,0),MATCH(H$1,Affinity!$B$1:$H$1,0)),1)</f>
        <v>3.3</v>
      </c>
      <c r="I11" s="34" t="n">
        <f aca="false">ROUND(Cards!$S11*INDEX(Affinity!$B$2:$H$7,MATCH($C11,Affinity!$A$2:$A$7,0),MATCH(I$1,Affinity!$B$1:$H$1,0)),1)</f>
        <v>3</v>
      </c>
      <c r="J11" s="34" t="n">
        <f aca="false">ROUND(Cards!$S11*INDEX(Affinity!$B$2:$H$7,MATCH($C11,Affinity!$A$2:$A$7,0),MATCH(J$1,Affinity!$B$1:$H$1,0)),1)</f>
        <v>3.9</v>
      </c>
    </row>
    <row r="12" customFormat="false" ht="15" hidden="false" customHeight="true" outlineLevel="0" collapsed="false">
      <c r="A12" s="33" t="str">
        <f aca="false">Cards!A12</f>
        <v>C11</v>
      </c>
      <c r="B12" s="33" t="str">
        <f aca="false">Cards!B12</f>
        <v>Groundwork</v>
      </c>
      <c r="C12" s="33" t="str">
        <f aca="false">Cards!E12</f>
        <v>Appeal</v>
      </c>
      <c r="D12" s="34" t="n">
        <f aca="false">ROUND(Cards!$S12*INDEX(Affinity!$B$2:$H$7,MATCH($C12,Affinity!$A$2:$A$7,0),MATCH(D$1,Affinity!$B$1:$H$1,0)),1)</f>
        <v>2</v>
      </c>
      <c r="E12" s="34" t="n">
        <f aca="false">ROUND(Cards!$S12*INDEX(Affinity!$B$2:$H$7,MATCH($C12,Affinity!$A$2:$A$7,0),MATCH(E$1,Affinity!$B$1:$H$1,0)),1)</f>
        <v>2.4</v>
      </c>
      <c r="F12" s="34" t="n">
        <f aca="false">ROUND(Cards!$S12*INDEX(Affinity!$B$2:$H$7,MATCH($C12,Affinity!$A$2:$A$7,0),MATCH(F$1,Affinity!$B$1:$H$1,0)),1)</f>
        <v>2.5</v>
      </c>
      <c r="G12" s="34" t="n">
        <f aca="false">ROUND(Cards!$S12*INDEX(Affinity!$B$2:$H$7,MATCH($C12,Affinity!$A$2:$A$7,0),MATCH(G$1,Affinity!$B$1:$H$1,0)),1)</f>
        <v>1.8</v>
      </c>
      <c r="H12" s="34" t="n">
        <f aca="false">ROUND(Cards!$S12*INDEX(Affinity!$B$2:$H$7,MATCH($C12,Affinity!$A$2:$A$7,0),MATCH(H$1,Affinity!$B$1:$H$1,0)),1)</f>
        <v>2.2</v>
      </c>
      <c r="I12" s="34" t="n">
        <f aca="false">ROUND(Cards!$S12*INDEX(Affinity!$B$2:$H$7,MATCH($C12,Affinity!$A$2:$A$7,0),MATCH(I$1,Affinity!$B$1:$H$1,0)),1)</f>
        <v>2</v>
      </c>
      <c r="J12" s="34" t="n">
        <f aca="false">ROUND(Cards!$S12*INDEX(Affinity!$B$2:$H$7,MATCH($C12,Affinity!$A$2:$A$7,0),MATCH(J$1,Affinity!$B$1:$H$1,0)),1)</f>
        <v>2.6</v>
      </c>
    </row>
    <row r="13" customFormat="false" ht="15" hidden="false" customHeight="true" outlineLevel="0" collapsed="false">
      <c r="A13" s="33" t="str">
        <f aca="false">Cards!A13</f>
        <v>C12</v>
      </c>
      <c r="B13" s="33" t="str">
        <f aca="false">Cards!B13</f>
        <v>Head Count</v>
      </c>
      <c r="C13" s="33" t="str">
        <f aca="false">Cards!E13</f>
        <v>Appeal</v>
      </c>
      <c r="D13" s="34" t="n">
        <f aca="false">ROUND(Cards!$S13*INDEX(Affinity!$B$2:$H$7,MATCH($C13,Affinity!$A$2:$A$7,0),MATCH(D$1,Affinity!$B$1:$H$1,0)),1)</f>
        <v>4</v>
      </c>
      <c r="E13" s="34" t="n">
        <f aca="false">ROUND(Cards!$S13*INDEX(Affinity!$B$2:$H$7,MATCH($C13,Affinity!$A$2:$A$7,0),MATCH(E$1,Affinity!$B$1:$H$1,0)),1)</f>
        <v>4.8</v>
      </c>
      <c r="F13" s="34" t="n">
        <f aca="false">ROUND(Cards!$S13*INDEX(Affinity!$B$2:$H$7,MATCH($C13,Affinity!$A$2:$A$7,0),MATCH(F$1,Affinity!$B$1:$H$1,0)),1)</f>
        <v>5</v>
      </c>
      <c r="G13" s="34" t="n">
        <f aca="false">ROUND(Cards!$S13*INDEX(Affinity!$B$2:$H$7,MATCH($C13,Affinity!$A$2:$A$7,0),MATCH(G$1,Affinity!$B$1:$H$1,0)),1)</f>
        <v>3.6</v>
      </c>
      <c r="H13" s="34" t="n">
        <f aca="false">ROUND(Cards!$S13*INDEX(Affinity!$B$2:$H$7,MATCH($C13,Affinity!$A$2:$A$7,0),MATCH(H$1,Affinity!$B$1:$H$1,0)),1)</f>
        <v>4.4</v>
      </c>
      <c r="I13" s="34" t="n">
        <f aca="false">ROUND(Cards!$S13*INDEX(Affinity!$B$2:$H$7,MATCH($C13,Affinity!$A$2:$A$7,0),MATCH(I$1,Affinity!$B$1:$H$1,0)),1)</f>
        <v>4</v>
      </c>
      <c r="J13" s="34" t="n">
        <f aca="false">ROUND(Cards!$S13*INDEX(Affinity!$B$2:$H$7,MATCH($C13,Affinity!$A$2:$A$7,0),MATCH(J$1,Affinity!$B$1:$H$1,0)),1)</f>
        <v>5.2</v>
      </c>
    </row>
    <row r="14" customFormat="false" ht="15" hidden="false" customHeight="true" outlineLevel="0" collapsed="false">
      <c r="A14" s="33" t="str">
        <f aca="false">Cards!A14</f>
        <v>C13</v>
      </c>
      <c r="B14" s="33" t="str">
        <f aca="false">Cards!B14</f>
        <v>Present the Stats</v>
      </c>
      <c r="C14" s="33" t="str">
        <f aca="false">Cards!E14</f>
        <v>Data Driven</v>
      </c>
      <c r="D14" s="34" t="n">
        <f aca="false">ROUND(Cards!$S14*INDEX(Affinity!$B$2:$H$7,MATCH($C14,Affinity!$A$2:$A$7,0),MATCH(D$1,Affinity!$B$1:$H$1,0)),1)</f>
        <v>4.7</v>
      </c>
      <c r="E14" s="34" t="n">
        <f aca="false">ROUND(Cards!$S14*INDEX(Affinity!$B$2:$H$7,MATCH($C14,Affinity!$A$2:$A$7,0),MATCH(E$1,Affinity!$B$1:$H$1,0)),1)</f>
        <v>4</v>
      </c>
      <c r="F14" s="34" t="n">
        <f aca="false">ROUND(Cards!$S14*INDEX(Affinity!$B$2:$H$7,MATCH($C14,Affinity!$A$2:$A$7,0),MATCH(F$1,Affinity!$B$1:$H$1,0)),1)</f>
        <v>3.2</v>
      </c>
      <c r="G14" s="34" t="n">
        <f aca="false">ROUND(Cards!$S14*INDEX(Affinity!$B$2:$H$7,MATCH($C14,Affinity!$A$2:$A$7,0),MATCH(G$1,Affinity!$B$1:$H$1,0)),1)</f>
        <v>3.6</v>
      </c>
      <c r="H14" s="34" t="n">
        <f aca="false">ROUND(Cards!$S14*INDEX(Affinity!$B$2:$H$7,MATCH($C14,Affinity!$A$2:$A$7,0),MATCH(H$1,Affinity!$B$1:$H$1,0)),1)</f>
        <v>2.9</v>
      </c>
      <c r="I14" s="34" t="n">
        <f aca="false">ROUND(Cards!$S14*INDEX(Affinity!$B$2:$H$7,MATCH($C14,Affinity!$A$2:$A$7,0),MATCH(I$1,Affinity!$B$1:$H$1,0)),1)</f>
        <v>4.3</v>
      </c>
      <c r="J14" s="34" t="n">
        <f aca="false">ROUND(Cards!$S14*INDEX(Affinity!$B$2:$H$7,MATCH($C14,Affinity!$A$2:$A$7,0),MATCH(J$1,Affinity!$B$1:$H$1,0)),1)</f>
        <v>3.6</v>
      </c>
    </row>
    <row r="15" customFormat="false" ht="15" hidden="false" customHeight="true" outlineLevel="0" collapsed="false">
      <c r="A15" s="33" t="str">
        <f aca="false">Cards!A15</f>
        <v>C14</v>
      </c>
      <c r="B15" s="33" t="str">
        <f aca="false">Cards!B15</f>
        <v>Document Request</v>
      </c>
      <c r="C15" s="33" t="str">
        <f aca="false">Cards!E15</f>
        <v>Data Driven</v>
      </c>
      <c r="D15" s="34" t="n">
        <f aca="false">ROUND(Cards!$S15*INDEX(Affinity!$B$2:$H$7,MATCH($C15,Affinity!$A$2:$A$7,0),MATCH(D$1,Affinity!$B$1:$H$1,0)),1)</f>
        <v>4.2</v>
      </c>
      <c r="E15" s="34" t="n">
        <f aca="false">ROUND(Cards!$S15*INDEX(Affinity!$B$2:$H$7,MATCH($C15,Affinity!$A$2:$A$7,0),MATCH(E$1,Affinity!$B$1:$H$1,0)),1)</f>
        <v>3.5</v>
      </c>
      <c r="F15" s="34" t="n">
        <f aca="false">ROUND(Cards!$S15*INDEX(Affinity!$B$2:$H$7,MATCH($C15,Affinity!$A$2:$A$7,0),MATCH(F$1,Affinity!$B$1:$H$1,0)),1)</f>
        <v>2.9</v>
      </c>
      <c r="G15" s="34" t="n">
        <f aca="false">ROUND(Cards!$S15*INDEX(Affinity!$B$2:$H$7,MATCH($C15,Affinity!$A$2:$A$7,0),MATCH(G$1,Affinity!$B$1:$H$1,0)),1)</f>
        <v>3.2</v>
      </c>
      <c r="H15" s="34" t="n">
        <f aca="false">ROUND(Cards!$S15*INDEX(Affinity!$B$2:$H$7,MATCH($C15,Affinity!$A$2:$A$7,0),MATCH(H$1,Affinity!$B$1:$H$1,0)),1)</f>
        <v>2.6</v>
      </c>
      <c r="I15" s="34" t="n">
        <f aca="false">ROUND(Cards!$S15*INDEX(Affinity!$B$2:$H$7,MATCH($C15,Affinity!$A$2:$A$7,0),MATCH(I$1,Affinity!$B$1:$H$1,0)),1)</f>
        <v>3.8</v>
      </c>
      <c r="J15" s="34" t="n">
        <f aca="false">ROUND(Cards!$S15*INDEX(Affinity!$B$2:$H$7,MATCH($C15,Affinity!$A$2:$A$7,0),MATCH(J$1,Affinity!$B$1:$H$1,0)),1)</f>
        <v>3.2</v>
      </c>
    </row>
    <row r="16" customFormat="false" ht="15" hidden="false" customHeight="true" outlineLevel="0" collapsed="false">
      <c r="A16" s="33" t="str">
        <f aca="false">Cards!A16</f>
        <v>C15</v>
      </c>
      <c r="B16" s="33" t="str">
        <f aca="false">Cards!B16</f>
        <v>Pursue the Contradiction</v>
      </c>
      <c r="C16" s="33" t="str">
        <f aca="false">Cards!E16</f>
        <v>Data Driven</v>
      </c>
      <c r="D16" s="34" t="n">
        <f aca="false">ROUND(Cards!$S16*INDEX(Affinity!$B$2:$H$7,MATCH($C16,Affinity!$A$2:$A$7,0),MATCH(D$1,Affinity!$B$1:$H$1,0)),1)</f>
        <v>9.4</v>
      </c>
      <c r="E16" s="34" t="n">
        <f aca="false">ROUND(Cards!$S16*INDEX(Affinity!$B$2:$H$7,MATCH($C16,Affinity!$A$2:$A$7,0),MATCH(E$1,Affinity!$B$1:$H$1,0)),1)</f>
        <v>7.9</v>
      </c>
      <c r="F16" s="34" t="n">
        <f aca="false">ROUND(Cards!$S16*INDEX(Affinity!$B$2:$H$7,MATCH($C16,Affinity!$A$2:$A$7,0),MATCH(F$1,Affinity!$B$1:$H$1,0)),1)</f>
        <v>6.5</v>
      </c>
      <c r="G16" s="34" t="n">
        <f aca="false">ROUND(Cards!$S16*INDEX(Affinity!$B$2:$H$7,MATCH($C16,Affinity!$A$2:$A$7,0),MATCH(G$1,Affinity!$B$1:$H$1,0)),1)</f>
        <v>7.2</v>
      </c>
      <c r="H16" s="34" t="n">
        <f aca="false">ROUND(Cards!$S16*INDEX(Affinity!$B$2:$H$7,MATCH($C16,Affinity!$A$2:$A$7,0),MATCH(H$1,Affinity!$B$1:$H$1,0)),1)</f>
        <v>5.8</v>
      </c>
      <c r="I16" s="34" t="n">
        <f aca="false">ROUND(Cards!$S16*INDEX(Affinity!$B$2:$H$7,MATCH($C16,Affinity!$A$2:$A$7,0),MATCH(I$1,Affinity!$B$1:$H$1,0)),1)</f>
        <v>8.6</v>
      </c>
      <c r="J16" s="34" t="n">
        <f aca="false">ROUND(Cards!$S16*INDEX(Affinity!$B$2:$H$7,MATCH($C16,Affinity!$A$2:$A$7,0),MATCH(J$1,Affinity!$B$1:$H$1,0)),1)</f>
        <v>7.2</v>
      </c>
    </row>
    <row r="17" customFormat="false" ht="15" hidden="false" customHeight="true" outlineLevel="0" collapsed="false">
      <c r="A17" s="33" t="str">
        <f aca="false">Cards!A17</f>
        <v>C16</v>
      </c>
      <c r="B17" s="33" t="str">
        <f aca="false">Cards!B17</f>
        <v>White Paper</v>
      </c>
      <c r="C17" s="33" t="str">
        <f aca="false">Cards!E17</f>
        <v>Data Driven</v>
      </c>
      <c r="D17" s="34" t="n">
        <f aca="false">ROUND(Cards!$S17*INDEX(Affinity!$B$2:$H$7,MATCH($C17,Affinity!$A$2:$A$7,0),MATCH(D$1,Affinity!$B$1:$H$1,0)),1)</f>
        <v>11.7</v>
      </c>
      <c r="E17" s="34" t="n">
        <f aca="false">ROUND(Cards!$S17*INDEX(Affinity!$B$2:$H$7,MATCH($C17,Affinity!$A$2:$A$7,0),MATCH(E$1,Affinity!$B$1:$H$1,0)),1)</f>
        <v>9.9</v>
      </c>
      <c r="F17" s="34" t="n">
        <f aca="false">ROUND(Cards!$S17*INDEX(Affinity!$B$2:$H$7,MATCH($C17,Affinity!$A$2:$A$7,0),MATCH(F$1,Affinity!$B$1:$H$1,0)),1)</f>
        <v>8.1</v>
      </c>
      <c r="G17" s="34" t="n">
        <f aca="false">ROUND(Cards!$S17*INDEX(Affinity!$B$2:$H$7,MATCH($C17,Affinity!$A$2:$A$7,0),MATCH(G$1,Affinity!$B$1:$H$1,0)),1)</f>
        <v>9</v>
      </c>
      <c r="H17" s="34" t="n">
        <f aca="false">ROUND(Cards!$S17*INDEX(Affinity!$B$2:$H$7,MATCH($C17,Affinity!$A$2:$A$7,0),MATCH(H$1,Affinity!$B$1:$H$1,0)),1)</f>
        <v>7.2</v>
      </c>
      <c r="I17" s="34" t="n">
        <f aca="false">ROUND(Cards!$S17*INDEX(Affinity!$B$2:$H$7,MATCH($C17,Affinity!$A$2:$A$7,0),MATCH(I$1,Affinity!$B$1:$H$1,0)),1)</f>
        <v>10.8</v>
      </c>
      <c r="J17" s="34" t="n">
        <f aca="false">ROUND(Cards!$S17*INDEX(Affinity!$B$2:$H$7,MATCH($C17,Affinity!$A$2:$A$7,0),MATCH(J$1,Affinity!$B$1:$H$1,0)),1)</f>
        <v>9</v>
      </c>
    </row>
    <row r="18" customFormat="false" ht="15" hidden="false" customHeight="true" outlineLevel="0" collapsed="false">
      <c r="A18" s="33" t="str">
        <f aca="false">Cards!A18</f>
        <v>C17</v>
      </c>
      <c r="B18" s="33" t="str">
        <f aca="false">Cards!B18</f>
        <v>Labeling</v>
      </c>
      <c r="C18" s="33" t="str">
        <f aca="false">Cards!E18</f>
        <v>Divisive</v>
      </c>
      <c r="D18" s="34" t="n">
        <f aca="false">ROUND(Cards!$S18*INDEX(Affinity!$B$2:$H$7,MATCH($C18,Affinity!$A$2:$A$7,0),MATCH(D$1,Affinity!$B$1:$H$1,0)),1)</f>
        <v>2.6</v>
      </c>
      <c r="E18" s="34" t="n">
        <f aca="false">ROUND(Cards!$S18*INDEX(Affinity!$B$2:$H$7,MATCH($C18,Affinity!$A$2:$A$7,0),MATCH(E$1,Affinity!$B$1:$H$1,0)),1)</f>
        <v>4</v>
      </c>
      <c r="F18" s="34" t="n">
        <f aca="false">ROUND(Cards!$S18*INDEX(Affinity!$B$2:$H$7,MATCH($C18,Affinity!$A$2:$A$7,0),MATCH(F$1,Affinity!$B$1:$H$1,0)),1)</f>
        <v>2.6</v>
      </c>
      <c r="G18" s="34" t="n">
        <f aca="false">ROUND(Cards!$S18*INDEX(Affinity!$B$2:$H$7,MATCH($C18,Affinity!$A$2:$A$7,0),MATCH(G$1,Affinity!$B$1:$H$1,0)),1)</f>
        <v>3.3</v>
      </c>
      <c r="H18" s="34" t="n">
        <f aca="false">ROUND(Cards!$S18*INDEX(Affinity!$B$2:$H$7,MATCH($C18,Affinity!$A$2:$A$7,0),MATCH(H$1,Affinity!$B$1:$H$1,0)),1)</f>
        <v>3.6</v>
      </c>
      <c r="I18" s="34" t="n">
        <f aca="false">ROUND(Cards!$S18*INDEX(Affinity!$B$2:$H$7,MATCH($C18,Affinity!$A$2:$A$7,0),MATCH(I$1,Affinity!$B$1:$H$1,0)),1)</f>
        <v>3.6</v>
      </c>
      <c r="J18" s="34" t="n">
        <f aca="false">ROUND(Cards!$S18*INDEX(Affinity!$B$2:$H$7,MATCH($C18,Affinity!$A$2:$A$7,0),MATCH(J$1,Affinity!$B$1:$H$1,0)),1)</f>
        <v>2.3</v>
      </c>
    </row>
    <row r="19" customFormat="false" ht="15" hidden="false" customHeight="true" outlineLevel="0" collapsed="false">
      <c r="A19" s="33" t="str">
        <f aca="false">Cards!A19</f>
        <v>C18</v>
      </c>
      <c r="B19" s="33" t="str">
        <f aca="false">Cards!B19</f>
        <v>Drawing Battle Lines</v>
      </c>
      <c r="C19" s="33" t="str">
        <f aca="false">Cards!E19</f>
        <v>Divisive</v>
      </c>
      <c r="D19" s="34" t="n">
        <f aca="false">ROUND(Cards!$S19*INDEX(Affinity!$B$2:$H$7,MATCH($C19,Affinity!$A$2:$A$7,0),MATCH(D$1,Affinity!$B$1:$H$1,0)),1)</f>
        <v>4.1</v>
      </c>
      <c r="E19" s="34" t="n">
        <f aca="false">ROUND(Cards!$S19*INDEX(Affinity!$B$2:$H$7,MATCH($C19,Affinity!$A$2:$A$7,0),MATCH(E$1,Affinity!$B$1:$H$1,0)),1)</f>
        <v>6.1</v>
      </c>
      <c r="F19" s="34" t="n">
        <f aca="false">ROUND(Cards!$S19*INDEX(Affinity!$B$2:$H$7,MATCH($C19,Affinity!$A$2:$A$7,0),MATCH(F$1,Affinity!$B$1:$H$1,0)),1)</f>
        <v>4.1</v>
      </c>
      <c r="G19" s="34" t="n">
        <f aca="false">ROUND(Cards!$S19*INDEX(Affinity!$B$2:$H$7,MATCH($C19,Affinity!$A$2:$A$7,0),MATCH(G$1,Affinity!$B$1:$H$1,0)),1)</f>
        <v>5.1</v>
      </c>
      <c r="H19" s="34" t="n">
        <f aca="false">ROUND(Cards!$S19*INDEX(Affinity!$B$2:$H$7,MATCH($C19,Affinity!$A$2:$A$7,0),MATCH(H$1,Affinity!$B$1:$H$1,0)),1)</f>
        <v>5.6</v>
      </c>
      <c r="I19" s="34" t="n">
        <f aca="false">ROUND(Cards!$S19*INDEX(Affinity!$B$2:$H$7,MATCH($C19,Affinity!$A$2:$A$7,0),MATCH(I$1,Affinity!$B$1:$H$1,0)),1)</f>
        <v>5.6</v>
      </c>
      <c r="J19" s="34" t="n">
        <f aca="false">ROUND(Cards!$S19*INDEX(Affinity!$B$2:$H$7,MATCH($C19,Affinity!$A$2:$A$7,0),MATCH(J$1,Affinity!$B$1:$H$1,0)),1)</f>
        <v>3.6</v>
      </c>
    </row>
    <row r="20" customFormat="false" ht="15" hidden="false" customHeight="true" outlineLevel="0" collapsed="false">
      <c r="A20" s="33" t="str">
        <f aca="false">Cards!A20</f>
        <v>C19</v>
      </c>
      <c r="B20" s="33" t="str">
        <f aca="false">Cards!B20</f>
        <v>Agitation</v>
      </c>
      <c r="C20" s="33" t="str">
        <f aca="false">Cards!E20</f>
        <v>Divisive</v>
      </c>
      <c r="D20" s="34" t="n">
        <f aca="false">ROUND(Cards!$S20*INDEX(Affinity!$B$2:$H$7,MATCH($C20,Affinity!$A$2:$A$7,0),MATCH(D$1,Affinity!$B$1:$H$1,0)),1)</f>
        <v>3.5</v>
      </c>
      <c r="E20" s="34" t="n">
        <f aca="false">ROUND(Cards!$S20*INDEX(Affinity!$B$2:$H$7,MATCH($C20,Affinity!$A$2:$A$7,0),MATCH(E$1,Affinity!$B$1:$H$1,0)),1)</f>
        <v>5.3</v>
      </c>
      <c r="F20" s="34" t="n">
        <f aca="false">ROUND(Cards!$S20*INDEX(Affinity!$B$2:$H$7,MATCH($C20,Affinity!$A$2:$A$7,0),MATCH(F$1,Affinity!$B$1:$H$1,0)),1)</f>
        <v>3.5</v>
      </c>
      <c r="G20" s="34" t="n">
        <f aca="false">ROUND(Cards!$S20*INDEX(Affinity!$B$2:$H$7,MATCH($C20,Affinity!$A$2:$A$7,0),MATCH(G$1,Affinity!$B$1:$H$1,0)),1)</f>
        <v>4.4</v>
      </c>
      <c r="H20" s="34" t="n">
        <f aca="false">ROUND(Cards!$S20*INDEX(Affinity!$B$2:$H$7,MATCH($C20,Affinity!$A$2:$A$7,0),MATCH(H$1,Affinity!$B$1:$H$1,0)),1)</f>
        <v>4.8</v>
      </c>
      <c r="I20" s="34" t="n">
        <f aca="false">ROUND(Cards!$S20*INDEX(Affinity!$B$2:$H$7,MATCH($C20,Affinity!$A$2:$A$7,0),MATCH(I$1,Affinity!$B$1:$H$1,0)),1)</f>
        <v>4.8</v>
      </c>
      <c r="J20" s="34" t="n">
        <f aca="false">ROUND(Cards!$S20*INDEX(Affinity!$B$2:$H$7,MATCH($C20,Affinity!$A$2:$A$7,0),MATCH(J$1,Affinity!$B$1:$H$1,0)),1)</f>
        <v>3.1</v>
      </c>
    </row>
    <row r="21" customFormat="false" ht="15" hidden="false" customHeight="true" outlineLevel="0" collapsed="false">
      <c r="A21" s="33" t="str">
        <f aca="false">Cards!A21</f>
        <v>C20</v>
      </c>
      <c r="B21" s="33" t="str">
        <f aca="false">Cards!B21</f>
        <v>Loyalty Test</v>
      </c>
      <c r="C21" s="33" t="str">
        <f aca="false">Cards!E21</f>
        <v>Divisive</v>
      </c>
      <c r="D21" s="34" t="n">
        <f aca="false">ROUND(Cards!$S21*INDEX(Affinity!$B$2:$H$7,MATCH($C21,Affinity!$A$2:$A$7,0),MATCH(D$1,Affinity!$B$1:$H$1,0)),1)</f>
        <v>4.3</v>
      </c>
      <c r="E21" s="34" t="n">
        <f aca="false">ROUND(Cards!$S21*INDEX(Affinity!$B$2:$H$7,MATCH($C21,Affinity!$A$2:$A$7,0),MATCH(E$1,Affinity!$B$1:$H$1,0)),1)</f>
        <v>6.5</v>
      </c>
      <c r="F21" s="34" t="n">
        <f aca="false">ROUND(Cards!$S21*INDEX(Affinity!$B$2:$H$7,MATCH($C21,Affinity!$A$2:$A$7,0),MATCH(F$1,Affinity!$B$1:$H$1,0)),1)</f>
        <v>4.3</v>
      </c>
      <c r="G21" s="34" t="n">
        <f aca="false">ROUND(Cards!$S21*INDEX(Affinity!$B$2:$H$7,MATCH($C21,Affinity!$A$2:$A$7,0),MATCH(G$1,Affinity!$B$1:$H$1,0)),1)</f>
        <v>5.4</v>
      </c>
      <c r="H21" s="34" t="n">
        <f aca="false">ROUND(Cards!$S21*INDEX(Affinity!$B$2:$H$7,MATCH($C21,Affinity!$A$2:$A$7,0),MATCH(H$1,Affinity!$B$1:$H$1,0)),1)</f>
        <v>5.9</v>
      </c>
      <c r="I21" s="34" t="n">
        <f aca="false">ROUND(Cards!$S21*INDEX(Affinity!$B$2:$H$7,MATCH($C21,Affinity!$A$2:$A$7,0),MATCH(I$1,Affinity!$B$1:$H$1,0)),1)</f>
        <v>5.9</v>
      </c>
      <c r="J21" s="34" t="n">
        <f aca="false">ROUND(Cards!$S21*INDEX(Affinity!$B$2:$H$7,MATCH($C21,Affinity!$A$2:$A$7,0),MATCH(J$1,Affinity!$B$1:$H$1,0)),1)</f>
        <v>3.8</v>
      </c>
    </row>
    <row r="22" customFormat="false" ht="15" hidden="false" customHeight="true" outlineLevel="0" collapsed="false">
      <c r="A22" s="33" t="str">
        <f aca="false">Cards!A22</f>
        <v>C21</v>
      </c>
      <c r="B22" s="33" t="str">
        <f aca="false">Cards!B22</f>
        <v>Iridescent Answer</v>
      </c>
      <c r="C22" s="33" t="str">
        <f aca="false">Cards!E22</f>
        <v>Duplicitous</v>
      </c>
      <c r="D22" s="34" t="n">
        <f aca="false">ROUND(Cards!$S22*INDEX(Affinity!$B$2:$H$7,MATCH($C22,Affinity!$A$2:$A$7,0),MATCH(D$1,Affinity!$B$1:$H$1,0)),1)</f>
        <v>1.7</v>
      </c>
      <c r="E22" s="34" t="n">
        <f aca="false">ROUND(Cards!$S22*INDEX(Affinity!$B$2:$H$7,MATCH($C22,Affinity!$A$2:$A$7,0),MATCH(E$1,Affinity!$B$1:$H$1,0)),1)</f>
        <v>1.5</v>
      </c>
      <c r="F22" s="34" t="n">
        <f aca="false">ROUND(Cards!$S22*INDEX(Affinity!$B$2:$H$7,MATCH($C22,Affinity!$A$2:$A$7,0),MATCH(F$1,Affinity!$B$1:$H$1,0)),1)</f>
        <v>1.7</v>
      </c>
      <c r="G22" s="34" t="n">
        <f aca="false">ROUND(Cards!$S22*INDEX(Affinity!$B$2:$H$7,MATCH($C22,Affinity!$A$2:$A$7,0),MATCH(G$1,Affinity!$B$1:$H$1,0)),1)</f>
        <v>1.1</v>
      </c>
      <c r="H22" s="34" t="n">
        <f aca="false">ROUND(Cards!$S22*INDEX(Affinity!$B$2:$H$7,MATCH($C22,Affinity!$A$2:$A$7,0),MATCH(H$1,Affinity!$B$1:$H$1,0)),1)</f>
        <v>1.4</v>
      </c>
      <c r="I22" s="34" t="n">
        <f aca="false">ROUND(Cards!$S22*INDEX(Affinity!$B$2:$H$7,MATCH($C22,Affinity!$A$2:$A$7,0),MATCH(I$1,Affinity!$B$1:$H$1,0)),1)</f>
        <v>1.2</v>
      </c>
      <c r="J22" s="34" t="n">
        <f aca="false">ROUND(Cards!$S22*INDEX(Affinity!$B$2:$H$7,MATCH($C22,Affinity!$A$2:$A$7,0),MATCH(J$1,Affinity!$B$1:$H$1,0)),1)</f>
        <v>1.5</v>
      </c>
    </row>
    <row r="23" customFormat="false" ht="15" hidden="false" customHeight="true" outlineLevel="0" collapsed="false">
      <c r="A23" s="33" t="str">
        <f aca="false">Cards!A23</f>
        <v>C22</v>
      </c>
      <c r="B23" s="33" t="str">
        <f aca="false">Cards!B23</f>
        <v>"I Have No Recollection"</v>
      </c>
      <c r="C23" s="33" t="str">
        <f aca="false">Cards!E23</f>
        <v>Duplicitous</v>
      </c>
      <c r="D23" s="34" t="n">
        <f aca="false">ROUND(Cards!$S23*INDEX(Affinity!$B$2:$H$7,MATCH($C23,Affinity!$A$2:$A$7,0),MATCH(D$1,Affinity!$B$1:$H$1,0)),1)</f>
        <v>0.7</v>
      </c>
      <c r="E23" s="34" t="n">
        <f aca="false">ROUND(Cards!$S23*INDEX(Affinity!$B$2:$H$7,MATCH($C23,Affinity!$A$2:$A$7,0),MATCH(E$1,Affinity!$B$1:$H$1,0)),1)</f>
        <v>0.6</v>
      </c>
      <c r="F23" s="34" t="n">
        <f aca="false">ROUND(Cards!$S23*INDEX(Affinity!$B$2:$H$7,MATCH($C23,Affinity!$A$2:$A$7,0),MATCH(F$1,Affinity!$B$1:$H$1,0)),1)</f>
        <v>0.7</v>
      </c>
      <c r="G23" s="34" t="n">
        <f aca="false">ROUND(Cards!$S23*INDEX(Affinity!$B$2:$H$7,MATCH($C23,Affinity!$A$2:$A$7,0),MATCH(G$1,Affinity!$B$1:$H$1,0)),1)</f>
        <v>0.4</v>
      </c>
      <c r="H23" s="34" t="n">
        <f aca="false">ROUND(Cards!$S23*INDEX(Affinity!$B$2:$H$7,MATCH($C23,Affinity!$A$2:$A$7,0),MATCH(H$1,Affinity!$B$1:$H$1,0)),1)</f>
        <v>0.5</v>
      </c>
      <c r="I23" s="34" t="n">
        <f aca="false">ROUND(Cards!$S23*INDEX(Affinity!$B$2:$H$7,MATCH($C23,Affinity!$A$2:$A$7,0),MATCH(I$1,Affinity!$B$1:$H$1,0)),1)</f>
        <v>0.5</v>
      </c>
      <c r="J23" s="34" t="n">
        <f aca="false">ROUND(Cards!$S23*INDEX(Affinity!$B$2:$H$7,MATCH($C23,Affinity!$A$2:$A$7,0),MATCH(J$1,Affinity!$B$1:$H$1,0)),1)</f>
        <v>0.6</v>
      </c>
    </row>
    <row r="24" customFormat="false" ht="15" hidden="false" customHeight="true" outlineLevel="0" collapsed="false">
      <c r="A24" s="33" t="str">
        <f aca="false">Cards!A24</f>
        <v>C23</v>
      </c>
      <c r="B24" s="33" t="str">
        <f aca="false">Cards!B24</f>
        <v>Shifting the Issue</v>
      </c>
      <c r="C24" s="33" t="str">
        <f aca="false">Cards!E24</f>
        <v>Duplicitous</v>
      </c>
      <c r="D24" s="34" t="n">
        <f aca="false">ROUND(Cards!$S24*INDEX(Affinity!$B$2:$H$7,MATCH($C24,Affinity!$A$2:$A$7,0),MATCH(D$1,Affinity!$B$1:$H$1,0)),1)</f>
        <v>2.9</v>
      </c>
      <c r="E24" s="34" t="n">
        <f aca="false">ROUND(Cards!$S24*INDEX(Affinity!$B$2:$H$7,MATCH($C24,Affinity!$A$2:$A$7,0),MATCH(E$1,Affinity!$B$1:$H$1,0)),1)</f>
        <v>2.6</v>
      </c>
      <c r="F24" s="34" t="n">
        <f aca="false">ROUND(Cards!$S24*INDEX(Affinity!$B$2:$H$7,MATCH($C24,Affinity!$A$2:$A$7,0),MATCH(F$1,Affinity!$B$1:$H$1,0)),1)</f>
        <v>2.9</v>
      </c>
      <c r="G24" s="34" t="n">
        <f aca="false">ROUND(Cards!$S24*INDEX(Affinity!$B$2:$H$7,MATCH($C24,Affinity!$A$2:$A$7,0),MATCH(G$1,Affinity!$B$1:$H$1,0)),1)</f>
        <v>1.8</v>
      </c>
      <c r="H24" s="34" t="n">
        <f aca="false">ROUND(Cards!$S24*INDEX(Affinity!$B$2:$H$7,MATCH($C24,Affinity!$A$2:$A$7,0),MATCH(H$1,Affinity!$B$1:$H$1,0)),1)</f>
        <v>2.3</v>
      </c>
      <c r="I24" s="34" t="n">
        <f aca="false">ROUND(Cards!$S24*INDEX(Affinity!$B$2:$H$7,MATCH($C24,Affinity!$A$2:$A$7,0),MATCH(I$1,Affinity!$B$1:$H$1,0)),1)</f>
        <v>2.1</v>
      </c>
      <c r="J24" s="34" t="n">
        <f aca="false">ROUND(Cards!$S24*INDEX(Affinity!$B$2:$H$7,MATCH($C24,Affinity!$A$2:$A$7,0),MATCH(J$1,Affinity!$B$1:$H$1,0)),1)</f>
        <v>2.6</v>
      </c>
    </row>
    <row r="25" customFormat="false" ht="15" hidden="false" customHeight="true" outlineLevel="0" collapsed="false">
      <c r="A25" s="33" t="str">
        <f aca="false">Cards!A25</f>
        <v>C24</v>
      </c>
      <c r="B25" s="33" t="str">
        <f aca="false">Cards!B25</f>
        <v>Secret Pact</v>
      </c>
      <c r="C25" s="33" t="str">
        <f aca="false">Cards!E25</f>
        <v>Duplicitous</v>
      </c>
      <c r="D25" s="34" t="n">
        <f aca="false">ROUND(Cards!$S25*INDEX(Affinity!$B$2:$H$7,MATCH($C25,Affinity!$A$2:$A$7,0),MATCH(D$1,Affinity!$B$1:$H$1,0)),1)</f>
        <v>5.4</v>
      </c>
      <c r="E25" s="34" t="n">
        <f aca="false">ROUND(Cards!$S25*INDEX(Affinity!$B$2:$H$7,MATCH($C25,Affinity!$A$2:$A$7,0),MATCH(E$1,Affinity!$B$1:$H$1,0)),1)</f>
        <v>4.9</v>
      </c>
      <c r="F25" s="34" t="n">
        <f aca="false">ROUND(Cards!$S25*INDEX(Affinity!$B$2:$H$7,MATCH($C25,Affinity!$A$2:$A$7,0),MATCH(F$1,Affinity!$B$1:$H$1,0)),1)</f>
        <v>5.4</v>
      </c>
      <c r="G25" s="34" t="n">
        <f aca="false">ROUND(Cards!$S25*INDEX(Affinity!$B$2:$H$7,MATCH($C25,Affinity!$A$2:$A$7,0),MATCH(G$1,Affinity!$B$1:$H$1,0)),1)</f>
        <v>3.4</v>
      </c>
      <c r="H25" s="34" t="n">
        <f aca="false">ROUND(Cards!$S25*INDEX(Affinity!$B$2:$H$7,MATCH($C25,Affinity!$A$2:$A$7,0),MATCH(H$1,Affinity!$B$1:$H$1,0)),1)</f>
        <v>4.4</v>
      </c>
      <c r="I25" s="34" t="n">
        <f aca="false">ROUND(Cards!$S25*INDEX(Affinity!$B$2:$H$7,MATCH($C25,Affinity!$A$2:$A$7,0),MATCH(I$1,Affinity!$B$1:$H$1,0)),1)</f>
        <v>3.9</v>
      </c>
      <c r="J25" s="34" t="n">
        <f aca="false">ROUND(Cards!$S25*INDEX(Affinity!$B$2:$H$7,MATCH($C25,Affinity!$A$2:$A$7,0),MATCH(J$1,Affinity!$B$1:$H$1,0)),1)</f>
        <v>4.9</v>
      </c>
    </row>
    <row r="26" customFormat="false" ht="15" hidden="false" customHeight="true" outlineLevel="0" collapsed="false">
      <c r="B26" s="21" t="s">
        <v>420</v>
      </c>
      <c r="D26" s="34" t="n">
        <f aca="false">AVERAGE(D2:D25)</f>
        <v>4.1375</v>
      </c>
      <c r="E26" s="34" t="n">
        <f aca="false">AVERAGE(E2:E25)</f>
        <v>4.5125</v>
      </c>
      <c r="F26" s="34" t="n">
        <f aca="false">AVERAGE(F2:F25)</f>
        <v>4.09583333333333</v>
      </c>
      <c r="G26" s="34" t="n">
        <f aca="false">AVERAGE(G2:G25)</f>
        <v>4.0125</v>
      </c>
      <c r="H26" s="34" t="n">
        <f aca="false">AVERAGE(H2:H25)</f>
        <v>4.35</v>
      </c>
      <c r="I26" s="34" t="n">
        <f aca="false">AVERAGE(I2:I25)</f>
        <v>4.35</v>
      </c>
      <c r="J26" s="34" t="n">
        <f aca="false">AVERAGE(J2:J25)</f>
        <v>4.10833333333333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60"/>
  </cols>
  <sheetData>
    <row r="1" customFormat="false" ht="31.5" hidden="false" customHeight="true" outlineLevel="0" collapsed="false">
      <c r="A1" s="17" t="s">
        <v>421</v>
      </c>
      <c r="B1" s="17" t="s">
        <v>422</v>
      </c>
      <c r="C1" s="17" t="s">
        <v>423</v>
      </c>
      <c r="D1" s="17" t="s">
        <v>137</v>
      </c>
      <c r="E1" s="17" t="s">
        <v>424</v>
      </c>
    </row>
    <row r="2" customFormat="false" ht="16.5" hidden="false" customHeight="true" outlineLevel="0" collapsed="false">
      <c r="A2" s="19" t="s">
        <v>425</v>
      </c>
      <c r="B2" s="19" t="s">
        <v>395</v>
      </c>
      <c r="C2" s="23" t="s">
        <v>426</v>
      </c>
      <c r="D2" s="19" t="s">
        <v>427</v>
      </c>
      <c r="E2" s="19" t="s">
        <v>428</v>
      </c>
    </row>
    <row r="3" customFormat="false" ht="16.5" hidden="false" customHeight="true" outlineLevel="0" collapsed="false">
      <c r="A3" s="19" t="s">
        <v>429</v>
      </c>
      <c r="B3" s="19" t="s">
        <v>324</v>
      </c>
      <c r="C3" s="23" t="s">
        <v>430</v>
      </c>
      <c r="D3" s="19" t="s">
        <v>431</v>
      </c>
      <c r="E3" s="19" t="s">
        <v>432</v>
      </c>
    </row>
    <row r="4" customFormat="false" ht="16.5" hidden="false" customHeight="true" outlineLevel="0" collapsed="false">
      <c r="A4" s="19" t="s">
        <v>433</v>
      </c>
      <c r="B4" s="19" t="s">
        <v>305</v>
      </c>
      <c r="C4" s="23" t="s">
        <v>434</v>
      </c>
      <c r="D4" s="19" t="s">
        <v>435</v>
      </c>
      <c r="E4" s="19" t="s">
        <v>436</v>
      </c>
    </row>
    <row r="5" customFormat="false" ht="16.5" hidden="false" customHeight="true" outlineLevel="0" collapsed="false">
      <c r="A5" s="19" t="s">
        <v>437</v>
      </c>
      <c r="B5" s="19" t="s">
        <v>413</v>
      </c>
      <c r="C5" s="23" t="s">
        <v>438</v>
      </c>
      <c r="D5" s="19" t="s">
        <v>439</v>
      </c>
      <c r="E5" s="19" t="s">
        <v>440</v>
      </c>
    </row>
    <row r="6" customFormat="false" ht="16.5" hidden="false" customHeight="true" outlineLevel="0" collapsed="false">
      <c r="A6" s="19" t="s">
        <v>441</v>
      </c>
      <c r="B6" s="19" t="s">
        <v>355</v>
      </c>
      <c r="C6" s="23" t="s">
        <v>442</v>
      </c>
      <c r="D6" s="19" t="s">
        <v>443</v>
      </c>
      <c r="E6" s="19" t="s">
        <v>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26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7" min="7" style="1" width="13"/>
    <col collapsed="false" customWidth="true" hidden="false" outlineLevel="0" max="8" min="8" style="1" width="9"/>
    <col collapsed="false" customWidth="true" hidden="false" outlineLevel="0" max="9" min="9" style="1" width="45"/>
    <col collapsed="false" customWidth="true" hidden="false" outlineLevel="0" max="11" min="10" style="1" width="9"/>
    <col collapsed="false" customWidth="true" hidden="false" outlineLevel="0" max="12" min="12" style="1" width="11"/>
    <col collapsed="false" customWidth="true" hidden="false" outlineLevel="0" max="13" min="13" style="0" width="12"/>
  </cols>
  <sheetData>
    <row r="1" customFormat="false" ht="31.5" hidden="false" customHeight="true" outlineLevel="0" collapsed="false">
      <c r="A1" s="17" t="s">
        <v>445</v>
      </c>
      <c r="B1" s="17" t="s">
        <v>446</v>
      </c>
      <c r="C1" s="17" t="s">
        <v>447</v>
      </c>
      <c r="D1" s="17" t="s">
        <v>250</v>
      </c>
      <c r="E1" s="17" t="s">
        <v>251</v>
      </c>
      <c r="F1" s="17" t="s">
        <v>137</v>
      </c>
      <c r="G1" s="17" t="s">
        <v>448</v>
      </c>
      <c r="H1" s="17" t="s">
        <v>449</v>
      </c>
      <c r="I1" s="17" t="s">
        <v>450</v>
      </c>
      <c r="J1" s="17" t="s">
        <v>451</v>
      </c>
      <c r="K1" s="17" t="s">
        <v>452</v>
      </c>
      <c r="L1" s="17" t="s">
        <v>453</v>
      </c>
      <c r="M1" s="35" t="s">
        <v>454</v>
      </c>
    </row>
    <row r="2" customFormat="false" ht="16.5" hidden="false" customHeight="true" outlineLevel="0" collapsed="false">
      <c r="A2" s="19" t="s">
        <v>455</v>
      </c>
      <c r="B2" s="19" t="s">
        <v>456</v>
      </c>
      <c r="C2" s="23" t="s">
        <v>457</v>
      </c>
      <c r="D2" s="19" t="s">
        <v>458</v>
      </c>
      <c r="E2" s="23" t="s">
        <v>459</v>
      </c>
      <c r="F2" s="19" t="s">
        <v>460</v>
      </c>
      <c r="G2" s="19" t="s">
        <v>305</v>
      </c>
      <c r="H2" s="20" t="n">
        <v>0.3</v>
      </c>
      <c r="I2" s="19" t="s">
        <v>461</v>
      </c>
      <c r="J2" s="19" t="n">
        <v>3</v>
      </c>
      <c r="K2" s="19" t="n">
        <v>20</v>
      </c>
      <c r="L2" s="19" t="s">
        <v>462</v>
      </c>
      <c r="M2" s="19" t="s">
        <v>463</v>
      </c>
    </row>
    <row r="3" customFormat="false" ht="16.5" hidden="false" customHeight="true" outlineLevel="0" collapsed="false">
      <c r="A3" s="19" t="s">
        <v>464</v>
      </c>
      <c r="B3" s="19" t="s">
        <v>456</v>
      </c>
      <c r="C3" s="23" t="s">
        <v>457</v>
      </c>
      <c r="D3" s="19" t="s">
        <v>465</v>
      </c>
      <c r="E3" s="23" t="s">
        <v>466</v>
      </c>
      <c r="F3" s="19" t="s">
        <v>467</v>
      </c>
      <c r="G3" s="19" t="s">
        <v>413</v>
      </c>
      <c r="H3" s="20" t="n">
        <v>0.1</v>
      </c>
      <c r="I3" s="19" t="s">
        <v>468</v>
      </c>
      <c r="J3" s="19" t="n">
        <v>5</v>
      </c>
      <c r="K3" s="19" t="n">
        <v>30</v>
      </c>
      <c r="L3" s="19" t="s">
        <v>462</v>
      </c>
      <c r="M3" s="19" t="s">
        <v>469</v>
      </c>
    </row>
    <row r="4" customFormat="false" ht="16.5" hidden="false" customHeight="true" outlineLevel="0" collapsed="false">
      <c r="A4" s="19" t="s">
        <v>470</v>
      </c>
      <c r="B4" s="19" t="s">
        <v>471</v>
      </c>
      <c r="C4" s="23" t="s">
        <v>472</v>
      </c>
      <c r="D4" s="19" t="s">
        <v>473</v>
      </c>
      <c r="E4" s="23" t="s">
        <v>474</v>
      </c>
      <c r="F4" s="19" t="s">
        <v>475</v>
      </c>
      <c r="G4" s="19" t="s">
        <v>395</v>
      </c>
      <c r="H4" s="20" t="n">
        <v>0.2</v>
      </c>
      <c r="I4" s="19" t="s">
        <v>476</v>
      </c>
      <c r="J4" s="19" t="n">
        <v>1</v>
      </c>
      <c r="K4" s="19" t="n">
        <v>20</v>
      </c>
      <c r="L4" s="19" t="s">
        <v>462</v>
      </c>
      <c r="M4" s="19" t="s">
        <v>477</v>
      </c>
    </row>
    <row r="5" customFormat="false" ht="16.5" hidden="false" customHeight="true" outlineLevel="0" collapsed="false">
      <c r="A5" s="19" t="s">
        <v>478</v>
      </c>
      <c r="B5" s="19" t="s">
        <v>471</v>
      </c>
      <c r="C5" s="23" t="s">
        <v>472</v>
      </c>
      <c r="D5" s="19" t="s">
        <v>479</v>
      </c>
      <c r="E5" s="23" t="s">
        <v>480</v>
      </c>
      <c r="F5" s="19" t="s">
        <v>481</v>
      </c>
      <c r="G5" s="19" t="s">
        <v>395</v>
      </c>
      <c r="H5" s="20" t="n">
        <v>0.2</v>
      </c>
      <c r="I5" s="19" t="s">
        <v>461</v>
      </c>
      <c r="J5" s="19" t="n">
        <v>3</v>
      </c>
      <c r="K5" s="19" t="n">
        <v>40</v>
      </c>
      <c r="L5" s="19" t="s">
        <v>462</v>
      </c>
      <c r="M5" s="19" t="s">
        <v>477</v>
      </c>
    </row>
    <row r="6" customFormat="false" ht="26.25" hidden="false" customHeight="true" outlineLevel="0" collapsed="false">
      <c r="A6" s="19" t="s">
        <v>482</v>
      </c>
      <c r="B6" s="19" t="s">
        <v>483</v>
      </c>
      <c r="C6" s="23" t="s">
        <v>484</v>
      </c>
      <c r="D6" s="19" t="s">
        <v>485</v>
      </c>
      <c r="E6" s="23" t="s">
        <v>486</v>
      </c>
      <c r="F6" s="19" t="s">
        <v>487</v>
      </c>
      <c r="G6" s="19" t="s">
        <v>305</v>
      </c>
      <c r="H6" s="20" t="n">
        <v>0.3</v>
      </c>
      <c r="I6" s="19" t="s">
        <v>488</v>
      </c>
      <c r="J6" s="19" t="n">
        <v>5</v>
      </c>
      <c r="K6" s="19" t="n">
        <v>30</v>
      </c>
      <c r="L6" s="19" t="s">
        <v>462</v>
      </c>
      <c r="M6" s="19" t="s">
        <v>489</v>
      </c>
    </row>
    <row r="7" customFormat="false" ht="26.25" hidden="false" customHeight="true" outlineLevel="0" collapsed="false">
      <c r="A7" s="19" t="s">
        <v>490</v>
      </c>
      <c r="B7" s="19" t="s">
        <v>483</v>
      </c>
      <c r="C7" s="23" t="s">
        <v>484</v>
      </c>
      <c r="D7" s="19" t="s">
        <v>491</v>
      </c>
      <c r="E7" s="23" t="s">
        <v>492</v>
      </c>
      <c r="F7" s="19" t="s">
        <v>493</v>
      </c>
      <c r="G7" s="19" t="s">
        <v>324</v>
      </c>
      <c r="H7" s="20" t="n">
        <v>0.3</v>
      </c>
      <c r="I7" s="19" t="s">
        <v>494</v>
      </c>
      <c r="J7" s="19" t="n">
        <v>4</v>
      </c>
      <c r="K7" s="19" t="n">
        <v>30</v>
      </c>
      <c r="L7" s="19" t="s">
        <v>462</v>
      </c>
      <c r="M7" s="19" t="s">
        <v>495</v>
      </c>
    </row>
    <row r="8" customFormat="false" ht="32.25" hidden="false" customHeight="true" outlineLevel="0" collapsed="false">
      <c r="A8" s="19" t="s">
        <v>496</v>
      </c>
      <c r="B8" s="19" t="s">
        <v>497</v>
      </c>
      <c r="C8" s="23" t="s">
        <v>498</v>
      </c>
      <c r="D8" s="19" t="s">
        <v>499</v>
      </c>
      <c r="E8" s="23" t="s">
        <v>500</v>
      </c>
      <c r="F8" s="19" t="s">
        <v>501</v>
      </c>
      <c r="G8" s="19" t="s">
        <v>395</v>
      </c>
      <c r="H8" s="20" t="n">
        <v>0.1</v>
      </c>
      <c r="I8" s="19" t="s">
        <v>502</v>
      </c>
      <c r="J8" s="19" t="n">
        <v>2</v>
      </c>
      <c r="K8" s="19"/>
      <c r="L8" s="19" t="s">
        <v>503</v>
      </c>
      <c r="M8" s="19" t="s">
        <v>504</v>
      </c>
    </row>
    <row r="9" customFormat="false" ht="16.5" hidden="false" customHeight="true" outlineLevel="0" collapsed="false">
      <c r="A9" s="19" t="s">
        <v>505</v>
      </c>
      <c r="B9" s="19" t="s">
        <v>497</v>
      </c>
      <c r="C9" s="23" t="s">
        <v>498</v>
      </c>
      <c r="D9" s="19" t="s">
        <v>506</v>
      </c>
      <c r="E9" s="23" t="s">
        <v>507</v>
      </c>
      <c r="F9" s="19" t="s">
        <v>508</v>
      </c>
      <c r="G9" s="19" t="s">
        <v>324</v>
      </c>
      <c r="H9" s="20" t="n">
        <v>0.3</v>
      </c>
      <c r="I9" s="19" t="s">
        <v>509</v>
      </c>
      <c r="J9" s="19" t="n">
        <v>4</v>
      </c>
      <c r="K9" s="19"/>
      <c r="L9" s="19" t="s">
        <v>503</v>
      </c>
      <c r="M9" s="19" t="s">
        <v>504</v>
      </c>
    </row>
    <row r="10" customFormat="false" ht="26.25" hidden="false" customHeight="true" outlineLevel="0" collapsed="false">
      <c r="A10" s="19" t="s">
        <v>510</v>
      </c>
      <c r="B10" s="19" t="s">
        <v>511</v>
      </c>
      <c r="C10" s="23" t="s">
        <v>512</v>
      </c>
      <c r="D10" s="19" t="s">
        <v>513</v>
      </c>
      <c r="E10" s="23" t="s">
        <v>514</v>
      </c>
      <c r="F10" s="19" t="s">
        <v>515</v>
      </c>
      <c r="G10" s="19" t="s">
        <v>324</v>
      </c>
      <c r="H10" s="19"/>
      <c r="I10" s="19" t="s">
        <v>516</v>
      </c>
      <c r="J10" s="19" t="n">
        <v>3</v>
      </c>
      <c r="K10" s="19"/>
      <c r="L10" s="19" t="s">
        <v>462</v>
      </c>
      <c r="M10" s="19" t="s">
        <v>517</v>
      </c>
    </row>
    <row r="11" customFormat="false" ht="39" hidden="false" customHeight="true" outlineLevel="0" collapsed="false">
      <c r="A11" s="19" t="s">
        <v>518</v>
      </c>
      <c r="B11" s="19" t="s">
        <v>511</v>
      </c>
      <c r="C11" s="23" t="s">
        <v>512</v>
      </c>
      <c r="D11" s="19" t="s">
        <v>519</v>
      </c>
      <c r="E11" s="23" t="s">
        <v>520</v>
      </c>
      <c r="F11" s="19" t="s">
        <v>521</v>
      </c>
      <c r="G11" s="19" t="s">
        <v>324</v>
      </c>
      <c r="H11" s="19"/>
      <c r="I11" s="19" t="s">
        <v>522</v>
      </c>
      <c r="J11" s="19" t="n">
        <v>3</v>
      </c>
      <c r="K11" s="19"/>
      <c r="L11" s="19" t="s">
        <v>462</v>
      </c>
      <c r="M11" s="19" t="s">
        <v>517</v>
      </c>
    </row>
    <row r="12" customFormat="false" ht="26.85" hidden="false" customHeight="false" outlineLevel="0" collapsed="false">
      <c r="A12" s="19" t="s">
        <v>523</v>
      </c>
      <c r="B12" s="19" t="s">
        <v>511</v>
      </c>
      <c r="C12" s="36" t="s">
        <v>512</v>
      </c>
      <c r="D12" s="19" t="s">
        <v>524</v>
      </c>
      <c r="E12" s="36" t="s">
        <v>525</v>
      </c>
      <c r="F12" s="19" t="s">
        <v>526</v>
      </c>
      <c r="G12" s="19" t="s">
        <v>324</v>
      </c>
      <c r="H12" s="25"/>
      <c r="I12" s="19" t="s">
        <v>527</v>
      </c>
      <c r="J12" s="19" t="n">
        <v>5</v>
      </c>
      <c r="K12" s="19" t="n">
        <v>40</v>
      </c>
      <c r="L12" s="19" t="s">
        <v>462</v>
      </c>
      <c r="M12" s="19" t="s">
        <v>528</v>
      </c>
    </row>
    <row r="13" customFormat="false" ht="26.85" hidden="false" customHeight="false" outlineLevel="0" collapsed="false">
      <c r="A13" s="19" t="s">
        <v>529</v>
      </c>
      <c r="B13" s="19" t="s">
        <v>511</v>
      </c>
      <c r="C13" s="36" t="s">
        <v>512</v>
      </c>
      <c r="D13" s="19" t="s">
        <v>530</v>
      </c>
      <c r="E13" s="36" t="s">
        <v>531</v>
      </c>
      <c r="F13" s="19" t="s">
        <v>532</v>
      </c>
      <c r="G13" s="19" t="s">
        <v>324</v>
      </c>
      <c r="H13" s="25"/>
      <c r="I13" s="19" t="s">
        <v>533</v>
      </c>
      <c r="J13" s="19" t="n">
        <v>3</v>
      </c>
      <c r="K13" s="19" t="n">
        <v>30</v>
      </c>
      <c r="L13" s="19" t="s">
        <v>462</v>
      </c>
      <c r="M13" s="19" t="s">
        <v>534</v>
      </c>
    </row>
    <row r="14" customFormat="false" ht="26.85" hidden="false" customHeight="false" outlineLevel="0" collapsed="false">
      <c r="A14" s="19" t="s">
        <v>535</v>
      </c>
      <c r="B14" s="19" t="s">
        <v>536</v>
      </c>
      <c r="C14" s="36" t="s">
        <v>537</v>
      </c>
      <c r="D14" s="19" t="s">
        <v>538</v>
      </c>
      <c r="E14" s="36" t="s">
        <v>539</v>
      </c>
      <c r="F14" s="19" t="s">
        <v>540</v>
      </c>
      <c r="G14" s="19" t="s">
        <v>305</v>
      </c>
      <c r="H14" s="20" t="n">
        <v>0.3</v>
      </c>
      <c r="I14" s="19" t="s">
        <v>541</v>
      </c>
      <c r="J14" s="19" t="n">
        <v>3</v>
      </c>
      <c r="K14" s="19" t="n">
        <v>30</v>
      </c>
      <c r="L14" s="19" t="s">
        <v>462</v>
      </c>
      <c r="M14" s="19" t="s">
        <v>542</v>
      </c>
    </row>
    <row r="15" customFormat="false" ht="26.85" hidden="false" customHeight="false" outlineLevel="0" collapsed="false">
      <c r="A15" s="19" t="s">
        <v>543</v>
      </c>
      <c r="B15" s="19" t="s">
        <v>536</v>
      </c>
      <c r="C15" s="36" t="s">
        <v>537</v>
      </c>
      <c r="D15" s="19" t="s">
        <v>544</v>
      </c>
      <c r="E15" s="36" t="s">
        <v>545</v>
      </c>
      <c r="F15" s="19" t="s">
        <v>546</v>
      </c>
      <c r="G15" s="19" t="s">
        <v>305</v>
      </c>
      <c r="H15" s="20" t="n">
        <v>0.5</v>
      </c>
      <c r="I15" s="19" t="s">
        <v>547</v>
      </c>
      <c r="J15" s="19" t="n">
        <v>4</v>
      </c>
      <c r="K15" s="19" t="n">
        <v>20</v>
      </c>
      <c r="L15" s="19" t="s">
        <v>462</v>
      </c>
      <c r="M15" s="19" t="s">
        <v>548</v>
      </c>
    </row>
    <row r="16" customFormat="false" ht="26.85" hidden="false" customHeight="false" outlineLevel="0" collapsed="false">
      <c r="A16" s="19" t="s">
        <v>549</v>
      </c>
      <c r="B16" s="19" t="s">
        <v>483</v>
      </c>
      <c r="C16" s="36" t="s">
        <v>484</v>
      </c>
      <c r="D16" s="19" t="s">
        <v>550</v>
      </c>
      <c r="E16" s="36" t="s">
        <v>551</v>
      </c>
      <c r="F16" s="19" t="s">
        <v>552</v>
      </c>
      <c r="G16" s="19" t="s">
        <v>305</v>
      </c>
      <c r="H16" s="20" t="n">
        <v>0.3</v>
      </c>
      <c r="I16" s="19" t="s">
        <v>553</v>
      </c>
      <c r="J16" s="19" t="n">
        <v>5</v>
      </c>
      <c r="K16" s="19" t="n">
        <v>30</v>
      </c>
      <c r="L16" s="19" t="s">
        <v>462</v>
      </c>
      <c r="M16" s="19" t="s">
        <v>554</v>
      </c>
    </row>
  </sheetData>
  <dataValidations count="2">
    <dataValidation allowBlank="true" errorStyle="stop" operator="between" showDropDown="false" showErrorMessage="false" showInputMessage="false" sqref="G2:G100" type="list">
      <formula1>Lists!$C$2:$C$7</formula1>
      <formula2>0</formula2>
    </dataValidation>
    <dataValidation allowBlank="true" errorStyle="stop" operator="between" showDropDown="false" showErrorMessage="false" showInputMessage="false" sqref="B2:B100" type="list">
      <formula1>Lists!$F$2:$F$7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46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31.5" hidden="false" customHeight="true" outlineLevel="0" collapsed="false">
      <c r="A1" s="17" t="s">
        <v>555</v>
      </c>
      <c r="B1" s="17" t="s">
        <v>556</v>
      </c>
      <c r="C1" s="17" t="s">
        <v>557</v>
      </c>
      <c r="D1" s="17" t="s">
        <v>137</v>
      </c>
      <c r="E1" s="17" t="s">
        <v>263</v>
      </c>
      <c r="F1" s="17" t="s">
        <v>558</v>
      </c>
      <c r="G1" s="17" t="s">
        <v>559</v>
      </c>
      <c r="H1" s="17" t="s">
        <v>560</v>
      </c>
    </row>
    <row r="2" customFormat="false" ht="26.85" hidden="false" customHeight="false" outlineLevel="0" collapsed="false">
      <c r="A2" s="19" t="s">
        <v>528</v>
      </c>
      <c r="B2" s="19" t="s">
        <v>561</v>
      </c>
      <c r="C2" s="36" t="s">
        <v>562</v>
      </c>
      <c r="D2" s="19" t="s">
        <v>563</v>
      </c>
      <c r="E2" s="19" t="s">
        <v>511</v>
      </c>
      <c r="F2" s="19" t="s">
        <v>564</v>
      </c>
      <c r="G2" s="19" t="s">
        <v>523</v>
      </c>
      <c r="H2" s="18" t="n">
        <f aca="false">COUNTIF(Modifiers!$M$2:$M$100,A2)</f>
        <v>1</v>
      </c>
    </row>
    <row r="3" customFormat="false" ht="17.15" hidden="false" customHeight="false" outlineLevel="0" collapsed="false">
      <c r="A3" s="19" t="s">
        <v>534</v>
      </c>
      <c r="B3" s="37" t="s">
        <v>565</v>
      </c>
      <c r="C3" s="36" t="s">
        <v>566</v>
      </c>
      <c r="D3" s="19" t="s">
        <v>567</v>
      </c>
      <c r="E3" s="19" t="s">
        <v>511</v>
      </c>
      <c r="F3" s="19" t="s">
        <v>568</v>
      </c>
      <c r="G3" s="19" t="s">
        <v>529</v>
      </c>
      <c r="H3" s="18" t="n">
        <f aca="false">COUNTIF(Modifiers!$M$2:$M$100,A3)</f>
        <v>1</v>
      </c>
    </row>
    <row r="4" customFormat="false" ht="26.85" hidden="false" customHeight="false" outlineLevel="0" collapsed="false">
      <c r="A4" s="19" t="s">
        <v>463</v>
      </c>
      <c r="B4" s="19" t="s">
        <v>569</v>
      </c>
      <c r="C4" s="36" t="s">
        <v>457</v>
      </c>
      <c r="D4" s="19" t="s">
        <v>456</v>
      </c>
      <c r="E4" s="19" t="s">
        <v>570</v>
      </c>
      <c r="F4" s="19" t="s">
        <v>571</v>
      </c>
      <c r="G4" s="19" t="s">
        <v>455</v>
      </c>
      <c r="H4" s="18" t="n">
        <f aca="false">COUNTIF(Modifiers!$M$2:$M$100,A4)</f>
        <v>1</v>
      </c>
    </row>
    <row r="5" customFormat="false" ht="17.15" hidden="false" customHeight="false" outlineLevel="0" collapsed="false">
      <c r="A5" s="19" t="s">
        <v>542</v>
      </c>
      <c r="B5" s="19" t="s">
        <v>572</v>
      </c>
      <c r="C5" s="36" t="s">
        <v>573</v>
      </c>
      <c r="D5" s="19" t="s">
        <v>574</v>
      </c>
      <c r="E5" s="19" t="s">
        <v>570</v>
      </c>
      <c r="F5" s="19" t="s">
        <v>575</v>
      </c>
      <c r="G5" s="19" t="s">
        <v>535</v>
      </c>
      <c r="H5" s="18" t="n">
        <f aca="false">COUNTIF(Modifiers!$M$2:$M$100,A5)</f>
        <v>1</v>
      </c>
    </row>
    <row r="6" customFormat="false" ht="17.15" hidden="false" customHeight="false" outlineLevel="0" collapsed="false">
      <c r="A6" s="19" t="s">
        <v>469</v>
      </c>
      <c r="B6" s="19" t="s">
        <v>576</v>
      </c>
      <c r="C6" s="36" t="s">
        <v>577</v>
      </c>
      <c r="D6" s="19" t="s">
        <v>578</v>
      </c>
      <c r="E6" s="19" t="s">
        <v>579</v>
      </c>
      <c r="F6" s="19" t="s">
        <v>580</v>
      </c>
      <c r="G6" s="19" t="s">
        <v>464</v>
      </c>
      <c r="H6" s="18" t="n">
        <f aca="false">COUNTIF(Modifiers!$M$2:$M$100,A6)</f>
        <v>1</v>
      </c>
    </row>
    <row r="7" customFormat="false" ht="17.15" hidden="false" customHeight="false" outlineLevel="0" collapsed="false">
      <c r="A7" s="19" t="s">
        <v>548</v>
      </c>
      <c r="B7" s="19" t="s">
        <v>581</v>
      </c>
      <c r="C7" s="36" t="s">
        <v>582</v>
      </c>
      <c r="D7" s="19" t="s">
        <v>583</v>
      </c>
      <c r="E7" s="19" t="s">
        <v>570</v>
      </c>
      <c r="F7" s="19" t="s">
        <v>584</v>
      </c>
      <c r="G7" s="19" t="s">
        <v>543</v>
      </c>
      <c r="H7" s="18" t="n">
        <f aca="false">COUNTIF(Modifiers!$M$2:$M$100,A7)</f>
        <v>1</v>
      </c>
    </row>
    <row r="8" customFormat="false" ht="17.15" hidden="false" customHeight="false" outlineLevel="0" collapsed="false">
      <c r="A8" s="19" t="s">
        <v>554</v>
      </c>
      <c r="B8" s="19" t="s">
        <v>585</v>
      </c>
      <c r="C8" s="36" t="s">
        <v>586</v>
      </c>
      <c r="D8" s="19" t="s">
        <v>587</v>
      </c>
      <c r="E8" s="19" t="s">
        <v>570</v>
      </c>
      <c r="F8" s="19" t="s">
        <v>588</v>
      </c>
      <c r="G8" s="19" t="s">
        <v>549</v>
      </c>
      <c r="H8" s="18" t="n">
        <f aca="false">COUNTIF(Modifiers!$M$2:$M$100,A8)</f>
        <v>1</v>
      </c>
    </row>
    <row r="9" customFormat="false" ht="17.15" hidden="false" customHeight="false" outlineLevel="0" collapsed="false">
      <c r="A9" s="19" t="s">
        <v>477</v>
      </c>
      <c r="B9" s="19" t="s">
        <v>589</v>
      </c>
      <c r="C9" s="36" t="s">
        <v>590</v>
      </c>
      <c r="D9" s="19" t="s">
        <v>591</v>
      </c>
      <c r="E9" s="19" t="s">
        <v>579</v>
      </c>
      <c r="F9" s="19" t="s">
        <v>592</v>
      </c>
      <c r="G9" s="19" t="s">
        <v>593</v>
      </c>
      <c r="H9" s="18" t="n">
        <f aca="false">COUNTIF(Modifiers!$M$2:$M$100,A9)</f>
        <v>2</v>
      </c>
    </row>
    <row r="10" customFormat="false" ht="17.15" hidden="false" customHeight="false" outlineLevel="0" collapsed="false">
      <c r="A10" s="19" t="s">
        <v>495</v>
      </c>
      <c r="B10" s="19" t="s">
        <v>491</v>
      </c>
      <c r="C10" s="36" t="s">
        <v>492</v>
      </c>
      <c r="D10" s="19" t="s">
        <v>493</v>
      </c>
      <c r="E10" s="19" t="s">
        <v>579</v>
      </c>
      <c r="F10" s="19" t="s">
        <v>594</v>
      </c>
      <c r="G10" s="19" t="s">
        <v>490</v>
      </c>
      <c r="H10" s="18" t="n">
        <f aca="false">COUNTIF(Modifiers!$M$2:$M$100,A10)</f>
        <v>1</v>
      </c>
    </row>
    <row r="11" customFormat="false" ht="17.15" hidden="false" customHeight="false" outlineLevel="0" collapsed="false">
      <c r="A11" s="19" t="s">
        <v>489</v>
      </c>
      <c r="B11" s="19" t="s">
        <v>485</v>
      </c>
      <c r="C11" s="36" t="s">
        <v>486</v>
      </c>
      <c r="D11" s="19" t="s">
        <v>487</v>
      </c>
      <c r="E11" s="19" t="s">
        <v>579</v>
      </c>
      <c r="F11" s="19" t="s">
        <v>595</v>
      </c>
      <c r="G11" s="19" t="s">
        <v>482</v>
      </c>
      <c r="H11" s="18" t="n">
        <f aca="false">COUNTIF(Modifiers!$M$2:$M$100,A11)</f>
        <v>1</v>
      </c>
    </row>
    <row r="13" customFormat="false" ht="15" hidden="false" customHeight="false" outlineLevel="0" collapsed="false">
      <c r="D13" s="38" t="s">
        <v>596</v>
      </c>
    </row>
    <row r="14" customFormat="false" ht="15" hidden="false" customHeight="false" outlineLevel="0" collapsed="false">
      <c r="D14" s="18" t="s">
        <v>511</v>
      </c>
      <c r="E14" s="39" t="n">
        <f aca="false">COUNTIF($E$2:$E$11,D14)</f>
        <v>2</v>
      </c>
    </row>
    <row r="15" customFormat="false" ht="15" hidden="false" customHeight="false" outlineLevel="0" collapsed="false">
      <c r="D15" s="18" t="s">
        <v>570</v>
      </c>
      <c r="E15" s="39" t="n">
        <f aca="false">COUNTIF($E$2:$E$11,D15)</f>
        <v>4</v>
      </c>
    </row>
    <row r="16" customFormat="false" ht="15" hidden="false" customHeight="false" outlineLevel="0" collapsed="false">
      <c r="D16" s="18" t="s">
        <v>579</v>
      </c>
      <c r="E16" s="39" t="n">
        <f aca="false">COUNTIF($E$2:$E$11,D16)</f>
        <v>4</v>
      </c>
    </row>
  </sheetData>
  <dataValidations count="1">
    <dataValidation allowBlank="true" errorStyle="stop" operator="between" showDropDown="false" showErrorMessage="false" showInputMessage="false" sqref="E2:E100" type="list">
      <formula1>Lists!$H$2:$H$4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7" min="6" style="1" width="12"/>
    <col collapsed="false" customWidth="true" hidden="false" outlineLevel="0" max="9" min="8" style="1" width="9"/>
    <col collapsed="false" customWidth="true" hidden="false" outlineLevel="0" max="10" min="10" style="1" width="8"/>
    <col collapsed="false" customWidth="true" hidden="false" outlineLevel="0" max="13" min="11" style="1" width="9"/>
    <col collapsed="false" customWidth="true" hidden="false" outlineLevel="0" max="14" min="14" style="1" width="40"/>
    <col collapsed="false" customWidth="true" hidden="false" outlineLevel="0" max="15" min="15" style="1" width="11"/>
    <col collapsed="false" customWidth="true" hidden="false" outlineLevel="0" max="16" min="16" style="1" width="34"/>
  </cols>
  <sheetData>
    <row r="1" customFormat="false" ht="31.5" hidden="false" customHeight="true" outlineLevel="0" collapsed="false">
      <c r="A1" s="17" t="s">
        <v>597</v>
      </c>
      <c r="B1" s="17" t="s">
        <v>418</v>
      </c>
      <c r="C1" s="17" t="s">
        <v>511</v>
      </c>
      <c r="D1" s="17" t="s">
        <v>68</v>
      </c>
      <c r="E1" s="17" t="s">
        <v>598</v>
      </c>
      <c r="F1" s="17" t="s">
        <v>599</v>
      </c>
      <c r="G1" s="17" t="s">
        <v>600</v>
      </c>
      <c r="H1" s="17" t="s">
        <v>601</v>
      </c>
      <c r="I1" s="17" t="s">
        <v>602</v>
      </c>
      <c r="J1" s="17" t="s">
        <v>603</v>
      </c>
      <c r="K1" s="17" t="s">
        <v>604</v>
      </c>
      <c r="L1" s="17" t="s">
        <v>605</v>
      </c>
      <c r="M1" s="17" t="s">
        <v>606</v>
      </c>
      <c r="N1" s="17" t="s">
        <v>607</v>
      </c>
      <c r="O1" s="17" t="s">
        <v>608</v>
      </c>
      <c r="P1" s="17" t="s">
        <v>609</v>
      </c>
    </row>
    <row r="2" customFormat="false" ht="39" hidden="false" customHeight="true" outlineLevel="0" collapsed="false">
      <c r="A2" s="19" t="s">
        <v>610</v>
      </c>
      <c r="B2" s="19" t="s">
        <v>611</v>
      </c>
      <c r="C2" s="19" t="s">
        <v>612</v>
      </c>
      <c r="D2" s="19" t="s">
        <v>613</v>
      </c>
      <c r="E2" s="19" t="s">
        <v>614</v>
      </c>
      <c r="F2" s="19" t="s">
        <v>141</v>
      </c>
      <c r="G2" s="19" t="s">
        <v>156</v>
      </c>
      <c r="H2" s="18" t="str">
        <f aca="false">IFERROR(INDEX(Suits!$B$2:$B$7,MATCH(F2,Suits!$A$2:$A$7,0)),"?")</f>
        <v>誠実</v>
      </c>
      <c r="I2" s="18" t="str">
        <f aca="false">IFERROR(INDEX(Suits!$B$2:$B$7,MATCH(G2,Suits!$A$2:$A$7,0)),"?")</f>
        <v>実証</v>
      </c>
      <c r="J2" s="33" t="n">
        <f aca="false">Balance!$B$8</f>
        <v>12</v>
      </c>
      <c r="K2" s="18" t="n">
        <f aca="false">ROUND(J2*Balance!$B$9,0)</f>
        <v>6</v>
      </c>
      <c r="L2" s="18" t="n">
        <f aca="false">ROUND(J2*Balance!$B$10,0)</f>
        <v>4</v>
      </c>
      <c r="M2" s="18" t="n">
        <f aca="false">J2-K2-L2</f>
        <v>2</v>
      </c>
      <c r="N2" s="19" t="s">
        <v>615</v>
      </c>
      <c r="O2" s="19" t="s">
        <v>478</v>
      </c>
      <c r="P2" s="18" t="s">
        <v>616</v>
      </c>
    </row>
    <row r="3" customFormat="false" ht="39" hidden="false" customHeight="true" outlineLevel="0" collapsed="false">
      <c r="A3" s="19" t="s">
        <v>617</v>
      </c>
      <c r="B3" s="19" t="s">
        <v>618</v>
      </c>
      <c r="C3" s="19" t="s">
        <v>619</v>
      </c>
      <c r="D3" s="19" t="s">
        <v>620</v>
      </c>
      <c r="E3" s="19" t="s">
        <v>621</v>
      </c>
      <c r="F3" s="19" t="s">
        <v>146</v>
      </c>
      <c r="G3" s="19" t="s">
        <v>161</v>
      </c>
      <c r="H3" s="18" t="str">
        <f aca="false">IFERROR(INDEX(Suits!$B$2:$B$7,MATCH(F3,Suits!$A$2:$A$7,0)),"?")</f>
        <v>情熱</v>
      </c>
      <c r="I3" s="18" t="str">
        <f aca="false">IFERROR(INDEX(Suits!$B$2:$B$7,MATCH(G3,Suits!$A$2:$A$7,0)),"?")</f>
        <v>分断</v>
      </c>
      <c r="J3" s="33" t="n">
        <f aca="false">Balance!$B$8</f>
        <v>12</v>
      </c>
      <c r="K3" s="18" t="n">
        <f aca="false">ROUND(J3*Balance!$B$9,0)</f>
        <v>6</v>
      </c>
      <c r="L3" s="18" t="n">
        <f aca="false">ROUND(J3*Balance!$B$10,0)</f>
        <v>4</v>
      </c>
      <c r="M3" s="18" t="n">
        <f aca="false">J3-K3-L3</f>
        <v>2</v>
      </c>
      <c r="N3" s="19" t="s">
        <v>622</v>
      </c>
      <c r="O3" s="19" t="s">
        <v>455</v>
      </c>
      <c r="P3" s="18" t="s">
        <v>616</v>
      </c>
    </row>
    <row r="4" customFormat="false" ht="39" hidden="false" customHeight="true" outlineLevel="0" collapsed="false">
      <c r="A4" s="19" t="s">
        <v>623</v>
      </c>
      <c r="B4" s="19" t="s">
        <v>624</v>
      </c>
      <c r="C4" s="19" t="s">
        <v>625</v>
      </c>
      <c r="D4" s="19" t="s">
        <v>613</v>
      </c>
      <c r="E4" s="19" t="s">
        <v>626</v>
      </c>
      <c r="F4" s="19" t="s">
        <v>166</v>
      </c>
      <c r="G4" s="19" t="s">
        <v>161</v>
      </c>
      <c r="H4" s="18" t="str">
        <f aca="false">IFERROR(INDEX(Suits!$B$2:$B$7,MATCH(F4,Suits!$A$2:$A$7,0)),"?")</f>
        <v>二枚舌</v>
      </c>
      <c r="I4" s="18" t="str">
        <f aca="false">IFERROR(INDEX(Suits!$B$2:$B$7,MATCH(G4,Suits!$A$2:$A$7,0)),"?")</f>
        <v>分断</v>
      </c>
      <c r="J4" s="33" t="n">
        <f aca="false">Balance!$B$8</f>
        <v>12</v>
      </c>
      <c r="K4" s="18" t="n">
        <f aca="false">ROUND(J4*Balance!$B$9,0)</f>
        <v>6</v>
      </c>
      <c r="L4" s="18" t="n">
        <f aca="false">ROUND(J4*Balance!$B$10,0)</f>
        <v>4</v>
      </c>
      <c r="M4" s="18" t="n">
        <f aca="false">J4-K4-L4</f>
        <v>2</v>
      </c>
      <c r="N4" s="19" t="s">
        <v>627</v>
      </c>
      <c r="O4" s="19" t="s">
        <v>505</v>
      </c>
      <c r="P4" s="18" t="s">
        <v>616</v>
      </c>
    </row>
    <row r="5" customFormat="false" ht="39" hidden="false" customHeight="true" outlineLevel="0" collapsed="false">
      <c r="A5" s="19" t="s">
        <v>628</v>
      </c>
      <c r="B5" s="19" t="s">
        <v>629</v>
      </c>
      <c r="C5" s="19" t="s">
        <v>630</v>
      </c>
      <c r="D5" s="19" t="s">
        <v>631</v>
      </c>
      <c r="E5" s="19" t="s">
        <v>632</v>
      </c>
      <c r="F5" s="19" t="s">
        <v>156</v>
      </c>
      <c r="G5" s="19" t="s">
        <v>151</v>
      </c>
      <c r="H5" s="18" t="str">
        <f aca="false">IFERROR(INDEX(Suits!$B$2:$B$7,MATCH(F5,Suits!$A$2:$A$7,0)),"?")</f>
        <v>実証</v>
      </c>
      <c r="I5" s="18" t="str">
        <f aca="false">IFERROR(INDEX(Suits!$B$2:$B$7,MATCH(G5,Suits!$A$2:$A$7,0)),"?")</f>
        <v>求心</v>
      </c>
      <c r="J5" s="33" t="n">
        <f aca="false">Balance!$B$8</f>
        <v>12</v>
      </c>
      <c r="K5" s="18" t="n">
        <f aca="false">ROUND(J5*Balance!$B$9,0)</f>
        <v>6</v>
      </c>
      <c r="L5" s="18" t="n">
        <f aca="false">ROUND(J5*Balance!$B$10,0)</f>
        <v>4</v>
      </c>
      <c r="M5" s="18" t="n">
        <f aca="false">J5-K5-L5</f>
        <v>2</v>
      </c>
      <c r="N5" s="19" t="s">
        <v>633</v>
      </c>
      <c r="O5" s="19" t="s">
        <v>464</v>
      </c>
      <c r="P5" s="18" t="s">
        <v>616</v>
      </c>
    </row>
    <row r="6" customFormat="false" ht="39" hidden="false" customHeight="true" outlineLevel="0" collapsed="false">
      <c r="A6" s="19" t="s">
        <v>634</v>
      </c>
      <c r="B6" s="19" t="s">
        <v>635</v>
      </c>
      <c r="C6" s="19" t="s">
        <v>625</v>
      </c>
      <c r="D6" s="19" t="s">
        <v>620</v>
      </c>
      <c r="E6" s="19" t="s">
        <v>636</v>
      </c>
      <c r="F6" s="19" t="s">
        <v>151</v>
      </c>
      <c r="G6" s="19" t="s">
        <v>161</v>
      </c>
      <c r="H6" s="18" t="str">
        <f aca="false">IFERROR(INDEX(Suits!$B$2:$B$7,MATCH(F6,Suits!$A$2:$A$7,0)),"?")</f>
        <v>求心</v>
      </c>
      <c r="I6" s="18" t="str">
        <f aca="false">IFERROR(INDEX(Suits!$B$2:$B$7,MATCH(G6,Suits!$A$2:$A$7,0)),"?")</f>
        <v>分断</v>
      </c>
      <c r="J6" s="33" t="n">
        <f aca="false">Balance!$B$8</f>
        <v>12</v>
      </c>
      <c r="K6" s="18" t="n">
        <f aca="false">ROUND(J6*Balance!$B$9,0)</f>
        <v>6</v>
      </c>
      <c r="L6" s="18" t="n">
        <f aca="false">ROUND(J6*Balance!$B$10,0)</f>
        <v>4</v>
      </c>
      <c r="M6" s="18" t="n">
        <f aca="false">J6-K6-L6</f>
        <v>2</v>
      </c>
      <c r="N6" s="19" t="s">
        <v>637</v>
      </c>
      <c r="O6" s="19" t="s">
        <v>490</v>
      </c>
      <c r="P6" s="18" t="s">
        <v>616</v>
      </c>
    </row>
    <row r="7" customFormat="false" ht="39" hidden="false" customHeight="true" outlineLevel="0" collapsed="false">
      <c r="A7" s="19" t="s">
        <v>638</v>
      </c>
      <c r="B7" s="19" t="s">
        <v>639</v>
      </c>
      <c r="C7" s="19" t="s">
        <v>640</v>
      </c>
      <c r="D7" s="19" t="s">
        <v>641</v>
      </c>
      <c r="E7" s="19" t="s">
        <v>642</v>
      </c>
      <c r="F7" s="19" t="s">
        <v>141</v>
      </c>
      <c r="G7" s="19" t="s">
        <v>156</v>
      </c>
      <c r="H7" s="18" t="str">
        <f aca="false">IFERROR(INDEX(Suits!$B$2:$B$7,MATCH(F7,Suits!$A$2:$A$7,0)),"?")</f>
        <v>誠実</v>
      </c>
      <c r="I7" s="18" t="str">
        <f aca="false">IFERROR(INDEX(Suits!$B$2:$B$7,MATCH(G7,Suits!$A$2:$A$7,0)),"?")</f>
        <v>実証</v>
      </c>
      <c r="J7" s="33" t="n">
        <f aca="false">Balance!$B$8</f>
        <v>12</v>
      </c>
      <c r="K7" s="18" t="n">
        <f aca="false">ROUND(J7*Balance!$B$9,0)</f>
        <v>6</v>
      </c>
      <c r="L7" s="18" t="n">
        <f aca="false">ROUND(J7*Balance!$B$10,0)</f>
        <v>4</v>
      </c>
      <c r="M7" s="18" t="n">
        <f aca="false">J7-K7-L7</f>
        <v>2</v>
      </c>
      <c r="N7" s="19" t="s">
        <v>643</v>
      </c>
      <c r="O7" s="19" t="s">
        <v>470</v>
      </c>
      <c r="P7" s="18" t="s">
        <v>616</v>
      </c>
    </row>
    <row r="8" customFormat="false" ht="39" hidden="false" customHeight="true" outlineLevel="0" collapsed="false">
      <c r="A8" s="19" t="s">
        <v>644</v>
      </c>
      <c r="B8" s="19" t="s">
        <v>645</v>
      </c>
      <c r="C8" s="19" t="s">
        <v>630</v>
      </c>
      <c r="D8" s="19" t="s">
        <v>646</v>
      </c>
      <c r="E8" s="19" t="s">
        <v>647</v>
      </c>
      <c r="F8" s="19" t="s">
        <v>166</v>
      </c>
      <c r="G8" s="19" t="s">
        <v>161</v>
      </c>
      <c r="H8" s="18" t="str">
        <f aca="false">IFERROR(INDEX(Suits!$B$2:$B$7,MATCH(F8,Suits!$A$2:$A$7,0)),"?")</f>
        <v>二枚舌</v>
      </c>
      <c r="I8" s="18" t="str">
        <f aca="false">IFERROR(INDEX(Suits!$B$2:$B$7,MATCH(G8,Suits!$A$2:$A$7,0)),"?")</f>
        <v>分断</v>
      </c>
      <c r="J8" s="33" t="n">
        <f aca="false">Balance!$B$8</f>
        <v>12</v>
      </c>
      <c r="K8" s="18" t="n">
        <f aca="false">ROUND(J8*Balance!$B$9,0)</f>
        <v>6</v>
      </c>
      <c r="L8" s="18" t="n">
        <f aca="false">ROUND(J8*Balance!$B$10,0)</f>
        <v>4</v>
      </c>
      <c r="M8" s="18" t="n">
        <f aca="false">J8-K8-L8</f>
        <v>2</v>
      </c>
      <c r="N8" s="19" t="s">
        <v>648</v>
      </c>
      <c r="O8" s="19" t="s">
        <v>496</v>
      </c>
      <c r="P8" s="18" t="s">
        <v>616</v>
      </c>
    </row>
    <row r="9" customFormat="false" ht="39" hidden="false" customHeight="true" outlineLevel="0" collapsed="false">
      <c r="A9" s="19" t="s">
        <v>649</v>
      </c>
      <c r="B9" s="19" t="s">
        <v>650</v>
      </c>
      <c r="C9" s="19" t="s">
        <v>651</v>
      </c>
      <c r="D9" s="19" t="s">
        <v>652</v>
      </c>
      <c r="E9" s="19" t="s">
        <v>626</v>
      </c>
      <c r="F9" s="19" t="s">
        <v>141</v>
      </c>
      <c r="G9" s="19" t="s">
        <v>146</v>
      </c>
      <c r="H9" s="18" t="str">
        <f aca="false">IFERROR(INDEX(Suits!$B$2:$B$7,MATCH(F9,Suits!$A$2:$A$7,0)),"?")</f>
        <v>誠実</v>
      </c>
      <c r="I9" s="18" t="str">
        <f aca="false">IFERROR(INDEX(Suits!$B$2:$B$7,MATCH(G9,Suits!$A$2:$A$7,0)),"?")</f>
        <v>情熱</v>
      </c>
      <c r="J9" s="33" t="n">
        <f aca="false">Balance!$B$8</f>
        <v>12</v>
      </c>
      <c r="K9" s="18" t="n">
        <f aca="false">ROUND(J9*Balance!$B$9,0)</f>
        <v>6</v>
      </c>
      <c r="L9" s="18" t="n">
        <f aca="false">ROUND(J9*Balance!$B$10,0)</f>
        <v>4</v>
      </c>
      <c r="M9" s="18" t="n">
        <f aca="false">J9-K9-L9</f>
        <v>2</v>
      </c>
      <c r="N9" s="19" t="s">
        <v>653</v>
      </c>
      <c r="O9" s="19" t="s">
        <v>654</v>
      </c>
      <c r="P9" s="18" t="s">
        <v>616</v>
      </c>
    </row>
    <row r="10" customFormat="false" ht="39.55" hidden="false" customHeight="false" outlineLevel="0" collapsed="false">
      <c r="A10" s="19" t="s">
        <v>655</v>
      </c>
      <c r="B10" s="19" t="s">
        <v>656</v>
      </c>
      <c r="C10" s="19" t="s">
        <v>612</v>
      </c>
      <c r="D10" s="19" t="s">
        <v>657</v>
      </c>
      <c r="E10" s="19" t="s">
        <v>658</v>
      </c>
      <c r="F10" s="19" t="s">
        <v>146</v>
      </c>
      <c r="G10" s="19" t="s">
        <v>166</v>
      </c>
      <c r="H10" s="18" t="str">
        <f aca="false">IFERROR(INDEX(Suits!$B$2:$B$7,MATCH(F10,Suits!$A$2:$A$7,0)),"?")</f>
        <v>情熱</v>
      </c>
      <c r="I10" s="18" t="str">
        <f aca="false">IFERROR(INDEX(Suits!$B$2:$B$7,MATCH(G10,Suits!$A$2:$A$7,0)),"?")</f>
        <v>二枚舌</v>
      </c>
      <c r="J10" s="33" t="n">
        <f aca="false">Balance!$B$8</f>
        <v>12</v>
      </c>
      <c r="K10" s="18" t="n">
        <f aca="false">ROUND(J10*Balance!$B$9,0)</f>
        <v>6</v>
      </c>
      <c r="L10" s="18" t="n">
        <f aca="false">ROUND(J10*Balance!$B$10,0)</f>
        <v>4</v>
      </c>
      <c r="M10" s="18" t="n">
        <f aca="false">J10-K10-L10</f>
        <v>2</v>
      </c>
      <c r="N10" s="19" t="s">
        <v>659</v>
      </c>
      <c r="O10" s="19" t="s">
        <v>464</v>
      </c>
      <c r="P10" s="18" t="s">
        <v>616</v>
      </c>
    </row>
  </sheetData>
  <dataValidations count="1">
    <dataValidation allowBlank="true" errorStyle="stop" operator="between" showDropDown="false" showErrorMessage="false" showInputMessage="false" sqref="F2:G100" type="list">
      <formula1>Lists!$A$2:$A$7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4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1"/>
    <col collapsed="false" customWidth="true" hidden="false" outlineLevel="0" max="6" min="6" style="1" width="50"/>
  </cols>
  <sheetData>
    <row r="1" customFormat="false" ht="31.5" hidden="false" customHeight="true" outlineLevel="0" collapsed="false">
      <c r="A1" s="17" t="s">
        <v>660</v>
      </c>
      <c r="B1" s="17" t="s">
        <v>661</v>
      </c>
      <c r="C1" s="17" t="s">
        <v>662</v>
      </c>
      <c r="D1" s="17" t="s">
        <v>137</v>
      </c>
      <c r="E1" s="17" t="s">
        <v>663</v>
      </c>
      <c r="F1" s="17" t="s">
        <v>90</v>
      </c>
    </row>
    <row r="2" customFormat="false" ht="26.25" hidden="false" customHeight="true" outlineLevel="0" collapsed="false">
      <c r="A2" s="19" t="s">
        <v>664</v>
      </c>
      <c r="B2" s="19" t="s">
        <v>665</v>
      </c>
      <c r="C2" s="23" t="s">
        <v>666</v>
      </c>
      <c r="D2" s="19" t="s">
        <v>667</v>
      </c>
      <c r="E2" s="26" t="n">
        <v>50</v>
      </c>
      <c r="F2" s="18" t="s">
        <v>668</v>
      </c>
    </row>
    <row r="3" customFormat="false" ht="26.25" hidden="false" customHeight="true" outlineLevel="0" collapsed="false">
      <c r="A3" s="19" t="s">
        <v>669</v>
      </c>
      <c r="B3" s="19" t="s">
        <v>670</v>
      </c>
      <c r="C3" s="23" t="s">
        <v>671</v>
      </c>
      <c r="D3" s="19" t="s">
        <v>672</v>
      </c>
      <c r="E3" s="26" t="n">
        <v>50</v>
      </c>
      <c r="F3" s="18" t="s">
        <v>668</v>
      </c>
    </row>
    <row r="4" customFormat="false" ht="26.25" hidden="false" customHeight="true" outlineLevel="0" collapsed="false">
      <c r="A4" s="19" t="s">
        <v>673</v>
      </c>
      <c r="B4" s="19" t="s">
        <v>674</v>
      </c>
      <c r="C4" s="23" t="s">
        <v>675</v>
      </c>
      <c r="D4" s="19" t="s">
        <v>676</v>
      </c>
      <c r="E4" s="26" t="n">
        <v>50</v>
      </c>
      <c r="F4" s="18" t="s">
        <v>668</v>
      </c>
    </row>
    <row r="5" customFormat="false" ht="26.25" hidden="false" customHeight="true" outlineLevel="0" collapsed="false">
      <c r="A5" s="19" t="s">
        <v>677</v>
      </c>
      <c r="B5" s="19" t="s">
        <v>678</v>
      </c>
      <c r="C5" s="23" t="s">
        <v>679</v>
      </c>
      <c r="D5" s="19" t="s">
        <v>680</v>
      </c>
      <c r="E5" s="26" t="n">
        <v>50</v>
      </c>
      <c r="F5" s="18" t="s">
        <v>668</v>
      </c>
    </row>
    <row r="6" customFormat="false" ht="26.25" hidden="false" customHeight="true" outlineLevel="0" collapsed="false">
      <c r="A6" s="19" t="s">
        <v>681</v>
      </c>
      <c r="B6" s="19" t="s">
        <v>682</v>
      </c>
      <c r="C6" s="23" t="s">
        <v>683</v>
      </c>
      <c r="D6" s="19" t="s">
        <v>684</v>
      </c>
      <c r="E6" s="26" t="n">
        <v>50</v>
      </c>
      <c r="F6" s="18" t="s">
        <v>668</v>
      </c>
    </row>
    <row r="7" customFormat="false" ht="26.25" hidden="false" customHeight="true" outlineLevel="0" collapsed="false">
      <c r="A7" s="19" t="s">
        <v>685</v>
      </c>
      <c r="B7" s="19" t="s">
        <v>686</v>
      </c>
      <c r="C7" s="23" t="s">
        <v>687</v>
      </c>
      <c r="D7" s="19" t="s">
        <v>688</v>
      </c>
      <c r="E7" s="26" t="n">
        <v>50</v>
      </c>
      <c r="F7" s="18" t="s">
        <v>668</v>
      </c>
    </row>
    <row r="8" customFormat="false" ht="26.25" hidden="false" customHeight="true" outlineLevel="0" collapsed="false">
      <c r="A8" s="19" t="s">
        <v>689</v>
      </c>
      <c r="B8" s="19" t="s">
        <v>690</v>
      </c>
      <c r="C8" s="23" t="s">
        <v>691</v>
      </c>
      <c r="D8" s="19" t="s">
        <v>692</v>
      </c>
      <c r="E8" s="26" t="n">
        <v>50</v>
      </c>
      <c r="F8" s="18" t="s">
        <v>668</v>
      </c>
    </row>
    <row r="9" customFormat="false" ht="26.25" hidden="false" customHeight="true" outlineLevel="0" collapsed="false">
      <c r="A9" s="19" t="s">
        <v>693</v>
      </c>
      <c r="B9" s="19" t="s">
        <v>694</v>
      </c>
      <c r="C9" s="23" t="s">
        <v>695</v>
      </c>
      <c r="D9" s="19" t="s">
        <v>696</v>
      </c>
      <c r="E9" s="26" t="n">
        <v>50</v>
      </c>
      <c r="F9" s="18" t="s">
        <v>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9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7" min="6" style="1" width="9"/>
    <col collapsed="false" customWidth="true" hidden="false" outlineLevel="0" max="8" min="8" style="1" width="12"/>
    <col collapsed="false" customWidth="true" hidden="false" outlineLevel="0" max="9" min="9" style="1" width="40"/>
  </cols>
  <sheetData>
    <row r="1" customFormat="false" ht="31.5" hidden="false" customHeight="true" outlineLevel="0" collapsed="false">
      <c r="A1" s="17" t="s">
        <v>697</v>
      </c>
      <c r="B1" s="17" t="s">
        <v>698</v>
      </c>
      <c r="C1" s="17" t="s">
        <v>660</v>
      </c>
      <c r="D1" s="17" t="s">
        <v>699</v>
      </c>
      <c r="E1" s="17" t="s">
        <v>700</v>
      </c>
      <c r="F1" s="17" t="s">
        <v>701</v>
      </c>
      <c r="G1" s="17" t="s">
        <v>702</v>
      </c>
      <c r="H1" s="17" t="s">
        <v>703</v>
      </c>
      <c r="I1" s="17" t="s">
        <v>90</v>
      </c>
    </row>
    <row r="2" customFormat="false" ht="26.25" hidden="false" customHeight="true" outlineLevel="0" collapsed="false">
      <c r="A2" s="19" t="s">
        <v>704</v>
      </c>
      <c r="B2" s="19" t="s">
        <v>705</v>
      </c>
      <c r="C2" s="19" t="s">
        <v>673</v>
      </c>
      <c r="D2" s="18" t="str">
        <f aca="false">IFERROR(INDEX(Yoron!$B$2:$B$9,MATCH(C2,Yoron!$A$2:$A$9,0)),"?")</f>
        <v>Environmentalism</v>
      </c>
      <c r="E2" s="19" t="n">
        <v>1</v>
      </c>
      <c r="F2" s="18" t="n">
        <f aca="false">IFERROR(INDEX(Yoron!$E$2:$E$9,MATCH(C2,Yoron!$A$2:$A$9,0)),"")</f>
        <v>50</v>
      </c>
      <c r="G2" s="18" t="n">
        <f aca="false">IF(E2=1,F2,100-F2)</f>
        <v>50</v>
      </c>
      <c r="H2" s="18" t="n">
        <f aca="false">ROUND((Balance!$B$17-G2)*Balance!$B$16,0)</f>
        <v>0</v>
      </c>
      <c r="I2" s="18" t="s">
        <v>706</v>
      </c>
    </row>
    <row r="3" customFormat="false" ht="26.25" hidden="false" customHeight="true" outlineLevel="0" collapsed="false">
      <c r="A3" s="19" t="s">
        <v>707</v>
      </c>
      <c r="B3" s="19" t="s">
        <v>708</v>
      </c>
      <c r="C3" s="19" t="s">
        <v>664</v>
      </c>
      <c r="D3" s="18" t="str">
        <f aca="false">IFERROR(INDEX(Yoron!$B$2:$B$9,MATCH(C3,Yoron!$A$2:$A$9,0)),"?")</f>
        <v>Taxation</v>
      </c>
      <c r="E3" s="19" t="n">
        <v>-1</v>
      </c>
      <c r="F3" s="18" t="n">
        <f aca="false">IFERROR(INDEX(Yoron!$E$2:$E$9,MATCH(C3,Yoron!$A$2:$A$9,0)),"")</f>
        <v>50</v>
      </c>
      <c r="G3" s="18" t="n">
        <f aca="false">IF(E3=1,F3,100-F3)</f>
        <v>50</v>
      </c>
      <c r="H3" s="18" t="n">
        <f aca="false">ROUND((Balance!$B$17-G3)*Balance!$B$16,0)</f>
        <v>0</v>
      </c>
      <c r="I3" s="18" t="s">
        <v>706</v>
      </c>
    </row>
    <row r="4" customFormat="false" ht="26.25" hidden="false" customHeight="true" outlineLevel="0" collapsed="false">
      <c r="A4" s="19" t="s">
        <v>709</v>
      </c>
      <c r="B4" s="19" t="s">
        <v>710</v>
      </c>
      <c r="C4" s="19" t="s">
        <v>677</v>
      </c>
      <c r="D4" s="18" t="str">
        <f aca="false">IFERROR(INDEX(Yoron!$B$2:$B$9,MATCH(C4,Yoron!$A$2:$A$9,0)),"?")</f>
        <v>Ainu Enhancement</v>
      </c>
      <c r="E4" s="19" t="n">
        <v>1</v>
      </c>
      <c r="F4" s="18" t="n">
        <f aca="false">IFERROR(INDEX(Yoron!$E$2:$E$9,MATCH(C4,Yoron!$A$2:$A$9,0)),"")</f>
        <v>50</v>
      </c>
      <c r="G4" s="18" t="n">
        <f aca="false">IF(E4=1,F4,100-F4)</f>
        <v>50</v>
      </c>
      <c r="H4" s="18" t="n">
        <f aca="false">ROUND((Balance!$B$17-G4)*Balance!$B$16,0)</f>
        <v>0</v>
      </c>
      <c r="I4" s="18" t="s">
        <v>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"/>
    <col collapsed="false" customWidth="true" hidden="false" outlineLevel="0" max="4" min="3" style="0" width="18"/>
    <col collapsed="false" customWidth="true" hidden="false" outlineLevel="0" max="8" min="5" style="0" width="12"/>
    <col collapsed="false" customWidth="true" hidden="false" outlineLevel="0" max="9" min="9" style="0" width="9"/>
    <col collapsed="false" customWidth="true" hidden="false" outlineLevel="0" max="10" min="10" style="0" width="34"/>
  </cols>
  <sheetData>
    <row r="1" customFormat="false" ht="31.5" hidden="false" customHeight="true" outlineLevel="0" collapsed="false">
      <c r="A1" s="17" t="s">
        <v>711</v>
      </c>
      <c r="B1" s="17" t="s">
        <v>712</v>
      </c>
      <c r="C1" s="17" t="s">
        <v>713</v>
      </c>
      <c r="D1" s="17" t="s">
        <v>511</v>
      </c>
      <c r="E1" s="17" t="s">
        <v>598</v>
      </c>
      <c r="F1" s="17" t="s">
        <v>599</v>
      </c>
      <c r="G1" s="17" t="s">
        <v>600</v>
      </c>
      <c r="H1" s="17" t="s">
        <v>714</v>
      </c>
      <c r="I1" s="17" t="s">
        <v>601</v>
      </c>
      <c r="J1" s="17" t="s">
        <v>609</v>
      </c>
    </row>
    <row r="2" customFormat="false" ht="26.85" hidden="false" customHeight="false" outlineLevel="0" collapsed="false">
      <c r="A2" s="19" t="s">
        <v>715</v>
      </c>
      <c r="B2" s="19" t="n">
        <v>2</v>
      </c>
      <c r="C2" s="19" t="s">
        <v>716</v>
      </c>
      <c r="D2" s="19" t="s">
        <v>619</v>
      </c>
      <c r="E2" s="19" t="s">
        <v>658</v>
      </c>
      <c r="F2" s="19" t="s">
        <v>141</v>
      </c>
      <c r="G2" s="19" t="s">
        <v>156</v>
      </c>
      <c r="H2" s="19" t="s">
        <v>717</v>
      </c>
      <c r="I2" s="18" t="str">
        <f aca="false">IFERROR(INDEX(Suits!$B$2:$B$7,MATCH(F2,Suits!$A$2:$A$7,0)),"?")</f>
        <v>誠実</v>
      </c>
      <c r="J2" s="18" t="s">
        <v>718</v>
      </c>
    </row>
    <row r="3" customFormat="false" ht="26.85" hidden="false" customHeight="false" outlineLevel="0" collapsed="false">
      <c r="A3" s="19" t="s">
        <v>715</v>
      </c>
      <c r="B3" s="19" t="n">
        <v>2</v>
      </c>
      <c r="C3" s="19" t="s">
        <v>719</v>
      </c>
      <c r="D3" s="19" t="s">
        <v>640</v>
      </c>
      <c r="E3" s="19" t="s">
        <v>658</v>
      </c>
      <c r="F3" s="19" t="s">
        <v>141</v>
      </c>
      <c r="G3" s="19" t="s">
        <v>146</v>
      </c>
      <c r="H3" s="19" t="s">
        <v>717</v>
      </c>
      <c r="I3" s="18" t="str">
        <f aca="false">IFERROR(INDEX(Suits!$B$2:$B$7,MATCH(F3,Suits!$A$2:$A$7,0)),"?")</f>
        <v>誠実</v>
      </c>
      <c r="J3" s="18" t="s">
        <v>718</v>
      </c>
    </row>
    <row r="4" customFormat="false" ht="26.85" hidden="false" customHeight="false" outlineLevel="0" collapsed="false">
      <c r="A4" s="19" t="s">
        <v>715</v>
      </c>
      <c r="B4" s="19" t="n">
        <v>2</v>
      </c>
      <c r="C4" s="19" t="s">
        <v>720</v>
      </c>
      <c r="D4" s="19" t="s">
        <v>640</v>
      </c>
      <c r="E4" s="19" t="s">
        <v>658</v>
      </c>
      <c r="F4" s="19" t="s">
        <v>151</v>
      </c>
      <c r="G4" s="19" t="s">
        <v>146</v>
      </c>
      <c r="H4" s="19" t="s">
        <v>717</v>
      </c>
      <c r="I4" s="18" t="str">
        <f aca="false">IFERROR(INDEX(Suits!$B$2:$B$7,MATCH(F4,Suits!$A$2:$A$7,0)),"?")</f>
        <v>求心</v>
      </c>
      <c r="J4" s="18" t="s">
        <v>718</v>
      </c>
    </row>
    <row r="5" customFormat="false" ht="26.85" hidden="false" customHeight="false" outlineLevel="0" collapsed="false">
      <c r="A5" s="19" t="s">
        <v>715</v>
      </c>
      <c r="B5" s="19" t="n">
        <v>2</v>
      </c>
      <c r="C5" s="19" t="s">
        <v>721</v>
      </c>
      <c r="D5" s="19" t="s">
        <v>612</v>
      </c>
      <c r="E5" s="19" t="s">
        <v>658</v>
      </c>
      <c r="F5" s="19" t="s">
        <v>151</v>
      </c>
      <c r="G5" s="19" t="s">
        <v>161</v>
      </c>
      <c r="H5" s="19" t="s">
        <v>722</v>
      </c>
      <c r="I5" s="18" t="str">
        <f aca="false">IFERROR(INDEX(Suits!$B$2:$B$7,MATCH(F5,Suits!$A$2:$A$7,0)),"?")</f>
        <v>求心</v>
      </c>
      <c r="J5" s="18" t="s">
        <v>718</v>
      </c>
    </row>
  </sheetData>
  <dataValidations count="1">
    <dataValidation allowBlank="true" errorStyle="stop" operator="between" showDropDown="false" showErrorMessage="false" showInputMessage="false" sqref="H2:H100" type="list">
      <formula1>Lists!$J$2:$J$4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5"/>
    <col collapsed="false" customWidth="true" hidden="false" outlineLevel="0" max="3" min="3" style="1" width="8"/>
    <col collapsed="false" customWidth="true" hidden="false" outlineLevel="0" max="4" min="4" style="1" width="20"/>
    <col collapsed="false" customWidth="true" hidden="false" outlineLevel="0" max="5" min="5" style="1" width="11"/>
    <col collapsed="false" customWidth="true" hidden="false" outlineLevel="0" max="6" min="6" style="1" width="8"/>
    <col collapsed="false" customWidth="true" hidden="false" outlineLevel="0" max="7" min="7" style="1" width="20"/>
    <col collapsed="false" customWidth="true" hidden="false" outlineLevel="0" max="8" min="8" style="1" width="8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9"/>
    <col collapsed="false" customWidth="true" hidden="false" outlineLevel="0" max="12" min="12" style="1" width="45"/>
    <col collapsed="false" customWidth="true" hidden="false" outlineLevel="0" max="15" min="13" style="1" width="10"/>
  </cols>
  <sheetData>
    <row r="1" customFormat="false" ht="31.5" hidden="false" customHeight="true" outlineLevel="0" collapsed="false">
      <c r="A1" s="17" t="s">
        <v>711</v>
      </c>
      <c r="B1" s="17" t="s">
        <v>712</v>
      </c>
      <c r="C1" s="17" t="s">
        <v>171</v>
      </c>
      <c r="D1" s="17" t="s">
        <v>723</v>
      </c>
      <c r="E1" s="17" t="s">
        <v>174</v>
      </c>
      <c r="F1" s="17" t="s">
        <v>597</v>
      </c>
      <c r="G1" s="17" t="s">
        <v>503</v>
      </c>
      <c r="H1" s="17" t="s">
        <v>697</v>
      </c>
      <c r="I1" s="17" t="s">
        <v>724</v>
      </c>
      <c r="J1" s="17" t="s">
        <v>177</v>
      </c>
      <c r="K1" s="17" t="s">
        <v>195</v>
      </c>
      <c r="L1" s="17" t="s">
        <v>90</v>
      </c>
      <c r="M1" s="17" t="s">
        <v>725</v>
      </c>
      <c r="N1" s="17" t="s">
        <v>726</v>
      </c>
      <c r="O1" s="17" t="s">
        <v>727</v>
      </c>
    </row>
    <row r="2" customFormat="false" ht="26.25" hidden="false" customHeight="true" outlineLevel="0" collapsed="false">
      <c r="A2" s="19" t="s">
        <v>715</v>
      </c>
      <c r="B2" s="19" t="n">
        <v>1</v>
      </c>
      <c r="C2" s="19" t="s">
        <v>234</v>
      </c>
      <c r="D2" s="18" t="str">
        <f aca="false">IFERROR(INDEX(Stages!$B$2:$B$9,MATCH(C2,Stages!$A$2:$A$9,0)),"?")</f>
        <v>Office Hours</v>
      </c>
      <c r="E2" s="18" t="str">
        <f aca="false">IFERROR(INDEX(Stages!$E$2:$E$9,MATCH(C2,Stages!$A$2:$A$9,0)),"?")</f>
        <v>Non-combat</v>
      </c>
      <c r="F2" s="18"/>
      <c r="G2" s="18" t="str">
        <f aca="false">IF(F2="","—",IFERROR(INDEX(Opponents!$B$2:$B$10,MATCH(F2,Opponents!$A$2:$A$10,0)),"?"))</f>
        <v>—</v>
      </c>
      <c r="H2" s="19" t="s">
        <v>704</v>
      </c>
      <c r="I2" s="18" t="str">
        <f aca="false">IF(E2&lt;&gt;"Combat","—",IF(C2="ST01",ROUND(N2*Balance!$B$23,0),INDEX(Stages!$O$2:$O$9,MATCH(C2,Stages!$A$2:$A$9,0))+IFERROR(INDEX(Bills!$H$2:$H$4,MATCH(H2,Bills!$A$2:$A$4,0)),0)))</f>
        <v>—</v>
      </c>
      <c r="J2" s="18" t="str">
        <f aca="false">IF(E2&lt;&gt;"Combat","—",IF(C2="ST01",INT(N2/2)+1,INDEX(Stages!$H$2:$H$9,MATCH(C2,Stages!$A$2:$A$9,0))))</f>
        <v>—</v>
      </c>
      <c r="K2" s="18" t="n">
        <f aca="false">INDEX(Stages!$Z$2:$Z$9,MATCH(C2,Stages!$A$2:$A$9,0))</f>
        <v>10</v>
      </c>
      <c r="L2" s="18" t="s">
        <v>728</v>
      </c>
      <c r="M2" s="18"/>
      <c r="N2" s="18"/>
      <c r="O2" s="18" t="str">
        <f aca="false">IF(C2&lt;&gt;"ST01","",IF(AND(N2&gt;=INDEX(Balance!$B$20:$B$22,MATCH(M2,Balance!$A$20:$A$22,0)),N2&lt;=INDEX(Balance!$C$20:$C$22,MATCH(M2,Balance!$A$20:$A$22,0))),"ok","OUT OF BAND"))</f>
        <v/>
      </c>
    </row>
    <row r="3" customFormat="false" ht="15" hidden="false" customHeight="true" outlineLevel="0" collapsed="false">
      <c r="A3" s="19" t="s">
        <v>715</v>
      </c>
      <c r="B3" s="19" t="n">
        <v>2</v>
      </c>
      <c r="C3" s="19" t="s">
        <v>198</v>
      </c>
      <c r="D3" s="18" t="str">
        <f aca="false">IFERROR(INDEX(Stages!$B$2:$B$9,MATCH(C3,Stages!$A$2:$A$9,0)),"?")</f>
        <v>Committee</v>
      </c>
      <c r="E3" s="18" t="str">
        <f aca="false">IFERROR(INDEX(Stages!$E$2:$E$9,MATCH(C3,Stages!$A$2:$A$9,0)),"?")</f>
        <v>Combat</v>
      </c>
      <c r="F3" s="19" t="s">
        <v>655</v>
      </c>
      <c r="G3" s="18" t="str">
        <f aca="false">IF(F3="","—",IFERROR(INDEX(Opponents!$B$2:$B$10,MATCH(F3,Opponents!$A$2:$A$10,0)),"?"))</f>
        <v>Walter Peard</v>
      </c>
      <c r="H3" s="19" t="s">
        <v>704</v>
      </c>
      <c r="I3" s="18" t="n">
        <f aca="false">IF(E3&lt;&gt;"Combat","—",IF(N3&gt;0,COUNTIFS(Committee!$A$2:$A$100,A3,Committee!$B$2:$B$100,B3,Committee!$H$2:$H$100,"Against"),ROUND(N3*Balance!$B$23,0)))</f>
        <v>1</v>
      </c>
      <c r="J3" s="18" t="n">
        <f aca="false">IF(E3&lt;&gt;"Combat","—",IF(C3="ST01",INT(N3/2)+1,INDEX(Stages!$H$2:$H$9,MATCH(C3,Stages!$A$2:$A$9,0))))</f>
        <v>3</v>
      </c>
      <c r="K3" s="18" t="n">
        <f aca="false">INDEX(Stages!$Z$2:$Z$9,MATCH(C3,Stages!$A$2:$A$9,0))</f>
        <v>20</v>
      </c>
      <c r="L3" s="18" t="s">
        <v>729</v>
      </c>
      <c r="M3" s="19" t="s">
        <v>120</v>
      </c>
      <c r="N3" s="18" t="n">
        <f aca="false">COUNTIFS(Committee!$A$2:$A$100,A3,Committee!$B$2:$B$100,B3)</f>
        <v>4</v>
      </c>
      <c r="O3" s="18" t="str">
        <f aca="false">IF(C3&lt;&gt;"ST01","",IF(AND(N3&gt;=INDEX(Balance!$B$20:$B$22,MATCH(M3,Balance!$A$20:$A$22,0)),N3&lt;=INDEX(Balance!$C$20:$C$22,MATCH(M3,Balance!$A$20:$A$22,0))),"ok","OUT OF BAND"))</f>
        <v>ok</v>
      </c>
    </row>
    <row r="4" customFormat="false" ht="39" hidden="false" customHeight="true" outlineLevel="0" collapsed="false">
      <c r="A4" s="19" t="s">
        <v>715</v>
      </c>
      <c r="B4" s="19" t="n">
        <v>3</v>
      </c>
      <c r="C4" s="19" t="s">
        <v>212</v>
      </c>
      <c r="D4" s="18" t="str">
        <f aca="false">IFERROR(INDEX(Stages!$B$2:$B$9,MATCH(C4,Stages!$A$2:$A$9,0)),"?")</f>
        <v>Party Caucus</v>
      </c>
      <c r="E4" s="18" t="str">
        <f aca="false">IFERROR(INDEX(Stages!$E$2:$E$9,MATCH(C4,Stages!$A$2:$A$9,0)),"?")</f>
        <v>Combat</v>
      </c>
      <c r="F4" s="37" t="s">
        <v>617</v>
      </c>
      <c r="G4" s="18" t="str">
        <f aca="false">IF(F4="","—",IFERROR(INDEX(Opponents!$B$2:$B$10,MATCH(F4,Opponents!$A$2:$A$10,0)),"?"))</f>
        <v>Yuriko Mayeda</v>
      </c>
      <c r="H4" s="19" t="s">
        <v>704</v>
      </c>
      <c r="I4" s="18" t="n">
        <f aca="false">IF(E4&lt;&gt;"Combat","—",IF(C4="ST01",ROUND(N4*Balance!$B$23,0),INDEX(Stages!$O$2:$O$9,MATCH(C4,Stages!$A$2:$A$9,0))+IFERROR(INDEX(Bills!$H$2:$H$4,MATCH(H4,Bills!$A$2:$A$4,0)),0)))</f>
        <v>40</v>
      </c>
      <c r="J4" s="18" t="n">
        <f aca="false">IF(E4&lt;&gt;"Combat","—",IF(C4="ST01",INT(N4/2)+1,INDEX(Stages!$H$2:$H$9,MATCH(C4,Stages!$A$2:$A$9,0))))</f>
        <v>60</v>
      </c>
      <c r="K4" s="18" t="n">
        <f aca="false">INDEX(Stages!$Z$2:$Z$9,MATCH(C4,Stages!$A$2:$A$9,0))</f>
        <v>25</v>
      </c>
      <c r="L4" s="18" t="s">
        <v>730</v>
      </c>
      <c r="M4" s="18"/>
      <c r="N4" s="18"/>
      <c r="O4" s="18" t="str">
        <f aca="false">IF(C4&lt;&gt;"ST01","",IF(AND(N4&gt;=INDEX(Balance!$B$20:$B$22,MATCH(M4,Balance!$A$20:$A$22,0)),N4&lt;=INDEX(Balance!$C$20:$C$22,MATCH(M4,Balance!$A$20:$A$22,0))),"ok","OUT OF BAND"))</f>
        <v/>
      </c>
    </row>
    <row r="5" customFormat="false" ht="15" hidden="false" customHeight="true" outlineLevel="0" collapsed="false">
      <c r="A5" s="19" t="s">
        <v>715</v>
      </c>
      <c r="B5" s="19" t="n">
        <v>4</v>
      </c>
      <c r="C5" s="19" t="s">
        <v>206</v>
      </c>
      <c r="D5" s="18" t="str">
        <f aca="false">IFERROR(INDEX(Stages!$B$2:$B$9,MATCH(C5,Stages!$A$2:$A$9,0)),"?")</f>
        <v>Floor Debate</v>
      </c>
      <c r="E5" s="18" t="str">
        <f aca="false">IFERROR(INDEX(Stages!$E$2:$E$9,MATCH(C5,Stages!$A$2:$A$9,0)),"?")</f>
        <v>Combat</v>
      </c>
      <c r="F5" s="19" t="s">
        <v>623</v>
      </c>
      <c r="G5" s="18" t="str">
        <f aca="false">IF(F5="","—",IFERROR(INDEX(Opponents!$B$2:$B$10,MATCH(F5,Opponents!$A$2:$A$10,0)),"?"))</f>
        <v>Masato Maruyama</v>
      </c>
      <c r="H5" s="19" t="s">
        <v>704</v>
      </c>
      <c r="I5" s="18" t="n">
        <f aca="false">IF(E5&lt;&gt;"Combat","—",IF(C5="ST01",ROUND(N5*Balance!$B$23,0),INDEX(Stages!$O$2:$O$9,MATCH(C5,Stages!$A$2:$A$9,0))+IFERROR(INDEX(Bills!$H$2:$H$4,MATCH(H5,Bills!$A$2:$A$4,0)),0)))</f>
        <v>40</v>
      </c>
      <c r="J5" s="18" t="n">
        <f aca="false">IF(E5&lt;&gt;"Combat","—",IF(C5="ST01",INT(N5/2)+1,INDEX(Stages!$H$2:$H$9,MATCH(C5,Stages!$A$2:$A$9,0))))</f>
        <v>51</v>
      </c>
      <c r="K5" s="18" t="n">
        <f aca="false">INDEX(Stages!$Z$2:$Z$9,MATCH(C5,Stages!$A$2:$A$9,0))</f>
        <v>40</v>
      </c>
      <c r="L5" s="18" t="s">
        <v>731</v>
      </c>
      <c r="M5" s="18"/>
      <c r="N5" s="18"/>
      <c r="O5" s="18" t="str">
        <f aca="false">IF(C5&lt;&gt;"ST01","",IF(AND(N5&gt;=INDEX(Balance!$B$20:$B$22,MATCH(M5,Balance!$A$20:$A$22,0)),N5&lt;=INDEX(Balance!$C$20:$C$22,MATCH(M5,Balance!$A$20:$A$22,0))),"ok","OUT OF BAND"))</f>
        <v/>
      </c>
    </row>
    <row r="6" customFormat="false" ht="26.25" hidden="false" customHeight="true" outlineLevel="0" collapsed="false">
      <c r="J6" s="21" t="s">
        <v>732</v>
      </c>
      <c r="K6" s="18" t="n">
        <f aca="false">SUM(K2:K5)</f>
        <v>95</v>
      </c>
    </row>
  </sheetData>
  <dataValidations count="1">
    <dataValidation allowBlank="true" errorStyle="stop" operator="between" showDropDown="false" showErrorMessage="false" showInputMessage="false" sqref="M2:M100" type="list">
      <formula1>Lists!$G$2:$G$4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6"/>
    <col collapsed="false" customWidth="true" hidden="false" outlineLevel="0" max="3" min="3" style="1" width="9"/>
    <col collapsed="false" customWidth="true" hidden="false" outlineLevel="0" max="4" min="4" style="1" width="7"/>
    <col collapsed="false" customWidth="true" hidden="false" outlineLevel="0" max="6" min="5" style="1" width="6"/>
    <col collapsed="false" customWidth="true" hidden="false" outlineLevel="0" max="7" min="7" style="1" width="9"/>
    <col collapsed="false" customWidth="true" hidden="false" outlineLevel="0" max="8" min="8" style="1" width="40"/>
    <col collapsed="false" customWidth="true" hidden="false" outlineLevel="0" max="9" min="9" style="1" width="9"/>
    <col collapsed="false" customWidth="true" hidden="false" outlineLevel="0" max="10" min="10" style="1" width="36"/>
    <col collapsed="false" customWidth="true" hidden="false" outlineLevel="0" max="11" min="11" style="1" width="34"/>
    <col collapsed="false" customWidth="true" hidden="false" outlineLevel="0" max="12" min="12" style="1" width="10"/>
    <col collapsed="false" customWidth="true" hidden="false" outlineLevel="0" max="13" min="13" style="1" width="40"/>
  </cols>
  <sheetData>
    <row r="1" customFormat="false" ht="31.5" hidden="false" customHeight="true" outlineLevel="0" collapsed="false">
      <c r="A1" s="17" t="s">
        <v>733</v>
      </c>
      <c r="B1" s="17" t="s">
        <v>734</v>
      </c>
      <c r="C1" s="17" t="s">
        <v>137</v>
      </c>
      <c r="D1" s="17" t="s">
        <v>735</v>
      </c>
      <c r="E1" s="17" t="s">
        <v>118</v>
      </c>
      <c r="F1" s="17" t="s">
        <v>119</v>
      </c>
      <c r="G1" s="17" t="s">
        <v>736</v>
      </c>
      <c r="H1" s="17" t="s">
        <v>737</v>
      </c>
      <c r="I1" s="17" t="s">
        <v>738</v>
      </c>
      <c r="J1" s="17" t="s">
        <v>739</v>
      </c>
      <c r="K1" s="17" t="s">
        <v>740</v>
      </c>
      <c r="L1" s="17" t="s">
        <v>741</v>
      </c>
      <c r="M1" s="17" t="s">
        <v>742</v>
      </c>
    </row>
    <row r="2" customFormat="false" ht="42" hidden="false" customHeight="true" outlineLevel="0" collapsed="false">
      <c r="A2" s="19" t="s">
        <v>743</v>
      </c>
      <c r="B2" s="23" t="s">
        <v>744</v>
      </c>
      <c r="C2" s="19" t="s">
        <v>745</v>
      </c>
      <c r="D2" s="19" t="n">
        <v>50</v>
      </c>
      <c r="E2" s="19" t="n">
        <v>0</v>
      </c>
      <c r="F2" s="19" t="n">
        <v>100</v>
      </c>
      <c r="G2" s="33" t="n">
        <f aca="false">Balance!$B$25</f>
        <v>15</v>
      </c>
      <c r="H2" s="19" t="s">
        <v>746</v>
      </c>
      <c r="I2" s="19" t="n">
        <v>80</v>
      </c>
      <c r="J2" s="37" t="s">
        <v>747</v>
      </c>
      <c r="K2" s="19" t="s">
        <v>748</v>
      </c>
      <c r="L2" s="33" t="n">
        <f aca="false">Balance!$B$26</f>
        <v>0</v>
      </c>
      <c r="M2" s="19" t="s">
        <v>749</v>
      </c>
    </row>
    <row r="3" customFormat="false" ht="16.5" hidden="false" customHeight="true" outlineLevel="0" collapsed="false">
      <c r="A3" s="19" t="s">
        <v>750</v>
      </c>
      <c r="B3" s="23" t="s">
        <v>751</v>
      </c>
      <c r="C3" s="19" t="s">
        <v>752</v>
      </c>
      <c r="D3" s="19" t="n">
        <v>50</v>
      </c>
      <c r="E3" s="19" t="n">
        <v>0</v>
      </c>
      <c r="F3" s="19" t="n">
        <v>100</v>
      </c>
      <c r="G3" s="19" t="n">
        <v>20</v>
      </c>
      <c r="H3" s="19" t="s">
        <v>753</v>
      </c>
      <c r="I3" s="19" t="n">
        <v>80</v>
      </c>
      <c r="J3" s="19" t="s">
        <v>754</v>
      </c>
      <c r="K3" s="19" t="s">
        <v>755</v>
      </c>
      <c r="L3" s="18"/>
      <c r="M3" s="18"/>
    </row>
    <row r="4" customFormat="false" ht="16.5" hidden="false" customHeight="true" outlineLevel="0" collapsed="false">
      <c r="A4" s="19" t="s">
        <v>756</v>
      </c>
      <c r="B4" s="23" t="s">
        <v>757</v>
      </c>
      <c r="C4" s="19" t="s">
        <v>758</v>
      </c>
      <c r="D4" s="19" t="n">
        <v>30</v>
      </c>
      <c r="E4" s="19" t="n">
        <v>0</v>
      </c>
      <c r="F4" s="19" t="n">
        <v>999</v>
      </c>
      <c r="G4" s="19" t="n">
        <v>0</v>
      </c>
      <c r="H4" s="19" t="s">
        <v>759</v>
      </c>
      <c r="I4" s="19" t="n">
        <v>100</v>
      </c>
      <c r="J4" s="19" t="s">
        <v>760</v>
      </c>
      <c r="K4" s="19" t="s">
        <v>761</v>
      </c>
      <c r="L4" s="18"/>
      <c r="M4" s="18"/>
    </row>
    <row r="5" customFormat="false" ht="32.25" hidden="false" customHeight="true" outlineLevel="0" collapsed="false">
      <c r="A5" s="19" t="s">
        <v>762</v>
      </c>
      <c r="B5" s="23" t="s">
        <v>763</v>
      </c>
      <c r="C5" s="19" t="s">
        <v>764</v>
      </c>
      <c r="D5" s="19" t="n">
        <v>50</v>
      </c>
      <c r="E5" s="19" t="n">
        <v>0</v>
      </c>
      <c r="F5" s="19" t="n">
        <v>100</v>
      </c>
      <c r="G5" s="33" t="n">
        <f aca="false">Balance!$B$28</f>
        <v>50</v>
      </c>
      <c r="H5" s="19" t="s">
        <v>765</v>
      </c>
      <c r="I5" s="33" t="n">
        <f aca="false">Balance!$B$27</f>
        <v>75</v>
      </c>
      <c r="J5" s="19" t="s">
        <v>766</v>
      </c>
      <c r="K5" s="19" t="s">
        <v>767</v>
      </c>
      <c r="L5" s="33" t="n">
        <f aca="false">Balance!$B$29</f>
        <v>25</v>
      </c>
      <c r="M5" s="19" t="s">
        <v>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14"/>
    <col collapsed="false" customWidth="true" hidden="false" outlineLevel="0" max="11" min="8" style="0" width="14"/>
  </cols>
  <sheetData>
    <row r="1" customFormat="false" ht="15" hidden="false" customHeight="true" outlineLevel="0" collapsed="false">
      <c r="A1" s="40" t="s">
        <v>8</v>
      </c>
      <c r="B1" s="40" t="s">
        <v>769</v>
      </c>
      <c r="C1" s="40" t="s">
        <v>18</v>
      </c>
      <c r="D1" s="40" t="s">
        <v>770</v>
      </c>
      <c r="E1" s="40" t="s">
        <v>771</v>
      </c>
      <c r="F1" s="40" t="s">
        <v>772</v>
      </c>
      <c r="G1" s="40" t="s">
        <v>725</v>
      </c>
      <c r="H1" s="41" t="s">
        <v>263</v>
      </c>
      <c r="I1" s="41" t="s">
        <v>3</v>
      </c>
      <c r="J1" s="41" t="s">
        <v>773</v>
      </c>
      <c r="K1" s="41" t="s">
        <v>774</v>
      </c>
    </row>
    <row r="2" customFormat="false" ht="15" hidden="false" customHeight="true" outlineLevel="0" collapsed="false">
      <c r="A2" s="13" t="s">
        <v>141</v>
      </c>
      <c r="B2" s="13" t="s">
        <v>271</v>
      </c>
      <c r="C2" s="13" t="s">
        <v>272</v>
      </c>
      <c r="D2" s="13" t="s">
        <v>108</v>
      </c>
      <c r="E2" s="13" t="s">
        <v>201</v>
      </c>
      <c r="F2" s="13" t="s">
        <v>456</v>
      </c>
      <c r="G2" s="13" t="s">
        <v>120</v>
      </c>
      <c r="H2" s="15" t="s">
        <v>511</v>
      </c>
      <c r="I2" s="15" t="s">
        <v>775</v>
      </c>
      <c r="J2" s="15" t="s">
        <v>776</v>
      </c>
      <c r="K2" s="15" t="s">
        <v>777</v>
      </c>
    </row>
    <row r="3" customFormat="false" ht="15" hidden="false" customHeight="true" outlineLevel="0" collapsed="false">
      <c r="A3" s="13" t="s">
        <v>146</v>
      </c>
      <c r="B3" s="13" t="s">
        <v>348</v>
      </c>
      <c r="C3" s="13" t="s">
        <v>395</v>
      </c>
      <c r="D3" s="13" t="s">
        <v>110</v>
      </c>
      <c r="E3" s="13" t="s">
        <v>238</v>
      </c>
      <c r="F3" s="13" t="s">
        <v>471</v>
      </c>
      <c r="G3" s="13" t="s">
        <v>121</v>
      </c>
      <c r="H3" s="15" t="s">
        <v>570</v>
      </c>
      <c r="I3" s="15" t="s">
        <v>778</v>
      </c>
      <c r="J3" s="15" t="s">
        <v>717</v>
      </c>
      <c r="K3" s="15" t="s">
        <v>779</v>
      </c>
    </row>
    <row r="4" customFormat="false" ht="15" hidden="false" customHeight="true" outlineLevel="0" collapsed="false">
      <c r="A4" s="13" t="s">
        <v>151</v>
      </c>
      <c r="B4" s="13" t="s">
        <v>279</v>
      </c>
      <c r="C4" s="13" t="s">
        <v>324</v>
      </c>
      <c r="D4" s="13" t="s">
        <v>112</v>
      </c>
      <c r="F4" s="13" t="s">
        <v>483</v>
      </c>
      <c r="G4" s="13" t="s">
        <v>122</v>
      </c>
      <c r="H4" s="15" t="s">
        <v>579</v>
      </c>
      <c r="I4" s="15" t="s">
        <v>780</v>
      </c>
      <c r="J4" s="15" t="s">
        <v>722</v>
      </c>
      <c r="K4" s="15" t="s">
        <v>781</v>
      </c>
    </row>
    <row r="5" customFormat="false" ht="15" hidden="false" customHeight="true" outlineLevel="0" collapsed="false">
      <c r="A5" s="13" t="s">
        <v>156</v>
      </c>
      <c r="B5" s="13" t="s">
        <v>335</v>
      </c>
      <c r="C5" s="13" t="s">
        <v>305</v>
      </c>
      <c r="F5" s="13" t="s">
        <v>497</v>
      </c>
      <c r="I5" s="15" t="s">
        <v>782</v>
      </c>
      <c r="K5" s="15" t="s">
        <v>783</v>
      </c>
    </row>
    <row r="6" customFormat="false" ht="15" hidden="false" customHeight="true" outlineLevel="0" collapsed="false">
      <c r="A6" s="13" t="s">
        <v>161</v>
      </c>
      <c r="B6" s="13" t="s">
        <v>286</v>
      </c>
      <c r="C6" s="13" t="s">
        <v>413</v>
      </c>
      <c r="F6" s="13" t="s">
        <v>511</v>
      </c>
      <c r="K6" s="15" t="s">
        <v>784</v>
      </c>
    </row>
    <row r="7" customFormat="false" ht="15" hidden="false" customHeight="true" outlineLevel="0" collapsed="false">
      <c r="A7" s="13" t="s">
        <v>166</v>
      </c>
      <c r="C7" s="13" t="s">
        <v>355</v>
      </c>
      <c r="F7" s="15" t="s">
        <v>536</v>
      </c>
      <c r="K7" s="15" t="s">
        <v>785</v>
      </c>
    </row>
    <row r="8" customFormat="false" ht="15" hidden="false" customHeight="false" outlineLevel="0" collapsed="false">
      <c r="K8" s="15" t="s">
        <v>786</v>
      </c>
    </row>
    <row r="9" customFormat="false" ht="15" hidden="false" customHeight="false" outlineLevel="0" collapsed="false">
      <c r="K9" s="15" t="s">
        <v>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2" min="12" style="0" width="14"/>
    <col collapsed="false" customWidth="true" hidden="false" outlineLevel="0" max="15" min="13" style="0" width="10"/>
    <col collapsed="false" customWidth="true" hidden="false" outlineLevel="0" max="16" min="16" style="0" width="9"/>
  </cols>
  <sheetData>
    <row r="1" customFormat="false" ht="31.5" hidden="false" customHeight="true" outlineLevel="0" collapsed="false">
      <c r="A1" s="17" t="s">
        <v>788</v>
      </c>
      <c r="B1" s="17" t="s">
        <v>446</v>
      </c>
      <c r="C1" s="17" t="s">
        <v>789</v>
      </c>
      <c r="D1" s="17" t="s">
        <v>790</v>
      </c>
      <c r="E1" s="17" t="s">
        <v>791</v>
      </c>
      <c r="F1" s="17" t="s">
        <v>792</v>
      </c>
      <c r="G1" s="17" t="s">
        <v>793</v>
      </c>
      <c r="H1" s="17" t="s">
        <v>609</v>
      </c>
      <c r="I1" s="17" t="s">
        <v>3</v>
      </c>
      <c r="J1" s="17" t="s">
        <v>794</v>
      </c>
      <c r="L1" s="35" t="s">
        <v>446</v>
      </c>
      <c r="M1" s="35" t="s">
        <v>792</v>
      </c>
      <c r="N1" s="35" t="s">
        <v>795</v>
      </c>
      <c r="O1" s="35" t="s">
        <v>782</v>
      </c>
      <c r="P1" s="35" t="s">
        <v>796</v>
      </c>
    </row>
    <row r="2" customFormat="false" ht="26.85" hidden="false" customHeight="false" outlineLevel="0" collapsed="false">
      <c r="A2" s="19" t="s">
        <v>797</v>
      </c>
      <c r="B2" s="19" t="s">
        <v>798</v>
      </c>
      <c r="C2" s="19" t="s">
        <v>799</v>
      </c>
      <c r="D2" s="19" t="s">
        <v>800</v>
      </c>
      <c r="E2" s="19" t="s">
        <v>504</v>
      </c>
      <c r="F2" s="19" t="n">
        <v>6</v>
      </c>
      <c r="G2" s="19" t="n">
        <v>6</v>
      </c>
      <c r="H2" s="19" t="s">
        <v>781</v>
      </c>
      <c r="I2" s="19" t="s">
        <v>775</v>
      </c>
      <c r="J2" s="19" t="s">
        <v>801</v>
      </c>
      <c r="L2" s="18" t="s">
        <v>798</v>
      </c>
      <c r="M2" s="18" t="n">
        <f aca="false">SUMIF($B$2:$B$101,L2,$F$2:$F$101)</f>
        <v>74</v>
      </c>
      <c r="N2" s="18" t="n">
        <f aca="false">SUMIF($B$2:$B$101,L2,$G$2:$G$101)</f>
        <v>31</v>
      </c>
      <c r="O2" s="18" t="n">
        <f aca="false">SUMIFS($F$2:$F$101,$B$2:$B$101,L2,$I$2:$I$101,"In engine")</f>
        <v>0</v>
      </c>
      <c r="P2" s="25" t="n">
        <f aca="false">IF(M2=0,"",O2/M2)</f>
        <v>0</v>
      </c>
    </row>
    <row r="3" customFormat="false" ht="26.85" hidden="false" customHeight="false" outlineLevel="0" collapsed="false">
      <c r="A3" s="19" t="s">
        <v>802</v>
      </c>
      <c r="B3" s="19" t="s">
        <v>798</v>
      </c>
      <c r="C3" s="33" t="str">
        <f aca="false">Opponents!B2</f>
        <v>Barclay Brigham</v>
      </c>
      <c r="D3" s="19" t="s">
        <v>803</v>
      </c>
      <c r="E3" s="19" t="s">
        <v>610</v>
      </c>
      <c r="F3" s="19" t="n">
        <v>5</v>
      </c>
      <c r="G3" s="19" t="n">
        <v>0</v>
      </c>
      <c r="H3" s="19" t="s">
        <v>781</v>
      </c>
      <c r="I3" s="19" t="s">
        <v>775</v>
      </c>
      <c r="J3" s="19"/>
      <c r="L3" s="18" t="s">
        <v>12</v>
      </c>
      <c r="M3" s="18" t="n">
        <f aca="false">SUMIF($B$2:$B$101,L3,$F$2:$F$101)</f>
        <v>35</v>
      </c>
      <c r="N3" s="18" t="n">
        <f aca="false">SUMIF($B$2:$B$101,L3,$G$2:$G$101)</f>
        <v>22</v>
      </c>
      <c r="O3" s="18" t="n">
        <f aca="false">SUMIFS($F$2:$F$101,$B$2:$B$101,L3,$I$2:$I$101,"In engine")</f>
        <v>0</v>
      </c>
      <c r="P3" s="25" t="n">
        <f aca="false">IF(M3=0,"",O3/M3)</f>
        <v>0</v>
      </c>
    </row>
    <row r="4" customFormat="false" ht="26.85" hidden="false" customHeight="false" outlineLevel="0" collapsed="false">
      <c r="A4" s="19" t="s">
        <v>804</v>
      </c>
      <c r="B4" s="19" t="s">
        <v>798</v>
      </c>
      <c r="C4" s="33" t="str">
        <f aca="false">Opponents!B3</f>
        <v>Yuriko Mayeda</v>
      </c>
      <c r="D4" s="19" t="s">
        <v>803</v>
      </c>
      <c r="E4" s="19" t="s">
        <v>617</v>
      </c>
      <c r="F4" s="19" t="n">
        <v>5</v>
      </c>
      <c r="G4" s="19" t="n">
        <v>5</v>
      </c>
      <c r="H4" s="19" t="s">
        <v>781</v>
      </c>
      <c r="I4" s="19" t="s">
        <v>775</v>
      </c>
      <c r="J4" s="19"/>
      <c r="L4" s="18" t="s">
        <v>805</v>
      </c>
      <c r="M4" s="18" t="n">
        <f aca="false">SUMIF($B$2:$B$101,L4,$F$2:$F$101)</f>
        <v>8</v>
      </c>
      <c r="N4" s="18" t="n">
        <f aca="false">SUMIF($B$2:$B$101,L4,$G$2:$G$101)</f>
        <v>4</v>
      </c>
      <c r="O4" s="18" t="n">
        <f aca="false">SUMIFS($F$2:$F$101,$B$2:$B$101,L4,$I$2:$I$101,"In engine")</f>
        <v>0</v>
      </c>
      <c r="P4" s="25" t="n">
        <f aca="false">IF(M4=0,"",O4/M4)</f>
        <v>0</v>
      </c>
    </row>
    <row r="5" customFormat="false" ht="26.85" hidden="false" customHeight="false" outlineLevel="0" collapsed="false">
      <c r="A5" s="19" t="s">
        <v>806</v>
      </c>
      <c r="B5" s="19" t="s">
        <v>798</v>
      </c>
      <c r="C5" s="33" t="str">
        <f aca="false">Opponents!B4</f>
        <v>Masato Maruyama</v>
      </c>
      <c r="D5" s="19" t="s">
        <v>803</v>
      </c>
      <c r="E5" s="19" t="s">
        <v>623</v>
      </c>
      <c r="F5" s="19" t="n">
        <v>5</v>
      </c>
      <c r="G5" s="19" t="n">
        <v>5</v>
      </c>
      <c r="H5" s="19" t="s">
        <v>781</v>
      </c>
      <c r="I5" s="19" t="s">
        <v>775</v>
      </c>
      <c r="J5" s="19"/>
      <c r="L5" s="18" t="s">
        <v>807</v>
      </c>
      <c r="M5" s="18" t="n">
        <f aca="false">SUMIF($B$2:$B$101,L5,$F$2:$F$101)</f>
        <v>53</v>
      </c>
      <c r="N5" s="18" t="n">
        <f aca="false">SUMIF($B$2:$B$101,L5,$G$2:$G$101)</f>
        <v>38</v>
      </c>
      <c r="O5" s="18" t="n">
        <f aca="false">SUMIFS($F$2:$F$101,$B$2:$B$101,L5,$I$2:$I$101,"In engine")</f>
        <v>0</v>
      </c>
      <c r="P5" s="25" t="n">
        <f aca="false">IF(M5=0,"",O5/M5)</f>
        <v>0</v>
      </c>
    </row>
    <row r="6" customFormat="false" ht="26.85" hidden="false" customHeight="false" outlineLevel="0" collapsed="false">
      <c r="A6" s="19" t="s">
        <v>808</v>
      </c>
      <c r="B6" s="19" t="s">
        <v>798</v>
      </c>
      <c r="C6" s="33" t="str">
        <f aca="false">Opponents!B5</f>
        <v>Kitahime Haibi</v>
      </c>
      <c r="D6" s="19" t="s">
        <v>803</v>
      </c>
      <c r="E6" s="19" t="s">
        <v>628</v>
      </c>
      <c r="F6" s="19" t="n">
        <v>5</v>
      </c>
      <c r="G6" s="19" t="n">
        <v>0</v>
      </c>
      <c r="H6" s="19" t="s">
        <v>781</v>
      </c>
      <c r="I6" s="19" t="s">
        <v>775</v>
      </c>
      <c r="J6" s="19"/>
      <c r="L6" s="18" t="s">
        <v>809</v>
      </c>
      <c r="M6" s="18" t="n">
        <f aca="false">SUMIF($B$2:$B$101,L6,$F$2:$F$101)</f>
        <v>14</v>
      </c>
      <c r="N6" s="18" t="n">
        <f aca="false">SUMIF($B$2:$B$101,L6,$G$2:$G$101)</f>
        <v>12</v>
      </c>
      <c r="O6" s="18" t="n">
        <f aca="false">SUMIFS($F$2:$F$101,$B$2:$B$101,L6,$I$2:$I$101,"In engine")</f>
        <v>0</v>
      </c>
      <c r="P6" s="25" t="n">
        <f aca="false">IF(M6=0,"",O6/M6)</f>
        <v>0</v>
      </c>
    </row>
    <row r="7" customFormat="false" ht="26.85" hidden="false" customHeight="false" outlineLevel="0" collapsed="false">
      <c r="A7" s="19" t="s">
        <v>810</v>
      </c>
      <c r="B7" s="19" t="s">
        <v>798</v>
      </c>
      <c r="C7" s="33" t="str">
        <f aca="false">Opponents!B6</f>
        <v>Shizutake Matsumae</v>
      </c>
      <c r="D7" s="19" t="s">
        <v>803</v>
      </c>
      <c r="E7" s="19" t="s">
        <v>634</v>
      </c>
      <c r="F7" s="19" t="n">
        <v>5</v>
      </c>
      <c r="G7" s="19" t="n">
        <v>0</v>
      </c>
      <c r="H7" s="19" t="s">
        <v>781</v>
      </c>
      <c r="I7" s="19" t="s">
        <v>775</v>
      </c>
      <c r="J7" s="19"/>
      <c r="L7" s="18" t="s">
        <v>811</v>
      </c>
      <c r="M7" s="18" t="n">
        <f aca="false">SUMIF($B$2:$B$101,L7,$F$2:$F$101)</f>
        <v>11</v>
      </c>
      <c r="N7" s="18" t="n">
        <f aca="false">SUMIF($B$2:$B$101,L7,$G$2:$G$101)</f>
        <v>2</v>
      </c>
      <c r="O7" s="18" t="n">
        <f aca="false">SUMIFS($F$2:$F$101,$B$2:$B$101,L7,$I$2:$I$101,"In engine")</f>
        <v>0</v>
      </c>
      <c r="P7" s="25" t="n">
        <f aca="false">IF(M7=0,"",O7/M7)</f>
        <v>0</v>
      </c>
    </row>
    <row r="8" customFormat="false" ht="26.85" hidden="false" customHeight="false" outlineLevel="0" collapsed="false">
      <c r="A8" s="19" t="s">
        <v>812</v>
      </c>
      <c r="B8" s="19" t="s">
        <v>798</v>
      </c>
      <c r="C8" s="33" t="str">
        <f aca="false">Opponents!B7</f>
        <v>Mao Saeki</v>
      </c>
      <c r="D8" s="19" t="s">
        <v>803</v>
      </c>
      <c r="E8" s="19" t="s">
        <v>638</v>
      </c>
      <c r="F8" s="19" t="n">
        <v>5</v>
      </c>
      <c r="G8" s="19" t="n">
        <v>0</v>
      </c>
      <c r="H8" s="19" t="s">
        <v>781</v>
      </c>
      <c r="I8" s="19" t="s">
        <v>775</v>
      </c>
      <c r="J8" s="19"/>
      <c r="L8" s="18" t="s">
        <v>813</v>
      </c>
      <c r="M8" s="18" t="n">
        <f aca="false">SUMIF($B$2:$B$101,L8,$F$2:$F$101)</f>
        <v>26</v>
      </c>
      <c r="N8" s="18" t="n">
        <f aca="false">SUMIF($B$2:$B$101,L8,$G$2:$G$101)</f>
        <v>14</v>
      </c>
      <c r="O8" s="18" t="n">
        <f aca="false">SUMIFS($F$2:$F$101,$B$2:$B$101,L8,$I$2:$I$101,"In engine")</f>
        <v>0</v>
      </c>
      <c r="P8" s="25" t="n">
        <f aca="false">IF(M8=0,"",O8/M8)</f>
        <v>0</v>
      </c>
    </row>
    <row r="9" customFormat="false" ht="26.85" hidden="false" customHeight="false" outlineLevel="0" collapsed="false">
      <c r="A9" s="19" t="s">
        <v>814</v>
      </c>
      <c r="B9" s="19" t="s">
        <v>798</v>
      </c>
      <c r="C9" s="33" t="str">
        <f aca="false">Opponents!B8</f>
        <v>Tobira Hideyoshi</v>
      </c>
      <c r="D9" s="19" t="s">
        <v>803</v>
      </c>
      <c r="E9" s="19" t="s">
        <v>644</v>
      </c>
      <c r="F9" s="19" t="n">
        <v>5</v>
      </c>
      <c r="G9" s="19" t="n">
        <v>0</v>
      </c>
      <c r="H9" s="19" t="s">
        <v>781</v>
      </c>
      <c r="I9" s="19" t="s">
        <v>775</v>
      </c>
      <c r="J9" s="19"/>
      <c r="L9" s="18" t="s">
        <v>815</v>
      </c>
      <c r="M9" s="18" t="n">
        <f aca="false">SUMIF($B$2:$B$101,L9,$F$2:$F$101)</f>
        <v>186</v>
      </c>
      <c r="N9" s="18" t="n">
        <f aca="false">SUMIF($B$2:$B$101,L9,$G$2:$G$101)</f>
        <v>73</v>
      </c>
      <c r="O9" s="18" t="n">
        <f aca="false">SUMIFS($F$2:$F$101,$B$2:$B$101,L9,$I$2:$I$101,"In engine")</f>
        <v>0</v>
      </c>
      <c r="P9" s="25" t="n">
        <f aca="false">IF(M9=0,"",O9/M9)</f>
        <v>0</v>
      </c>
    </row>
    <row r="10" customFormat="false" ht="26.85" hidden="false" customHeight="false" outlineLevel="0" collapsed="false">
      <c r="A10" s="19" t="s">
        <v>816</v>
      </c>
      <c r="B10" s="19" t="s">
        <v>798</v>
      </c>
      <c r="C10" s="33" t="str">
        <f aca="false">Opponents!B9</f>
        <v>Aki Rono</v>
      </c>
      <c r="D10" s="19" t="s">
        <v>803</v>
      </c>
      <c r="E10" s="19" t="s">
        <v>649</v>
      </c>
      <c r="F10" s="19" t="n">
        <v>5</v>
      </c>
      <c r="G10" s="19" t="n">
        <v>0</v>
      </c>
      <c r="H10" s="19" t="s">
        <v>781</v>
      </c>
      <c r="I10" s="19" t="s">
        <v>775</v>
      </c>
      <c r="J10" s="19"/>
      <c r="L10" s="18" t="s">
        <v>817</v>
      </c>
      <c r="M10" s="18" t="n">
        <f aca="false">SUMIF($B$2:$B$101,L10,$F$2:$F$101)</f>
        <v>18</v>
      </c>
      <c r="N10" s="18" t="n">
        <f aca="false">SUMIF($B$2:$B$101,L10,$G$2:$G$101)</f>
        <v>17</v>
      </c>
      <c r="O10" s="18" t="n">
        <f aca="false">SUMIFS($F$2:$F$101,$B$2:$B$101,L10,$I$2:$I$101,"In engine")</f>
        <v>0</v>
      </c>
      <c r="P10" s="25" t="n">
        <f aca="false">IF(M10=0,"",O10/M10)</f>
        <v>0</v>
      </c>
    </row>
    <row r="11" customFormat="false" ht="26.85" hidden="false" customHeight="false" outlineLevel="0" collapsed="false">
      <c r="A11" s="19" t="s">
        <v>818</v>
      </c>
      <c r="B11" s="19" t="s">
        <v>798</v>
      </c>
      <c r="C11" s="33" t="str">
        <f aca="false">Opponents!B10</f>
        <v>Walter Peard</v>
      </c>
      <c r="D11" s="19" t="s">
        <v>803</v>
      </c>
      <c r="E11" s="19" t="s">
        <v>655</v>
      </c>
      <c r="F11" s="19" t="n">
        <v>5</v>
      </c>
      <c r="G11" s="19" t="n">
        <v>5</v>
      </c>
      <c r="H11" s="19" t="s">
        <v>781</v>
      </c>
      <c r="I11" s="19" t="s">
        <v>775</v>
      </c>
      <c r="J11" s="19"/>
      <c r="L11" s="21" t="s">
        <v>819</v>
      </c>
      <c r="M11" s="18" t="n">
        <f aca="false">SUM(M2:M7)</f>
        <v>195</v>
      </c>
      <c r="N11" s="18" t="n">
        <f aca="false">SUM(N2:N7)</f>
        <v>109</v>
      </c>
      <c r="O11" s="18" t="n">
        <f aca="false">SUM(O2:O7)</f>
        <v>0</v>
      </c>
      <c r="P11" s="25" t="n">
        <f aca="false">IF(M11=0,"",O11/M11)</f>
        <v>0</v>
      </c>
    </row>
    <row r="12" customFormat="false" ht="26.85" hidden="false" customHeight="false" outlineLevel="0" collapsed="false">
      <c r="A12" s="19" t="s">
        <v>820</v>
      </c>
      <c r="B12" s="19" t="s">
        <v>798</v>
      </c>
      <c r="C12" s="33" t="str">
        <f aca="false">Committee!C2</f>
        <v>Noah Kain</v>
      </c>
      <c r="D12" s="19" t="s">
        <v>821</v>
      </c>
      <c r="E12" s="19" t="s">
        <v>715</v>
      </c>
      <c r="F12" s="19" t="n">
        <v>1</v>
      </c>
      <c r="G12" s="19" t="n">
        <v>1</v>
      </c>
      <c r="H12" s="19" t="s">
        <v>777</v>
      </c>
      <c r="I12" s="19" t="s">
        <v>775</v>
      </c>
      <c r="J12" s="19"/>
      <c r="L12" s="21" t="s">
        <v>822</v>
      </c>
      <c r="M12" s="18" t="n">
        <f aca="false">SUM(M2:M10)</f>
        <v>425</v>
      </c>
      <c r="N12" s="18" t="n">
        <f aca="false">SUM(N2:N10)</f>
        <v>213</v>
      </c>
      <c r="O12" s="18" t="n">
        <f aca="false">SUM(O2:O10)</f>
        <v>0</v>
      </c>
      <c r="P12" s="25" t="n">
        <f aca="false">IF(M12=0,"",O12/M12)</f>
        <v>0</v>
      </c>
    </row>
    <row r="13" customFormat="false" ht="26.85" hidden="false" customHeight="false" outlineLevel="0" collapsed="false">
      <c r="A13" s="19" t="s">
        <v>823</v>
      </c>
      <c r="B13" s="19" t="s">
        <v>798</v>
      </c>
      <c r="C13" s="33" t="str">
        <f aca="false">Committee!C3</f>
        <v>Ran Sachiko</v>
      </c>
      <c r="D13" s="19" t="s">
        <v>821</v>
      </c>
      <c r="E13" s="19" t="s">
        <v>715</v>
      </c>
      <c r="F13" s="19" t="n">
        <v>1</v>
      </c>
      <c r="G13" s="19" t="n">
        <v>1</v>
      </c>
      <c r="H13" s="19" t="s">
        <v>777</v>
      </c>
      <c r="I13" s="19" t="s">
        <v>775</v>
      </c>
      <c r="J13" s="19"/>
    </row>
    <row r="14" customFormat="false" ht="26.85" hidden="false" customHeight="false" outlineLevel="0" collapsed="false">
      <c r="A14" s="19" t="s">
        <v>824</v>
      </c>
      <c r="B14" s="19" t="s">
        <v>798</v>
      </c>
      <c r="C14" s="33" t="str">
        <f aca="false">Committee!C4</f>
        <v>Kotake Kasumu</v>
      </c>
      <c r="D14" s="19" t="s">
        <v>821</v>
      </c>
      <c r="E14" s="19" t="s">
        <v>715</v>
      </c>
      <c r="F14" s="19" t="n">
        <v>1</v>
      </c>
      <c r="G14" s="19" t="n">
        <v>1</v>
      </c>
      <c r="H14" s="19" t="s">
        <v>777</v>
      </c>
      <c r="I14" s="19" t="s">
        <v>775</v>
      </c>
      <c r="J14" s="19"/>
    </row>
    <row r="15" customFormat="false" ht="26.85" hidden="false" customHeight="false" outlineLevel="0" collapsed="false">
      <c r="A15" s="19" t="s">
        <v>825</v>
      </c>
      <c r="B15" s="19" t="s">
        <v>798</v>
      </c>
      <c r="C15" s="33" t="str">
        <f aca="false">Committee!C5</f>
        <v>Isoroku Adams</v>
      </c>
      <c r="D15" s="19" t="s">
        <v>821</v>
      </c>
      <c r="E15" s="19" t="s">
        <v>715</v>
      </c>
      <c r="F15" s="19" t="n">
        <v>1</v>
      </c>
      <c r="G15" s="19" t="n">
        <v>1</v>
      </c>
      <c r="H15" s="19" t="s">
        <v>777</v>
      </c>
      <c r="I15" s="19" t="s">
        <v>775</v>
      </c>
      <c r="J15" s="19"/>
    </row>
    <row r="16" customFormat="false" ht="26.85" hidden="false" customHeight="false" outlineLevel="0" collapsed="false">
      <c r="A16" s="19" t="s">
        <v>826</v>
      </c>
      <c r="B16" s="19" t="s">
        <v>798</v>
      </c>
      <c r="C16" s="19" t="s">
        <v>827</v>
      </c>
      <c r="D16" s="19" t="s">
        <v>828</v>
      </c>
      <c r="E16" s="19" t="s">
        <v>504</v>
      </c>
      <c r="F16" s="19" t="n">
        <v>6</v>
      </c>
      <c r="G16" s="19" t="n">
        <v>0</v>
      </c>
      <c r="H16" s="19" t="s">
        <v>777</v>
      </c>
      <c r="I16" s="19" t="s">
        <v>775</v>
      </c>
      <c r="J16" s="19"/>
    </row>
    <row r="17" customFormat="false" ht="15" hidden="false" customHeight="false" outlineLevel="0" collapsed="false">
      <c r="A17" s="19" t="s">
        <v>829</v>
      </c>
      <c r="B17" s="19" t="s">
        <v>798</v>
      </c>
      <c r="C17" s="19" t="s">
        <v>830</v>
      </c>
      <c r="D17" s="19" t="s">
        <v>831</v>
      </c>
      <c r="E17" s="19" t="s">
        <v>504</v>
      </c>
      <c r="F17" s="19" t="n">
        <v>4</v>
      </c>
      <c r="G17" s="19" t="n">
        <v>0</v>
      </c>
      <c r="H17" s="19" t="s">
        <v>777</v>
      </c>
      <c r="I17" s="19" t="s">
        <v>775</v>
      </c>
      <c r="J17" s="19"/>
    </row>
    <row r="18" customFormat="false" ht="26.85" hidden="false" customHeight="false" outlineLevel="0" collapsed="false">
      <c r="A18" s="19" t="s">
        <v>832</v>
      </c>
      <c r="B18" s="19" t="s">
        <v>798</v>
      </c>
      <c r="C18" s="19" t="s">
        <v>833</v>
      </c>
      <c r="D18" s="19" t="s">
        <v>834</v>
      </c>
      <c r="E18" s="19" t="s">
        <v>504</v>
      </c>
      <c r="F18" s="19" t="n">
        <v>6</v>
      </c>
      <c r="G18" s="19" t="n">
        <v>6</v>
      </c>
      <c r="H18" s="19" t="s">
        <v>777</v>
      </c>
      <c r="I18" s="19" t="s">
        <v>775</v>
      </c>
      <c r="J18" s="19"/>
    </row>
    <row r="19" customFormat="false" ht="15" hidden="false" customHeight="false" outlineLevel="0" collapsed="false">
      <c r="A19" s="19" t="s">
        <v>835</v>
      </c>
      <c r="B19" s="19" t="s">
        <v>798</v>
      </c>
      <c r="C19" s="19" t="s">
        <v>836</v>
      </c>
      <c r="D19" s="19" t="s">
        <v>837</v>
      </c>
      <c r="E19" s="19" t="s">
        <v>504</v>
      </c>
      <c r="F19" s="19" t="n">
        <v>3</v>
      </c>
      <c r="G19" s="19" t="n">
        <v>0</v>
      </c>
      <c r="H19" s="19" t="s">
        <v>777</v>
      </c>
      <c r="I19" s="19" t="s">
        <v>775</v>
      </c>
      <c r="J19" s="19" t="s">
        <v>838</v>
      </c>
    </row>
    <row r="20" customFormat="false" ht="15" hidden="false" customHeight="false" outlineLevel="0" collapsed="false">
      <c r="A20" s="19" t="s">
        <v>839</v>
      </c>
      <c r="B20" s="19" t="s">
        <v>12</v>
      </c>
      <c r="C20" s="33" t="str">
        <f aca="false">Cards!B2</f>
        <v>Record of Service</v>
      </c>
      <c r="D20" s="19" t="s">
        <v>840</v>
      </c>
      <c r="E20" s="33" t="str">
        <f aca="false">Cards!A2</f>
        <v>C01</v>
      </c>
      <c r="F20" s="19" t="n">
        <v>1</v>
      </c>
      <c r="G20" s="18" t="n">
        <f aca="false">IF(Cards!Q2="Starter",1,0)</f>
        <v>1</v>
      </c>
      <c r="H20" s="19" t="s">
        <v>779</v>
      </c>
      <c r="I20" s="19" t="s">
        <v>775</v>
      </c>
      <c r="J20" s="19"/>
    </row>
    <row r="21" customFormat="false" ht="15" hidden="false" customHeight="false" outlineLevel="0" collapsed="false">
      <c r="A21" s="19" t="s">
        <v>841</v>
      </c>
      <c r="B21" s="19" t="s">
        <v>12</v>
      </c>
      <c r="C21" s="33" t="str">
        <f aca="false">Cards!B3</f>
        <v>Sincere Answer</v>
      </c>
      <c r="D21" s="19" t="s">
        <v>840</v>
      </c>
      <c r="E21" s="33" t="str">
        <f aca="false">Cards!A3</f>
        <v>C02</v>
      </c>
      <c r="F21" s="19" t="n">
        <v>1</v>
      </c>
      <c r="G21" s="18" t="n">
        <f aca="false">IF(Cards!Q3="Starter",1,0)</f>
        <v>1</v>
      </c>
      <c r="H21" s="19" t="s">
        <v>779</v>
      </c>
      <c r="I21" s="19" t="s">
        <v>775</v>
      </c>
      <c r="J21" s="19"/>
    </row>
    <row r="22" customFormat="false" ht="15" hidden="false" customHeight="false" outlineLevel="0" collapsed="false">
      <c r="A22" s="19" t="s">
        <v>842</v>
      </c>
      <c r="B22" s="19" t="s">
        <v>12</v>
      </c>
      <c r="C22" s="33" t="str">
        <f aca="false">Cards!B4</f>
        <v>Formal Apology</v>
      </c>
      <c r="D22" s="19" t="s">
        <v>840</v>
      </c>
      <c r="E22" s="33" t="str">
        <f aca="false">Cards!A4</f>
        <v>C03</v>
      </c>
      <c r="F22" s="19" t="n">
        <v>1</v>
      </c>
      <c r="G22" s="18" t="n">
        <f aca="false">IF(Cards!Q4="Starter",1,0)</f>
        <v>0</v>
      </c>
      <c r="H22" s="19" t="s">
        <v>779</v>
      </c>
      <c r="I22" s="19" t="s">
        <v>775</v>
      </c>
      <c r="J22" s="19"/>
    </row>
    <row r="23" customFormat="false" ht="15" hidden="false" customHeight="false" outlineLevel="0" collapsed="false">
      <c r="A23" s="19" t="s">
        <v>843</v>
      </c>
      <c r="B23" s="19" t="s">
        <v>12</v>
      </c>
      <c r="C23" s="33" t="str">
        <f aca="false">Cards!B5</f>
        <v>Return to First Principles</v>
      </c>
      <c r="D23" s="19" t="s">
        <v>840</v>
      </c>
      <c r="E23" s="33" t="str">
        <f aca="false">Cards!A5</f>
        <v>C04</v>
      </c>
      <c r="F23" s="19" t="n">
        <v>1</v>
      </c>
      <c r="G23" s="18" t="n">
        <f aca="false">IF(Cards!Q5="Starter",1,0)</f>
        <v>0</v>
      </c>
      <c r="H23" s="19" t="s">
        <v>779</v>
      </c>
      <c r="I23" s="19" t="s">
        <v>775</v>
      </c>
      <c r="J23" s="19"/>
    </row>
    <row r="24" customFormat="false" ht="15" hidden="false" customHeight="false" outlineLevel="0" collapsed="false">
      <c r="A24" s="19" t="s">
        <v>844</v>
      </c>
      <c r="B24" s="19" t="s">
        <v>12</v>
      </c>
      <c r="C24" s="33" t="str">
        <f aca="false">Cards!B6</f>
        <v>Impassioned Speech</v>
      </c>
      <c r="D24" s="19" t="s">
        <v>840</v>
      </c>
      <c r="E24" s="33" t="str">
        <f aca="false">Cards!A6</f>
        <v>C05</v>
      </c>
      <c r="F24" s="19" t="n">
        <v>1</v>
      </c>
      <c r="G24" s="18" t="n">
        <f aca="false">IF(Cards!Q6="Starter",1,0)</f>
        <v>1</v>
      </c>
      <c r="H24" s="19" t="s">
        <v>779</v>
      </c>
      <c r="I24" s="19" t="s">
        <v>775</v>
      </c>
      <c r="J24" s="19"/>
    </row>
    <row r="25" customFormat="false" ht="15" hidden="false" customHeight="false" outlineLevel="0" collapsed="false">
      <c r="A25" s="19" t="s">
        <v>845</v>
      </c>
      <c r="B25" s="19" t="s">
        <v>12</v>
      </c>
      <c r="C25" s="33" t="str">
        <f aca="false">Cards!B7</f>
        <v>Tearful Appeal</v>
      </c>
      <c r="D25" s="19" t="s">
        <v>840</v>
      </c>
      <c r="E25" s="33" t="str">
        <f aca="false">Cards!A7</f>
        <v>C06</v>
      </c>
      <c r="F25" s="19" t="n">
        <v>1</v>
      </c>
      <c r="G25" s="18" t="n">
        <f aca="false">IF(Cards!Q7="Starter",1,0)</f>
        <v>1</v>
      </c>
      <c r="H25" s="19" t="s">
        <v>779</v>
      </c>
      <c r="I25" s="19" t="s">
        <v>775</v>
      </c>
      <c r="J25" s="19"/>
    </row>
    <row r="26" customFormat="false" ht="15" hidden="false" customHeight="false" outlineLevel="0" collapsed="false">
      <c r="A26" s="19" t="s">
        <v>846</v>
      </c>
      <c r="B26" s="19" t="s">
        <v>12</v>
      </c>
      <c r="C26" s="33" t="str">
        <f aca="false">Cards!B8</f>
        <v>Rousing Applause</v>
      </c>
      <c r="D26" s="19" t="s">
        <v>840</v>
      </c>
      <c r="E26" s="33" t="str">
        <f aca="false">Cards!A8</f>
        <v>C07</v>
      </c>
      <c r="F26" s="19" t="n">
        <v>1</v>
      </c>
      <c r="G26" s="18" t="n">
        <f aca="false">IF(Cards!Q8="Starter",1,0)</f>
        <v>0</v>
      </c>
      <c r="H26" s="19" t="s">
        <v>779</v>
      </c>
      <c r="I26" s="19" t="s">
        <v>775</v>
      </c>
      <c r="J26" s="19"/>
    </row>
    <row r="27" customFormat="false" ht="15" hidden="false" customHeight="false" outlineLevel="0" collapsed="false">
      <c r="A27" s="19" t="s">
        <v>847</v>
      </c>
      <c r="B27" s="19" t="s">
        <v>12</v>
      </c>
      <c r="C27" s="33" t="str">
        <f aca="false">Cards!B9</f>
        <v>Speech from the Soul</v>
      </c>
      <c r="D27" s="19" t="s">
        <v>840</v>
      </c>
      <c r="E27" s="33" t="str">
        <f aca="false">Cards!A9</f>
        <v>C08</v>
      </c>
      <c r="F27" s="19" t="n">
        <v>1</v>
      </c>
      <c r="G27" s="18" t="n">
        <f aca="false">IF(Cards!Q9="Starter",1,0)</f>
        <v>0</v>
      </c>
      <c r="H27" s="19" t="s">
        <v>779</v>
      </c>
      <c r="I27" s="19" t="s">
        <v>775</v>
      </c>
      <c r="J27" s="19"/>
    </row>
    <row r="28" customFormat="false" ht="15" hidden="false" customHeight="false" outlineLevel="0" collapsed="false">
      <c r="A28" s="19" t="s">
        <v>848</v>
      </c>
      <c r="B28" s="19" t="s">
        <v>12</v>
      </c>
      <c r="C28" s="33" t="str">
        <f aca="false">Cards!B10</f>
        <v>Party Unity</v>
      </c>
      <c r="D28" s="19" t="s">
        <v>840</v>
      </c>
      <c r="E28" s="33" t="str">
        <f aca="false">Cards!A10</f>
        <v>C09</v>
      </c>
      <c r="F28" s="19" t="n">
        <v>1</v>
      </c>
      <c r="G28" s="18" t="n">
        <f aca="false">IF(Cards!Q10="Starter",1,0)</f>
        <v>1</v>
      </c>
      <c r="H28" s="19" t="s">
        <v>779</v>
      </c>
      <c r="I28" s="19" t="s">
        <v>775</v>
      </c>
      <c r="J28" s="19"/>
    </row>
    <row r="29" customFormat="false" ht="15" hidden="false" customHeight="false" outlineLevel="0" collapsed="false">
      <c r="A29" s="19" t="s">
        <v>849</v>
      </c>
      <c r="B29" s="19" t="s">
        <v>12</v>
      </c>
      <c r="C29" s="33" t="str">
        <f aca="false">Cards!B11</f>
        <v>Voice of the Hometown</v>
      </c>
      <c r="D29" s="19" t="s">
        <v>840</v>
      </c>
      <c r="E29" s="33" t="str">
        <f aca="false">Cards!A11</f>
        <v>C10</v>
      </c>
      <c r="F29" s="19" t="n">
        <v>1</v>
      </c>
      <c r="G29" s="18" t="n">
        <f aca="false">IF(Cards!Q11="Starter",1,0)</f>
        <v>1</v>
      </c>
      <c r="H29" s="19" t="s">
        <v>779</v>
      </c>
      <c r="I29" s="19" t="s">
        <v>775</v>
      </c>
      <c r="J29" s="19"/>
    </row>
    <row r="30" customFormat="false" ht="15" hidden="false" customHeight="false" outlineLevel="0" collapsed="false">
      <c r="A30" s="19" t="s">
        <v>850</v>
      </c>
      <c r="B30" s="19" t="s">
        <v>12</v>
      </c>
      <c r="C30" s="33" t="str">
        <f aca="false">Cards!B12</f>
        <v>Groundwork</v>
      </c>
      <c r="D30" s="19" t="s">
        <v>840</v>
      </c>
      <c r="E30" s="33" t="str">
        <f aca="false">Cards!A12</f>
        <v>C11</v>
      </c>
      <c r="F30" s="19" t="n">
        <v>1</v>
      </c>
      <c r="G30" s="18" t="n">
        <f aca="false">IF(Cards!Q12="Starter",1,0)</f>
        <v>0</v>
      </c>
      <c r="H30" s="19" t="s">
        <v>779</v>
      </c>
      <c r="I30" s="19" t="s">
        <v>775</v>
      </c>
      <c r="J30" s="19"/>
    </row>
    <row r="31" customFormat="false" ht="15" hidden="false" customHeight="false" outlineLevel="0" collapsed="false">
      <c r="A31" s="19" t="s">
        <v>851</v>
      </c>
      <c r="B31" s="19" t="s">
        <v>12</v>
      </c>
      <c r="C31" s="33" t="str">
        <f aca="false">Cards!B13</f>
        <v>Head Count</v>
      </c>
      <c r="D31" s="19" t="s">
        <v>840</v>
      </c>
      <c r="E31" s="33" t="str">
        <f aca="false">Cards!A13</f>
        <v>C12</v>
      </c>
      <c r="F31" s="19" t="n">
        <v>1</v>
      </c>
      <c r="G31" s="18" t="n">
        <f aca="false">IF(Cards!Q13="Starter",1,0)</f>
        <v>0</v>
      </c>
      <c r="H31" s="19" t="s">
        <v>779</v>
      </c>
      <c r="I31" s="19" t="s">
        <v>775</v>
      </c>
      <c r="J31" s="19"/>
    </row>
    <row r="32" customFormat="false" ht="15" hidden="false" customHeight="false" outlineLevel="0" collapsed="false">
      <c r="A32" s="19" t="s">
        <v>852</v>
      </c>
      <c r="B32" s="19" t="s">
        <v>12</v>
      </c>
      <c r="C32" s="33" t="str">
        <f aca="false">Cards!B14</f>
        <v>Present the Stats</v>
      </c>
      <c r="D32" s="19" t="s">
        <v>840</v>
      </c>
      <c r="E32" s="33" t="str">
        <f aca="false">Cards!A14</f>
        <v>C13</v>
      </c>
      <c r="F32" s="19" t="n">
        <v>1</v>
      </c>
      <c r="G32" s="18" t="n">
        <f aca="false">IF(Cards!Q14="Starter",1,0)</f>
        <v>1</v>
      </c>
      <c r="H32" s="19" t="s">
        <v>779</v>
      </c>
      <c r="I32" s="19" t="s">
        <v>775</v>
      </c>
      <c r="J32" s="19"/>
    </row>
    <row r="33" customFormat="false" ht="15" hidden="false" customHeight="false" outlineLevel="0" collapsed="false">
      <c r="A33" s="19" t="s">
        <v>853</v>
      </c>
      <c r="B33" s="19" t="s">
        <v>12</v>
      </c>
      <c r="C33" s="33" t="str">
        <f aca="false">Cards!B15</f>
        <v>Document Request</v>
      </c>
      <c r="D33" s="19" t="s">
        <v>840</v>
      </c>
      <c r="E33" s="33" t="str">
        <f aca="false">Cards!A15</f>
        <v>C14</v>
      </c>
      <c r="F33" s="19" t="n">
        <v>1</v>
      </c>
      <c r="G33" s="18" t="n">
        <f aca="false">IF(Cards!Q15="Starter",1,0)</f>
        <v>1</v>
      </c>
      <c r="H33" s="19" t="s">
        <v>779</v>
      </c>
      <c r="I33" s="19" t="s">
        <v>775</v>
      </c>
      <c r="J33" s="19"/>
    </row>
    <row r="34" customFormat="false" ht="15" hidden="false" customHeight="false" outlineLevel="0" collapsed="false">
      <c r="A34" s="19" t="s">
        <v>854</v>
      </c>
      <c r="B34" s="19" t="s">
        <v>12</v>
      </c>
      <c r="C34" s="33" t="str">
        <f aca="false">Cards!B16</f>
        <v>Pursue the Contradiction</v>
      </c>
      <c r="D34" s="19" t="s">
        <v>840</v>
      </c>
      <c r="E34" s="33" t="str">
        <f aca="false">Cards!A16</f>
        <v>C15</v>
      </c>
      <c r="F34" s="19" t="n">
        <v>1</v>
      </c>
      <c r="G34" s="18" t="n">
        <f aca="false">IF(Cards!Q16="Starter",1,0)</f>
        <v>0</v>
      </c>
      <c r="H34" s="19" t="s">
        <v>779</v>
      </c>
      <c r="I34" s="19" t="s">
        <v>775</v>
      </c>
      <c r="J34" s="19"/>
    </row>
    <row r="35" customFormat="false" ht="15" hidden="false" customHeight="false" outlineLevel="0" collapsed="false">
      <c r="A35" s="19" t="s">
        <v>855</v>
      </c>
      <c r="B35" s="19" t="s">
        <v>12</v>
      </c>
      <c r="C35" s="33" t="str">
        <f aca="false">Cards!B17</f>
        <v>White Paper</v>
      </c>
      <c r="D35" s="19" t="s">
        <v>840</v>
      </c>
      <c r="E35" s="33" t="str">
        <f aca="false">Cards!A17</f>
        <v>C16</v>
      </c>
      <c r="F35" s="19" t="n">
        <v>1</v>
      </c>
      <c r="G35" s="18" t="n">
        <f aca="false">IF(Cards!Q17="Starter",1,0)</f>
        <v>0</v>
      </c>
      <c r="H35" s="19" t="s">
        <v>779</v>
      </c>
      <c r="I35" s="19" t="s">
        <v>775</v>
      </c>
      <c r="J35" s="19"/>
    </row>
    <row r="36" customFormat="false" ht="15" hidden="false" customHeight="false" outlineLevel="0" collapsed="false">
      <c r="A36" s="19" t="s">
        <v>856</v>
      </c>
      <c r="B36" s="19" t="s">
        <v>12</v>
      </c>
      <c r="C36" s="33" t="str">
        <f aca="false">Cards!B18</f>
        <v>Labeling</v>
      </c>
      <c r="D36" s="19" t="s">
        <v>840</v>
      </c>
      <c r="E36" s="33" t="str">
        <f aca="false">Cards!A18</f>
        <v>C17</v>
      </c>
      <c r="F36" s="19" t="n">
        <v>1</v>
      </c>
      <c r="G36" s="18" t="n">
        <f aca="false">IF(Cards!Q18="Starter",1,0)</f>
        <v>1</v>
      </c>
      <c r="H36" s="19" t="s">
        <v>779</v>
      </c>
      <c r="I36" s="19" t="s">
        <v>775</v>
      </c>
      <c r="J36" s="19"/>
    </row>
    <row r="37" customFormat="false" ht="15" hidden="false" customHeight="false" outlineLevel="0" collapsed="false">
      <c r="A37" s="19" t="s">
        <v>857</v>
      </c>
      <c r="B37" s="19" t="s">
        <v>12</v>
      </c>
      <c r="C37" s="33" t="str">
        <f aca="false">Cards!B19</f>
        <v>Drawing Battle Lines</v>
      </c>
      <c r="D37" s="19" t="s">
        <v>840</v>
      </c>
      <c r="E37" s="33" t="str">
        <f aca="false">Cards!A19</f>
        <v>C18</v>
      </c>
      <c r="F37" s="19" t="n">
        <v>1</v>
      </c>
      <c r="G37" s="18" t="n">
        <f aca="false">IF(Cards!Q19="Starter",1,0)</f>
        <v>1</v>
      </c>
      <c r="H37" s="19" t="s">
        <v>779</v>
      </c>
      <c r="I37" s="19" t="s">
        <v>775</v>
      </c>
      <c r="J37" s="19"/>
    </row>
    <row r="38" customFormat="false" ht="15" hidden="false" customHeight="false" outlineLevel="0" collapsed="false">
      <c r="A38" s="19" t="s">
        <v>858</v>
      </c>
      <c r="B38" s="19" t="s">
        <v>12</v>
      </c>
      <c r="C38" s="33" t="str">
        <f aca="false">Cards!B20</f>
        <v>Agitation</v>
      </c>
      <c r="D38" s="19" t="s">
        <v>840</v>
      </c>
      <c r="E38" s="33" t="str">
        <f aca="false">Cards!A20</f>
        <v>C19</v>
      </c>
      <c r="F38" s="19" t="n">
        <v>1</v>
      </c>
      <c r="G38" s="18" t="n">
        <f aca="false">IF(Cards!Q20="Starter",1,0)</f>
        <v>0</v>
      </c>
      <c r="H38" s="19" t="s">
        <v>779</v>
      </c>
      <c r="I38" s="19" t="s">
        <v>775</v>
      </c>
      <c r="J38" s="19"/>
    </row>
    <row r="39" customFormat="false" ht="15" hidden="false" customHeight="false" outlineLevel="0" collapsed="false">
      <c r="A39" s="19" t="s">
        <v>859</v>
      </c>
      <c r="B39" s="19" t="s">
        <v>12</v>
      </c>
      <c r="C39" s="33" t="str">
        <f aca="false">Cards!B21</f>
        <v>Loyalty Test</v>
      </c>
      <c r="D39" s="19" t="s">
        <v>840</v>
      </c>
      <c r="E39" s="33" t="str">
        <f aca="false">Cards!A21</f>
        <v>C20</v>
      </c>
      <c r="F39" s="19" t="n">
        <v>1</v>
      </c>
      <c r="G39" s="18" t="n">
        <f aca="false">IF(Cards!Q21="Starter",1,0)</f>
        <v>0</v>
      </c>
      <c r="H39" s="19" t="s">
        <v>779</v>
      </c>
      <c r="I39" s="19" t="s">
        <v>775</v>
      </c>
      <c r="J39" s="19"/>
    </row>
    <row r="40" customFormat="false" ht="15" hidden="false" customHeight="false" outlineLevel="0" collapsed="false">
      <c r="A40" s="19" t="s">
        <v>860</v>
      </c>
      <c r="B40" s="19" t="s">
        <v>12</v>
      </c>
      <c r="C40" s="33" t="str">
        <f aca="false">Cards!B22</f>
        <v>Iridescent Answer</v>
      </c>
      <c r="D40" s="19" t="s">
        <v>840</v>
      </c>
      <c r="E40" s="33" t="str">
        <f aca="false">Cards!A22</f>
        <v>C21</v>
      </c>
      <c r="F40" s="19" t="n">
        <v>1</v>
      </c>
      <c r="G40" s="18" t="n">
        <f aca="false">IF(Cards!Q22="Starter",1,0)</f>
        <v>1</v>
      </c>
      <c r="H40" s="19" t="s">
        <v>779</v>
      </c>
      <c r="I40" s="19" t="s">
        <v>775</v>
      </c>
      <c r="J40" s="19"/>
    </row>
    <row r="41" customFormat="false" ht="15" hidden="false" customHeight="false" outlineLevel="0" collapsed="false">
      <c r="A41" s="19" t="s">
        <v>861</v>
      </c>
      <c r="B41" s="19" t="s">
        <v>12</v>
      </c>
      <c r="C41" s="33" t="str">
        <f aca="false">Cards!B23</f>
        <v>"I Have No Recollection"</v>
      </c>
      <c r="D41" s="19" t="s">
        <v>840</v>
      </c>
      <c r="E41" s="33" t="str">
        <f aca="false">Cards!A23</f>
        <v>C22</v>
      </c>
      <c r="F41" s="19" t="n">
        <v>1</v>
      </c>
      <c r="G41" s="18" t="n">
        <f aca="false">IF(Cards!Q23="Starter",1,0)</f>
        <v>1</v>
      </c>
      <c r="H41" s="19" t="s">
        <v>779</v>
      </c>
      <c r="I41" s="19" t="s">
        <v>775</v>
      </c>
      <c r="J41" s="19"/>
    </row>
    <row r="42" customFormat="false" ht="15" hidden="false" customHeight="false" outlineLevel="0" collapsed="false">
      <c r="A42" s="19" t="s">
        <v>862</v>
      </c>
      <c r="B42" s="19" t="s">
        <v>12</v>
      </c>
      <c r="C42" s="33" t="str">
        <f aca="false">Cards!B24</f>
        <v>Shifting the Issue</v>
      </c>
      <c r="D42" s="19" t="s">
        <v>840</v>
      </c>
      <c r="E42" s="33" t="str">
        <f aca="false">Cards!A24</f>
        <v>C23</v>
      </c>
      <c r="F42" s="19" t="n">
        <v>1</v>
      </c>
      <c r="G42" s="18" t="n">
        <f aca="false">IF(Cards!Q24="Starter",1,0)</f>
        <v>0</v>
      </c>
      <c r="H42" s="19" t="s">
        <v>779</v>
      </c>
      <c r="I42" s="19" t="s">
        <v>775</v>
      </c>
      <c r="J42" s="19"/>
    </row>
    <row r="43" customFormat="false" ht="15" hidden="false" customHeight="false" outlineLevel="0" collapsed="false">
      <c r="A43" s="19" t="s">
        <v>863</v>
      </c>
      <c r="B43" s="19" t="s">
        <v>12</v>
      </c>
      <c r="C43" s="33" t="str">
        <f aca="false">Cards!B25</f>
        <v>Secret Pact</v>
      </c>
      <c r="D43" s="19" t="s">
        <v>840</v>
      </c>
      <c r="E43" s="33" t="str">
        <f aca="false">Cards!A25</f>
        <v>C24</v>
      </c>
      <c r="F43" s="19" t="n">
        <v>1</v>
      </c>
      <c r="G43" s="18" t="n">
        <f aca="false">IF(Cards!Q25="Starter",1,0)</f>
        <v>0</v>
      </c>
      <c r="H43" s="19" t="s">
        <v>779</v>
      </c>
      <c r="I43" s="19" t="s">
        <v>775</v>
      </c>
      <c r="J43" s="19"/>
    </row>
    <row r="44" customFormat="false" ht="15" hidden="false" customHeight="false" outlineLevel="0" collapsed="false">
      <c r="A44" s="19" t="s">
        <v>864</v>
      </c>
      <c r="B44" s="19" t="s">
        <v>12</v>
      </c>
      <c r="C44" s="19" t="s">
        <v>865</v>
      </c>
      <c r="D44" s="19" t="s">
        <v>866</v>
      </c>
      <c r="E44" s="19" t="s">
        <v>8</v>
      </c>
      <c r="F44" s="19" t="n">
        <v>6</v>
      </c>
      <c r="G44" s="19" t="n">
        <v>6</v>
      </c>
      <c r="H44" s="19" t="s">
        <v>783</v>
      </c>
      <c r="I44" s="19" t="s">
        <v>775</v>
      </c>
      <c r="J44" s="19"/>
    </row>
    <row r="45" customFormat="false" ht="15" hidden="false" customHeight="false" outlineLevel="0" collapsed="false">
      <c r="A45" s="19" t="s">
        <v>867</v>
      </c>
      <c r="B45" s="19" t="s">
        <v>12</v>
      </c>
      <c r="C45" s="19" t="s">
        <v>868</v>
      </c>
      <c r="D45" s="19" t="s">
        <v>869</v>
      </c>
      <c r="E45" s="19" t="s">
        <v>504</v>
      </c>
      <c r="F45" s="19" t="n">
        <v>1</v>
      </c>
      <c r="G45" s="19" t="n">
        <v>0</v>
      </c>
      <c r="H45" s="19" t="s">
        <v>783</v>
      </c>
      <c r="I45" s="19" t="s">
        <v>775</v>
      </c>
      <c r="J45" s="19"/>
    </row>
    <row r="46" customFormat="false" ht="15" hidden="false" customHeight="false" outlineLevel="0" collapsed="false">
      <c r="A46" s="19" t="s">
        <v>870</v>
      </c>
      <c r="B46" s="19" t="s">
        <v>12</v>
      </c>
      <c r="C46" s="19" t="s">
        <v>871</v>
      </c>
      <c r="D46" s="19" t="s">
        <v>872</v>
      </c>
      <c r="E46" s="19" t="s">
        <v>504</v>
      </c>
      <c r="F46" s="19" t="n">
        <v>1</v>
      </c>
      <c r="G46" s="19" t="n">
        <v>1</v>
      </c>
      <c r="H46" s="19" t="s">
        <v>783</v>
      </c>
      <c r="I46" s="19" t="s">
        <v>775</v>
      </c>
      <c r="J46" s="19"/>
    </row>
    <row r="47" customFormat="false" ht="15" hidden="false" customHeight="false" outlineLevel="0" collapsed="false">
      <c r="A47" s="19" t="s">
        <v>873</v>
      </c>
      <c r="B47" s="19" t="s">
        <v>12</v>
      </c>
      <c r="C47" s="19" t="s">
        <v>874</v>
      </c>
      <c r="D47" s="19" t="s">
        <v>875</v>
      </c>
      <c r="E47" s="19" t="s">
        <v>504</v>
      </c>
      <c r="F47" s="19" t="n">
        <v>2</v>
      </c>
      <c r="G47" s="19" t="n">
        <v>2</v>
      </c>
      <c r="H47" s="19" t="s">
        <v>783</v>
      </c>
      <c r="I47" s="19" t="s">
        <v>775</v>
      </c>
      <c r="J47" s="19"/>
    </row>
    <row r="48" customFormat="false" ht="15" hidden="false" customHeight="false" outlineLevel="0" collapsed="false">
      <c r="A48" s="19" t="s">
        <v>876</v>
      </c>
      <c r="B48" s="19" t="s">
        <v>12</v>
      </c>
      <c r="C48" s="19" t="s">
        <v>877</v>
      </c>
      <c r="D48" s="19" t="s">
        <v>878</v>
      </c>
      <c r="E48" s="19" t="s">
        <v>504</v>
      </c>
      <c r="F48" s="19" t="n">
        <v>1</v>
      </c>
      <c r="G48" s="19" t="n">
        <v>1</v>
      </c>
      <c r="H48" s="19" t="s">
        <v>784</v>
      </c>
      <c r="I48" s="19" t="s">
        <v>775</v>
      </c>
      <c r="J48" s="19"/>
    </row>
    <row r="49" customFormat="false" ht="26.85" hidden="false" customHeight="false" outlineLevel="0" collapsed="false">
      <c r="A49" s="19" t="s">
        <v>879</v>
      </c>
      <c r="B49" s="19" t="s">
        <v>805</v>
      </c>
      <c r="C49" s="33" t="str">
        <f aca="false">Stages!B2</f>
        <v>Committee</v>
      </c>
      <c r="D49" s="19" t="s">
        <v>880</v>
      </c>
      <c r="E49" s="19" t="s">
        <v>198</v>
      </c>
      <c r="F49" s="19" t="n">
        <v>1</v>
      </c>
      <c r="G49" s="19" t="n">
        <v>1</v>
      </c>
      <c r="H49" s="19" t="s">
        <v>779</v>
      </c>
      <c r="I49" s="19" t="s">
        <v>775</v>
      </c>
      <c r="J49" s="19" t="s">
        <v>881</v>
      </c>
    </row>
    <row r="50" customFormat="false" ht="26.85" hidden="false" customHeight="false" outlineLevel="0" collapsed="false">
      <c r="A50" s="19" t="s">
        <v>882</v>
      </c>
      <c r="B50" s="19" t="s">
        <v>805</v>
      </c>
      <c r="C50" s="33" t="str">
        <f aca="false">Stages!B3</f>
        <v>Floor Debate</v>
      </c>
      <c r="D50" s="19" t="s">
        <v>880</v>
      </c>
      <c r="E50" s="19" t="s">
        <v>206</v>
      </c>
      <c r="F50" s="19" t="n">
        <v>1</v>
      </c>
      <c r="G50" s="19" t="n">
        <v>1</v>
      </c>
      <c r="H50" s="19" t="s">
        <v>779</v>
      </c>
      <c r="I50" s="19" t="s">
        <v>775</v>
      </c>
      <c r="J50" s="19" t="s">
        <v>881</v>
      </c>
    </row>
    <row r="51" customFormat="false" ht="26.85" hidden="false" customHeight="false" outlineLevel="0" collapsed="false">
      <c r="A51" s="19" t="s">
        <v>883</v>
      </c>
      <c r="B51" s="19" t="s">
        <v>805</v>
      </c>
      <c r="C51" s="33" t="str">
        <f aca="false">Stages!B4</f>
        <v>Party Caucus</v>
      </c>
      <c r="D51" s="19" t="s">
        <v>880</v>
      </c>
      <c r="E51" s="19" t="s">
        <v>212</v>
      </c>
      <c r="F51" s="19" t="n">
        <v>1</v>
      </c>
      <c r="G51" s="19" t="n">
        <v>1</v>
      </c>
      <c r="H51" s="19" t="s">
        <v>779</v>
      </c>
      <c r="I51" s="19" t="s">
        <v>775</v>
      </c>
      <c r="J51" s="19" t="s">
        <v>881</v>
      </c>
    </row>
    <row r="52" customFormat="false" ht="26.85" hidden="false" customHeight="false" outlineLevel="0" collapsed="false">
      <c r="A52" s="19" t="s">
        <v>884</v>
      </c>
      <c r="B52" s="19" t="s">
        <v>805</v>
      </c>
      <c r="C52" s="33" t="str">
        <f aca="false">Stages!B5</f>
        <v>Press Conference</v>
      </c>
      <c r="D52" s="19" t="s">
        <v>880</v>
      </c>
      <c r="E52" s="19" t="s">
        <v>218</v>
      </c>
      <c r="F52" s="19" t="n">
        <v>1</v>
      </c>
      <c r="G52" s="19" t="n">
        <v>0</v>
      </c>
      <c r="H52" s="19" t="s">
        <v>779</v>
      </c>
      <c r="I52" s="19" t="s">
        <v>775</v>
      </c>
      <c r="J52" s="19" t="s">
        <v>881</v>
      </c>
    </row>
    <row r="53" customFormat="false" ht="26.85" hidden="false" customHeight="false" outlineLevel="0" collapsed="false">
      <c r="A53" s="19" t="s">
        <v>885</v>
      </c>
      <c r="B53" s="19" t="s">
        <v>805</v>
      </c>
      <c r="C53" s="33" t="str">
        <f aca="false">Stages!B6</f>
        <v>Town Hall</v>
      </c>
      <c r="D53" s="19" t="s">
        <v>880</v>
      </c>
      <c r="E53" s="19" t="s">
        <v>224</v>
      </c>
      <c r="F53" s="19" t="n">
        <v>1</v>
      </c>
      <c r="G53" s="19" t="n">
        <v>0</v>
      </c>
      <c r="H53" s="19" t="s">
        <v>779</v>
      </c>
      <c r="I53" s="19" t="s">
        <v>775</v>
      </c>
      <c r="J53" s="19" t="s">
        <v>881</v>
      </c>
    </row>
    <row r="54" customFormat="false" ht="26.85" hidden="false" customHeight="false" outlineLevel="0" collapsed="false">
      <c r="A54" s="19" t="s">
        <v>886</v>
      </c>
      <c r="B54" s="19" t="s">
        <v>805</v>
      </c>
      <c r="C54" s="33" t="str">
        <f aca="false">Stages!B7</f>
        <v>TV Debate / Interview</v>
      </c>
      <c r="D54" s="19" t="s">
        <v>880</v>
      </c>
      <c r="E54" s="19" t="s">
        <v>229</v>
      </c>
      <c r="F54" s="19" t="n">
        <v>1</v>
      </c>
      <c r="G54" s="19" t="n">
        <v>0</v>
      </c>
      <c r="H54" s="19" t="s">
        <v>779</v>
      </c>
      <c r="I54" s="19" t="s">
        <v>775</v>
      </c>
      <c r="J54" s="19" t="s">
        <v>881</v>
      </c>
    </row>
    <row r="55" customFormat="false" ht="26.85" hidden="false" customHeight="false" outlineLevel="0" collapsed="false">
      <c r="A55" s="19" t="s">
        <v>887</v>
      </c>
      <c r="B55" s="19" t="s">
        <v>805</v>
      </c>
      <c r="C55" s="33" t="str">
        <f aca="false">Stages!B8</f>
        <v>Office Hours</v>
      </c>
      <c r="D55" s="19" t="s">
        <v>880</v>
      </c>
      <c r="E55" s="19" t="s">
        <v>234</v>
      </c>
      <c r="F55" s="19" t="n">
        <v>1</v>
      </c>
      <c r="G55" s="19" t="n">
        <v>1</v>
      </c>
      <c r="H55" s="19" t="s">
        <v>779</v>
      </c>
      <c r="I55" s="19" t="s">
        <v>775</v>
      </c>
      <c r="J55" s="19" t="s">
        <v>881</v>
      </c>
    </row>
    <row r="56" customFormat="false" ht="26.85" hidden="false" customHeight="false" outlineLevel="0" collapsed="false">
      <c r="A56" s="19" t="s">
        <v>888</v>
      </c>
      <c r="B56" s="19" t="s">
        <v>805</v>
      </c>
      <c r="C56" s="33" t="str">
        <f aca="false">Stages!B9</f>
        <v>Party Steering Committee</v>
      </c>
      <c r="D56" s="19" t="s">
        <v>880</v>
      </c>
      <c r="E56" s="19" t="s">
        <v>241</v>
      </c>
      <c r="F56" s="19" t="n">
        <v>1</v>
      </c>
      <c r="G56" s="19" t="n">
        <v>0</v>
      </c>
      <c r="H56" s="19" t="s">
        <v>779</v>
      </c>
      <c r="I56" s="19" t="s">
        <v>775</v>
      </c>
      <c r="J56" s="19" t="s">
        <v>881</v>
      </c>
    </row>
    <row r="57" customFormat="false" ht="15" hidden="false" customHeight="false" outlineLevel="0" collapsed="false">
      <c r="A57" s="19" t="s">
        <v>889</v>
      </c>
      <c r="B57" s="19" t="s">
        <v>807</v>
      </c>
      <c r="C57" s="19" t="s">
        <v>890</v>
      </c>
      <c r="D57" s="19" t="s">
        <v>891</v>
      </c>
      <c r="E57" s="19" t="s">
        <v>8</v>
      </c>
      <c r="F57" s="19" t="n">
        <v>6</v>
      </c>
      <c r="G57" s="19" t="n">
        <v>6</v>
      </c>
      <c r="H57" s="19" t="s">
        <v>783</v>
      </c>
      <c r="I57" s="19" t="s">
        <v>775</v>
      </c>
      <c r="J57" s="19"/>
    </row>
    <row r="58" customFormat="false" ht="26.85" hidden="false" customHeight="false" outlineLevel="0" collapsed="false">
      <c r="A58" s="19" t="s">
        <v>892</v>
      </c>
      <c r="B58" s="19" t="s">
        <v>807</v>
      </c>
      <c r="C58" s="19" t="s">
        <v>893</v>
      </c>
      <c r="D58" s="19" t="s">
        <v>894</v>
      </c>
      <c r="E58" s="19" t="s">
        <v>504</v>
      </c>
      <c r="F58" s="19" t="n">
        <v>6</v>
      </c>
      <c r="G58" s="19" t="n">
        <v>6</v>
      </c>
      <c r="H58" s="19" t="s">
        <v>783</v>
      </c>
      <c r="I58" s="19" t="s">
        <v>775</v>
      </c>
      <c r="J58" s="19"/>
    </row>
    <row r="59" customFormat="false" ht="26.85" hidden="false" customHeight="false" outlineLevel="0" collapsed="false">
      <c r="A59" s="19" t="s">
        <v>895</v>
      </c>
      <c r="B59" s="19" t="s">
        <v>807</v>
      </c>
      <c r="C59" s="19" t="s">
        <v>896</v>
      </c>
      <c r="D59" s="19" t="s">
        <v>897</v>
      </c>
      <c r="E59" s="19" t="s">
        <v>18</v>
      </c>
      <c r="F59" s="19" t="n">
        <v>5</v>
      </c>
      <c r="G59" s="19" t="n">
        <v>5</v>
      </c>
      <c r="H59" s="19" t="s">
        <v>783</v>
      </c>
      <c r="I59" s="19" t="s">
        <v>775</v>
      </c>
      <c r="J59" s="19"/>
    </row>
    <row r="60" customFormat="false" ht="15" hidden="false" customHeight="false" outlineLevel="0" collapsed="false">
      <c r="A60" s="19" t="s">
        <v>898</v>
      </c>
      <c r="B60" s="19" t="s">
        <v>807</v>
      </c>
      <c r="C60" s="19" t="s">
        <v>899</v>
      </c>
      <c r="D60" s="19" t="s">
        <v>900</v>
      </c>
      <c r="E60" s="19" t="s">
        <v>30</v>
      </c>
      <c r="F60" s="19" t="n">
        <v>4</v>
      </c>
      <c r="G60" s="19" t="n">
        <v>4</v>
      </c>
      <c r="H60" s="19" t="s">
        <v>783</v>
      </c>
      <c r="I60" s="19" t="s">
        <v>775</v>
      </c>
      <c r="J60" s="19"/>
    </row>
    <row r="61" customFormat="false" ht="15" hidden="false" customHeight="false" outlineLevel="0" collapsed="false">
      <c r="A61" s="19" t="s">
        <v>901</v>
      </c>
      <c r="B61" s="19" t="s">
        <v>807</v>
      </c>
      <c r="C61" s="19" t="s">
        <v>902</v>
      </c>
      <c r="D61" s="19" t="s">
        <v>903</v>
      </c>
      <c r="E61" s="19" t="s">
        <v>24</v>
      </c>
      <c r="F61" s="19" t="n">
        <v>8</v>
      </c>
      <c r="G61" s="19" t="n">
        <v>1</v>
      </c>
      <c r="H61" s="19" t="s">
        <v>783</v>
      </c>
      <c r="I61" s="19" t="s">
        <v>775</v>
      </c>
      <c r="J61" s="19"/>
    </row>
    <row r="62" customFormat="false" ht="26.85" hidden="false" customHeight="false" outlineLevel="0" collapsed="false">
      <c r="A62" s="19" t="s">
        <v>904</v>
      </c>
      <c r="B62" s="19" t="s">
        <v>807</v>
      </c>
      <c r="C62" s="19" t="s">
        <v>905</v>
      </c>
      <c r="D62" s="19" t="s">
        <v>906</v>
      </c>
      <c r="E62" s="19" t="s">
        <v>504</v>
      </c>
      <c r="F62" s="19" t="n">
        <v>6</v>
      </c>
      <c r="G62" s="19" t="n">
        <v>6</v>
      </c>
      <c r="H62" s="19" t="s">
        <v>783</v>
      </c>
      <c r="I62" s="19" t="s">
        <v>775</v>
      </c>
      <c r="J62" s="19"/>
    </row>
    <row r="63" customFormat="false" ht="26.85" hidden="false" customHeight="false" outlineLevel="0" collapsed="false">
      <c r="A63" s="19" t="s">
        <v>907</v>
      </c>
      <c r="B63" s="19" t="s">
        <v>807</v>
      </c>
      <c r="C63" s="19" t="s">
        <v>908</v>
      </c>
      <c r="D63" s="19" t="s">
        <v>909</v>
      </c>
      <c r="E63" s="19" t="s">
        <v>504</v>
      </c>
      <c r="F63" s="19" t="n">
        <v>8</v>
      </c>
      <c r="G63" s="19" t="n">
        <v>8</v>
      </c>
      <c r="H63" s="19" t="s">
        <v>783</v>
      </c>
      <c r="I63" s="19" t="s">
        <v>775</v>
      </c>
      <c r="J63" s="19"/>
    </row>
    <row r="64" customFormat="false" ht="15" hidden="false" customHeight="false" outlineLevel="0" collapsed="false">
      <c r="A64" s="19" t="s">
        <v>910</v>
      </c>
      <c r="B64" s="19" t="s">
        <v>807</v>
      </c>
      <c r="C64" s="33" t="str">
        <f aca="false">Boosters!B2</f>
        <v>Party Headquarters</v>
      </c>
      <c r="D64" s="19" t="s">
        <v>911</v>
      </c>
      <c r="E64" s="33" t="str">
        <f aca="false">Boosters!A2</f>
        <v>BO01</v>
      </c>
      <c r="F64" s="19" t="n">
        <v>1</v>
      </c>
      <c r="G64" s="19" t="n">
        <v>0</v>
      </c>
      <c r="H64" s="19" t="s">
        <v>783</v>
      </c>
      <c r="I64" s="19" t="s">
        <v>775</v>
      </c>
      <c r="J64" s="19"/>
    </row>
    <row r="65" customFormat="false" ht="15" hidden="false" customHeight="false" outlineLevel="0" collapsed="false">
      <c r="A65" s="19" t="s">
        <v>912</v>
      </c>
      <c r="B65" s="19" t="s">
        <v>807</v>
      </c>
      <c r="C65" s="33" t="str">
        <f aca="false">Boosters!B3</f>
        <v>Party Faction</v>
      </c>
      <c r="D65" s="19" t="s">
        <v>911</v>
      </c>
      <c r="E65" s="33" t="str">
        <f aca="false">Boosters!A3</f>
        <v>BO02</v>
      </c>
      <c r="F65" s="19" t="n">
        <v>1</v>
      </c>
      <c r="G65" s="19" t="n">
        <v>0</v>
      </c>
      <c r="H65" s="19" t="s">
        <v>783</v>
      </c>
      <c r="I65" s="19" t="s">
        <v>775</v>
      </c>
      <c r="J65" s="19"/>
    </row>
    <row r="66" customFormat="false" ht="15" hidden="false" customHeight="false" outlineLevel="0" collapsed="false">
      <c r="A66" s="19" t="s">
        <v>913</v>
      </c>
      <c r="B66" s="19" t="s">
        <v>807</v>
      </c>
      <c r="C66" s="33" t="str">
        <f aca="false">Boosters!B4</f>
        <v>Local Kōenkai</v>
      </c>
      <c r="D66" s="19" t="s">
        <v>911</v>
      </c>
      <c r="E66" s="33" t="str">
        <f aca="false">Boosters!A4</f>
        <v>BO03</v>
      </c>
      <c r="F66" s="19" t="n">
        <v>1</v>
      </c>
      <c r="G66" s="19" t="n">
        <v>1</v>
      </c>
      <c r="H66" s="19" t="s">
        <v>783</v>
      </c>
      <c r="I66" s="19" t="s">
        <v>775</v>
      </c>
      <c r="J66" s="19"/>
    </row>
    <row r="67" customFormat="false" ht="15" hidden="false" customHeight="false" outlineLevel="0" collapsed="false">
      <c r="A67" s="19" t="s">
        <v>914</v>
      </c>
      <c r="B67" s="19" t="s">
        <v>807</v>
      </c>
      <c r="C67" s="33" t="str">
        <f aca="false">Boosters!B5</f>
        <v>Mayors' Network</v>
      </c>
      <c r="D67" s="19" t="s">
        <v>911</v>
      </c>
      <c r="E67" s="33" t="str">
        <f aca="false">Boosters!A5</f>
        <v>BO04</v>
      </c>
      <c r="F67" s="19" t="n">
        <v>1</v>
      </c>
      <c r="G67" s="19" t="n">
        <v>0</v>
      </c>
      <c r="H67" s="19" t="s">
        <v>783</v>
      </c>
      <c r="I67" s="19" t="s">
        <v>775</v>
      </c>
      <c r="J67" s="19"/>
    </row>
    <row r="68" customFormat="false" ht="15" hidden="false" customHeight="false" outlineLevel="0" collapsed="false">
      <c r="A68" s="19" t="s">
        <v>915</v>
      </c>
      <c r="B68" s="19" t="s">
        <v>807</v>
      </c>
      <c r="C68" s="33" t="str">
        <f aca="false">Boosters!B6</f>
        <v>Chamber of Commerce</v>
      </c>
      <c r="D68" s="19" t="s">
        <v>911</v>
      </c>
      <c r="E68" s="33" t="str">
        <f aca="false">Boosters!A6</f>
        <v>BO05</v>
      </c>
      <c r="F68" s="19" t="n">
        <v>1</v>
      </c>
      <c r="G68" s="19" t="n">
        <v>0</v>
      </c>
      <c r="H68" s="19" t="s">
        <v>783</v>
      </c>
      <c r="I68" s="19" t="s">
        <v>775</v>
      </c>
      <c r="J68" s="19"/>
    </row>
    <row r="69" customFormat="false" ht="15" hidden="false" customHeight="false" outlineLevel="0" collapsed="false">
      <c r="A69" s="19" t="s">
        <v>916</v>
      </c>
      <c r="B69" s="19" t="s">
        <v>807</v>
      </c>
      <c r="C69" s="33" t="str">
        <f aca="false">Boosters!B7</f>
        <v>Neighborhood Associations</v>
      </c>
      <c r="D69" s="19" t="s">
        <v>911</v>
      </c>
      <c r="E69" s="33" t="str">
        <f aca="false">Boosters!A7</f>
        <v>BO06</v>
      </c>
      <c r="F69" s="19" t="n">
        <v>1</v>
      </c>
      <c r="G69" s="19" t="n">
        <v>0</v>
      </c>
      <c r="H69" s="19" t="s">
        <v>783</v>
      </c>
      <c r="I69" s="19" t="s">
        <v>775</v>
      </c>
      <c r="J69" s="19"/>
    </row>
    <row r="70" customFormat="false" ht="15" hidden="false" customHeight="false" outlineLevel="0" collapsed="false">
      <c r="A70" s="19" t="s">
        <v>917</v>
      </c>
      <c r="B70" s="19" t="s">
        <v>807</v>
      </c>
      <c r="C70" s="33" t="str">
        <f aca="false">Boosters!B8</f>
        <v>Fisheries Cooperative</v>
      </c>
      <c r="D70" s="19" t="s">
        <v>911</v>
      </c>
      <c r="E70" s="33" t="str">
        <f aca="false">Boosters!A8</f>
        <v>BO07</v>
      </c>
      <c r="F70" s="19" t="n">
        <v>1</v>
      </c>
      <c r="G70" s="19" t="n">
        <v>0</v>
      </c>
      <c r="H70" s="19" t="s">
        <v>783</v>
      </c>
      <c r="I70" s="19" t="s">
        <v>775</v>
      </c>
      <c r="J70" s="19"/>
    </row>
    <row r="71" customFormat="false" ht="15" hidden="false" customHeight="false" outlineLevel="0" collapsed="false">
      <c r="A71" s="19" t="s">
        <v>918</v>
      </c>
      <c r="B71" s="19" t="s">
        <v>807</v>
      </c>
      <c r="C71" s="33" t="str">
        <f aca="false">Boosters!B9</f>
        <v>National Media</v>
      </c>
      <c r="D71" s="19" t="s">
        <v>911</v>
      </c>
      <c r="E71" s="33" t="str">
        <f aca="false">Boosters!A9</f>
        <v>BO08</v>
      </c>
      <c r="F71" s="19" t="n">
        <v>1</v>
      </c>
      <c r="G71" s="19" t="n">
        <v>1</v>
      </c>
      <c r="H71" s="19" t="s">
        <v>783</v>
      </c>
      <c r="I71" s="19" t="s">
        <v>775</v>
      </c>
      <c r="J71" s="19"/>
    </row>
    <row r="72" customFormat="false" ht="15" hidden="false" customHeight="false" outlineLevel="0" collapsed="false">
      <c r="A72" s="19" t="s">
        <v>919</v>
      </c>
      <c r="B72" s="19" t="s">
        <v>807</v>
      </c>
      <c r="C72" s="33" t="str">
        <f aca="false">Boosters!B10</f>
        <v>Labor Federation</v>
      </c>
      <c r="D72" s="19" t="s">
        <v>911</v>
      </c>
      <c r="E72" s="33" t="str">
        <f aca="false">Boosters!A10</f>
        <v>BO09</v>
      </c>
      <c r="F72" s="19" t="n">
        <v>1</v>
      </c>
      <c r="G72" s="19" t="n">
        <v>0</v>
      </c>
      <c r="H72" s="19" t="s">
        <v>783</v>
      </c>
      <c r="I72" s="19" t="s">
        <v>775</v>
      </c>
      <c r="J72" s="19"/>
    </row>
    <row r="73" customFormat="false" ht="15" hidden="false" customHeight="false" outlineLevel="0" collapsed="false">
      <c r="A73" s="19" t="s">
        <v>920</v>
      </c>
      <c r="B73" s="19" t="s">
        <v>807</v>
      </c>
      <c r="C73" s="33" t="str">
        <f aca="false">Boosters!B11</f>
        <v>Agricultural Cooperatives</v>
      </c>
      <c r="D73" s="19" t="s">
        <v>911</v>
      </c>
      <c r="E73" s="33" t="str">
        <f aca="false">Boosters!A11</f>
        <v>BO10</v>
      </c>
      <c r="F73" s="19" t="n">
        <v>1</v>
      </c>
      <c r="G73" s="19" t="n">
        <v>0</v>
      </c>
      <c r="H73" s="19" t="s">
        <v>783</v>
      </c>
      <c r="I73" s="19" t="s">
        <v>775</v>
      </c>
      <c r="J73" s="19"/>
    </row>
    <row r="74" customFormat="false" ht="26.85" hidden="false" customHeight="false" outlineLevel="0" collapsed="false">
      <c r="A74" s="19" t="s">
        <v>921</v>
      </c>
      <c r="B74" s="19" t="s">
        <v>809</v>
      </c>
      <c r="C74" s="19" t="s">
        <v>922</v>
      </c>
      <c r="D74" s="19" t="s">
        <v>923</v>
      </c>
      <c r="E74" s="19" t="s">
        <v>504</v>
      </c>
      <c r="F74" s="19" t="n">
        <v>1</v>
      </c>
      <c r="G74" s="19" t="n">
        <v>1</v>
      </c>
      <c r="H74" s="19" t="s">
        <v>784</v>
      </c>
      <c r="I74" s="19" t="s">
        <v>775</v>
      </c>
      <c r="J74" s="19"/>
    </row>
    <row r="75" customFormat="false" ht="15" hidden="false" customHeight="false" outlineLevel="0" collapsed="false">
      <c r="A75" s="19" t="s">
        <v>924</v>
      </c>
      <c r="B75" s="19" t="s">
        <v>809</v>
      </c>
      <c r="C75" s="19" t="s">
        <v>925</v>
      </c>
      <c r="D75" s="19" t="s">
        <v>926</v>
      </c>
      <c r="E75" s="19" t="s">
        <v>504</v>
      </c>
      <c r="F75" s="19" t="n">
        <v>1</v>
      </c>
      <c r="G75" s="19" t="n">
        <v>1</v>
      </c>
      <c r="H75" s="19" t="s">
        <v>784</v>
      </c>
      <c r="I75" s="19" t="s">
        <v>775</v>
      </c>
      <c r="J75" s="19"/>
    </row>
    <row r="76" customFormat="false" ht="15" hidden="false" customHeight="false" outlineLevel="0" collapsed="false">
      <c r="A76" s="19" t="s">
        <v>927</v>
      </c>
      <c r="B76" s="19" t="s">
        <v>809</v>
      </c>
      <c r="C76" s="19" t="s">
        <v>928</v>
      </c>
      <c r="D76" s="19" t="s">
        <v>929</v>
      </c>
      <c r="E76" s="19" t="s">
        <v>504</v>
      </c>
      <c r="F76" s="19" t="n">
        <v>1</v>
      </c>
      <c r="G76" s="19" t="n">
        <v>1</v>
      </c>
      <c r="H76" s="19" t="s">
        <v>784</v>
      </c>
      <c r="I76" s="19" t="s">
        <v>775</v>
      </c>
      <c r="J76" s="19"/>
    </row>
    <row r="77" customFormat="false" ht="15" hidden="false" customHeight="false" outlineLevel="0" collapsed="false">
      <c r="A77" s="19" t="s">
        <v>930</v>
      </c>
      <c r="B77" s="19" t="s">
        <v>809</v>
      </c>
      <c r="C77" s="19" t="s">
        <v>931</v>
      </c>
      <c r="D77" s="19" t="s">
        <v>932</v>
      </c>
      <c r="E77" s="19" t="s">
        <v>504</v>
      </c>
      <c r="F77" s="19" t="n">
        <v>1</v>
      </c>
      <c r="G77" s="19" t="n">
        <v>1</v>
      </c>
      <c r="H77" s="19" t="s">
        <v>784</v>
      </c>
      <c r="I77" s="19" t="s">
        <v>775</v>
      </c>
      <c r="J77" s="19"/>
    </row>
    <row r="78" customFormat="false" ht="15" hidden="false" customHeight="false" outlineLevel="0" collapsed="false">
      <c r="A78" s="19" t="s">
        <v>933</v>
      </c>
      <c r="B78" s="19" t="s">
        <v>809</v>
      </c>
      <c r="C78" s="19" t="s">
        <v>934</v>
      </c>
      <c r="D78" s="19" t="s">
        <v>935</v>
      </c>
      <c r="E78" s="19" t="s">
        <v>504</v>
      </c>
      <c r="F78" s="19" t="n">
        <v>1</v>
      </c>
      <c r="G78" s="19" t="n">
        <v>1</v>
      </c>
      <c r="H78" s="19" t="s">
        <v>784</v>
      </c>
      <c r="I78" s="19" t="s">
        <v>775</v>
      </c>
      <c r="J78" s="19"/>
    </row>
    <row r="79" customFormat="false" ht="15" hidden="false" customHeight="false" outlineLevel="0" collapsed="false">
      <c r="A79" s="19" t="s">
        <v>936</v>
      </c>
      <c r="B79" s="19" t="s">
        <v>809</v>
      </c>
      <c r="C79" s="19" t="s">
        <v>937</v>
      </c>
      <c r="D79" s="19" t="s">
        <v>938</v>
      </c>
      <c r="E79" s="19" t="s">
        <v>504</v>
      </c>
      <c r="F79" s="19" t="n">
        <v>1</v>
      </c>
      <c r="G79" s="19" t="n">
        <v>1</v>
      </c>
      <c r="H79" s="19" t="s">
        <v>784</v>
      </c>
      <c r="I79" s="19" t="s">
        <v>775</v>
      </c>
      <c r="J79" s="19"/>
    </row>
    <row r="80" customFormat="false" ht="26.85" hidden="false" customHeight="false" outlineLevel="0" collapsed="false">
      <c r="A80" s="19" t="s">
        <v>939</v>
      </c>
      <c r="B80" s="19" t="s">
        <v>809</v>
      </c>
      <c r="C80" s="19" t="s">
        <v>940</v>
      </c>
      <c r="D80" s="19" t="s">
        <v>941</v>
      </c>
      <c r="E80" s="19" t="s">
        <v>504</v>
      </c>
      <c r="F80" s="19" t="n">
        <v>1</v>
      </c>
      <c r="G80" s="19" t="n">
        <v>0</v>
      </c>
      <c r="H80" s="19" t="s">
        <v>784</v>
      </c>
      <c r="I80" s="19" t="s">
        <v>775</v>
      </c>
      <c r="J80" s="19"/>
    </row>
    <row r="81" customFormat="false" ht="15" hidden="false" customHeight="false" outlineLevel="0" collapsed="false">
      <c r="A81" s="19" t="s">
        <v>942</v>
      </c>
      <c r="B81" s="19" t="s">
        <v>809</v>
      </c>
      <c r="C81" s="19" t="s">
        <v>943</v>
      </c>
      <c r="D81" s="19" t="s">
        <v>944</v>
      </c>
      <c r="E81" s="19" t="s">
        <v>504</v>
      </c>
      <c r="F81" s="19" t="n">
        <v>1</v>
      </c>
      <c r="G81" s="19" t="n">
        <v>0</v>
      </c>
      <c r="H81" s="19" t="s">
        <v>784</v>
      </c>
      <c r="I81" s="19" t="s">
        <v>775</v>
      </c>
      <c r="J81" s="19"/>
    </row>
    <row r="82" customFormat="false" ht="15" hidden="false" customHeight="false" outlineLevel="0" collapsed="false">
      <c r="A82" s="19" t="s">
        <v>945</v>
      </c>
      <c r="B82" s="19" t="s">
        <v>809</v>
      </c>
      <c r="C82" s="19" t="s">
        <v>946</v>
      </c>
      <c r="D82" s="19" t="s">
        <v>947</v>
      </c>
      <c r="E82" s="19" t="s">
        <v>504</v>
      </c>
      <c r="F82" s="19" t="n">
        <v>1</v>
      </c>
      <c r="G82" s="19" t="n">
        <v>1</v>
      </c>
      <c r="H82" s="19" t="s">
        <v>784</v>
      </c>
      <c r="I82" s="19" t="s">
        <v>775</v>
      </c>
      <c r="J82" s="19"/>
    </row>
    <row r="83" customFormat="false" ht="15" hidden="false" customHeight="false" outlineLevel="0" collapsed="false">
      <c r="A83" s="19" t="s">
        <v>948</v>
      </c>
      <c r="B83" s="19" t="s">
        <v>809</v>
      </c>
      <c r="C83" s="19" t="s">
        <v>949</v>
      </c>
      <c r="D83" s="19" t="s">
        <v>950</v>
      </c>
      <c r="E83" s="19" t="s">
        <v>504</v>
      </c>
      <c r="F83" s="19" t="n">
        <v>5</v>
      </c>
      <c r="G83" s="19" t="n">
        <v>5</v>
      </c>
      <c r="H83" s="19" t="s">
        <v>784</v>
      </c>
      <c r="I83" s="19" t="s">
        <v>775</v>
      </c>
      <c r="J83" s="19"/>
    </row>
    <row r="84" customFormat="false" ht="15" hidden="false" customHeight="false" outlineLevel="0" collapsed="false">
      <c r="A84" s="19" t="s">
        <v>951</v>
      </c>
      <c r="B84" s="19" t="s">
        <v>811</v>
      </c>
      <c r="C84" s="19" t="s">
        <v>952</v>
      </c>
      <c r="D84" s="19" t="s">
        <v>953</v>
      </c>
      <c r="E84" s="19" t="s">
        <v>504</v>
      </c>
      <c r="F84" s="19" t="n">
        <v>1</v>
      </c>
      <c r="G84" s="19" t="n">
        <v>1</v>
      </c>
      <c r="H84" s="19" t="s">
        <v>783</v>
      </c>
      <c r="I84" s="19" t="s">
        <v>775</v>
      </c>
      <c r="J84" s="19"/>
    </row>
    <row r="85" customFormat="false" ht="15" hidden="false" customHeight="false" outlineLevel="0" collapsed="false">
      <c r="A85" s="19" t="s">
        <v>954</v>
      </c>
      <c r="B85" s="19" t="s">
        <v>811</v>
      </c>
      <c r="C85" s="19" t="s">
        <v>955</v>
      </c>
      <c r="D85" s="19" t="s">
        <v>956</v>
      </c>
      <c r="E85" s="19" t="s">
        <v>504</v>
      </c>
      <c r="F85" s="19" t="n">
        <v>1</v>
      </c>
      <c r="G85" s="19" t="n">
        <v>1</v>
      </c>
      <c r="H85" s="19" t="s">
        <v>783</v>
      </c>
      <c r="I85" s="19" t="s">
        <v>775</v>
      </c>
      <c r="J85" s="19"/>
    </row>
    <row r="86" customFormat="false" ht="15" hidden="false" customHeight="false" outlineLevel="0" collapsed="false">
      <c r="A86" s="19" t="s">
        <v>957</v>
      </c>
      <c r="B86" s="19" t="s">
        <v>811</v>
      </c>
      <c r="C86" s="19" t="s">
        <v>958</v>
      </c>
      <c r="D86" s="19"/>
      <c r="E86" s="19" t="s">
        <v>504</v>
      </c>
      <c r="F86" s="19" t="n">
        <v>1</v>
      </c>
      <c r="G86" s="19" t="n">
        <v>0</v>
      </c>
      <c r="H86" s="19" t="s">
        <v>783</v>
      </c>
      <c r="I86" s="19" t="s">
        <v>775</v>
      </c>
      <c r="J86" s="19"/>
    </row>
    <row r="87" customFormat="false" ht="15" hidden="false" customHeight="false" outlineLevel="0" collapsed="false">
      <c r="A87" s="19" t="s">
        <v>959</v>
      </c>
      <c r="B87" s="19" t="s">
        <v>811</v>
      </c>
      <c r="C87" s="19" t="s">
        <v>960</v>
      </c>
      <c r="D87" s="19" t="s">
        <v>961</v>
      </c>
      <c r="E87" s="19" t="s">
        <v>504</v>
      </c>
      <c r="F87" s="19" t="n">
        <v>6</v>
      </c>
      <c r="G87" s="19" t="n">
        <v>0</v>
      </c>
      <c r="H87" s="19" t="s">
        <v>784</v>
      </c>
      <c r="I87" s="19" t="s">
        <v>775</v>
      </c>
      <c r="J87" s="19"/>
    </row>
    <row r="88" customFormat="false" ht="15" hidden="false" customHeight="false" outlineLevel="0" collapsed="false">
      <c r="A88" s="19" t="s">
        <v>962</v>
      </c>
      <c r="B88" s="19" t="s">
        <v>811</v>
      </c>
      <c r="C88" s="19" t="s">
        <v>963</v>
      </c>
      <c r="D88" s="19"/>
      <c r="E88" s="19" t="s">
        <v>504</v>
      </c>
      <c r="F88" s="19" t="n">
        <v>1</v>
      </c>
      <c r="G88" s="19" t="n">
        <v>0</v>
      </c>
      <c r="H88" s="19" t="s">
        <v>783</v>
      </c>
      <c r="I88" s="19" t="s">
        <v>775</v>
      </c>
      <c r="J88" s="19"/>
    </row>
    <row r="89" customFormat="false" ht="15" hidden="false" customHeight="false" outlineLevel="0" collapsed="false">
      <c r="A89" s="19" t="s">
        <v>964</v>
      </c>
      <c r="B89" s="19" t="s">
        <v>811</v>
      </c>
      <c r="C89" s="19" t="s">
        <v>965</v>
      </c>
      <c r="D89" s="19"/>
      <c r="E89" s="19" t="s">
        <v>504</v>
      </c>
      <c r="F89" s="19" t="n">
        <v>1</v>
      </c>
      <c r="G89" s="19" t="n">
        <v>0</v>
      </c>
      <c r="H89" s="19" t="s">
        <v>784</v>
      </c>
      <c r="I89" s="19" t="s">
        <v>775</v>
      </c>
      <c r="J89" s="19" t="s">
        <v>966</v>
      </c>
    </row>
    <row r="90" customFormat="false" ht="15" hidden="false" customHeight="false" outlineLevel="0" collapsed="false">
      <c r="A90" s="19" t="s">
        <v>967</v>
      </c>
      <c r="B90" s="19" t="s">
        <v>813</v>
      </c>
      <c r="C90" s="19" t="s">
        <v>968</v>
      </c>
      <c r="D90" s="19" t="s">
        <v>969</v>
      </c>
      <c r="E90" s="19" t="s">
        <v>504</v>
      </c>
      <c r="F90" s="19" t="n">
        <v>8</v>
      </c>
      <c r="G90" s="19" t="n">
        <v>3</v>
      </c>
      <c r="H90" s="19" t="s">
        <v>785</v>
      </c>
      <c r="I90" s="19" t="s">
        <v>775</v>
      </c>
      <c r="J90" s="19" t="s">
        <v>970</v>
      </c>
    </row>
    <row r="91" customFormat="false" ht="26.85" hidden="false" customHeight="false" outlineLevel="0" collapsed="false">
      <c r="A91" s="19" t="s">
        <v>971</v>
      </c>
      <c r="B91" s="19" t="s">
        <v>813</v>
      </c>
      <c r="C91" s="19" t="s">
        <v>972</v>
      </c>
      <c r="D91" s="19" t="s">
        <v>973</v>
      </c>
      <c r="E91" s="19" t="s">
        <v>504</v>
      </c>
      <c r="F91" s="19" t="n">
        <v>15</v>
      </c>
      <c r="G91" s="19" t="n">
        <v>10</v>
      </c>
      <c r="H91" s="19" t="s">
        <v>785</v>
      </c>
      <c r="I91" s="19" t="s">
        <v>775</v>
      </c>
      <c r="J91" s="19"/>
    </row>
    <row r="92" customFormat="false" ht="15" hidden="false" customHeight="false" outlineLevel="0" collapsed="false">
      <c r="A92" s="19" t="s">
        <v>974</v>
      </c>
      <c r="B92" s="19" t="s">
        <v>813</v>
      </c>
      <c r="C92" s="19" t="s">
        <v>975</v>
      </c>
      <c r="D92" s="19" t="s">
        <v>976</v>
      </c>
      <c r="E92" s="19" t="s">
        <v>504</v>
      </c>
      <c r="F92" s="19" t="n">
        <v>3</v>
      </c>
      <c r="G92" s="19" t="n">
        <v>1</v>
      </c>
      <c r="H92" s="19" t="s">
        <v>785</v>
      </c>
      <c r="I92" s="19" t="s">
        <v>775</v>
      </c>
      <c r="J92" s="19"/>
    </row>
    <row r="93" customFormat="false" ht="15" hidden="false" customHeight="false" outlineLevel="0" collapsed="false">
      <c r="A93" s="19" t="s">
        <v>977</v>
      </c>
      <c r="B93" s="19" t="s">
        <v>815</v>
      </c>
      <c r="C93" s="19" t="s">
        <v>978</v>
      </c>
      <c r="D93" s="19" t="s">
        <v>979</v>
      </c>
      <c r="E93" s="19" t="s">
        <v>12</v>
      </c>
      <c r="F93" s="18" t="n">
        <f aca="false">2*COUNTA(Cards!$A$2:$A$25)</f>
        <v>48</v>
      </c>
      <c r="G93" s="18" t="n">
        <f aca="false">2*COUNTIF(Cards!$Q$2:$Q$25,"Starter")</f>
        <v>24</v>
      </c>
      <c r="H93" s="19" t="s">
        <v>786</v>
      </c>
      <c r="I93" s="19" t="s">
        <v>775</v>
      </c>
      <c r="J93" s="19"/>
    </row>
    <row r="94" customFormat="false" ht="26.85" hidden="false" customHeight="false" outlineLevel="0" collapsed="false">
      <c r="A94" s="19" t="s">
        <v>980</v>
      </c>
      <c r="B94" s="19" t="s">
        <v>815</v>
      </c>
      <c r="C94" s="19" t="s">
        <v>981</v>
      </c>
      <c r="D94" s="19" t="s">
        <v>982</v>
      </c>
      <c r="E94" s="19" t="s">
        <v>22</v>
      </c>
      <c r="F94" s="18" t="n">
        <f aca="false">5*COUNTA(Opponents!$A$2:$A$20)</f>
        <v>45</v>
      </c>
      <c r="G94" s="19" t="n">
        <v>15</v>
      </c>
      <c r="H94" s="19" t="s">
        <v>786</v>
      </c>
      <c r="I94" s="19" t="s">
        <v>775</v>
      </c>
      <c r="J94" s="19"/>
    </row>
    <row r="95" customFormat="false" ht="15" hidden="false" customHeight="false" outlineLevel="0" collapsed="false">
      <c r="A95" s="19" t="s">
        <v>983</v>
      </c>
      <c r="B95" s="19" t="s">
        <v>815</v>
      </c>
      <c r="C95" s="19" t="s">
        <v>984</v>
      </c>
      <c r="D95" s="19"/>
      <c r="E95" s="19" t="s">
        <v>504</v>
      </c>
      <c r="F95" s="19" t="n">
        <v>20</v>
      </c>
      <c r="G95" s="19" t="n">
        <v>0</v>
      </c>
      <c r="H95" s="19" t="s">
        <v>786</v>
      </c>
      <c r="I95" s="19" t="s">
        <v>775</v>
      </c>
      <c r="J95" s="19"/>
    </row>
    <row r="96" customFormat="false" ht="15" hidden="false" customHeight="false" outlineLevel="0" collapsed="false">
      <c r="A96" s="19" t="s">
        <v>985</v>
      </c>
      <c r="B96" s="19" t="s">
        <v>815</v>
      </c>
      <c r="C96" s="19" t="s">
        <v>986</v>
      </c>
      <c r="D96" s="19"/>
      <c r="E96" s="19" t="s">
        <v>504</v>
      </c>
      <c r="F96" s="19" t="n">
        <v>15</v>
      </c>
      <c r="G96" s="19" t="n">
        <v>5</v>
      </c>
      <c r="H96" s="19" t="s">
        <v>786</v>
      </c>
      <c r="I96" s="19" t="s">
        <v>775</v>
      </c>
      <c r="J96" s="19"/>
    </row>
    <row r="97" customFormat="false" ht="15" hidden="false" customHeight="false" outlineLevel="0" collapsed="false">
      <c r="A97" s="19" t="s">
        <v>987</v>
      </c>
      <c r="B97" s="19" t="s">
        <v>815</v>
      </c>
      <c r="C97" s="19" t="s">
        <v>988</v>
      </c>
      <c r="D97" s="19" t="s">
        <v>989</v>
      </c>
      <c r="E97" s="19" t="s">
        <v>26</v>
      </c>
      <c r="F97" s="18" t="n">
        <f aca="false">COUNTA(Bills!$A$2:$A$50)</f>
        <v>3</v>
      </c>
      <c r="G97" s="19" t="n">
        <v>1</v>
      </c>
      <c r="H97" s="19" t="s">
        <v>786</v>
      </c>
      <c r="I97" s="19" t="s">
        <v>775</v>
      </c>
      <c r="J97" s="19"/>
    </row>
    <row r="98" customFormat="false" ht="15" hidden="false" customHeight="false" outlineLevel="0" collapsed="false">
      <c r="A98" s="19" t="s">
        <v>990</v>
      </c>
      <c r="B98" s="19" t="s">
        <v>815</v>
      </c>
      <c r="C98" s="19" t="s">
        <v>991</v>
      </c>
      <c r="D98" s="19"/>
      <c r="E98" s="19" t="s">
        <v>504</v>
      </c>
      <c r="F98" s="19" t="n">
        <v>15</v>
      </c>
      <c r="G98" s="19" t="n">
        <v>8</v>
      </c>
      <c r="H98" s="19" t="s">
        <v>786</v>
      </c>
      <c r="I98" s="19" t="s">
        <v>775</v>
      </c>
      <c r="J98" s="19"/>
    </row>
    <row r="99" customFormat="false" ht="26.85" hidden="false" customHeight="false" outlineLevel="0" collapsed="false">
      <c r="A99" s="19" t="s">
        <v>992</v>
      </c>
      <c r="B99" s="19" t="s">
        <v>815</v>
      </c>
      <c r="C99" s="19" t="s">
        <v>993</v>
      </c>
      <c r="D99" s="19"/>
      <c r="E99" s="19" t="s">
        <v>504</v>
      </c>
      <c r="F99" s="19" t="n">
        <v>40</v>
      </c>
      <c r="G99" s="19" t="n">
        <v>20</v>
      </c>
      <c r="H99" s="19" t="s">
        <v>786</v>
      </c>
      <c r="I99" s="19" t="s">
        <v>775</v>
      </c>
      <c r="J99" s="19"/>
    </row>
    <row r="100" customFormat="false" ht="15" hidden="false" customHeight="false" outlineLevel="0" collapsed="false">
      <c r="A100" s="19" t="s">
        <v>994</v>
      </c>
      <c r="B100" s="19" t="s">
        <v>817</v>
      </c>
      <c r="C100" s="19" t="s">
        <v>995</v>
      </c>
      <c r="D100" s="19" t="s">
        <v>996</v>
      </c>
      <c r="E100" s="19" t="s">
        <v>504</v>
      </c>
      <c r="F100" s="19" t="n">
        <v>16</v>
      </c>
      <c r="G100" s="19" t="n">
        <v>16</v>
      </c>
      <c r="H100" s="19" t="s">
        <v>787</v>
      </c>
      <c r="I100" s="19" t="s">
        <v>775</v>
      </c>
      <c r="J100" s="19" t="s">
        <v>997</v>
      </c>
    </row>
    <row r="101" customFormat="false" ht="15" hidden="false" customHeight="false" outlineLevel="0" collapsed="false">
      <c r="A101" s="19" t="s">
        <v>998</v>
      </c>
      <c r="B101" s="19" t="s">
        <v>817</v>
      </c>
      <c r="C101" s="19" t="s">
        <v>999</v>
      </c>
      <c r="D101" s="19" t="s">
        <v>1000</v>
      </c>
      <c r="E101" s="19" t="s">
        <v>504</v>
      </c>
      <c r="F101" s="19" t="n">
        <v>2</v>
      </c>
      <c r="G101" s="19" t="n">
        <v>1</v>
      </c>
      <c r="H101" s="19" t="s">
        <v>785</v>
      </c>
      <c r="I101" s="19" t="s">
        <v>775</v>
      </c>
      <c r="J101" s="19"/>
    </row>
  </sheetData>
  <dataValidations count="2">
    <dataValidation allowBlank="true" errorStyle="stop" operator="between" showDropDown="false" showErrorMessage="false" showInputMessage="false" sqref="I2:I151" type="list">
      <formula1>Lists!$I$2:$I$5</formula1>
      <formula2>0</formula2>
    </dataValidation>
    <dataValidation allowBlank="true" errorStyle="stop" operator="between" showDropDown="false" showErrorMessage="false" showInputMessage="false" sqref="H2:H151" type="list">
      <formula1>Lists!$K$2:$K$9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2026-09-18T14:33:20Z</dcterms:created>
  <dc:creator>openpyxl</dc:creator>
  <dc:description/>
  <dc:language>en-US</dc:language>
  <cp:lastModifiedBy/>
  <dcterms:modified xsi:type="dcterms:W3CDTF">2026-09-18T20:46:11Z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