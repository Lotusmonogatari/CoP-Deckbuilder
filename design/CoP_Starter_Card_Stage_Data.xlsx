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"/>
    </mc:Choice>
  </mc:AlternateContent>
  <xr:revisionPtr revIDLastSave="77" documentId="13_ncr:1_{4B30D2D1-3CB5-4BFB-81EB-8AF1E64C0799}" xr6:coauthVersionLast="47" xr6:coauthVersionMax="47" xr10:uidLastSave="{A892169E-FCD9-4AA3-A9E1-513E2DF5EE6F}"/>
  <bookViews>
    <workbookView xWindow="28680" yWindow="-120" windowWidth="29040" windowHeight="15720" tabRatio="666" firstSheet="8" activeTab="14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N21" i="21"/>
  <c r="M21" i="21"/>
  <c r="L21" i="21"/>
  <c r="K21" i="21"/>
  <c r="J21" i="21"/>
  <c r="N20" i="21"/>
  <c r="M20" i="21"/>
  <c r="L20" i="21"/>
  <c r="K20" i="21"/>
  <c r="J20" i="21"/>
  <c r="N19" i="21"/>
  <c r="M19" i="21"/>
  <c r="L19" i="21"/>
  <c r="K19" i="21"/>
  <c r="J19" i="21"/>
  <c r="N18" i="21"/>
  <c r="M18" i="21"/>
  <c r="L18" i="21"/>
  <c r="K18" i="21"/>
  <c r="J18" i="21"/>
  <c r="N17" i="21"/>
  <c r="M17" i="21"/>
  <c r="L17" i="21"/>
  <c r="K17" i="21"/>
  <c r="J17" i="21"/>
  <c r="N16" i="21"/>
  <c r="M16" i="21"/>
  <c r="L16" i="21"/>
  <c r="K16" i="21"/>
  <c r="J16" i="21"/>
  <c r="N15" i="21"/>
  <c r="M15" i="21"/>
  <c r="L15" i="21"/>
  <c r="K15" i="21"/>
  <c r="J15" i="21"/>
  <c r="N14" i="21"/>
  <c r="M14" i="21"/>
  <c r="L14" i="21"/>
  <c r="K14" i="21"/>
  <c r="J14" i="21"/>
  <c r="N13" i="21"/>
  <c r="M13" i="21"/>
  <c r="L13" i="21"/>
  <c r="K13" i="21"/>
  <c r="J13" i="21"/>
  <c r="N12" i="21"/>
  <c r="M12" i="21"/>
  <c r="L12" i="21"/>
  <c r="K12" i="21"/>
  <c r="J12" i="21"/>
  <c r="N11" i="21"/>
  <c r="M11" i="21"/>
  <c r="L11" i="21"/>
  <c r="K11" i="21"/>
  <c r="J11" i="21"/>
  <c r="N10" i="21"/>
  <c r="M10" i="21"/>
  <c r="L10" i="21"/>
  <c r="K10" i="21"/>
  <c r="J10" i="21"/>
  <c r="N9" i="21"/>
  <c r="M9" i="21"/>
  <c r="L9" i="21"/>
  <c r="K9" i="21"/>
  <c r="J9" i="21"/>
  <c r="N8" i="21"/>
  <c r="M8" i="21"/>
  <c r="L8" i="21"/>
  <c r="K8" i="21"/>
  <c r="J8" i="21"/>
  <c r="N7" i="21"/>
  <c r="M7" i="21"/>
  <c r="L7" i="21"/>
  <c r="K7" i="21"/>
  <c r="J7" i="21"/>
  <c r="N6" i="21"/>
  <c r="M6" i="21"/>
  <c r="L6" i="21"/>
  <c r="K6" i="21"/>
  <c r="J6" i="21"/>
  <c r="N5" i="21"/>
  <c r="M5" i="21"/>
  <c r="L5" i="21"/>
  <c r="K5" i="21"/>
  <c r="J5" i="21"/>
  <c r="N4" i="21"/>
  <c r="M4" i="21"/>
  <c r="L4" i="21"/>
  <c r="K4" i="21"/>
  <c r="J4" i="21"/>
  <c r="N3" i="21"/>
  <c r="M3" i="21"/>
  <c r="L3" i="21"/>
  <c r="K3" i="21"/>
  <c r="J3" i="21"/>
  <c r="N2" i="21"/>
  <c r="M2" i="21"/>
  <c r="L2" i="21"/>
  <c r="K2" i="21"/>
  <c r="J2" i="21"/>
  <c r="I22" i="20"/>
  <c r="H22" i="20"/>
  <c r="G22" i="20"/>
  <c r="F22" i="20"/>
  <c r="E22" i="20"/>
  <c r="D22" i="20"/>
  <c r="N21" i="20"/>
  <c r="M21" i="20"/>
  <c r="L21" i="20"/>
  <c r="K21" i="20"/>
  <c r="J21" i="20"/>
  <c r="N20" i="20"/>
  <c r="M20" i="20"/>
  <c r="L20" i="20"/>
  <c r="K20" i="20"/>
  <c r="J20" i="20"/>
  <c r="N19" i="20"/>
  <c r="M19" i="20"/>
  <c r="L19" i="20"/>
  <c r="K19" i="20"/>
  <c r="J19" i="20"/>
  <c r="N18" i="20"/>
  <c r="M18" i="20"/>
  <c r="L18" i="20"/>
  <c r="K18" i="20"/>
  <c r="J18" i="20"/>
  <c r="N17" i="20"/>
  <c r="M17" i="20"/>
  <c r="L17" i="20"/>
  <c r="K17" i="20"/>
  <c r="J17" i="20"/>
  <c r="N16" i="20"/>
  <c r="M16" i="20"/>
  <c r="L16" i="20"/>
  <c r="K16" i="20"/>
  <c r="J16" i="20"/>
  <c r="N15" i="20"/>
  <c r="M15" i="20"/>
  <c r="L15" i="20"/>
  <c r="K15" i="20"/>
  <c r="J15" i="20"/>
  <c r="N14" i="20"/>
  <c r="M14" i="20"/>
  <c r="L14" i="20"/>
  <c r="K14" i="20"/>
  <c r="J14" i="20"/>
  <c r="N13" i="20"/>
  <c r="M13" i="20"/>
  <c r="L13" i="20"/>
  <c r="K13" i="20"/>
  <c r="J13" i="20"/>
  <c r="N12" i="20"/>
  <c r="M12" i="20"/>
  <c r="L12" i="20"/>
  <c r="K12" i="20"/>
  <c r="J12" i="20"/>
  <c r="N11" i="20"/>
  <c r="M11" i="20"/>
  <c r="L11" i="20"/>
  <c r="K11" i="20"/>
  <c r="J11" i="20"/>
  <c r="N10" i="20"/>
  <c r="M10" i="20"/>
  <c r="L10" i="20"/>
  <c r="K10" i="20"/>
  <c r="J10" i="20"/>
  <c r="N9" i="20"/>
  <c r="M9" i="20"/>
  <c r="L9" i="20"/>
  <c r="K9" i="20"/>
  <c r="J9" i="20"/>
  <c r="N8" i="20"/>
  <c r="M8" i="20"/>
  <c r="L8" i="20"/>
  <c r="K8" i="20"/>
  <c r="J8" i="20"/>
  <c r="N7" i="20"/>
  <c r="M7" i="20"/>
  <c r="L7" i="20"/>
  <c r="K7" i="20"/>
  <c r="J7" i="20"/>
  <c r="N6" i="20"/>
  <c r="M6" i="20"/>
  <c r="L6" i="20"/>
  <c r="K6" i="20"/>
  <c r="J6" i="20"/>
  <c r="N5" i="20"/>
  <c r="M5" i="20"/>
  <c r="L5" i="20"/>
  <c r="K5" i="20"/>
  <c r="J5" i="20"/>
  <c r="N4" i="20"/>
  <c r="M4" i="20"/>
  <c r="L4" i="20"/>
  <c r="K4" i="20"/>
  <c r="J4" i="20"/>
  <c r="N3" i="20"/>
  <c r="M3" i="20"/>
  <c r="L3" i="20"/>
  <c r="K3" i="20"/>
  <c r="J3" i="20"/>
  <c r="N2" i="20"/>
  <c r="M2" i="20"/>
  <c r="L2" i="20"/>
  <c r="K2" i="20"/>
  <c r="J2" i="20"/>
  <c r="I22" i="19"/>
  <c r="H22" i="19"/>
  <c r="G22" i="19"/>
  <c r="F22" i="19"/>
  <c r="E22" i="19"/>
  <c r="D22" i="19"/>
  <c r="N21" i="19"/>
  <c r="M21" i="19"/>
  <c r="L21" i="19"/>
  <c r="K21" i="19"/>
  <c r="J21" i="19"/>
  <c r="N20" i="19"/>
  <c r="M20" i="19"/>
  <c r="L20" i="19"/>
  <c r="K20" i="19"/>
  <c r="J20" i="19"/>
  <c r="N19" i="19"/>
  <c r="M19" i="19"/>
  <c r="L19" i="19"/>
  <c r="K19" i="19"/>
  <c r="J19" i="19"/>
  <c r="N18" i="19"/>
  <c r="M18" i="19"/>
  <c r="L18" i="19"/>
  <c r="K18" i="19"/>
  <c r="J18" i="19"/>
  <c r="N17" i="19"/>
  <c r="M17" i="19"/>
  <c r="L17" i="19"/>
  <c r="K17" i="19"/>
  <c r="J17" i="19"/>
  <c r="N16" i="19"/>
  <c r="M16" i="19"/>
  <c r="L16" i="19"/>
  <c r="K16" i="19"/>
  <c r="J16" i="19"/>
  <c r="N15" i="19"/>
  <c r="M15" i="19"/>
  <c r="L15" i="19"/>
  <c r="K15" i="19"/>
  <c r="J15" i="19"/>
  <c r="N14" i="19"/>
  <c r="M14" i="19"/>
  <c r="L14" i="19"/>
  <c r="K14" i="19"/>
  <c r="J14" i="19"/>
  <c r="N13" i="19"/>
  <c r="M13" i="19"/>
  <c r="L13" i="19"/>
  <c r="K13" i="19"/>
  <c r="J13" i="19"/>
  <c r="N12" i="19"/>
  <c r="M12" i="19"/>
  <c r="L12" i="19"/>
  <c r="K12" i="19"/>
  <c r="J12" i="19"/>
  <c r="N11" i="19"/>
  <c r="M11" i="19"/>
  <c r="L11" i="19"/>
  <c r="K11" i="19"/>
  <c r="J11" i="19"/>
  <c r="N10" i="19"/>
  <c r="M10" i="19"/>
  <c r="L10" i="19"/>
  <c r="K10" i="19"/>
  <c r="J10" i="19"/>
  <c r="N9" i="19"/>
  <c r="M9" i="19"/>
  <c r="L9" i="19"/>
  <c r="K9" i="19"/>
  <c r="J9" i="19"/>
  <c r="N8" i="19"/>
  <c r="M8" i="19"/>
  <c r="L8" i="19"/>
  <c r="K8" i="19"/>
  <c r="J8" i="19"/>
  <c r="N7" i="19"/>
  <c r="M7" i="19"/>
  <c r="L7" i="19"/>
  <c r="K7" i="19"/>
  <c r="J7" i="19"/>
  <c r="N6" i="19"/>
  <c r="M6" i="19"/>
  <c r="L6" i="19"/>
  <c r="K6" i="19"/>
  <c r="J6" i="19"/>
  <c r="N5" i="19"/>
  <c r="M5" i="19"/>
  <c r="L5" i="19"/>
  <c r="K5" i="19"/>
  <c r="J5" i="19"/>
  <c r="N4" i="19"/>
  <c r="M4" i="19"/>
  <c r="L4" i="19"/>
  <c r="K4" i="19"/>
  <c r="J4" i="19"/>
  <c r="N3" i="19"/>
  <c r="M3" i="19"/>
  <c r="L3" i="19"/>
  <c r="K3" i="19"/>
  <c r="J3" i="19"/>
  <c r="N2" i="19"/>
  <c r="M2" i="19"/>
  <c r="L2" i="19"/>
  <c r="K2" i="19"/>
  <c r="J2" i="19"/>
  <c r="I22" i="18"/>
  <c r="H22" i="18"/>
  <c r="G22" i="18"/>
  <c r="F22" i="18"/>
  <c r="E22" i="18"/>
  <c r="D22" i="18"/>
  <c r="N21" i="18"/>
  <c r="M21" i="18"/>
  <c r="L21" i="18"/>
  <c r="K21" i="18"/>
  <c r="J21" i="18"/>
  <c r="N20" i="18"/>
  <c r="M20" i="18"/>
  <c r="L20" i="18"/>
  <c r="K20" i="18"/>
  <c r="J20" i="18"/>
  <c r="N19" i="18"/>
  <c r="M19" i="18"/>
  <c r="L19" i="18"/>
  <c r="K19" i="18"/>
  <c r="J19" i="18"/>
  <c r="N18" i="18"/>
  <c r="M18" i="18"/>
  <c r="L18" i="18"/>
  <c r="K18" i="18"/>
  <c r="J18" i="18"/>
  <c r="N17" i="18"/>
  <c r="M17" i="18"/>
  <c r="L17" i="18"/>
  <c r="K17" i="18"/>
  <c r="J17" i="18"/>
  <c r="N16" i="18"/>
  <c r="M16" i="18"/>
  <c r="L16" i="18"/>
  <c r="K16" i="18"/>
  <c r="J16" i="18"/>
  <c r="N15" i="18"/>
  <c r="M15" i="18"/>
  <c r="L15" i="18"/>
  <c r="K15" i="18"/>
  <c r="J15" i="18"/>
  <c r="N14" i="18"/>
  <c r="M14" i="18"/>
  <c r="L14" i="18"/>
  <c r="K14" i="18"/>
  <c r="J14" i="18"/>
  <c r="N13" i="18"/>
  <c r="M13" i="18"/>
  <c r="L13" i="18"/>
  <c r="K13" i="18"/>
  <c r="J13" i="18"/>
  <c r="N12" i="18"/>
  <c r="M12" i="18"/>
  <c r="L12" i="18"/>
  <c r="K12" i="18"/>
  <c r="J12" i="18"/>
  <c r="N11" i="18"/>
  <c r="M11" i="18"/>
  <c r="L11" i="18"/>
  <c r="K11" i="18"/>
  <c r="J11" i="18"/>
  <c r="N10" i="18"/>
  <c r="M10" i="18"/>
  <c r="L10" i="18"/>
  <c r="K10" i="18"/>
  <c r="J10" i="18"/>
  <c r="N9" i="18"/>
  <c r="M9" i="18"/>
  <c r="L9" i="18"/>
  <c r="K9" i="18"/>
  <c r="J9" i="18"/>
  <c r="N8" i="18"/>
  <c r="M8" i="18"/>
  <c r="L8" i="18"/>
  <c r="K8" i="18"/>
  <c r="J8" i="18"/>
  <c r="N7" i="18"/>
  <c r="M7" i="18"/>
  <c r="L7" i="18"/>
  <c r="K7" i="18"/>
  <c r="J7" i="18"/>
  <c r="N6" i="18"/>
  <c r="M6" i="18"/>
  <c r="L6" i="18"/>
  <c r="K6" i="18"/>
  <c r="J6" i="18"/>
  <c r="N5" i="18"/>
  <c r="M5" i="18"/>
  <c r="L5" i="18"/>
  <c r="K5" i="18"/>
  <c r="J5" i="18"/>
  <c r="N4" i="18"/>
  <c r="M4" i="18"/>
  <c r="L4" i="18"/>
  <c r="K4" i="18"/>
  <c r="J4" i="18"/>
  <c r="N3" i="18"/>
  <c r="M3" i="18"/>
  <c r="L3" i="18"/>
  <c r="K3" i="18"/>
  <c r="J3" i="18"/>
  <c r="N2" i="18"/>
  <c r="M2" i="18"/>
  <c r="L2" i="18"/>
  <c r="K2" i="18"/>
  <c r="J2" i="18"/>
  <c r="I22" i="17"/>
  <c r="H22" i="17"/>
  <c r="G22" i="17"/>
  <c r="F22" i="17"/>
  <c r="E22" i="17"/>
  <c r="D22" i="17"/>
  <c r="N21" i="17"/>
  <c r="M21" i="17"/>
  <c r="L21" i="17"/>
  <c r="K21" i="17"/>
  <c r="J21" i="17"/>
  <c r="N20" i="17"/>
  <c r="M20" i="17"/>
  <c r="L20" i="17"/>
  <c r="K20" i="17"/>
  <c r="J20" i="17"/>
  <c r="N19" i="17"/>
  <c r="M19" i="17"/>
  <c r="L19" i="17"/>
  <c r="K19" i="17"/>
  <c r="J19" i="17"/>
  <c r="N18" i="17"/>
  <c r="M18" i="17"/>
  <c r="L18" i="17"/>
  <c r="K18" i="17"/>
  <c r="J18" i="17"/>
  <c r="N17" i="17"/>
  <c r="M17" i="17"/>
  <c r="L17" i="17"/>
  <c r="K17" i="17"/>
  <c r="J17" i="17"/>
  <c r="N16" i="17"/>
  <c r="M16" i="17"/>
  <c r="L16" i="17"/>
  <c r="K16" i="17"/>
  <c r="J16" i="17"/>
  <c r="N15" i="17"/>
  <c r="M15" i="17"/>
  <c r="L15" i="17"/>
  <c r="K15" i="17"/>
  <c r="J15" i="17"/>
  <c r="N14" i="17"/>
  <c r="M14" i="17"/>
  <c r="L14" i="17"/>
  <c r="K14" i="17"/>
  <c r="J14" i="17"/>
  <c r="N13" i="17"/>
  <c r="M13" i="17"/>
  <c r="L13" i="17"/>
  <c r="K13" i="17"/>
  <c r="J13" i="17"/>
  <c r="N12" i="17"/>
  <c r="M12" i="17"/>
  <c r="L12" i="17"/>
  <c r="K12" i="17"/>
  <c r="J12" i="17"/>
  <c r="N11" i="17"/>
  <c r="M11" i="17"/>
  <c r="L11" i="17"/>
  <c r="K11" i="17"/>
  <c r="J11" i="17"/>
  <c r="N10" i="17"/>
  <c r="M10" i="17"/>
  <c r="L10" i="17"/>
  <c r="K10" i="17"/>
  <c r="J10" i="17"/>
  <c r="N9" i="17"/>
  <c r="M9" i="17"/>
  <c r="L9" i="17"/>
  <c r="K9" i="17"/>
  <c r="J9" i="17"/>
  <c r="N8" i="17"/>
  <c r="M8" i="17"/>
  <c r="L8" i="17"/>
  <c r="K8" i="17"/>
  <c r="J8" i="17"/>
  <c r="N7" i="17"/>
  <c r="M7" i="17"/>
  <c r="L7" i="17"/>
  <c r="K7" i="17"/>
  <c r="J7" i="17"/>
  <c r="N6" i="17"/>
  <c r="M6" i="17"/>
  <c r="L6" i="17"/>
  <c r="K6" i="17"/>
  <c r="J6" i="17"/>
  <c r="N5" i="17"/>
  <c r="M5" i="17"/>
  <c r="L5" i="17"/>
  <c r="K5" i="17"/>
  <c r="J5" i="17"/>
  <c r="N4" i="17"/>
  <c r="M4" i="17"/>
  <c r="L4" i="17"/>
  <c r="K4" i="17"/>
  <c r="J4" i="17"/>
  <c r="N3" i="17"/>
  <c r="M3" i="17"/>
  <c r="L3" i="17"/>
  <c r="K3" i="17"/>
  <c r="J3" i="17"/>
  <c r="N2" i="17"/>
  <c r="M2" i="17"/>
  <c r="L2" i="17"/>
  <c r="K2" i="17"/>
  <c r="J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<sst xmlns="http://schemas.openxmlformats.org/spreadsheetml/2006/main" count="7079" uniqueCount="2849">
  <si>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</si>
  <si>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</si>
  <si>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</si>
  <si>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</si>
  <si>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</si>
  <si>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</si>
  <si>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</si>
  <si>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</si>
  <si>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</si>
  <si>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</si>
  <si>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</si>
  <si>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</si>
  <si>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</si>
  <si>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</si>
  <si>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</si>
  <si>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</si>
  <si>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</si>
  <si>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</si>
  <si>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</si>
  <si>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</si>
  <si>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</si>
  <si>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</si>
  <si>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</si>
  <si>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</si>
  <si>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</si>
  <si>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</si>
  <si>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</si>
  <si>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</si>
  <si>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</si>
  <si>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</si>
  <si>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</si>
  <si>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</si>
  <si>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</si>
  <si>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</si>
  <si>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</si>
  <si>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</si>
  <si>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</si>
  <si>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</si>
  <si>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</si>
  <si>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</si>
  <si>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</si>
  <si>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</si>
  <si>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</si>
  <si>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</si>
  <si>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</si>
  <si>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</si>
  <si>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</si>
  <si>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</si>
  <si>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</si>
  <si>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</si>
  <si>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</si>
  <si>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</si>
  <si>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</si>
  <si>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</si>
  <si>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</si>
  <si>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</si>
  <si>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</si>
  <si>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</si>
  <si>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</si>
  <si>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</si>
  <si>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</si>
  <si>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</si>
  <si>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</si>
  <si>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</si>
  <si>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</si>
  <si>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</si>
  <si>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</si>
  <si>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</si>
  <si>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</si>
  <si>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</si>
  <si>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</si>
  <si>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</si>
  <si>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</si>
  <si>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</si>
  <si>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</si>
  <si>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</si>
  <si>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</si>
  <si>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</si>
  <si>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</si>
  <si>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</si>
  <si>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</si>
  <si>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</si>
  <si>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</si>
  <si>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</si>
  <si>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</si>
  <si>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</si>
  <si>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</si>
  <si>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</si>
  <si>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</si>
  <si>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</si>
  <si>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</si>
  <si>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</si>
  <si>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</si>
  <si>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</si>
  <si>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</si>
  <si>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</si>
  <si>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</si>
  <si>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</si>
  <si>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</si>
  <si>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</si>
  <si>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</si>
  <si>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</si>
  <si>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</si>
  <si>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</si>
  <si>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</si>
  <si>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</si>
  <si>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</si>
  <si>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</si>
  <si>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</si>
  <si>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</si>
  <si>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</si>
  <si>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</si>
  <si>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</si>
  <si>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</si>
  <si>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</si>
  <si>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</si>
  <si>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</si>
  <si>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</si>
  <si>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</si>
  <si>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</si>
  <si>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</si>
  <si>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</si>
  <si>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</si>
  <si>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</si>
  <si>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</si>
  <si>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</si>
  <si>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</si>
  <si>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</si>
  <si>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</si>
  <si>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</si>
  <si>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</si>
  <si>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</si>
  <si>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</si>
  <si>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</si>
  <si>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</si>
  <si>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</si>
  <si>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</si>
  <si>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</si>
  <si>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</si>
  <si>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</si>
  <si>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</si>
  <si>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</si>
  <si>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</si>
  <si>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</si>
  <si>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</si>
  <si>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</si>
  <si>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</si>
  <si>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</si>
  <si>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</si>
  <si>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</si>
  <si>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</si>
  <si>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</si>
  <si>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</si>
  <si>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</si>
  <si>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</si>
  <si>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</si>
  <si>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</si>
  <si>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</si>
  <si>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</si>
  <si>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</si>
  <si>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</si>
  <si>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</si>
  <si>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</si>
  <si>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</si>
  <si>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</si>
  <si>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</si>
  <si>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</si>
  <si>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</si>
  <si>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</si>
  <si>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</si>
  <si>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</si>
  <si>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</si>
  <si>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</si>
  <si>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</si>
  <si>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</si>
  <si>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</si>
  <si>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</si>
  <si>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</si>
  <si>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</si>
  <si>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</si>
  <si>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</si>
  <si>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</si>
  <si>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</si>
  <si>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</si>
  <si>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</si>
  <si>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</si>
  <si>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</si>
  <si>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</si>
  <si>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</si>
  <si>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</si>
  <si>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</si>
  <si>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</si>
  <si>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</si>
  <si>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</si>
  <si>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</si>
  <si>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</si>
  <si>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</si>
  <si>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</si>
  <si>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</si>
  <si>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</si>
  <si>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</si>
  <si>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</si>
  <si>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</si>
  <si>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</si>
  <si>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</si>
  <si>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</si>
  <si>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</si>
  <si>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</si>
  <si>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</si>
  <si>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</si>
  <si>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</si>
  <si>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</si>
  <si>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</si>
  <si>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</si>
  <si>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</si>
  <si>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</si>
  <si>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</si>
  <si>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</si>
  <si>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</si>
  <si>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</si>
  <si>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</si>
  <si>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</si>
  <si>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</si>
  <si>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</si>
  <si>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</si>
  <si>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</si>
  <si>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</si>
  <si>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</si>
  <si>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</si>
  <si>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</si>
  <si>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</si>
  <si>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</si>
  <si>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</si>
  <si>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</si>
  <si>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</si>
  <si>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</si>
  <si>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</si>
  <si>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</si>
  <si>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</si>
  <si>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</si>
  <si>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</si>
  <si>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</si>
  <si>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</si>
  <si>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</si>
  <si>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</si>
  <si>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</si>
  <si>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</si>
  <si>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</si>
  <si>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</si>
  <si>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</si>
  <si>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</si>
  <si>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</si>
  <si>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</si>
  <si>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</si>
  <si>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</si>
  <si>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</si>
  <si>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</si>
  <si>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</si>
  <si>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</si>
  <si>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</si>
  <si>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</si>
  <si>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</si>
  <si>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</si>
  <si>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</si>
  <si>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</si>
  <si>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</si>
  <si>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</si>
  <si>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</si>
  <si>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</si>
  <si>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</si>
  <si>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</si>
  <si>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</si>
  <si>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</si>
  <si>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</si>
  <si>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</si>
  <si>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</si>
  <si>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</si>
  <si>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</si>
  <si>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</si>
  <si>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</si>
  <si>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</si>
  <si>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</si>
  <si>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</si>
  <si>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</si>
  <si>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</si>
  <si>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</si>
  <si>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</si>
  <si>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</si>
  <si>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</si>
  <si>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</si>
  <si>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</si>
  <si>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</si>
  <si>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</si>
  <si>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</si>
  <si>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</si>
  <si>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</si>
  <si>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</si>
  <si>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</si>
  <si>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</si>
  <si>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</si>
  <si>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</si>
  <si>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</si>
  <si>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</si>
  <si>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</si>
  <si>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</si>
  <si>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</si>
  <si>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</si>
  <si>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</si>
  <si>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</si>
  <si>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</si>
  <si>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</si>
  <si>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</si>
  <si>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</si>
  <si>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</si>
  <si>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</si>
  <si>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</si>
  <si>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</si>
  <si>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</si>
  <si>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</si>
  <si>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</si>
  <si>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</si>
  <si>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</si>
  <si>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</si>
  <si>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</si>
  <si>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</si>
  <si>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</si>
  <si>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</si>
  <si>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</si>
  <si>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</si>
  <si>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</si>
  <si>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</si>
  <si>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</si>
  <si>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</si>
  <si>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</si>
  <si>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</si>
  <si>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</si>
  <si>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</si>
  <si>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</si>
  <si>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</si>
  <si>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</si>
  <si>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</si>
  <si>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</si>
  <si>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</si>
  <si>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</si>
  <si>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</si>
  <si>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</si>
  <si>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</si>
  <si>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</si>
  <si>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</si>
  <si>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</si>
  <si>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</si>
  <si>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</si>
  <si>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</si>
  <si>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</si>
  <si>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</si>
  <si>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</si>
  <si>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</si>
  <si>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</si>
  <si>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</si>
  <si>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</si>
  <si>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</si>
  <si>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</si>
  <si>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</si>
  <si>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</si>
  <si>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</si>
  <si>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</si>
  <si>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</si>
  <si>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</si>
  <si>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</si>
  <si>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</si>
  <si>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</si>
  <si>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</si>
  <si>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</si>
  <si>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</si>
  <si>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</si>
  <si>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</si>
  <si>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</si>
  <si>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</si>
  <si>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</si>
  <si>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</si>
  <si>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</si>
  <si>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</si>
  <si>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</si>
  <si>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</si>
  <si>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</si>
  <si>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</si>
  <si>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</si>
  <si>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</si>
  <si>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</si>
  <si>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</si>
  <si>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</si>
  <si>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</si>
  <si>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</si>
  <si>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</si>
  <si>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</si>
  <si>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</si>
  <si>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</si>
  <si>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</si>
  <si>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</si>
  <si>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</si>
  <si>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</si>
  <si>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</si>
  <si>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</si>
  <si>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</si>
  <si>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</si>
  <si>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</si>
  <si>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</si>
  <si>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</si>
  <si>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</si>
  <si>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</si>
  <si>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</si>
  <si>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</si>
  <si>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</si>
  <si>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</si>
  <si>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</si>
  <si>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</si>
  <si>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</si>
  <si>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</si>
  <si>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</si>
  <si>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</si>
  <si>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</si>
  <si>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</si>
  <si>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</si>
  <si>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</si>
  <si>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</si>
  <si>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</si>
  <si>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</si>
  <si>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</si>
  <si>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</si>
  <si>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</si>
  <si>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</si>
  <si>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</si>
  <si>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</si>
  <si>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</si>
  <si>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</si>
  <si>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</si>
  <si>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</si>
  <si>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</si>
  <si>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</si>
  <si>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</si>
  <si>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</si>
  <si>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</si>
  <si>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</si>
  <si>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</si>
  <si>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</si>
  <si>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</si>
  <si>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</si>
  <si>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</si>
  <si>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</si>
  <si>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</si>
  <si>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</si>
  <si>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</si>
  <si>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</si>
  <si>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</si>
  <si>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</si>
  <si>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</si>
  <si>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</si>
  <si>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</si>
  <si>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</si>
  <si>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</si>
  <si>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</si>
  <si>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</si>
  <si>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</si>
  <si>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</si>
  <si>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</si>
  <si>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</si>
  <si>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</si>
  <si>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</si>
  <si>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</si>
  <si>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</si>
  <si>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</si>
  <si>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</si>
  <si>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</si>
  <si>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</si>
  <si>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</si>
  <si>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</si>
  <si>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</si>
  <si>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</si>
  <si>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</si>
  <si>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</si>
  <si>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</si>
  <si>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</si>
  <si>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</si>
  <si>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</si>
  <si>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</si>
  <si>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</si>
  <si>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</si>
  <si>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</si>
  <si>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</si>
  <si>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</si>
  <si>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</si>
  <si>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</si>
  <si>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</si>
  <si>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</si>
  <si>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</si>
  <si>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</si>
  <si>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</si>
  <si>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</si>
  <si>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</si>
  <si>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</si>
  <si>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</si>
  <si>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</si>
  <si>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</si>
  <si>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</si>
  <si>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</si>
  <si>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</si>
  <si>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</si>
  <si>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</si>
  <si>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</si>
  <si>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</si>
  <si>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</si>
  <si>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</si>
  <si>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</si>
  <si>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</si>
  <si>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</si>
  <si>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</si>
  <si>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</si>
  <si>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</si>
  <si>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</si>
  <si>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</si>
  <si>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</si>
  <si>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</si>
  <si>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</si>
  <si>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</si>
  <si>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</si>
  <si>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</si>
  <si>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</si>
  <si>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</si>
  <si>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</si>
  <si>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</si>
  <si>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</si>
  <si>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</si>
  <si>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</si>
  <si>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</si>
  <si>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</si>
  <si>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</si>
  <si>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</si>
  <si>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</si>
  <si>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</si>
  <si>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</si>
  <si>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</si>
  <si>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</si>
  <si>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</si>
  <si>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</si>
  <si>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</si>
  <si>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</si>
  <si>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</si>
  <si>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</si>
  <si>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</si>
  <si>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</si>
  <si>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</si>
  <si>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</si>
  <si>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</si>
  <si>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</si>
  <si>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</si>
  <si>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</si>
  <si>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</si>
  <si>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</si>
  <si>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</si>
  <si>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</si>
  <si>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</si>
  <si>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</si>
  <si>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</si>
  <si>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</si>
  <si>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</si>
  <si>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</si>
  <si>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</si>
  <si>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</si>
  <si>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</si>
  <si>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</si>
  <si>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</si>
  <si>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</si>
  <si>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</si>
  <si>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</si>
  <si>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</si>
  <si>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</si>
  <si>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</si>
  <si>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</si>
  <si>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</si>
  <si>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</si>
  <si>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</si>
  <si>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</si>
  <si>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</si>
  <si>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</si>
  <si>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</si>
  <si>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</si>
  <si>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</si>
  <si>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</si>
  <si>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</si>
  <si>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</si>
  <si>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</si>
  <si>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</si>
  <si>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</si>
  <si>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</si>
  <si>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</si>
  <si>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</si>
  <si>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</si>
  <si>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</si>
  <si>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</si>
  <si>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</si>
  <si>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</si>
  <si>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</si>
  <si>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</si>
  <si>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</si>
  <si>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</si>
  <si>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</si>
  <si>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</si>
  <si>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</si>
  <si>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</si>
  <si>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</si>
  <si>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</si>
  <si>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</si>
  <si>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</si>
  <si>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</si>
  <si>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</si>
  <si>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</si>
  <si>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</si>
  <si>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</si>
  <si>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</si>
  <si>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</si>
  <si>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</si>
  <si>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</si>
  <si>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</si>
  <si>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</si>
  <si>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</si>
  <si>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</si>
  <si>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</si>
  <si>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</si>
  <si>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</si>
  <si>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</si>
  <si>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</si>
  <si>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</si>
  <si>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</si>
  <si>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</si>
  <si>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</si>
  <si>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</si>
  <si>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</si>
  <si>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</si>
  <si>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</si>
  <si>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</si>
  <si>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</si>
  <si>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</si>
  <si>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</si>
  <si>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</si>
  <si>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</si>
  <si>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</si>
  <si>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</si>
  <si>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</si>
  <si>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</si>
  <si>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</si>
  <si>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</si>
  <si>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</si>
  <si>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</si>
  <si>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</si>
  <si>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</si>
  <si>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</si>
  <si>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</si>
  <si>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</si>
  <si>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</si>
  <si>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</si>
  <si>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</si>
  <si>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</si>
  <si>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</si>
  <si>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</si>
  <si>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</si>
  <si>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</si>
  <si>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</si>
  <si>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</si>
  <si>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</si>
  <si>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</si>
  <si>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</si>
  <si>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</si>
  <si>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</si>
  <si>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</si>
  <si>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</si>
  <si>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</si>
  <si>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</si>
  <si>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</si>
  <si>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</si>
  <si>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</si>
  <si>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</si>
  <si>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</si>
  <si>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</si>
  <si>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</si>
  <si>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</si>
  <si>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</si>
  <si>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</si>
  <si>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</si>
  <si>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</si>
  <si>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</si>
  <si>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</si>
  <si>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</si>
  <si>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</si>
  <si>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</si>
  <si>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</si>
  <si>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</si>
  <si>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</si>
  <si>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</si>
  <si>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</si>
  <si>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</si>
  <si>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</si>
  <si>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</si>
  <si>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</si>
  <si>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</si>
  <si>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</si>
  <si>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</si>
  <si>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</si>
  <si>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</si>
  <si>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</si>
  <si>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</si>
  <si>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</si>
  <si>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</si>
  <si>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</si>
  <si>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</si>
  <si>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</si>
  <si>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</si>
  <si>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</si>
  <si>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</si>
  <si>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</si>
  <si>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</si>
  <si>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</si>
  <si>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</si>
  <si>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</si>
  <si>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</si>
  <si>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</si>
  <si>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</si>
  <si>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</si>
  <si>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</si>
  <si>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</si>
  <si>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</si>
  <si>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</si>
  <si>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</si>
  <si>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</si>
  <si>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</si>
  <si>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</si>
  <si>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</si>
  <si>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</si>
  <si>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</si>
  <si>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</si>
  <si>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</si>
  <si>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</si>
  <si>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</si>
  <si>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</si>
  <si>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</si>
  <si>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</si>
  <si>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</si>
  <si>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</si>
  <si>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</si>
  <si>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</si>
  <si>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</si>
  <si>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</si>
  <si>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</si>
  <si>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</si>
  <si>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</si>
  <si>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</si>
  <si>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</si>
  <si>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</si>
  <si>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</si>
  <si>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</si>
  <si>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</si>
  <si>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</si>
  <si>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</si>
  <si>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</si>
  <si>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</si>
  <si>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</si>
  <si>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</si>
  <si>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</si>
  <si>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</si>
  <si>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</si>
  <si>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</si>
  <si>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</si>
  <si>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</si>
  <si>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</si>
  <si>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</si>
  <si>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</si>
  <si>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</si>
  <si>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</si>
  <si>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</si>
  <si>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</si>
  <si>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</si>
  <si>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</si>
  <si>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</si>
  <si>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</si>
  <si>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</si>
  <si>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</si>
  <si>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</si>
  <si>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</si>
  <si>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</si>
  <si>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</si>
  <si>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</si>
  <si>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</si>
  <si>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</si>
  <si>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</si>
  <si>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</si>
  <si>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</si>
  <si>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</si>
  <si>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</si>
  <si>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</si>
  <si>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</si>
  <si>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</si>
  <si>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</si>
  <si>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</si>
  <si>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</si>
  <si>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</si>
  <si>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</si>
  <si>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</si>
  <si>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</si>
  <si>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</si>
  <si>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</si>
  <si>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</si>
  <si>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</si>
  <si>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</si>
  <si>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</si>
  <si>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</si>
  <si>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</si>
  <si>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</si>
  <si>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</si>
  <si>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</si>
  <si>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</si>
  <si>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</si>
  <si>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</si>
  <si>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</si>
  <si>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</si>
  <si>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</si>
  <si>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</si>
  <si>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</si>
  <si>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</si>
  <si>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</si>
  <si>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</si>
  <si>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</si>
  <si>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</si>
  <si>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</si>
  <si>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</si>
  <si>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</si>
  <si>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</si>
  <si>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</si>
  <si>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</si>
  <si>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</si>
  <si>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</si>
  <si>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</si>
  <si>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</si>
  <si>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</si>
  <si>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</si>
  <si>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</si>
  <si>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</si>
  <si>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</si>
  <si>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</si>
  <si>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</si>
  <si>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</si>
  <si>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</si>
  <si>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</si>
  <si>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</si>
  <si>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</si>
  <si>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</si>
  <si>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</si>
  <si>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</si>
  <si>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</si>
  <si>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</si>
  <si>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</si>
  <si>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</si>
  <si>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</si>
  <si>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</si>
  <si>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</si>
  <si>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</si>
  <si>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</si>
  <si>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</si>
  <si>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</si>
  <si>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</si>
  <si>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</si>
  <si>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</si>
  <si>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</si>
  <si>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</si>
  <si>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</si>
  <si>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</si>
  <si>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</si>
  <si>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</si>
  <si>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</si>
  <si>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</si>
  <si>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</si>
  <si>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</si>
  <si>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</si>
  <si>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</si>
  <si>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</si>
  <si>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</si>
  <si>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</si>
  <si>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</si>
  <si>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</si>
  <si>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</si>
  <si>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</si>
  <si>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</si>
  <si>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</si>
  <si>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</si>
  <si>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</si>
  <si>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</si>
  <si>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</si>
  <si>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</si>
  <si>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</si>
  <si>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</si>
  <si>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</si>
  <si>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</si>
  <si>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</si>
  <si>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</si>
  <si>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</si>
  <si>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</si>
  <si>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</si>
  <si>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</si>
  <si>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</si>
  <si>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</si>
  <si>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</si>
  <si>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</si>
  <si>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</si>
  <si>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</si>
  <si>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</si>
  <si>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</si>
  <si>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</si>
  <si>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</si>
  <si>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</si>
  <si>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</si>
  <si>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</si>
  <si>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</si>
  <si>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</si>
  <si>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</si>
  <si>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</si>
  <si>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</si>
  <si>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</si>
  <si>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</si>
  <si>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</si>
  <si>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</si>
  <si>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</si>
  <si>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</si>
  <si>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</si>
  <si>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</si>
  <si>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</si>
  <si>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</si>
  <si>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</si>
  <si>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</si>
  <si>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</si>
  <si>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</si>
  <si>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</si>
  <si>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</si>
  <si>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</si>
  <si>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</si>
  <si>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</si>
  <si>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</si>
  <si>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</si>
  <si>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</si>
  <si>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</si>
  <si>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</si>
  <si>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</si>
  <si>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</si>
  <si>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</si>
  <si>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</si>
  <si>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</si>
  <si>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</si>
  <si>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</si>
  <si>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</si>
  <si>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</si>
  <si>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</si>
  <si>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</si>
  <si>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</si>
  <si>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</si>
  <si>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</si>
  <si>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</si>
  <si>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</si>
  <si>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</si>
  <si>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</si>
  <si>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</si>
  <si>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</si>
  <si>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</si>
  <si>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</si>
  <si>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</si>
  <si>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</si>
  <si>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</si>
  <si>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</si>
  <si>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</si>
  <si>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</si>
  <si>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</si>
  <si>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</si>
  <si>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</si>
  <si>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</si>
  <si>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</si>
  <si>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</si>
  <si>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</si>
  <si>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</si>
  <si>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</si>
  <si>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</si>
  <si>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</si>
  <si>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</si>
  <si>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</si>
  <si>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</si>
  <si>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</si>
  <si>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</si>
  <si>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</si>
  <si>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</si>
  <si>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</si>
  <si>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</si>
  <si>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</si>
  <si>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</si>
  <si>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</si>
  <si>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</si>
  <si>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</si>
  <si>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</si>
  <si>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</si>
  <si>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</si>
  <si>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</si>
  <si>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</si>
  <si>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</si>
  <si>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</si>
  <si>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</si>
  <si>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</si>
  <si>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</si>
  <si>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</si>
  <si>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</si>
  <si>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</si>
  <si>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</si>
  <si>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</si>
  <si>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</si>
  <si>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</si>
  <si>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</si>
  <si>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</si>
  <si>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</si>
  <si>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</si>
  <si>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</si>
  <si>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</si>
  <si>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</si>
  <si>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</si>
  <si>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</si>
  <si>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</si>
  <si>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</si>
  <si>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</si>
  <si>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</si>
  <si>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</si>
  <si>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</si>
  <si>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</si>
  <si>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</si>
  <si>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</si>
  <si>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</si>
  <si>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</si>
  <si>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</si>
  <si>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</si>
  <si>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</si>
  <si>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</si>
  <si>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</si>
  <si>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</si>
  <si>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</si>
  <si>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</si>
  <si>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</si>
  <si>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</si>
  <si>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</si>
  <si>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</si>
  <si>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</si>
  <si>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</si>
  <si>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</si>
  <si>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</si>
  <si>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</si>
  <si>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</si>
  <si>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</si>
  <si>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</si>
  <si>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</si>
  <si>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</si>
  <si>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</si>
  <si>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</si>
  <si>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</si>
  <si>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</si>
  <si>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</si>
  <si>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</si>
  <si>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</si>
  <si>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</si>
  <si>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</si>
  <si>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</si>
  <si>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</si>
  <si>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</si>
  <si>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</si>
  <si>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</si>
  <si>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</si>
  <si>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</si>
  <si>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</si>
  <si>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</si>
  <si>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</si>
  <si>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</si>
  <si>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</si>
  <si>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</si>
  <si>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</si>
  <si>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</si>
  <si>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</si>
  <si>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</si>
  <si>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</si>
  <si>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</si>
  <si>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</si>
  <si>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</si>
  <si>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</si>
  <si>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</si>
  <si>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</si>
  <si>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</si>
  <si>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</si>
  <si>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</si>
  <si>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</si>
  <si>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</si>
  <si>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</si>
  <si>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</si>
  <si>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</si>
  <si>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</si>
  <si>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</si>
  <si>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</si>
  <si>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</si>
  <si>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</si>
  <si>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</si>
  <si>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</si>
  <si>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</si>
  <si>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</si>
  <si>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</si>
  <si>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</si>
  <si>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</si>
  <si>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</si>
  <si>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</si>
  <si>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</si>
  <si>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</si>
  <si>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</si>
  <si>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</si>
  <si>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</si>
  <si>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</si>
  <si>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</si>
  <si>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</si>
  <si>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</si>
  <si>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</si>
  <si>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</si>
  <si>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</si>
  <si>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</si>
  <si>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</si>
  <si>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</si>
  <si>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</si>
  <si>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</si>
  <si>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</si>
  <si>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</si>
  <si>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</si>
  <si>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</si>
  <si>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</si>
  <si>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</si>
  <si>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</si>
  <si>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</si>
  <si>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</si>
  <si>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</si>
  <si>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</si>
  <si>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</si>
  <si>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</si>
  <si>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</si>
  <si>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</si>
  <si>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</si>
  <si>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</si>
  <si>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</si>
  <si>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</si>
  <si>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</si>
  <si>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</si>
  <si>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</si>
  <si>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</si>
  <si>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</si>
  <si>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</si>
  <si>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</si>
  <si>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</si>
  <si>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</si>
  <si>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</si>
  <si>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</si>
  <si>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</si>
  <si>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</si>
  <si>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</si>
  <si>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</si>
  <si>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</si>
  <si>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</si>
  <si>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</si>
  <si>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</si>
  <si>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</si>
  <si>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</si>
  <si>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</si>
  <si>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</si>
  <si>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</si>
  <si>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</si>
  <si>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</si>
  <si>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</si>
  <si>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</si>
  <si>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</si>
  <si>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</si>
  <si>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</si>
  <si>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</si>
  <si>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</si>
  <si>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</si>
  <si>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</si>
  <si>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</si>
  <si>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</si>
  <si>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</si>
  <si>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</si>
  <si>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</si>
  <si>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</si>
  <si>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</si>
  <si>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</si>
  <si>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</si>
  <si>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</si>
  <si>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</si>
  <si>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</si>
  <si>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</si>
  <si>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</si>
  <si>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</si>
  <si>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</si>
  <si>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</si>
  <si>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</si>
  <si>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</si>
  <si>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</si>
  <si>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</si>
  <si>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</si>
  <si>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</si>
  <si>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</si>
  <si>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</si>
  <si>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</si>
  <si>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</si>
  <si>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</si>
  <si>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</si>
  <si>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</si>
  <si>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</si>
  <si>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</si>
  <si>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</si>
  <si>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</si>
  <si>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</si>
  <si>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</si>
  <si>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</si>
  <si>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</si>
  <si>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</si>
  <si>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</si>
  <si>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</si>
  <si>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</si>
  <si>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</si>
  <si>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</si>
  <si>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</si>
  <si>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</si>
  <si>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</si>
  <si>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</si>
  <si>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</si>
  <si>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</si>
  <si>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</si>
  <si>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</si>
  <si>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</si>
  <si>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</si>
  <si>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</si>
  <si>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</si>
  <si>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</si>
  <si>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</si>
  <si>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</si>
  <si>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</si>
  <si>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</si>
  <si>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</si>
  <si>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</si>
  <si>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</si>
  <si>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</si>
  <si>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</si>
  <si>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</si>
  <si>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</si>
  <si>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</si>
  <si>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</si>
  <si>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</si>
  <si>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</si>
  <si>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</si>
  <si>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</si>
  <si>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</si>
  <si>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</si>
  <si>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</si>
  <si>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</si>
  <si>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</si>
  <si>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</si>
  <si>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</si>
  <si>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</si>
  <si>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</si>
  <si>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</si>
  <si>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</si>
  <si>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</si>
  <si>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</si>
  <si>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</si>
  <si>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</si>
  <si>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</si>
  <si>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</si>
  <si>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</si>
  <si>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</si>
  <si>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</si>
  <si>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</si>
  <si>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</si>
  <si>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</si>
  <si>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</si>
  <si>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</si>
  <si>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</si>
  <si>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</si>
  <si>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</si>
  <si>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</si>
  <si>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</si>
  <si>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</si>
  <si>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</si>
  <si>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</si>
  <si>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</si>
  <si>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</si>
  <si>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</si>
  <si>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</si>
  <si>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</si>
  <si>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</si>
  <si>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</si>
  <si>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</si>
  <si>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</si>
  <si>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</si>
  <si>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</si>
  <si>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</si>
  <si>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</si>
  <si>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</si>
  <si>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</si>
  <si>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</si>
  <si>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</si>
  <si>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</si>
  <si>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</si>
  <si>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</si>
  <si>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</si>
  <si>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</si>
  <si>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</si>
  <si>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</si>
  <si>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</si>
  <si>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</si>
  <si>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</si>
  <si>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</si>
  <si>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</si>
  <si>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</si>
  <si>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</si>
  <si>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</si>
  <si>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</si>
  <si>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</si>
  <si>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</si>
  <si>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</si>
  <si>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</si>
  <si>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</si>
  <si>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</si>
  <si>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</si>
  <si>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</si>
  <si>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</si>
  <si>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</si>
  <si>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</si>
  <si>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</si>
  <si>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</si>
  <si>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</si>
  <si>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</si>
  <si>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</si>
  <si>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</si>
  <si>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</si>
  <si>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</si>
  <si>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</si>
  <si>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</si>
  <si>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</si>
  <si>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</si>
  <si>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</si>
  <si>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</si>
  <si>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</si>
  <si>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</si>
  <si>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</si>
  <si>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</si>
  <si>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</si>
  <si>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</si>
  <si>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</si>
  <si>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</si>
  <si>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</si>
  <si>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</si>
  <si>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</si>
  <si>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</si>
  <si>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</si>
  <si>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</si>
  <si>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</si>
  <si>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</si>
  <si>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</si>
  <si>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</si>
  <si>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</si>
  <si>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</si>
  <si>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</si>
  <si>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</si>
  <si>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</si>
  <si>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</si>
  <si>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</si>
  <si>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</si>
  <si>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</si>
  <si>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</si>
  <si>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</si>
  <si>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</si>
  <si>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</si>
  <si>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</si>
  <si>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</si>
  <si>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</si>
  <si>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</si>
  <si>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</si>
  <si>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</si>
  <si>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</si>
  <si>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</si>
  <si>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</si>
  <si>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</si>
  <si>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</si>
  <si>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</si>
  <si>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</si>
  <si>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</si>
  <si>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</si>
  <si>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</si>
  <si>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</si>
  <si>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</si>
  <si>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</si>
  <si>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</si>
  <si>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</si>
  <si>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</si>
  <si>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</si>
  <si>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</si>
  <si>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</si>
  <si>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</si>
  <si>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</si>
  <si>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</si>
  <si>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</si>
  <si>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</si>
  <si>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</si>
  <si>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</si>
  <si>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</si>
  <si>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</si>
  <si>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</si>
  <si>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</si>
  <si>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</si>
  <si>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</si>
  <si>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</si>
  <si>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</si>
  <si>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</si>
  <si>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</si>
  <si>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</si>
  <si>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</si>
  <si>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</si>
  <si>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</si>
  <si>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</si>
  <si>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</si>
  <si>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</si>
  <si>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</si>
  <si>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</si>
  <si>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</si>
  <si>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</si>
  <si>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</si>
  <si>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</si>
  <si>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</si>
  <si>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</si>
  <si>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</si>
  <si>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</si>
  <si>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</si>
  <si>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</si>
  <si>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</si>
  <si>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</si>
  <si>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</si>
  <si>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</si>
  <si>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</si>
  <si>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</si>
  <si>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</si>
  <si>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</si>
  <si>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</si>
  <si>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</si>
  <si>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</si>
  <si>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</si>
  <si>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</si>
  <si>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</si>
  <si>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</si>
  <si>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</si>
  <si>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</si>
  <si>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</si>
  <si>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</si>
  <si>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</si>
  <si>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</si>
  <si>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</si>
  <si>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</si>
  <si>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</si>
  <si>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</si>
  <si>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</si>
  <si>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</si>
  <si>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</si>
  <si>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</si>
  <si>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</si>
  <si>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</si>
  <si>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</si>
  <si>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</si>
  <si>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</si>
  <si>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</si>
  <si>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</si>
  <si>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</si>
  <si>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</si>
  <si>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</si>
  <si>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</si>
  <si>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</si>
  <si>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</si>
  <si>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</si>
  <si>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</si>
  <si>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</si>
  <si>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</si>
  <si>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</si>
  <si>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</si>
  <si>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</si>
  <si>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</si>
  <si>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</si>
  <si>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</si>
  <si>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</si>
  <si>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</si>
  <si>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</si>
  <si>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</si>
  <si>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</si>
  <si>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</si>
  <si>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</si>
  <si>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</si>
  <si>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</si>
  <si>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</si>
  <si>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</si>
  <si>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</si>
  <si>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</si>
  <si>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</si>
  <si>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</si>
  <si>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</si>
  <si>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</si>
  <si>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</si>
  <si>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</si>
  <si>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</si>
  <si>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</si>
  <si>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</si>
  <si>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</si>
  <si>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</si>
  <si>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</si>
  <si>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</si>
  <si>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</si>
  <si>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</si>
  <si>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</si>
  <si>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</si>
  <si>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</si>
  <si>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</si>
  <si>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</si>
  <si>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</si>
  <si>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</si>
  <si>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</si>
  <si>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</si>
  <si>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</si>
  <si>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</si>
  <si>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</si>
  <si>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</si>
  <si>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</si>
  <si>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</si>
  <si>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</si>
  <si>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</si>
  <si>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</si>
  <si>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</si>
  <si>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</si>
  <si>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</si>
  <si>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</si>
  <si>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</si>
  <si>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</si>
  <si>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</si>
  <si>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</si>
  <si>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</si>
  <si>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</si>
  <si>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</si>
  <si>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</si>
  <si>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</si>
  <si>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</si>
  <si>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</si>
  <si>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</si>
  <si>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</si>
  <si>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</si>
  <si>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</si>
  <si>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</si>
  <si>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</si>
  <si>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</si>
  <si>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</si>
  <si>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</si>
  <si>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</si>
  <si>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</si>
  <si>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</si>
  <si>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</si>
  <si>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</si>
  <si>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</si>
  <si>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</si>
  <si>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</si>
  <si>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</si>
  <si>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</si>
  <si>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</si>
  <si>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</si>
  <si>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</si>
  <si>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</si>
  <si>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</si>
  <si>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</si>
  <si>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</si>
  <si>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</si>
  <si>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</si>
  <si>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</si>
  <si>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</si>
  <si>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</si>
  <si>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</si>
  <si>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</si>
  <si>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</si>
  <si>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</si>
  <si>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</si>
  <si>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</si>
  <si>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</si>
  <si>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</si>
  <si>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</si>
  <si>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</si>
  <si>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</si>
  <si>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</si>
  <si>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</si>
  <si>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</si>
  <si>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</si>
  <si>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</si>
  <si>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</si>
  <si>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</si>
  <si>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</si>
  <si>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</si>
  <si>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</si>
  <si>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</si>
  <si>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</si>
  <si>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</si>
  <si>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</si>
  <si>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</si>
  <si>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</si>
  <si>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</si>
  <si>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</si>
  <si>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</si>
  <si>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</si>
  <si>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</si>
  <si>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</si>
  <si>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</si>
  <si>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</si>
  <si>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</si>
  <si>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</si>
  <si>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</si>
  <si>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</si>
  <si>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</si>
  <si>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</si>
  <si>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</si>
  <si>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</si>
  <si>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</si>
  <si>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</si>
  <si>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</si>
  <si>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</si>
  <si>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</si>
  <si>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</si>
  <si>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</si>
  <si>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</si>
  <si>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</si>
  <si>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</si>
  <si>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</si>
  <si>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</si>
  <si>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</si>
  <si>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</si>
  <si>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</si>
  <si>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</si>
  <si>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</si>
  <si>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</si>
  <si>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</si>
  <si>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</si>
  <si>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</si>
  <si>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</si>
  <si>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</si>
  <si>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</si>
  <si>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</si>
  <si>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</si>
  <si>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</si>
  <si>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</si>
  <si>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</si>
  <si>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</si>
  <si>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</si>
  <si>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</si>
  <si>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</si>
  <si>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</si>
  <si>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</si>
  <si>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</si>
  <si>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</si>
  <si>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</si>
  <si>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</si>
  <si>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</si>
  <si>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</si>
  <si>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</si>
  <si>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</si>
  <si>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</si>
  <si>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</si>
  <si>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</si>
  <si>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</si>
  <si>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</si>
  <si>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</si>
  <si>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</si>
  <si>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</si>
  <si>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</si>
  <si>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</si>
  <si>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</si>
  <si>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</si>
  <si>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</si>
  <si>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</si>
  <si>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</si>
  <si>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</si>
  <si>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</si>
  <si>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</si>
  <si>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</si>
  <si>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</si>
  <si>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</si>
  <si>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</si>
  <si>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</si>
  <si>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</si>
  <si>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</si>
  <si>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</si>
  <si>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</si>
  <si>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</si>
  <si>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</si>
  <si>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</si>
  <si>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</si>
  <si>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</si>
  <si>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</si>
  <si>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</si>
  <si>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</si>
  <si>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</si>
  <si>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</si>
  <si>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</si>
  <si>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</si>
  <si>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</si>
  <si>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</si>
  <si>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</si>
  <si>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</si>
  <si>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</si>
  <si>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</si>
  <si>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</si>
  <si>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</si>
  <si>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</si>
  <si>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</si>
  <si>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</si>
  <si>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</si>
  <si>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</si>
  <si>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</si>
  <si>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</si>
  <si>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</si>
  <si>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</si>
  <si>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</si>
  <si>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</si>
  <si>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</si>
  <si>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</si>
  <si>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</si>
  <si>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</si>
  <si>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</si>
  <si>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</si>
  <si>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</si>
  <si>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</si>
  <si>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</si>
  <si>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</si>
  <si>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</si>
  <si>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</si>
  <si>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</si>
  <si>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</si>
  <si>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</si>
  <si>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</si>
  <si>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</si>
  <si>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</si>
  <si>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</si>
  <si>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</si>
  <si>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</si>
  <si>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</si>
  <si>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</si>
  <si>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</si>
  <si>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</si>
  <si>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</si>
  <si>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</si>
  <si>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</si>
  <si>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</si>
  <si>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</si>
  <si>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</si>
  <si>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</si>
  <si>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</si>
  <si>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</si>
  <si>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</si>
  <si>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</si>
  <si>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</si>
  <si>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</si>
  <si>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</si>
  <si>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</si>
  <si>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</si>
  <si>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</si>
  <si>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</si>
  <si>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</si>
  <si>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</si>
  <si>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</si>
  <si>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</si>
  <si>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</si>
  <si>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</si>
  <si>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</si>
  <si>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</si>
  <si>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</si>
  <si>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</si>
  <si>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</si>
  <si>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</si>
  <si>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</si>
  <si>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</si>
  <si>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</si>
  <si>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</si>
  <si>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</si>
  <si>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</si>
  <si>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</si>
  <si>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</si>
  <si>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</si>
  <si>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</si>
  <si>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</si>
  <si>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</si>
  <si>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</si>
  <si>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</si>
  <si>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</si>
  <si>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</si>
  <si>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</si>
  <si>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</si>
  <si>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</si>
  <si>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</si>
  <si>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</si>
  <si>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</si>
  <si>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</si>
  <si>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</si>
  <si>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</si>
  <si>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</si>
  <si>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</si>
  <si>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</si>
  <si>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</si>
  <si>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</si>
  <si>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</si>
  <si>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</si>
  <si>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</si>
  <si>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</si>
  <si>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</si>
  <si>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</si>
  <si>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</si>
  <si>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</si>
  <si>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</si>
  <si>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</si>
  <si>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</si>
  <si>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</si>
  <si>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</si>
  <si>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</si>
  <si>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</si>
  <si>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</si>
  <si>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</si>
  <si>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</si>
  <si>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</si>
  <si>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</si>
  <si>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</si>
  <si>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</si>
  <si>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</si>
  <si>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</si>
  <si>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</si>
  <si>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</si>
  <si>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</si>
  <si>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</si>
  <si>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</si>
  <si>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</si>
  <si>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</si>
  <si>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</si>
  <si>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</si>
  <si>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</si>
  <si>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</si>
  <si>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</si>
  <si>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</si>
  <si>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</si>
  <si>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</si>
  <si>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</si>
  <si>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</si>
  <si>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</si>
  <si>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</si>
  <si>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</si>
  <si>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</si>
  <si>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</si>
  <si>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</si>
  <si>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</si>
  <si>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</si>
  <si>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</si>
  <si>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</si>
  <si>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</si>
  <si>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</si>
  <si>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</si>
  <si>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</si>
  <si>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</si>
  <si>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</si>
  <si>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</si>
  <si>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</si>
  <si>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</si>
  <si>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</si>
  <si>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</si>
  <si>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</si>
  <si>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</si>
  <si>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</si>
  <si>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</si>
  <si>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</si>
  <si>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</si>
  <si>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</si>
  <si>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</si>
  <si>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</si>
  <si>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</si>
  <si>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</si>
  <si>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</si>
  <si>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</si>
  <si>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</si>
  <si>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</si>
  <si>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</si>
  <si>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</si>
  <si>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</si>
  <si>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</si>
  <si>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</si>
  <si>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</si>
  <si>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</si>
  <si>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</si>
  <si>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</si>
  <si>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</si>
  <si>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</si>
  <si>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</si>
  <si>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</si>
  <si>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</si>
  <si>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</si>
  <si>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</si>
  <si>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</si>
  <si>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</si>
  <si>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</si>
  <si>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</si>
  <si>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</si>
  <si>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</si>
  <si>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</si>
  <si>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</si>
  <si>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</si>
  <si>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</si>
  <si>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</si>
  <si>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</si>
  <si>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</si>
  <si>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</si>
  <si>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</si>
  <si>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</si>
  <si>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</si>
  <si>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</si>
  <si>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</si>
  <si>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</si>
  <si>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</si>
  <si>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</si>
  <si>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</si>
  <si>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</si>
  <si>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</si>
  <si>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</si>
  <si>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</si>
  <si>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</si>
  <si>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</si>
  <si>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</si>
  <si>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</si>
  <si>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</si>
  <si>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</si>
  <si>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</si>
  <si>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</si>
  <si>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</si>
  <si>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</si>
  <si>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</si>
  <si>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</si>
  <si>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</si>
  <si>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</si>
  <si>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</si>
  <si>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</si>
  <si>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</si>
  <si>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</si>
  <si>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</si>
  <si>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</si>
  <si>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</si>
  <si>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</si>
  <si>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</si>
  <si>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</si>
  <si>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</si>
  <si>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</si>
  <si>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</si>
  <si>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</si>
  <si>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</si>
  <si>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</si>
  <si>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</si>
  <si>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</si>
  <si>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</si>
  <si>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</si>
  <si>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</si>
  <si>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</si>
  <si>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</si>
  <si>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</si>
  <si>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</si>
  <si>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</si>
  <si>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</si>
  <si>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</si>
  <si>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</si>
  <si>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</si>
  <si>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</si>
  <si>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</si>
  <si>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</si>
  <si>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</si>
  <si>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</si>
  <si>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Strong suits</t>
  </si>
  <si>
    <t>Words</t>
  </si>
  <si>
    <t>Sample answer 1</t>
  </si>
  <si>
    <t>Sample answer 2</t>
  </si>
  <si>
    <t>Sample answer 3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</si>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</sst>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styles" Target="styles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theme" Target="theme/theme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421875" defaultRowHeight="15" x14ac:dyDescent="0.2"/>
  <cols>
    <col min="1" max="1" width="23.9453125" customWidth="1"/>
    <col min="2" max="2" width="94.97265625" customWidth="1"/>
  </cols>
  <sheetData>
    <row r="1" spans="1:2" ht="17.25" customHeight="1" x14ac:dyDescent="0.25">
      <c r="A1" s="117" t="s">
        <v>72</v>
      </c>
      <c r="B1" s="118"/>
    </row>
    <row r="2" spans="1:2" ht="26.25" customHeight="1" x14ac:dyDescent="0.2">
      <c r="A2" s="119" t="s">
        <v>73</v>
      </c>
      <c r="B2" s="118" t="s">
        <v>2771</v>
      </c>
    </row>
    <row r="3" spans="1:2" ht="26.25" customHeight="1" x14ac:dyDescent="0.2">
      <c r="A3" s="119" t="s">
        <v>74</v>
      </c>
      <c r="B3" s="118" t="s">
        <v>2772</v>
      </c>
    </row>
    <row r="4" spans="1:2" ht="15" customHeight="1" x14ac:dyDescent="0.2">
      <c r="A4" s="118"/>
      <c r="B4" s="118"/>
    </row>
    <row r="5" spans="1:2" ht="15" customHeight="1" x14ac:dyDescent="0.2">
      <c r="A5" s="120" t="s">
        <v>75</v>
      </c>
      <c r="B5" s="121"/>
    </row>
    <row r="6" spans="1:2" ht="26.25" customHeight="1" x14ac:dyDescent="0.2">
      <c r="A6" s="119" t="s">
        <v>76</v>
      </c>
      <c r="B6" s="118" t="s">
        <v>2773</v>
      </c>
    </row>
    <row r="7" spans="1:2" ht="15" customHeight="1" x14ac:dyDescent="0.2">
      <c r="A7" s="119" t="s">
        <v>77</v>
      </c>
      <c r="B7" s="118" t="s">
        <v>2774</v>
      </c>
    </row>
    <row r="8" spans="1:2" ht="15" customHeight="1" x14ac:dyDescent="0.2">
      <c r="A8" s="119" t="s">
        <v>80</v>
      </c>
      <c r="B8" s="118" t="s">
        <v>2775</v>
      </c>
    </row>
    <row r="9" spans="1:2" ht="15" customHeight="1" x14ac:dyDescent="0.2">
      <c r="A9" s="119" t="s">
        <v>95</v>
      </c>
      <c r="B9" s="118" t="s">
        <v>2776</v>
      </c>
    </row>
    <row r="10" spans="1:2" ht="15" customHeight="1" x14ac:dyDescent="0.2">
      <c r="A10" s="119" t="s">
        <v>78</v>
      </c>
      <c r="B10" s="118" t="s">
        <v>2777</v>
      </c>
    </row>
    <row r="11" spans="1:2" ht="29.25" customHeight="1" x14ac:dyDescent="0.2">
      <c r="A11" s="119" t="s">
        <v>79</v>
      </c>
      <c r="B11" s="118" t="s">
        <v>2778</v>
      </c>
    </row>
    <row r="12" spans="1:2" ht="15" customHeight="1" x14ac:dyDescent="0.2">
      <c r="A12" s="119" t="s">
        <v>81</v>
      </c>
      <c r="B12" s="118" t="s">
        <v>2779</v>
      </c>
    </row>
    <row r="13" spans="1:2" ht="16.5" customHeight="1" x14ac:dyDescent="0.2">
      <c r="A13" s="119" t="s">
        <v>82</v>
      </c>
      <c r="B13" s="118" t="s">
        <v>2780</v>
      </c>
    </row>
    <row r="14" spans="1:2" ht="15" customHeight="1" x14ac:dyDescent="0.2">
      <c r="A14" s="119" t="s">
        <v>94</v>
      </c>
      <c r="B14" s="118" t="s">
        <v>2781</v>
      </c>
    </row>
    <row r="15" spans="1:2" ht="15" customHeight="1" x14ac:dyDescent="0.2">
      <c r="A15" s="119" t="s">
        <v>2782</v>
      </c>
      <c r="B15" s="118" t="s">
        <v>2783</v>
      </c>
    </row>
    <row r="16" spans="1:2" ht="16.5" customHeight="1" x14ac:dyDescent="0.2">
      <c r="A16" s="119" t="s">
        <v>2784</v>
      </c>
      <c r="B16" s="118" t="s">
        <v>2785</v>
      </c>
    </row>
    <row r="17" spans="1:2" ht="15" customHeight="1" x14ac:dyDescent="0.2">
      <c r="A17" s="119" t="s">
        <v>83</v>
      </c>
      <c r="B17" s="118" t="s">
        <v>2786</v>
      </c>
    </row>
    <row r="18" spans="1:2" ht="15" customHeight="1" x14ac:dyDescent="0.2">
      <c r="A18" s="119" t="s">
        <v>84</v>
      </c>
      <c r="B18" s="118" t="s">
        <v>2787</v>
      </c>
    </row>
    <row r="19" spans="1:2" ht="15" customHeight="1" x14ac:dyDescent="0.2">
      <c r="A19" s="119" t="s">
        <v>2788</v>
      </c>
      <c r="B19" s="118" t="s">
        <v>2789</v>
      </c>
    </row>
    <row r="20" spans="1:2" ht="15" customHeight="1" x14ac:dyDescent="0.2">
      <c r="A20" s="119" t="s">
        <v>2790</v>
      </c>
      <c r="B20" s="118" t="s">
        <v>2791</v>
      </c>
    </row>
    <row r="21" spans="1:2" ht="15" customHeight="1" x14ac:dyDescent="0.2">
      <c r="A21" s="119" t="s">
        <v>2792</v>
      </c>
      <c r="B21" s="118" t="s">
        <v>2793</v>
      </c>
    </row>
    <row r="22" spans="1:2" ht="15" customHeight="1" x14ac:dyDescent="0.2">
      <c r="A22" s="119" t="s">
        <v>2794</v>
      </c>
      <c r="B22" s="118" t="s">
        <v>2795</v>
      </c>
    </row>
    <row r="23" spans="1:2" ht="15" customHeight="1" x14ac:dyDescent="0.2">
      <c r="A23" s="119" t="s">
        <v>2796</v>
      </c>
      <c r="B23" s="118" t="s">
        <v>2797</v>
      </c>
    </row>
    <row r="24" spans="1:2" ht="15" customHeight="1" x14ac:dyDescent="0.2">
      <c r="A24" s="119" t="s">
        <v>2798</v>
      </c>
      <c r="B24" s="118" t="s">
        <v>2799</v>
      </c>
    </row>
    <row r="25" spans="1:2" ht="15" customHeight="1" x14ac:dyDescent="0.2">
      <c r="A25" s="119" t="s">
        <v>2800</v>
      </c>
      <c r="B25" s="118" t="s">
        <v>2801</v>
      </c>
    </row>
    <row r="26" spans="1:2" x14ac:dyDescent="0.2">
      <c r="A26" s="119" t="s">
        <v>2802</v>
      </c>
      <c r="B26" s="118" t="s">
        <v>2803</v>
      </c>
    </row>
    <row r="27" spans="1:2" x14ac:dyDescent="0.2">
      <c r="A27" s="119" t="s">
        <v>2804</v>
      </c>
      <c r="B27" s="118" t="s">
        <v>2814</v>
      </c>
    </row>
    <row r="28" spans="1:2" x14ac:dyDescent="0.2">
      <c r="A28" s="118"/>
      <c r="B28" s="118"/>
    </row>
    <row r="29" spans="1:2" x14ac:dyDescent="0.2">
      <c r="A29" s="120" t="s">
        <v>85</v>
      </c>
      <c r="B29" s="121"/>
    </row>
    <row r="30" spans="1:2" x14ac:dyDescent="0.2">
      <c r="A30" s="119" t="s">
        <v>86</v>
      </c>
      <c r="B30" s="116" t="s">
        <v>87</v>
      </c>
    </row>
    <row r="31" spans="1:2" x14ac:dyDescent="0.2">
      <c r="A31" s="119" t="s">
        <v>88</v>
      </c>
      <c r="B31" s="118" t="s">
        <v>89</v>
      </c>
    </row>
    <row r="32" spans="1:2" x14ac:dyDescent="0.2">
      <c r="A32" s="119" t="s">
        <v>90</v>
      </c>
      <c r="B32" s="122" t="s">
        <v>91</v>
      </c>
    </row>
    <row r="33" spans="1:2" x14ac:dyDescent="0.2">
      <c r="A33" s="119" t="s">
        <v>92</v>
      </c>
      <c r="B33" s="123" t="s">
        <v>93</v>
      </c>
    </row>
    <row r="34" spans="1:2" x14ac:dyDescent="0.2">
      <c r="A34" s="118"/>
      <c r="B34" s="118"/>
    </row>
    <row r="35" spans="1:2" x14ac:dyDescent="0.2">
      <c r="A35" s="120" t="s">
        <v>2805</v>
      </c>
      <c r="B35" s="121"/>
    </row>
    <row r="36" spans="1:2" x14ac:dyDescent="0.2">
      <c r="A36" s="119" t="s">
        <v>2806</v>
      </c>
      <c r="B36" s="118" t="s">
        <v>2807</v>
      </c>
    </row>
    <row r="37" spans="1:2" x14ac:dyDescent="0.2">
      <c r="A37" s="119" t="s">
        <v>2808</v>
      </c>
      <c r="B37" s="118" t="s">
        <v>2809</v>
      </c>
    </row>
    <row r="38" spans="1:2" x14ac:dyDescent="0.2">
      <c r="A38" s="119" t="s">
        <v>2810</v>
      </c>
      <c r="B38" s="118" t="s">
        <v>2811</v>
      </c>
    </row>
    <row r="39" spans="1:2" x14ac:dyDescent="0.2">
      <c r="A39" s="119" t="s">
        <v>2812</v>
      </c>
      <c r="B39" s="118" t="s">
        <v>2813</v>
      </c>
    </row>
    <row r="40" spans="1:2" x14ac:dyDescent="0.2">
      <c r="A40" s="118"/>
      <c r="B40" s="118"/>
    </row>
    <row r="41" spans="1:2" x14ac:dyDescent="0.2">
      <c r="A41" s="118"/>
      <c r="B41" s="118"/>
    </row>
    <row r="42" spans="1:2" x14ac:dyDescent="0.2">
      <c r="A42" s="118"/>
      <c r="B42" s="118"/>
    </row>
    <row r="43" spans="1:2" x14ac:dyDescent="0.2">
      <c r="A43" s="118"/>
      <c r="B43" s="118"/>
    </row>
    <row r="44" spans="1:2" x14ac:dyDescent="0.2">
      <c r="A44" s="118"/>
      <c r="B44" s="118"/>
    </row>
    <row r="45" spans="1:2" x14ac:dyDescent="0.2">
      <c r="A45" s="118"/>
      <c r="B45" s="118"/>
    </row>
    <row r="46" spans="1:2" x14ac:dyDescent="0.2">
      <c r="A46" s="118"/>
      <c r="B46" s="118"/>
    </row>
    <row r="47" spans="1:2" x14ac:dyDescent="0.2">
      <c r="A47" s="118"/>
      <c r="B47" s="118"/>
    </row>
    <row r="48" spans="1:2" x14ac:dyDescent="0.2">
      <c r="A48" s="118"/>
      <c r="B48" s="118"/>
    </row>
    <row r="49" spans="1:2" x14ac:dyDescent="0.2">
      <c r="A49" s="118"/>
      <c r="B49" s="118"/>
    </row>
    <row r="50" spans="1:2" x14ac:dyDescent="0.2">
      <c r="A50" s="118"/>
      <c r="B50" s="118"/>
    </row>
    <row r="51" spans="1:2" x14ac:dyDescent="0.2">
      <c r="A51" s="118"/>
      <c r="B51" s="118"/>
    </row>
    <row r="52" spans="1:2" x14ac:dyDescent="0.2">
      <c r="A52" s="118"/>
      <c r="B52" s="118"/>
    </row>
    <row r="53" spans="1:2" x14ac:dyDescent="0.2">
      <c r="A53" s="118"/>
      <c r="B53" s="118"/>
    </row>
    <row r="54" spans="1:2" x14ac:dyDescent="0.2">
      <c r="A54" s="118"/>
      <c r="B54" s="118"/>
    </row>
    <row r="55" spans="1:2" x14ac:dyDescent="0.2">
      <c r="A55" s="118"/>
      <c r="B55" s="118"/>
    </row>
    <row r="56" spans="1:2" x14ac:dyDescent="0.2">
      <c r="A56" s="118"/>
      <c r="B56" s="118"/>
    </row>
    <row r="57" spans="1:2" x14ac:dyDescent="0.2">
      <c r="A57" s="118"/>
      <c r="B57" s="118"/>
    </row>
    <row r="58" spans="1:2" x14ac:dyDescent="0.2">
      <c r="A58" s="118"/>
      <c r="B58" s="118"/>
    </row>
    <row r="59" spans="1:2" x14ac:dyDescent="0.2">
      <c r="A59" s="118"/>
      <c r="B59" s="118"/>
    </row>
    <row r="60" spans="1:2" x14ac:dyDescent="0.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421875" defaultRowHeight="15" x14ac:dyDescent="0.2"/>
  <cols>
    <col min="1" max="1" width="29.99609375" customWidth="1"/>
    <col min="2" max="2" width="11.97265625" customWidth="1"/>
    <col min="3" max="3" width="69.94921875" customWidth="1"/>
  </cols>
  <sheetData>
    <row r="1" spans="1:3" ht="31.5" customHeight="1" x14ac:dyDescent="0.2">
      <c r="A1" s="2" t="s">
        <v>96</v>
      </c>
      <c r="B1" s="2" t="s">
        <v>97</v>
      </c>
      <c r="C1" s="2" t="s">
        <v>98</v>
      </c>
    </row>
    <row r="2" spans="1:3" ht="15" customHeight="1" x14ac:dyDescent="0.2">
      <c r="A2" s="3" t="s">
        <v>99</v>
      </c>
      <c r="B2" s="4">
        <v>1</v>
      </c>
      <c r="C2" s="3" t="s">
        <v>100</v>
      </c>
    </row>
    <row r="3" spans="1:3" ht="15" customHeight="1" x14ac:dyDescent="0.2">
      <c r="A3" s="3" t="s">
        <v>101</v>
      </c>
      <c r="B3" s="4">
        <v>1.2</v>
      </c>
      <c r="C3" s="3" t="s">
        <v>102</v>
      </c>
    </row>
    <row r="4" spans="1:3" ht="15" customHeight="1" x14ac:dyDescent="0.2">
      <c r="A4" s="3" t="s">
        <v>103</v>
      </c>
      <c r="B4" s="4">
        <v>0.6</v>
      </c>
      <c r="C4" s="3" t="s">
        <v>104</v>
      </c>
    </row>
    <row r="5" spans="1:3" ht="15" customHeight="1" x14ac:dyDescent="0.2">
      <c r="A5" s="3" t="s">
        <v>105</v>
      </c>
      <c r="B5" s="4">
        <v>2</v>
      </c>
      <c r="C5" s="3" t="s">
        <v>106</v>
      </c>
    </row>
    <row r="6" spans="1:3" ht="29.25" customHeight="1" x14ac:dyDescent="0.2">
      <c r="A6" s="3" t="s">
        <v>107</v>
      </c>
      <c r="B6" s="4">
        <v>1.5</v>
      </c>
      <c r="C6" s="3" t="s">
        <v>108</v>
      </c>
    </row>
    <row r="7" spans="1:3" ht="15" customHeight="1" x14ac:dyDescent="0.2">
      <c r="A7" s="3" t="s">
        <v>109</v>
      </c>
      <c r="B7" s="4">
        <v>12</v>
      </c>
      <c r="C7" s="3" t="s">
        <v>110</v>
      </c>
    </row>
    <row r="8" spans="1:3" ht="15" customHeight="1" x14ac:dyDescent="0.2">
      <c r="A8" s="3" t="s">
        <v>111</v>
      </c>
      <c r="B8" s="5">
        <v>0.5</v>
      </c>
      <c r="C8" s="3" t="s">
        <v>112</v>
      </c>
    </row>
    <row r="9" spans="1:3" ht="15" customHeight="1" x14ac:dyDescent="0.2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7" sqref="D17"/>
    </sheetView>
  </sheetViews>
  <sheetFormatPr defaultColWidth="8.7421875" defaultRowHeight="15" x14ac:dyDescent="0.2"/>
  <cols>
    <col min="1" max="1" width="18.0234375" customWidth="1"/>
    <col min="2" max="3" width="11.97265625" customWidth="1"/>
    <col min="4" max="4" width="22.05859375" customWidth="1"/>
    <col min="5" max="5" width="10.625" customWidth="1"/>
  </cols>
  <sheetData>
    <row r="1" spans="1:5" ht="31.5" customHeight="1" x14ac:dyDescent="0.2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 x14ac:dyDescent="0.35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 x14ac:dyDescent="0.35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 x14ac:dyDescent="0.35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 x14ac:dyDescent="0.35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 x14ac:dyDescent="0.35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 x14ac:dyDescent="0.35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421875" defaultRowHeight="15" x14ac:dyDescent="0.2"/>
  <cols>
    <col min="1" max="1" width="9.01171875" customWidth="1"/>
    <col min="2" max="2" width="45.6015625" customWidth="1"/>
    <col min="3" max="3" width="11.02734375" customWidth="1"/>
    <col min="4" max="4" width="11.97265625" customWidth="1"/>
    <col min="5" max="5" width="11.02734375" customWidth="1"/>
    <col min="6" max="7" width="11.97265625" customWidth="1"/>
    <col min="8" max="8" width="7.93359375" customWidth="1"/>
    <col min="9" max="9" width="9.01171875" customWidth="1"/>
    <col min="10" max="10" width="7.93359375" customWidth="1"/>
    <col min="11" max="11" width="6.9921875" customWidth="1"/>
    <col min="12" max="12" width="9.953125" customWidth="1"/>
    <col min="13" max="13" width="6.9921875" customWidth="1"/>
    <col min="14" max="18" width="7.93359375" customWidth="1"/>
    <col min="19" max="19" width="9.01171875" customWidth="1"/>
    <col min="20" max="20" width="7.93359375" customWidth="1"/>
    <col min="21" max="23" width="9.01171875" customWidth="1"/>
    <col min="24" max="24" width="13.046875" customWidth="1"/>
    <col min="25" max="25" width="7.93359375" customWidth="1"/>
    <col min="26" max="26" width="9.28125" customWidth="1"/>
    <col min="27" max="28" width="7.93359375" customWidth="1"/>
    <col min="29" max="29" width="9.953125" customWidth="1"/>
  </cols>
  <sheetData>
    <row r="1" spans="1:42" ht="46.5" customHeight="1" x14ac:dyDescent="0.35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inlineStr">
        <is>
          <t xml:space="preserve">Bar Model</t>
        </is>
      </c>
      <c r="AJ1" s="2" t="inlineStr">
        <is>
          <t xml:space="preserve">Energy Mode</t>
        </is>
      </c>
      <c r="AK1" s="2" t="inlineStr">
        <is>
          <t xml:space="preserve">Energy Pool</t>
        </is>
      </c>
      <c r="AL1" s="2" t="inlineStr">
        <is>
          <t xml:space="preserve">Sequence Mode</t>
        </is>
      </c>
      <c r="AM1" s="2" t="inlineStr">
        <is>
          <t xml:space="preserve">Opponent Count</t>
        </is>
      </c>
      <c r="AN1" s="2" t="inlineStr">
        <is>
          <t xml:space="preserve">Question Pool</t>
        </is>
      </c>
      <c r="AO1" s="2" t="inlineStr">
        <is>
          <t xml:space="preserve">Reputation Affects Start</t>
        </is>
      </c>
      <c r="AP1" s="2" t="inlineStr">
        <is>
          <t xml:space="preserve">Reveal In Briefing</t>
        </is>
      </c>
    </row>
    <row r="2" spans="1:41" ht="26.25" customHeight="1" x14ac:dyDescent="0.2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inlineStr">
        <is>
          <t xml:space="preserve">Committee</t>
        </is>
      </c>
      <c r="AJ2" s="4" t="inlineStr">
        <is>
          <t xml:space="preserve">per_turn</t>
        </is>
      </c>
      <c r="AL2" s="4" t="inlineStr">
        <is>
          <t xml:space="preserve">single</t>
        </is>
      </c>
      <c r="AM2" s="4" t="inlineStr">
        <is>
          <t xml:space="preserve">1</t>
        </is>
      </c>
      <c r="AO2" s="4" t="inlineStr">
        <is>
          <t xml:space="preserve">No</t>
        </is>
      </c>
    </row>
    <row r="3" spans="1:41" ht="16.5" customHeight="1" x14ac:dyDescent="0.35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inlineStr">
        <is>
          <t xml:space="preserve">Shared_pool</t>
        </is>
      </c>
      <c r="AJ3" s="4" t="inlineStr">
        <is>
          <t xml:space="preserve">per_turn</t>
        </is>
      </c>
      <c r="AL3" s="4" t="inlineStr">
        <is>
          <t xml:space="preserve">single</t>
        </is>
      </c>
      <c r="AM3" s="4" t="inlineStr">
        <is>
          <t xml:space="preserve">1</t>
        </is>
      </c>
      <c r="AO3" s="4" t="inlineStr">
        <is>
          <t xml:space="preserve">No</t>
        </is>
      </c>
    </row>
    <row r="4" spans="1:41" ht="16.5" customHeight="1" x14ac:dyDescent="0.35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inlineStr">
        <is>
          <t xml:space="preserve">Shared_pool</t>
        </is>
      </c>
      <c r="AJ4" s="4" t="inlineStr">
        <is>
          <t xml:space="preserve">per_turn</t>
        </is>
      </c>
      <c r="AL4" s="4" t="inlineStr">
        <is>
          <t xml:space="preserve">single</t>
        </is>
      </c>
      <c r="AM4" s="4" t="inlineStr">
        <is>
          <t xml:space="preserve">1</t>
        </is>
      </c>
      <c r="AO4" s="4" t="inlineStr">
        <is>
          <t xml:space="preserve">No</t>
        </is>
      </c>
    </row>
    <row r="5" spans="1:41" ht="26.25" customHeight="1" x14ac:dyDescent="0.35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inlineStr">
        <is>
          <t xml:space="preserve">Single</t>
        </is>
      </c>
      <c r="AJ5" s="4" t="inlineStr">
        <is>
          <t xml:space="preserve">per_turn</t>
        </is>
      </c>
      <c r="AL5" s="4" t="inlineStr">
        <is>
          <t xml:space="preserve">single</t>
        </is>
      </c>
      <c r="AM5" s="4" t="inlineStr">
        <is>
          <t xml:space="preserve">1</t>
        </is>
      </c>
      <c r="AN5" s="4" t="inlineStr">
        <is>
          <t xml:space="preserve">press_conference</t>
        </is>
      </c>
      <c r="AO5" s="4" t="inlineStr">
        <is>
          <t xml:space="preserve">Yes</t>
        </is>
      </c>
    </row>
    <row r="6" spans="1:41" ht="26.25" customHeight="1" x14ac:dyDescent="0.35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inlineStr">
        <is>
          <t xml:space="preserve">Shared_pool</t>
        </is>
      </c>
      <c r="AJ6" s="4" t="inlineStr">
        <is>
          <t xml:space="preserve">per_turn</t>
        </is>
      </c>
      <c r="AL6" s="4" t="inlineStr">
        <is>
          <t xml:space="preserve">single</t>
        </is>
      </c>
      <c r="AM6" s="4" t="inlineStr">
        <is>
          <t xml:space="preserve">1</t>
        </is>
      </c>
      <c r="AO6" s="4" t="inlineStr">
        <is>
          <t xml:space="preserve">No</t>
        </is>
      </c>
    </row>
    <row r="7" spans="1:41" ht="26.25" customHeight="1" x14ac:dyDescent="0.35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inlineStr">
        <is>
          <t xml:space="preserve">Survival</t>
        </is>
      </c>
      <c r="AJ7" s="4" t="inlineStr">
        <is>
          <t xml:space="preserve">per_turn</t>
        </is>
      </c>
      <c r="AL7" s="4" t="inlineStr">
        <is>
          <t xml:space="preserve">single</t>
        </is>
      </c>
      <c r="AM7" s="4" t="inlineStr">
        <is>
          <t xml:space="preserve">1</t>
        </is>
      </c>
      <c r="AO7" s="4" t="inlineStr">
        <is>
          <t xml:space="preserve">Yes</t>
        </is>
      </c>
    </row>
    <row r="8" spans="1:41" ht="26.25" customHeight="1" x14ac:dyDescent="0.35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inlineStr">
        <is>
          <t xml:space="preserve">Shared_pool</t>
        </is>
      </c>
      <c r="AJ8" s="4" t="inlineStr">
        <is>
          <t xml:space="preserve">per_turn</t>
        </is>
      </c>
      <c r="AL8" s="4" t="inlineStr">
        <is>
          <t xml:space="preserve">single</t>
        </is>
      </c>
      <c r="AM8" s="4" t="inlineStr">
        <is>
          <t xml:space="preserve">1</t>
        </is>
      </c>
      <c r="AO8" s="4" t="inlineStr">
        <is>
          <t xml:space="preserve">No</t>
        </is>
      </c>
    </row>
    <row r="9" spans="1:41" ht="39" customHeight="1" x14ac:dyDescent="0.35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inlineStr">
        <is>
          <t xml:space="preserve">Shared_pool</t>
        </is>
      </c>
      <c r="AJ9" s="4" t="inlineStr">
        <is>
          <t xml:space="preserve">per_turn</t>
        </is>
      </c>
      <c r="AL9" s="4" t="inlineStr">
        <is>
          <t xml:space="preserve">single</t>
        </is>
      </c>
      <c r="AM9" s="4" t="inlineStr">
        <is>
          <t xml:space="preserve">1</t>
        </is>
      </c>
      <c r="AO9" s="4" t="inlineStr">
        <is>
          <t xml:space="preserve">No</t>
        </is>
      </c>
    </row>
    <row r="10" spans="1:41" ht="30" customHeight="1" x14ac:dyDescent="0.2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inlineStr">
        <is>
          <t xml:space="preserve">Committee</t>
        </is>
      </c>
      <c r="AJ10" s="4" t="inlineStr">
        <is>
          <t xml:space="preserve">per_turn</t>
        </is>
      </c>
      <c r="AL10" s="4" t="inlineStr">
        <is>
          <t xml:space="preserve">single</t>
        </is>
      </c>
      <c r="AM10" s="4" t="inlineStr">
        <is>
          <t xml:space="preserve">1</t>
        </is>
      </c>
      <c r="AO10" s="4" t="inlineStr">
        <is>
          <t xml:space="preserve">No</t>
        </is>
      </c>
    </row>
    <row r="11" spans="1:41" ht="30" customHeight="1" x14ac:dyDescent="0.2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inlineStr">
        <is>
          <t xml:space="preserve">Committee</t>
        </is>
      </c>
      <c r="AJ11" s="4" t="inlineStr">
        <is>
          <t xml:space="preserve">per_turn</t>
        </is>
      </c>
      <c r="AL11" s="4" t="inlineStr">
        <is>
          <t xml:space="preserve">single</t>
        </is>
      </c>
      <c r="AM11" s="4" t="inlineStr">
        <is>
          <t xml:space="preserve">1</t>
        </is>
      </c>
      <c r="AO11" s="4" t="inlineStr">
        <is>
          <t xml:space="preserve">No</t>
        </is>
      </c>
    </row>
    <row r="12" spans="1:41" ht="30" customHeight="1" x14ac:dyDescent="0.2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inlineStr">
        <is>
          <t xml:space="preserve">Committee</t>
        </is>
      </c>
      <c r="AJ12" s="4" t="inlineStr">
        <is>
          <t xml:space="preserve">per_turn</t>
        </is>
      </c>
      <c r="AL12" s="4" t="inlineStr">
        <is>
          <t xml:space="preserve">single</t>
        </is>
      </c>
      <c r="AM12" s="4" t="inlineStr">
        <is>
          <t xml:space="preserve">1</t>
        </is>
      </c>
      <c r="AO12" s="4" t="inlineStr">
        <is>
          <t xml:space="preserve">No</t>
        </is>
      </c>
    </row>
    <row r="13" spans="1:41" ht="30" customHeight="1" x14ac:dyDescent="0.2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inlineStr">
        <is>
          <t xml:space="preserve">Committee</t>
        </is>
      </c>
      <c r="AJ13" s="4" t="inlineStr">
        <is>
          <t xml:space="preserve">per_turn</t>
        </is>
      </c>
      <c r="AL13" s="4" t="inlineStr">
        <is>
          <t xml:space="preserve">single</t>
        </is>
      </c>
      <c r="AM13" s="4" t="inlineStr">
        <is>
          <t xml:space="preserve">1</t>
        </is>
      </c>
      <c r="AO13" s="4" t="inlineStr">
        <is>
          <t xml:space="preserve">No</t>
        </is>
      </c>
    </row>
    <row r="14" spans="1:41" ht="30" customHeight="1" x14ac:dyDescent="0.2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inlineStr">
        <is>
          <t xml:space="preserve">Committee</t>
        </is>
      </c>
      <c r="AJ14" s="4" t="inlineStr">
        <is>
          <t xml:space="preserve">per_turn</t>
        </is>
      </c>
      <c r="AL14" s="4" t="inlineStr">
        <is>
          <t xml:space="preserve">single</t>
        </is>
      </c>
      <c r="AM14" s="4" t="inlineStr">
        <is>
          <t xml:space="preserve">1</t>
        </is>
      </c>
      <c r="AO14" s="4" t="inlineStr">
        <is>
          <t xml:space="preserve">No</t>
        </is>
      </c>
    </row>
    <row r="15" spans="1:41" ht="30" customHeight="1" x14ac:dyDescent="0.2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inlineStr">
        <is>
          <t xml:space="preserve">Committee</t>
        </is>
      </c>
      <c r="AJ15" s="4" t="inlineStr">
        <is>
          <t xml:space="preserve">per_turn</t>
        </is>
      </c>
      <c r="AL15" s="4" t="inlineStr">
        <is>
          <t xml:space="preserve">single</t>
        </is>
      </c>
      <c r="AM15" s="4" t="inlineStr">
        <is>
          <t xml:space="preserve">1</t>
        </is>
      </c>
      <c r="AO15" s="4" t="inlineStr">
        <is>
          <t xml:space="preserve">No</t>
        </is>
      </c>
    </row>
    <row r="16" spans="1:41" ht="45" customHeight="1" x14ac:dyDescent="0.2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inlineStr">
        <is>
          <t xml:space="preserve">Committee</t>
        </is>
      </c>
      <c r="AJ16" s="4" t="inlineStr">
        <is>
          <t xml:space="preserve">per_turn</t>
        </is>
      </c>
      <c r="AL16" s="4" t="inlineStr">
        <is>
          <t xml:space="preserve">single</t>
        </is>
      </c>
      <c r="AM16" s="4" t="inlineStr">
        <is>
          <t xml:space="preserve">1</t>
        </is>
      </c>
      <c r="AO16" s="4" t="inlineStr">
        <is>
          <t xml:space="preserve">No</t>
        </is>
      </c>
    </row>
    <row r="17" spans="1:41" ht="30" customHeight="1" x14ac:dyDescent="0.2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inlineStr">
        <is>
          <t xml:space="preserve">Committee</t>
        </is>
      </c>
      <c r="AJ17" s="4" t="inlineStr">
        <is>
          <t xml:space="preserve">per_turn</t>
        </is>
      </c>
      <c r="AL17" s="4" t="inlineStr">
        <is>
          <t xml:space="preserve">single</t>
        </is>
      </c>
      <c r="AM17" s="4" t="inlineStr">
        <is>
          <t xml:space="preserve">1</t>
        </is>
      </c>
      <c r="AO17" s="4" t="inlineStr">
        <is>
          <t xml:space="preserve">No</t>
        </is>
      </c>
    </row>
    <row r="18" spans="1:41" ht="30" customHeight="1" x14ac:dyDescent="0.2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inlineStr">
        <is>
          <t xml:space="preserve">Committee</t>
        </is>
      </c>
      <c r="AJ18" s="4" t="inlineStr">
        <is>
          <t xml:space="preserve">per_turn</t>
        </is>
      </c>
      <c r="AL18" s="4" t="inlineStr">
        <is>
          <t xml:space="preserve">single</t>
        </is>
      </c>
      <c r="AM18" s="4" t="inlineStr">
        <is>
          <t xml:space="preserve">1</t>
        </is>
      </c>
      <c r="AO18" s="4" t="inlineStr">
        <is>
          <t xml:space="preserve">No</t>
        </is>
      </c>
    </row>
    <row r="19" spans="1:41" ht="30" customHeight="1" x14ac:dyDescent="0.2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inlineStr">
        <is>
          <t xml:space="preserve">Committee</t>
        </is>
      </c>
      <c r="AJ19" s="4" t="inlineStr">
        <is>
          <t xml:space="preserve">per_turn</t>
        </is>
      </c>
      <c r="AL19" s="4" t="inlineStr">
        <is>
          <t xml:space="preserve">single</t>
        </is>
      </c>
      <c r="AM19" s="4" t="inlineStr">
        <is>
          <t xml:space="preserve">1</t>
        </is>
      </c>
      <c r="AO19" s="4" t="inlineStr">
        <is>
          <t xml:space="preserve">No</t>
        </is>
      </c>
    </row>
    <row r="20" spans="1:42" ht="30" customHeight="1" x14ac:dyDescent="0.2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inlineStr">
        <is>
          <t xml:space="preserve">Shared_pool</t>
        </is>
      </c>
      <c r="AJ20" s="4" t="inlineStr">
        <is>
          <t xml:space="preserve">per_turn</t>
        </is>
      </c>
      <c r="AL20" s="4" t="inlineStr">
        <is>
          <t xml:space="preserve">single</t>
        </is>
      </c>
      <c r="AM20" s="4" t="inlineStr">
        <is>
          <t xml:space="preserve">1</t>
        </is>
      </c>
      <c r="AN20" s="4" t="inlineStr">
        <is>
          <t xml:space="preserve">media_ambush</t>
        </is>
      </c>
      <c r="AO20" s="4" t="inlineStr">
        <is>
          <t xml:space="preserve">No</t>
        </is>
      </c>
      <c r="AP20" s="4" t="inlineStr">
        <is>
          <t xml:space="preserve">No</t>
        </is>
      </c>
    </row>
    <row r="21" spans="1:41" ht="30" customHeight="1" x14ac:dyDescent="0.2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inlineStr">
        <is>
          <t xml:space="preserve">Shared_pool</t>
        </is>
      </c>
      <c r="AJ21" s="4" t="inlineStr">
        <is>
          <t xml:space="preserve">per_turn</t>
        </is>
      </c>
      <c r="AL21" s="4" t="inlineStr">
        <is>
          <t xml:space="preserve">single</t>
        </is>
      </c>
      <c r="AM21" s="4" t="inlineStr">
        <is>
          <t xml:space="preserve">1</t>
        </is>
      </c>
      <c r="AN21" s="4" t="inlineStr">
        <is>
          <t xml:space="preserve">lobbyist_meeting</t>
        </is>
      </c>
      <c r="AO21" s="4" t="inlineStr">
        <is>
          <t xml:space="preserve">No</t>
        </is>
      </c>
    </row>
    <row r="22" spans="1:41" ht="30" customHeight="1" x14ac:dyDescent="0.2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inlineStr">
        <is>
          <t xml:space="preserve">Shared_pool</t>
        </is>
      </c>
      <c r="AJ22" s="4" t="inlineStr">
        <is>
          <t xml:space="preserve">per_turn</t>
        </is>
      </c>
      <c r="AL22" s="4" t="inlineStr">
        <is>
          <t xml:space="preserve">single</t>
        </is>
      </c>
      <c r="AM22" s="4" t="inlineStr">
        <is>
          <t xml:space="preserve">1</t>
        </is>
      </c>
      <c r="AN22" s="4" t="inlineStr">
        <is>
          <t xml:space="preserve">policy_study</t>
        </is>
      </c>
      <c r="AO22" s="4" t="inlineStr">
        <is>
          <t xml:space="preserve">No</t>
        </is>
      </c>
    </row>
    <row r="23" spans="1:34" x14ac:dyDescent="0.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34" x14ac:dyDescent="0.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34" x14ac:dyDescent="0.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34" x14ac:dyDescent="0.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34" x14ac:dyDescent="0.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34" x14ac:dyDescent="0.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34" x14ac:dyDescent="0.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34" x14ac:dyDescent="0.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34" x14ac:dyDescent="0.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34" x14ac:dyDescent="0.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 x14ac:dyDescent="0.2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 x14ac:dyDescent="0.2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 x14ac:dyDescent="0.2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 x14ac:dyDescent="0.2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 x14ac:dyDescent="0.2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 x14ac:dyDescent="0.2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 x14ac:dyDescent="0.2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 x14ac:dyDescent="0.2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 x14ac:dyDescent="0.2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 x14ac:dyDescent="0.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 x14ac:dyDescent="0.2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 x14ac:dyDescent="0.2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 x14ac:dyDescent="0.2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 x14ac:dyDescent="0.2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 x14ac:dyDescent="0.2"/>
  <cols>
    <col min="19" max="19" width="9.55078125" bestFit="1" customWidth="1"/>
    <col min="34" max="39" width="9.953125" customWidth="1"/>
  </cols>
  <sheetData>
    <row r="1" spans="1:39" ht="80.25" customHeight="1" x14ac:dyDescent="0.2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 x14ac:dyDescent="0.2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 x14ac:dyDescent="0.2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 x14ac:dyDescent="0.2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 x14ac:dyDescent="0.2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 x14ac:dyDescent="0.2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 x14ac:dyDescent="0.2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 x14ac:dyDescent="0.2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 x14ac:dyDescent="0.2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 x14ac:dyDescent="0.2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 x14ac:dyDescent="0.2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 x14ac:dyDescent="0.2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 x14ac:dyDescent="0.2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 x14ac:dyDescent="0.2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 x14ac:dyDescent="0.2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 x14ac:dyDescent="0.2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 x14ac:dyDescent="0.2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 x14ac:dyDescent="0.2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 x14ac:dyDescent="0.2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 x14ac:dyDescent="0.2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 x14ac:dyDescent="0.2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 x14ac:dyDescent="0.2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 x14ac:dyDescent="0.2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 x14ac:dyDescent="0.2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 x14ac:dyDescent="0.2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 x14ac:dyDescent="0.2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 x14ac:dyDescent="0.2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 x14ac:dyDescent="0.2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 x14ac:dyDescent="0.2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 x14ac:dyDescent="0.2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 x14ac:dyDescent="0.2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S14" sqref="S14"/>
    </sheetView>
  </sheetViews>
  <sheetFormatPr defaultColWidth="8.7421875" defaultRowHeight="15" x14ac:dyDescent="0.2"/>
  <cols>
    <col min="1" max="1" width="16.0078125" customWidth="1"/>
    <col min="2" max="8" width="11.97265625" customWidth="1"/>
    <col min="10" max="10" width="11.8359375" customWidth="1"/>
    <col min="11" max="11" width="8.47265625" customWidth="1"/>
    <col min="12" max="12" width="6.9921875" customWidth="1"/>
    <col min="13" max="13" width="6.3203125" customWidth="1"/>
    <col min="14" max="14" width="15.33203125" customWidth="1"/>
    <col min="15" max="15" width="15.6015625" customWidth="1"/>
    <col min="16" max="16" width="14.390625" customWidth="1"/>
    <col min="17" max="17" width="15.6015625" customWidth="1"/>
    <col min="18" max="18" width="18.83203125" customWidth="1"/>
    <col min="19" max="19" width="17.21875" customWidth="1"/>
    <col min="20" max="20" width="17.890625" customWidth="1"/>
  </cols>
  <sheetData>
    <row r="1" spans="1:26" ht="31.5" customHeight="1" x14ac:dyDescent="0.2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 x14ac:dyDescent="0.2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 x14ac:dyDescent="0.2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 x14ac:dyDescent="0.2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 x14ac:dyDescent="0.2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 x14ac:dyDescent="0.2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 x14ac:dyDescent="0.2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 x14ac:dyDescent="0.2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 x14ac:dyDescent="0.2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 x14ac:dyDescent="0.2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 x14ac:dyDescent="0.2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 x14ac:dyDescent="0.2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 x14ac:dyDescent="0.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 x14ac:dyDescent="0.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 x14ac:dyDescent="0.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 x14ac:dyDescent="0.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 x14ac:dyDescent="0.2">
      <c r="B21" s="67"/>
    </row>
    <row r="23" spans="1:22" x14ac:dyDescent="0.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 x14ac:dyDescent="0.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 x14ac:dyDescent="0.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 x14ac:dyDescent="0.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 x14ac:dyDescent="0.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 x14ac:dyDescent="0.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 x14ac:dyDescent="0.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 x14ac:dyDescent="0.2"/>
  <cols>
    <col min="17" max="17" width="38.875" customWidth="1"/>
  </cols>
  <sheetData>
    <row r="1" spans="1:19" x14ac:dyDescent="0.2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 x14ac:dyDescent="0.2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 x14ac:dyDescent="0.2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 x14ac:dyDescent="0.2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 x14ac:dyDescent="0.2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 x14ac:dyDescent="0.2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 x14ac:dyDescent="0.2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 x14ac:dyDescent="0.2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 x14ac:dyDescent="0.2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 x14ac:dyDescent="0.2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 x14ac:dyDescent="0.2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 x14ac:dyDescent="0.2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 x14ac:dyDescent="0.2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 x14ac:dyDescent="0.2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 x14ac:dyDescent="0.2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 x14ac:dyDescent="0.2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 x14ac:dyDescent="0.2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 x14ac:dyDescent="0.2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 x14ac:dyDescent="0.2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 x14ac:dyDescent="0.2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 x14ac:dyDescent="0.2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 x14ac:dyDescent="0.2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 x14ac:dyDescent="0.2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 x14ac:dyDescent="0.2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 x14ac:dyDescent="0.2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 x14ac:dyDescent="0.2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 x14ac:dyDescent="0.2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 x14ac:dyDescent="0.2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 x14ac:dyDescent="0.2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 x14ac:dyDescent="0.2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 x14ac:dyDescent="0.2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 x14ac:dyDescent="0.2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 x14ac:dyDescent="0.2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 x14ac:dyDescent="0.2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 x14ac:dyDescent="0.2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 x14ac:dyDescent="0.2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 x14ac:dyDescent="0.2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 x14ac:dyDescent="0.2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 x14ac:dyDescent="0.2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 x14ac:dyDescent="0.2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 x14ac:dyDescent="0.2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 x14ac:dyDescent="0.2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 x14ac:dyDescent="0.2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 x14ac:dyDescent="0.2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 x14ac:dyDescent="0.2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 x14ac:dyDescent="0.2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 x14ac:dyDescent="0.2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 x14ac:dyDescent="0.2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 x14ac:dyDescent="0.2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 x14ac:dyDescent="0.2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 x14ac:dyDescent="0.2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 x14ac:dyDescent="0.2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 x14ac:dyDescent="0.2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 x14ac:dyDescent="0.2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 x14ac:dyDescent="0.2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E10" sqref="E10"/>
    </sheetView>
  </sheetViews>
  <sheetFormatPr defaultColWidth="8.7421875" defaultRowHeight="15" x14ac:dyDescent="0.2"/>
  <cols>
    <col min="1" max="1" width="9.953125" customWidth="1"/>
    <col min="2" max="2" width="13.98828125" customWidth="1"/>
    <col min="3" max="3" width="9.953125" customWidth="1"/>
    <col min="4" max="4" width="11.97265625" customWidth="1"/>
    <col min="5" max="5" width="59.99609375" customWidth="1"/>
    <col min="6" max="6" width="16.6796875" customWidth="1"/>
  </cols>
  <sheetData>
    <row r="1" spans="1:6" ht="31.5" customHeight="1" x14ac:dyDescent="0.2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 x14ac:dyDescent="0.35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 x14ac:dyDescent="0.35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 x14ac:dyDescent="0.35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 x14ac:dyDescent="0.35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 x14ac:dyDescent="0.35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K13" sqref="K13"/>
    </sheetView>
  </sheetViews>
  <sheetFormatPr defaultColWidth="8.7421875" defaultRowHeight="15" x14ac:dyDescent="0.2"/>
  <cols>
    <col min="1" max="1" width="7.9335937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9.01171875" customWidth="1"/>
    <col min="7" max="7" width="45.0625" customWidth="1"/>
    <col min="8" max="8" width="15.33203125" customWidth="1"/>
    <col min="9" max="9" width="13.44921875" customWidth="1"/>
    <col min="10" max="10" width="12.64453125" customWidth="1"/>
    <col min="11" max="11" width="20.04296875" customWidth="1"/>
    <col min="12" max="12" width="13.98828125" customWidth="1"/>
    <col min="13" max="13" width="13.046875" customWidth="1"/>
  </cols>
  <sheetData>
    <row r="1" spans="1:13" ht="31.5" customHeight="1" x14ac:dyDescent="0.2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 x14ac:dyDescent="0.35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 x14ac:dyDescent="0.35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 x14ac:dyDescent="0.35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 x14ac:dyDescent="0.35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 x14ac:dyDescent="0.35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 x14ac:dyDescent="0.35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 x14ac:dyDescent="0.35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 x14ac:dyDescent="0.35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 x14ac:dyDescent="0.35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 x14ac:dyDescent="0.35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 x14ac:dyDescent="0.35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 x14ac:dyDescent="0.35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 x14ac:dyDescent="0.35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 x14ac:dyDescent="0.35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 x14ac:dyDescent="0.35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32.25" x14ac:dyDescent="0.3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9.25" x14ac:dyDescent="0.3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32.25" x14ac:dyDescent="0.3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32.25" x14ac:dyDescent="0.3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32.25" x14ac:dyDescent="0.3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 x14ac:dyDescent="0.35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9.25" x14ac:dyDescent="0.3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32.25" x14ac:dyDescent="0.3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 ht="17.25" x14ac:dyDescent="0.35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9.25" x14ac:dyDescent="0.3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 ht="18.75" x14ac:dyDescent="0.35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 ht="18.75" x14ac:dyDescent="0.35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 ht="18.75" x14ac:dyDescent="0.35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 ht="18.75" x14ac:dyDescent="0.35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 ht="18.75" x14ac:dyDescent="0.35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 ht="18.75" x14ac:dyDescent="0.35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3" sqref="D13"/>
    </sheetView>
  </sheetViews>
  <sheetFormatPr defaultColWidth="8.7421875" defaultRowHeight="15" x14ac:dyDescent="0.2"/>
  <cols>
    <col min="1" max="1" width="9.95312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22.05859375" customWidth="1"/>
  </cols>
  <sheetData>
    <row r="1" spans="1:6" ht="31.5" customHeight="1" x14ac:dyDescent="0.2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 x14ac:dyDescent="0.35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 x14ac:dyDescent="0.35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 x14ac:dyDescent="0.35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 x14ac:dyDescent="0.35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 x14ac:dyDescent="0.35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 x14ac:dyDescent="0.35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 x14ac:dyDescent="0.35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 x14ac:dyDescent="0.35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 x14ac:dyDescent="0.35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 x14ac:dyDescent="0.35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 ht="18.75" x14ac:dyDescent="0.35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 x14ac:dyDescent="0.35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 x14ac:dyDescent="0.35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 x14ac:dyDescent="0.35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 x14ac:dyDescent="0.35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 ht="18.75" x14ac:dyDescent="0.35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G30"/>
  <sheetViews>
    <sheetView workbookViewId="0">
      <pane ySplit="1" topLeftCell="A2" activePane="bottomLeft" state="frozen"/>
      <selection pane="bottomLeft" activeCell="L2" sqref="L2"/>
    </sheetView>
  </sheetViews>
  <sheetFormatPr defaultRowHeight="15" x14ac:dyDescent="0.2"/>
  <cols>
    <col min="2" max="2" width="20.84765625" customWidth="1"/>
    <col min="3" max="3" width="23.9453125" customWidth="1"/>
    <col min="6" max="6" width="21.5234375" customWidth="1"/>
    <col min="7" max="7" width="20.04296875" customWidth="1"/>
  </cols>
  <sheetData>
    <row r="1" spans="1:7" ht="68.25" x14ac:dyDescent="0.2">
      <c r="A1" s="106" t="s">
        <v>2553</v>
      </c>
      <c r="B1" s="106" t="s">
        <v>2554</v>
      </c>
      <c r="C1" s="106" t="s">
        <v>795</v>
      </c>
      <c r="D1" s="106" t="s">
        <v>2558</v>
      </c>
      <c r="E1" s="106" t="s">
        <v>2555</v>
      </c>
      <c r="F1" s="106" t="s">
        <v>2556</v>
      </c>
      <c r="G1" s="106" t="s">
        <v>2557</v>
      </c>
    </row>
    <row r="2" spans="1:7" ht="108" x14ac:dyDescent="0.2">
      <c r="A2" s="107" t="s">
        <v>2566</v>
      </c>
      <c r="B2" s="107" t="s">
        <v>2567</v>
      </c>
      <c r="C2" s="107" t="s">
        <v>2568</v>
      </c>
      <c r="D2" s="108">
        <v>0</v>
      </c>
      <c r="E2" s="108">
        <v>200000</v>
      </c>
      <c r="F2" s="107" t="s">
        <v>2569</v>
      </c>
      <c r="G2" s="107" t="s">
        <v>2570</v>
      </c>
    </row>
    <row r="3" spans="1:7" ht="108" x14ac:dyDescent="0.2">
      <c r="A3" s="107" t="s">
        <v>2571</v>
      </c>
      <c r="B3" s="107" t="s">
        <v>2572</v>
      </c>
      <c r="C3" s="107" t="s">
        <v>2573</v>
      </c>
      <c r="D3" s="108">
        <v>0</v>
      </c>
      <c r="E3" s="108">
        <v>200000</v>
      </c>
      <c r="F3" s="107" t="s">
        <v>2574</v>
      </c>
      <c r="G3" s="107" t="s">
        <v>2575</v>
      </c>
    </row>
    <row r="4" spans="1:7" ht="94.5" x14ac:dyDescent="0.2">
      <c r="A4" s="107" t="s">
        <v>2576</v>
      </c>
      <c r="B4" s="107" t="s">
        <v>2577</v>
      </c>
      <c r="C4" s="107" t="s">
        <v>2578</v>
      </c>
      <c r="D4" s="108">
        <v>0</v>
      </c>
      <c r="E4" s="108">
        <v>200000</v>
      </c>
      <c r="F4" s="107" t="s">
        <v>2579</v>
      </c>
      <c r="G4" s="107" t="s">
        <v>2580</v>
      </c>
    </row>
    <row r="5" spans="1:7" ht="41.25" x14ac:dyDescent="0.2">
      <c r="A5" s="107" t="s">
        <v>2581</v>
      </c>
      <c r="B5" s="107" t="s">
        <v>2582</v>
      </c>
      <c r="C5" s="107" t="s">
        <v>2583</v>
      </c>
      <c r="D5" s="108">
        <v>0</v>
      </c>
      <c r="E5" s="108">
        <v>10000</v>
      </c>
      <c r="F5" s="109" t="s">
        <v>13</v>
      </c>
      <c r="G5" s="109" t="s">
        <v>13</v>
      </c>
    </row>
    <row r="6" spans="1:7" ht="54.75" x14ac:dyDescent="0.2">
      <c r="A6" s="107" t="s">
        <v>2584</v>
      </c>
      <c r="B6" s="107" t="s">
        <v>2585</v>
      </c>
      <c r="C6" s="107" t="s">
        <v>2586</v>
      </c>
      <c r="D6" s="108">
        <v>0</v>
      </c>
      <c r="E6" s="108">
        <v>10000</v>
      </c>
      <c r="F6" s="109" t="s">
        <v>13</v>
      </c>
      <c r="G6" s="109" t="s">
        <v>13</v>
      </c>
    </row>
    <row r="7" spans="1:7" ht="54.75" x14ac:dyDescent="0.2">
      <c r="A7" s="107" t="s">
        <v>2587</v>
      </c>
      <c r="B7" s="107" t="s">
        <v>2588</v>
      </c>
      <c r="C7" s="107" t="s">
        <v>2589</v>
      </c>
      <c r="D7" s="108">
        <v>0</v>
      </c>
      <c r="E7" s="108">
        <v>10000</v>
      </c>
      <c r="F7" s="109" t="s">
        <v>13</v>
      </c>
      <c r="G7" s="109" t="s">
        <v>13</v>
      </c>
    </row>
    <row r="8" spans="1:7" ht="41.25" x14ac:dyDescent="0.2">
      <c r="A8" s="107" t="s">
        <v>2590</v>
      </c>
      <c r="B8" s="107" t="s">
        <v>2591</v>
      </c>
      <c r="C8" s="107" t="s">
        <v>2592</v>
      </c>
      <c r="D8" s="108">
        <v>0</v>
      </c>
      <c r="E8" s="108">
        <v>10000</v>
      </c>
      <c r="F8" s="109" t="s">
        <v>13</v>
      </c>
      <c r="G8" s="109" t="s">
        <v>13</v>
      </c>
    </row>
    <row r="9" spans="1:7" ht="41.25" x14ac:dyDescent="0.2">
      <c r="A9" s="107" t="s">
        <v>2593</v>
      </c>
      <c r="B9" s="107" t="s">
        <v>2594</v>
      </c>
      <c r="C9" s="107" t="s">
        <v>2595</v>
      </c>
      <c r="D9" s="108">
        <v>0</v>
      </c>
      <c r="E9" s="108">
        <v>10000</v>
      </c>
      <c r="F9" s="109" t="s">
        <v>13</v>
      </c>
      <c r="G9" s="109" t="s">
        <v>13</v>
      </c>
    </row>
    <row r="10" spans="1:7" ht="54.75" x14ac:dyDescent="0.2">
      <c r="A10" s="107" t="s">
        <v>2596</v>
      </c>
      <c r="B10" s="107" t="s">
        <v>2597</v>
      </c>
      <c r="C10" s="107" t="s">
        <v>2598</v>
      </c>
      <c r="D10" s="108">
        <v>0</v>
      </c>
      <c r="E10" s="108">
        <v>10000</v>
      </c>
      <c r="F10" s="109" t="s">
        <v>13</v>
      </c>
      <c r="G10" s="109" t="s">
        <v>13</v>
      </c>
    </row>
    <row r="11" spans="1:7" ht="54.75" x14ac:dyDescent="0.2">
      <c r="A11" s="107" t="s">
        <v>2599</v>
      </c>
      <c r="B11" s="107" t="s">
        <v>2600</v>
      </c>
      <c r="C11" s="107" t="s">
        <v>2598</v>
      </c>
      <c r="D11" s="108">
        <v>0</v>
      </c>
      <c r="E11" s="108">
        <v>15000</v>
      </c>
      <c r="F11" s="109" t="s">
        <v>13</v>
      </c>
      <c r="G11" s="109" t="s">
        <v>13</v>
      </c>
    </row>
    <row r="12" spans="1:7" ht="54.75" x14ac:dyDescent="0.2">
      <c r="A12" s="107" t="s">
        <v>2601</v>
      </c>
      <c r="B12" s="107" t="s">
        <v>2602</v>
      </c>
      <c r="C12" s="107" t="s">
        <v>2603</v>
      </c>
      <c r="D12" s="108">
        <v>0</v>
      </c>
      <c r="E12" s="108">
        <v>10000</v>
      </c>
      <c r="F12" s="109" t="s">
        <v>13</v>
      </c>
      <c r="G12" s="109" t="s">
        <v>13</v>
      </c>
    </row>
    <row r="13" spans="1:7" ht="54.75" x14ac:dyDescent="0.2">
      <c r="A13" s="107" t="s">
        <v>2604</v>
      </c>
      <c r="B13" s="107" t="s">
        <v>2605</v>
      </c>
      <c r="C13" s="107" t="s">
        <v>2603</v>
      </c>
      <c r="D13" s="108">
        <v>0</v>
      </c>
      <c r="E13" s="108">
        <v>15000</v>
      </c>
      <c r="F13" s="109" t="s">
        <v>13</v>
      </c>
      <c r="G13" s="109" t="s">
        <v>13</v>
      </c>
    </row>
    <row r="14" spans="1:7" ht="27.75" x14ac:dyDescent="0.2">
      <c r="A14" s="107" t="s">
        <v>2606</v>
      </c>
      <c r="B14" s="107" t="s">
        <v>2607</v>
      </c>
      <c r="C14" s="107" t="s">
        <v>2654</v>
      </c>
      <c r="D14" s="108">
        <v>40</v>
      </c>
      <c r="E14" s="108">
        <v>0</v>
      </c>
      <c r="F14" s="109" t="s">
        <v>13</v>
      </c>
      <c r="G14" s="109" t="s">
        <v>13</v>
      </c>
    </row>
    <row r="15" spans="1:7" ht="27.75" x14ac:dyDescent="0.2">
      <c r="A15" s="107" t="s">
        <v>2608</v>
      </c>
      <c r="B15" s="107" t="s">
        <v>2609</v>
      </c>
      <c r="C15" s="107" t="s">
        <v>2610</v>
      </c>
      <c r="D15" s="108">
        <v>40</v>
      </c>
      <c r="E15" s="108">
        <v>0</v>
      </c>
      <c r="F15" s="109" t="s">
        <v>13</v>
      </c>
      <c r="G15" s="109" t="s">
        <v>13</v>
      </c>
    </row>
    <row r="16" spans="1:7" ht="54.75" x14ac:dyDescent="0.2">
      <c r="A16" s="107" t="s">
        <v>2611</v>
      </c>
      <c r="B16" s="107" t="s">
        <v>2612</v>
      </c>
      <c r="C16" s="107" t="s">
        <v>2613</v>
      </c>
      <c r="D16" s="108">
        <v>250</v>
      </c>
      <c r="E16" s="108">
        <v>0</v>
      </c>
      <c r="F16" s="107" t="s">
        <v>2756</v>
      </c>
      <c r="G16" s="109" t="s">
        <v>13</v>
      </c>
    </row>
    <row r="17" spans="1:7" ht="54.75" x14ac:dyDescent="0.2">
      <c r="A17" s="107" t="s">
        <v>2614</v>
      </c>
      <c r="B17" s="107" t="s">
        <v>2615</v>
      </c>
      <c r="C17" s="107" t="s">
        <v>2616</v>
      </c>
      <c r="D17" s="108">
        <v>500</v>
      </c>
      <c r="E17" s="108">
        <v>0</v>
      </c>
      <c r="F17" s="107" t="s">
        <v>2756</v>
      </c>
      <c r="G17" s="109" t="s">
        <v>13</v>
      </c>
    </row>
    <row r="18" spans="1:7" ht="54.75" x14ac:dyDescent="0.2">
      <c r="A18" s="107" t="s">
        <v>2617</v>
      </c>
      <c r="B18" s="107" t="s">
        <v>2618</v>
      </c>
      <c r="C18" s="107" t="s">
        <v>2619</v>
      </c>
      <c r="D18" s="108">
        <v>1000</v>
      </c>
      <c r="E18" s="108">
        <v>0</v>
      </c>
      <c r="F18" s="107" t="s">
        <v>2756</v>
      </c>
      <c r="G18" s="109" t="s">
        <v>13</v>
      </c>
    </row>
    <row r="19" spans="1:7" ht="41.25" x14ac:dyDescent="0.2">
      <c r="A19" s="107" t="s">
        <v>2620</v>
      </c>
      <c r="B19" s="107" t="s">
        <v>2621</v>
      </c>
      <c r="C19" s="107" t="s">
        <v>2622</v>
      </c>
      <c r="D19" s="108">
        <v>500</v>
      </c>
      <c r="E19" s="108">
        <v>0</v>
      </c>
      <c r="F19" s="109" t="s">
        <v>13</v>
      </c>
      <c r="G19" s="109" t="s">
        <v>13</v>
      </c>
    </row>
    <row r="20" spans="1:7" ht="41.25" x14ac:dyDescent="0.2">
      <c r="A20" s="107" t="s">
        <v>2623</v>
      </c>
      <c r="B20" s="107" t="s">
        <v>2624</v>
      </c>
      <c r="C20" s="107" t="s">
        <v>2625</v>
      </c>
      <c r="D20" s="108">
        <v>100</v>
      </c>
      <c r="E20" s="108">
        <v>0</v>
      </c>
      <c r="F20" s="109" t="s">
        <v>13</v>
      </c>
      <c r="G20" s="109" t="s">
        <v>13</v>
      </c>
    </row>
    <row r="21" spans="1:7" ht="54.75" x14ac:dyDescent="0.2">
      <c r="A21" s="107" t="s">
        <v>2626</v>
      </c>
      <c r="B21" s="107" t="s">
        <v>2627</v>
      </c>
      <c r="C21" s="107" t="s">
        <v>2628</v>
      </c>
      <c r="D21" s="108">
        <v>50</v>
      </c>
      <c r="E21" s="108">
        <v>0</v>
      </c>
      <c r="F21" s="107" t="s">
        <v>2629</v>
      </c>
      <c r="G21" s="109" t="s">
        <v>13</v>
      </c>
    </row>
    <row r="22" spans="1:7" ht="54.75" x14ac:dyDescent="0.2">
      <c r="A22" s="107" t="s">
        <v>2630</v>
      </c>
      <c r="B22" s="107" t="s">
        <v>2631</v>
      </c>
      <c r="C22" s="107" t="s">
        <v>2632</v>
      </c>
      <c r="D22" s="108">
        <v>60</v>
      </c>
      <c r="E22" s="108">
        <v>0</v>
      </c>
      <c r="F22" s="107" t="s">
        <v>2633</v>
      </c>
      <c r="G22" s="109" t="s">
        <v>13</v>
      </c>
    </row>
    <row r="23" spans="1:7" ht="54.75" x14ac:dyDescent="0.2">
      <c r="A23" s="107" t="s">
        <v>2634</v>
      </c>
      <c r="B23" s="107" t="s">
        <v>2635</v>
      </c>
      <c r="C23" s="107" t="s">
        <v>2636</v>
      </c>
      <c r="D23" s="108">
        <v>70</v>
      </c>
      <c r="E23" s="108">
        <v>0</v>
      </c>
      <c r="F23" s="107" t="s">
        <v>2637</v>
      </c>
      <c r="G23" s="109" t="s">
        <v>13</v>
      </c>
    </row>
    <row r="24" spans="1:7" ht="54.75" x14ac:dyDescent="0.2">
      <c r="A24" s="107" t="s">
        <v>2638</v>
      </c>
      <c r="B24" s="107" t="s">
        <v>2639</v>
      </c>
      <c r="C24" s="107" t="s">
        <v>2640</v>
      </c>
      <c r="D24" s="108">
        <v>80</v>
      </c>
      <c r="E24" s="108">
        <v>0</v>
      </c>
      <c r="F24" s="107" t="s">
        <v>2641</v>
      </c>
      <c r="G24" s="109" t="s">
        <v>13</v>
      </c>
    </row>
    <row r="25" spans="1:7" ht="54.75" x14ac:dyDescent="0.2">
      <c r="A25" s="107" t="s">
        <v>2642</v>
      </c>
      <c r="B25" s="107" t="s">
        <v>2643</v>
      </c>
      <c r="C25" s="107" t="s">
        <v>2644</v>
      </c>
      <c r="D25" s="108">
        <v>100</v>
      </c>
      <c r="E25" s="108">
        <v>0</v>
      </c>
      <c r="F25" s="107" t="s">
        <v>2645</v>
      </c>
      <c r="G25" s="109" t="s">
        <v>13</v>
      </c>
    </row>
    <row r="26" spans="1:7" ht="41.25" x14ac:dyDescent="0.2">
      <c r="A26" s="107" t="s">
        <v>2646</v>
      </c>
      <c r="B26" s="107" t="s">
        <v>2647</v>
      </c>
      <c r="C26" s="107" t="s">
        <v>2648</v>
      </c>
      <c r="D26" s="108">
        <v>20</v>
      </c>
      <c r="E26" s="108">
        <v>20000</v>
      </c>
      <c r="F26" s="107" t="s">
        <v>2649</v>
      </c>
      <c r="G26" s="109" t="s">
        <v>13</v>
      </c>
    </row>
    <row r="27" spans="1:7" ht="54.75" x14ac:dyDescent="0.2">
      <c r="A27" s="107" t="s">
        <v>2650</v>
      </c>
      <c r="B27" s="107" t="s">
        <v>2651</v>
      </c>
      <c r="C27" s="107" t="s">
        <v>2652</v>
      </c>
      <c r="D27" s="108">
        <v>10</v>
      </c>
      <c r="E27" s="108">
        <v>10000</v>
      </c>
      <c r="F27" s="107" t="s">
        <v>2653</v>
      </c>
      <c r="G27" s="109" t="s">
        <v>13</v>
      </c>
    </row>
    <row r="28" spans="1:7" ht="68.25" x14ac:dyDescent="0.2">
      <c r="A28" s="107" t="s">
        <v>2757</v>
      </c>
      <c r="B28" s="107" t="s">
        <v>2760</v>
      </c>
      <c r="C28" s="107" t="s">
        <v>2765</v>
      </c>
      <c r="D28" s="108">
        <v>0</v>
      </c>
      <c r="E28" s="108">
        <v>15000</v>
      </c>
      <c r="F28" s="109" t="s">
        <v>13</v>
      </c>
      <c r="G28" s="109" t="s">
        <v>13</v>
      </c>
    </row>
    <row r="29" spans="1:7" ht="68.25" x14ac:dyDescent="0.2">
      <c r="A29" s="107" t="s">
        <v>2758</v>
      </c>
      <c r="B29" s="107" t="s">
        <v>2761</v>
      </c>
      <c r="C29" s="107" t="s">
        <v>2764</v>
      </c>
      <c r="D29" s="108">
        <v>0</v>
      </c>
      <c r="E29" s="108">
        <v>25000</v>
      </c>
      <c r="F29" s="109" t="s">
        <v>13</v>
      </c>
      <c r="G29" s="109" t="s">
        <v>13</v>
      </c>
    </row>
    <row r="30" spans="1:7" ht="68.25" x14ac:dyDescent="0.2">
      <c r="A30" s="107" t="s">
        <v>2759</v>
      </c>
      <c r="B30" s="107" t="s">
        <v>2762</v>
      </c>
      <c r="C30" s="107" t="s">
        <v>2763</v>
      </c>
      <c r="D30" s="108">
        <v>0</v>
      </c>
      <c r="E30" s="108">
        <v>30000</v>
      </c>
      <c r="F30" s="109" t="s">
        <v>13</v>
      </c>
      <c r="G30" s="109" t="s">
        <v>13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workbookViewId="0">
      <pane ySplit="1" topLeftCell="A2" activePane="bottomLeft" state="frozen"/>
      <selection pane="bottomLeft" sqref="A1:I1"/>
    </sheetView>
  </sheetViews>
  <sheetFormatPr defaultRowHeight="15" x14ac:dyDescent="0.2"/>
  <cols>
    <col min="1" max="1" width="7.93359375" customWidth="1"/>
    <col min="2" max="2" width="23.9453125" customWidth="1"/>
    <col min="3" max="3" width="13.98828125" customWidth="1"/>
    <col min="4" max="4" width="9.953125" customWidth="1"/>
    <col min="5" max="5" width="11.97265625" customWidth="1"/>
    <col min="6" max="6" width="13.046875" customWidth="1"/>
    <col min="7" max="8" width="13.98828125" customWidth="1"/>
    <col min="9" max="9" width="25.9609375" customWidth="1"/>
    <col min="10" max="10" width="34.03125" customWidth="1"/>
    <col min="11" max="11" width="39.953125" customWidth="1"/>
  </cols>
  <sheetData>
    <row r="1" spans="1:11" ht="30" customHeight="1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 x14ac:dyDescent="0.2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 x14ac:dyDescent="0.2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 x14ac:dyDescent="0.2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 x14ac:dyDescent="0.2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 x14ac:dyDescent="0.2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 x14ac:dyDescent="0.2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 x14ac:dyDescent="0.2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 x14ac:dyDescent="0.2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 x14ac:dyDescent="0.2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 x14ac:dyDescent="0.2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 x14ac:dyDescent="0.2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 x14ac:dyDescent="0.2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 x14ac:dyDescent="0.2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 x14ac:dyDescent="0.2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 x14ac:dyDescent="0.2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 x14ac:dyDescent="0.2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 x14ac:dyDescent="0.2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 x14ac:dyDescent="0.2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 x14ac:dyDescent="0.2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 x14ac:dyDescent="0.2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 x14ac:dyDescent="0.2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bottomLeft" activeCell="H26" sqref="H26"/>
      <selection pane="topRight" activeCell="H26" sqref="H26"/>
      <selection pane="bottomRight" activeCell="E129" sqref="E129"/>
    </sheetView>
  </sheetViews>
  <sheetFormatPr defaultColWidth="8.7421875" defaultRowHeight="15" x14ac:dyDescent="0.2"/>
  <cols>
    <col min="1" max="1" width="7.93359375" customWidth="1"/>
    <col min="2" max="5" width="20.04296875" customWidth="1"/>
    <col min="6" max="6" width="22.05859375" customWidth="1"/>
    <col min="7" max="7" width="20.04296875" customWidth="1"/>
    <col min="8" max="8" width="13.98828125" customWidth="1"/>
    <col min="9" max="9" width="11.97265625" customWidth="1"/>
    <col min="10" max="10" width="9.01171875" customWidth="1"/>
    <col min="11" max="11" width="11.97265625" customWidth="1"/>
    <col min="12" max="12" width="9.01171875" customWidth="1"/>
    <col min="13" max="13" width="39.953125" customWidth="1"/>
    <col min="14" max="14" width="11.02734375" customWidth="1"/>
    <col min="15" max="15" width="34.03125" customWidth="1"/>
  </cols>
  <sheetData>
    <row r="1" spans="1:14" ht="31.5" customHeight="1" thickBot="1" x14ac:dyDescent="0.25">
      <c r="A1" s="2" t="s">
        <v>1052</v>
      </c>
      <c r="B1" s="2" t="s">
        <v>2</v>
      </c>
      <c r="C1" s="2" t="s">
        <v>2442</v>
      </c>
      <c r="D1" s="2" t="s">
        <v>2349</v>
      </c>
      <c r="E1" s="2" t="s">
        <v>1011</v>
      </c>
      <c r="F1" s="2" t="s">
        <v>2559</v>
      </c>
      <c r="G1" s="2" t="s">
        <v>2552</v>
      </c>
      <c r="H1" s="2" t="s">
        <v>2348</v>
      </c>
      <c r="I1" s="2" t="s">
        <v>2549</v>
      </c>
      <c r="J1" s="2" t="s">
        <v>2550</v>
      </c>
      <c r="K1" s="2" t="s">
        <v>2551</v>
      </c>
      <c r="L1" s="2" t="s">
        <v>2342</v>
      </c>
      <c r="M1" s="2" t="s">
        <v>2343</v>
      </c>
      <c r="N1" s="2" t="s">
        <v>2344</v>
      </c>
    </row>
    <row r="2" spans="1:14" ht="39" customHeight="1" thickBot="1" x14ac:dyDescent="0.25">
      <c r="A2" s="4" t="s">
        <v>1053</v>
      </c>
      <c r="B2" s="102" t="s">
        <v>2435</v>
      </c>
      <c r="C2" s="103" t="s">
        <v>13</v>
      </c>
      <c r="D2" s="102" t="s">
        <v>2449</v>
      </c>
      <c r="E2" s="102" t="s">
        <v>1064</v>
      </c>
      <c r="F2" s="102" t="s">
        <v>2448</v>
      </c>
      <c r="G2" t="s">
        <v>231</v>
      </c>
      <c r="H2" s="111" t="s">
        <v>2755</v>
      </c>
      <c r="I2" s="102" t="s">
        <v>120</v>
      </c>
      <c r="J2" s="102" t="s">
        <v>130</v>
      </c>
      <c r="K2" s="102" t="s">
        <v>125</v>
      </c>
      <c r="L2" s="111" t="s">
        <v>2347</v>
      </c>
      <c r="M2" s="111" t="s">
        <v>2347</v>
      </c>
      <c r="N2" s="111" t="s">
        <v>2347</v>
      </c>
    </row>
    <row r="3" spans="1:14" ht="39" customHeight="1" thickBot="1" x14ac:dyDescent="0.25">
      <c r="A3" s="4" t="s">
        <v>1056</v>
      </c>
      <c r="B3" s="102" t="s">
        <v>2350</v>
      </c>
      <c r="C3" s="103" t="s">
        <v>13</v>
      </c>
      <c r="D3" s="102" t="s">
        <v>2449</v>
      </c>
      <c r="E3" s="102" t="s">
        <v>1061</v>
      </c>
      <c r="F3" s="102" t="s">
        <v>2444</v>
      </c>
      <c r="G3" t="s">
        <v>259</v>
      </c>
      <c r="H3" s="111" t="s">
        <v>2711</v>
      </c>
      <c r="I3" s="102" t="s">
        <v>145</v>
      </c>
      <c r="J3" s="102" t="s">
        <v>125</v>
      </c>
      <c r="K3" s="102" t="s">
        <v>140</v>
      </c>
      <c r="L3" s="112" t="s">
        <v>2346</v>
      </c>
      <c r="M3" s="75" t="s">
        <v>322</v>
      </c>
      <c r="N3" s="75" t="s">
        <v>2347</v>
      </c>
    </row>
    <row r="4" spans="1:14" ht="39" customHeight="1" thickBot="1" x14ac:dyDescent="0.25">
      <c r="A4" s="4" t="s">
        <v>1059</v>
      </c>
      <c r="B4" s="102" t="s">
        <v>2351</v>
      </c>
      <c r="C4" s="103" t="s">
        <v>13</v>
      </c>
      <c r="D4" s="102" t="s">
        <v>1994</v>
      </c>
      <c r="E4" s="102" t="s">
        <v>1074</v>
      </c>
      <c r="F4" s="102" t="s">
        <v>2443</v>
      </c>
      <c r="G4" t="s">
        <v>255</v>
      </c>
      <c r="H4" s="111" t="s">
        <v>2712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 x14ac:dyDescent="0.25">
      <c r="A5" s="4" t="s">
        <v>1062</v>
      </c>
      <c r="B5" s="102" t="s">
        <v>2352</v>
      </c>
      <c r="C5" s="103" t="s">
        <v>13</v>
      </c>
      <c r="D5" s="102" t="s">
        <v>2449</v>
      </c>
      <c r="E5" s="102" t="s">
        <v>1058</v>
      </c>
      <c r="F5" s="102" t="s">
        <v>2445</v>
      </c>
      <c r="G5" t="s">
        <v>239</v>
      </c>
      <c r="H5" s="111" t="s">
        <v>2713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 x14ac:dyDescent="0.25">
      <c r="A6" s="4" t="s">
        <v>1065</v>
      </c>
      <c r="B6" s="102" t="s">
        <v>2353</v>
      </c>
      <c r="C6" s="103" t="s">
        <v>13</v>
      </c>
      <c r="D6" s="102" t="s">
        <v>1994</v>
      </c>
      <c r="E6" s="102" t="s">
        <v>1074</v>
      </c>
      <c r="F6" s="102" t="s">
        <v>2443</v>
      </c>
      <c r="G6" t="s">
        <v>255</v>
      </c>
      <c r="H6" s="111" t="s">
        <v>2714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2347</v>
      </c>
      <c r="N6" s="75" t="s">
        <v>2346</v>
      </c>
    </row>
    <row r="7" spans="1:14" ht="39" customHeight="1" thickBot="1" x14ac:dyDescent="0.25">
      <c r="A7" s="4" t="s">
        <v>1067</v>
      </c>
      <c r="B7" s="102" t="s">
        <v>2354</v>
      </c>
      <c r="C7" s="103" t="s">
        <v>13</v>
      </c>
      <c r="D7" s="102" t="s">
        <v>2449</v>
      </c>
      <c r="E7" s="102" t="s">
        <v>1055</v>
      </c>
      <c r="F7" s="102" t="s">
        <v>2446</v>
      </c>
      <c r="G7" t="s">
        <v>243</v>
      </c>
      <c r="H7" s="111" t="s">
        <v>2715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 x14ac:dyDescent="0.25">
      <c r="A8" s="4" t="s">
        <v>1070</v>
      </c>
      <c r="B8" s="102" t="s">
        <v>2355</v>
      </c>
      <c r="C8" s="103" t="s">
        <v>13</v>
      </c>
      <c r="D8" s="102" t="s">
        <v>2449</v>
      </c>
      <c r="E8" s="102" t="s">
        <v>1058</v>
      </c>
      <c r="F8" s="102" t="s">
        <v>2445</v>
      </c>
      <c r="G8" t="s">
        <v>255</v>
      </c>
      <c r="H8" s="111" t="s">
        <v>2712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 x14ac:dyDescent="0.25">
      <c r="A9" s="4" t="s">
        <v>1072</v>
      </c>
      <c r="B9" s="102" t="s">
        <v>2356</v>
      </c>
      <c r="C9" s="103" t="s">
        <v>13</v>
      </c>
      <c r="D9" s="102" t="s">
        <v>1994</v>
      </c>
      <c r="E9" s="102" t="s">
        <v>1058</v>
      </c>
      <c r="F9" s="102" t="s">
        <v>2445</v>
      </c>
      <c r="G9" t="s">
        <v>259</v>
      </c>
      <c r="H9" s="111" t="s">
        <v>2716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2347</v>
      </c>
      <c r="N9" s="111" t="s">
        <v>373</v>
      </c>
    </row>
    <row r="10" spans="1:14" ht="39.6" customHeight="1" thickBot="1" x14ac:dyDescent="0.25">
      <c r="A10" s="4" t="s">
        <v>1075</v>
      </c>
      <c r="B10" s="102" t="s">
        <v>2357</v>
      </c>
      <c r="C10" s="103" t="s">
        <v>13</v>
      </c>
      <c r="D10" s="102" t="s">
        <v>1994</v>
      </c>
      <c r="E10" s="102" t="s">
        <v>1069</v>
      </c>
      <c r="F10" s="102" t="s">
        <v>2447</v>
      </c>
      <c r="G10" t="s">
        <v>226</v>
      </c>
      <c r="H10" s="111" t="s">
        <v>2717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 x14ac:dyDescent="0.25">
      <c r="A11" s="4" t="s">
        <v>2450</v>
      </c>
      <c r="B11" s="102" t="s">
        <v>1073</v>
      </c>
      <c r="C11" s="103" t="s">
        <v>2560</v>
      </c>
      <c r="D11" s="102" t="s">
        <v>1994</v>
      </c>
      <c r="E11" s="102" t="s">
        <v>1074</v>
      </c>
      <c r="F11" s="102" t="s">
        <v>2443</v>
      </c>
      <c r="G11" s="103" t="s">
        <v>263</v>
      </c>
      <c r="H11" s="111" t="s">
        <v>2718</v>
      </c>
      <c r="I11" s="102" t="s">
        <v>120</v>
      </c>
      <c r="J11" s="102" t="s">
        <v>125</v>
      </c>
      <c r="K11" s="102" t="s">
        <v>140</v>
      </c>
      <c r="L11" s="104" t="s">
        <v>2345</v>
      </c>
      <c r="M11" s="75" t="s">
        <v>2345</v>
      </c>
      <c r="N11" s="75" t="s">
        <v>327</v>
      </c>
    </row>
    <row r="12" spans="1:14" ht="27" customHeight="1" thickBot="1" x14ac:dyDescent="0.25">
      <c r="A12" s="4" t="s">
        <v>2540</v>
      </c>
      <c r="B12" s="102" t="s">
        <v>2434</v>
      </c>
      <c r="C12" s="103" t="s">
        <v>13</v>
      </c>
      <c r="D12" s="102" t="s">
        <v>2449</v>
      </c>
      <c r="E12" s="102" t="s">
        <v>1058</v>
      </c>
      <c r="F12" s="102" t="s">
        <v>2445</v>
      </c>
      <c r="G12" t="s">
        <v>259</v>
      </c>
      <c r="H12" s="111" t="s">
        <v>2719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2347</v>
      </c>
      <c r="N12" s="111" t="s">
        <v>333</v>
      </c>
    </row>
    <row r="13" spans="1:14" ht="27" customHeight="1" thickBot="1" x14ac:dyDescent="0.25">
      <c r="A13" s="4" t="s">
        <v>2541</v>
      </c>
      <c r="B13" s="102" t="s">
        <v>1057</v>
      </c>
      <c r="C13" s="103" t="s">
        <v>13</v>
      </c>
      <c r="D13" s="102" t="s">
        <v>2449</v>
      </c>
      <c r="E13" s="102" t="s">
        <v>1058</v>
      </c>
      <c r="F13" s="102" t="s">
        <v>2445</v>
      </c>
      <c r="G13" s="105" t="s">
        <v>251</v>
      </c>
      <c r="H13" s="111" t="s">
        <v>2720</v>
      </c>
      <c r="I13" s="102" t="s">
        <v>125</v>
      </c>
      <c r="J13" s="102" t="s">
        <v>140</v>
      </c>
      <c r="K13" s="102" t="s">
        <v>140</v>
      </c>
      <c r="L13" s="111" t="s">
        <v>2655</v>
      </c>
      <c r="M13" s="111" t="s">
        <v>373</v>
      </c>
      <c r="N13" s="111" t="s">
        <v>320</v>
      </c>
    </row>
    <row r="14" spans="1:14" ht="27" customHeight="1" thickBot="1" x14ac:dyDescent="0.25">
      <c r="A14" s="113" t="s">
        <v>2656</v>
      </c>
      <c r="B14" s="114" t="s">
        <v>2657</v>
      </c>
      <c r="C14" s="115" t="s">
        <v>2658</v>
      </c>
      <c r="D14" s="114" t="s">
        <v>2449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2659</v>
      </c>
      <c r="N14" s="113" t="s">
        <v>373</v>
      </c>
    </row>
    <row r="15" spans="1:14" ht="27" customHeight="1" thickBot="1" x14ac:dyDescent="0.25">
      <c r="A15" s="113" t="s">
        <v>2660</v>
      </c>
      <c r="B15" s="114" t="s">
        <v>2661</v>
      </c>
      <c r="C15" s="115" t="s">
        <v>13</v>
      </c>
      <c r="D15" s="114" t="s">
        <v>1994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 x14ac:dyDescent="0.25">
      <c r="A16" s="113" t="s">
        <v>2662</v>
      </c>
      <c r="B16" s="114" t="s">
        <v>2663</v>
      </c>
      <c r="C16" s="115" t="s">
        <v>13</v>
      </c>
      <c r="D16" s="114" t="s">
        <v>2449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2664</v>
      </c>
      <c r="M16" s="113" t="s">
        <v>2347</v>
      </c>
      <c r="N16" s="113" t="s">
        <v>380</v>
      </c>
    </row>
    <row r="17" spans="1:14" ht="15.75" customHeight="1" thickBot="1" x14ac:dyDescent="0.25">
      <c r="A17" s="113" t="s">
        <v>2665</v>
      </c>
      <c r="B17" s="114" t="s">
        <v>2666</v>
      </c>
      <c r="C17" s="115" t="s">
        <v>13</v>
      </c>
      <c r="D17" s="114" t="s">
        <v>1994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2347</v>
      </c>
      <c r="M17" s="113" t="s">
        <v>373</v>
      </c>
      <c r="N17" s="113" t="s">
        <v>322</v>
      </c>
    </row>
    <row r="18" spans="1:14" ht="15.75" customHeight="1" thickBot="1" x14ac:dyDescent="0.25">
      <c r="A18" s="113" t="s">
        <v>2667</v>
      </c>
      <c r="B18" s="114" t="s">
        <v>2668</v>
      </c>
      <c r="C18" s="115" t="s">
        <v>13</v>
      </c>
      <c r="D18" s="114" t="s">
        <v>2449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 x14ac:dyDescent="0.25">
      <c r="A19" s="113" t="s">
        <v>2669</v>
      </c>
      <c r="B19" s="114" t="s">
        <v>2670</v>
      </c>
      <c r="C19" s="115" t="s">
        <v>13</v>
      </c>
      <c r="D19" s="114" t="s">
        <v>1994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2347</v>
      </c>
      <c r="N19" s="113" t="s">
        <v>373</v>
      </c>
    </row>
    <row r="20" spans="1:14" ht="27" customHeight="1" thickBot="1" x14ac:dyDescent="0.25">
      <c r="A20" s="113" t="s">
        <v>2671</v>
      </c>
      <c r="B20" s="114" t="s">
        <v>2672</v>
      </c>
      <c r="C20" s="115" t="s">
        <v>13</v>
      </c>
      <c r="D20" s="114" t="s">
        <v>2449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2347</v>
      </c>
      <c r="M20" s="113" t="s">
        <v>333</v>
      </c>
      <c r="N20" s="113" t="s">
        <v>322</v>
      </c>
    </row>
    <row r="21" spans="1:14" ht="27" customHeight="1" thickBot="1" x14ac:dyDescent="0.25">
      <c r="A21" s="113" t="s">
        <v>2673</v>
      </c>
      <c r="B21" s="114" t="s">
        <v>2674</v>
      </c>
      <c r="C21" s="115" t="s">
        <v>13</v>
      </c>
      <c r="D21" s="114" t="s">
        <v>1994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 x14ac:dyDescent="0.25">
      <c r="A22" s="4" t="s">
        <v>2451</v>
      </c>
      <c r="B22" s="102" t="s">
        <v>1054</v>
      </c>
      <c r="C22" s="103" t="s">
        <v>13</v>
      </c>
      <c r="D22" s="102" t="s">
        <v>1994</v>
      </c>
      <c r="E22" s="114" t="s">
        <v>13</v>
      </c>
      <c r="F22" s="114" t="s">
        <v>13</v>
      </c>
      <c r="G22" t="s">
        <v>239</v>
      </c>
      <c r="H22" s="111" t="s">
        <v>2721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2347</v>
      </c>
      <c r="N22" s="111" t="s">
        <v>373</v>
      </c>
    </row>
    <row r="23" spans="1:14" ht="15.75" customHeight="1" thickBot="1" x14ac:dyDescent="0.25">
      <c r="A23" s="113" t="s">
        <v>2675</v>
      </c>
      <c r="B23" s="114" t="s">
        <v>2676</v>
      </c>
      <c r="C23" s="115" t="s">
        <v>2677</v>
      </c>
      <c r="D23" s="114" t="s">
        <v>1994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2659</v>
      </c>
      <c r="M23" s="113" t="s">
        <v>374</v>
      </c>
      <c r="N23" s="113" t="s">
        <v>322</v>
      </c>
    </row>
    <row r="24" spans="1:14" ht="27" customHeight="1" thickBot="1" x14ac:dyDescent="0.25">
      <c r="A24" s="113" t="s">
        <v>2678</v>
      </c>
      <c r="B24" s="114" t="s">
        <v>2679</v>
      </c>
      <c r="C24" s="115" t="s">
        <v>13</v>
      </c>
      <c r="D24" s="114" t="s">
        <v>2449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 x14ac:dyDescent="0.25">
      <c r="A25" s="113" t="s">
        <v>2680</v>
      </c>
      <c r="B25" s="114" t="s">
        <v>2681</v>
      </c>
      <c r="C25" s="115" t="s">
        <v>13</v>
      </c>
      <c r="D25" s="114" t="s">
        <v>1994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 x14ac:dyDescent="0.25">
      <c r="A26" s="113" t="s">
        <v>2682</v>
      </c>
      <c r="B26" s="114" t="s">
        <v>2683</v>
      </c>
      <c r="C26" s="115" t="s">
        <v>13</v>
      </c>
      <c r="D26" s="114" t="s">
        <v>2449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2347</v>
      </c>
      <c r="M26" s="113" t="s">
        <v>373</v>
      </c>
      <c r="N26" s="113" t="s">
        <v>322</v>
      </c>
    </row>
    <row r="27" spans="1:14" ht="15.75" customHeight="1" thickBot="1" x14ac:dyDescent="0.25">
      <c r="A27" s="113" t="s">
        <v>2684</v>
      </c>
      <c r="B27" s="114" t="s">
        <v>2685</v>
      </c>
      <c r="C27" s="115" t="s">
        <v>13</v>
      </c>
      <c r="D27" s="114" t="s">
        <v>1994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 x14ac:dyDescent="0.25">
      <c r="A28" s="113" t="s">
        <v>2686</v>
      </c>
      <c r="B28" s="114" t="s">
        <v>2687</v>
      </c>
      <c r="C28" s="115" t="s">
        <v>13</v>
      </c>
      <c r="D28" s="114" t="s">
        <v>2449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2347</v>
      </c>
      <c r="M28" s="113" t="s">
        <v>333</v>
      </c>
      <c r="N28" s="113" t="s">
        <v>327</v>
      </c>
    </row>
    <row r="29" spans="1:14" ht="27" customHeight="1" thickBot="1" x14ac:dyDescent="0.25">
      <c r="A29" s="113" t="s">
        <v>2688</v>
      </c>
      <c r="B29" s="114" t="s">
        <v>2689</v>
      </c>
      <c r="C29" s="115" t="s">
        <v>13</v>
      </c>
      <c r="D29" s="114" t="s">
        <v>1994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 x14ac:dyDescent="0.25">
      <c r="A30" s="113" t="s">
        <v>2690</v>
      </c>
      <c r="B30" s="114" t="s">
        <v>2691</v>
      </c>
      <c r="C30" s="115" t="s">
        <v>13</v>
      </c>
      <c r="D30" s="114" t="s">
        <v>2449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 x14ac:dyDescent="0.25">
      <c r="A31" s="113" t="s">
        <v>2692</v>
      </c>
      <c r="B31" s="114" t="s">
        <v>2693</v>
      </c>
      <c r="C31" s="115" t="s">
        <v>2694</v>
      </c>
      <c r="D31" s="114" t="s">
        <v>1994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2655</v>
      </c>
    </row>
    <row r="32" spans="1:14" ht="15.75" customHeight="1" thickBot="1" x14ac:dyDescent="0.25">
      <c r="A32" s="113" t="s">
        <v>2695</v>
      </c>
      <c r="B32" s="114" t="s">
        <v>2696</v>
      </c>
      <c r="C32" s="115" t="s">
        <v>13</v>
      </c>
      <c r="D32" s="114" t="s">
        <v>2449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2347</v>
      </c>
      <c r="M32" s="113" t="s">
        <v>373</v>
      </c>
      <c r="N32" s="113" t="s">
        <v>322</v>
      </c>
    </row>
    <row r="33" spans="1:14" ht="27" customHeight="1" thickBot="1" x14ac:dyDescent="0.25">
      <c r="A33" s="4" t="s">
        <v>2452</v>
      </c>
      <c r="B33" s="102" t="s">
        <v>2358</v>
      </c>
      <c r="C33" s="103" t="s">
        <v>13</v>
      </c>
      <c r="D33" s="102" t="s">
        <v>1994</v>
      </c>
      <c r="E33" s="102" t="s">
        <v>1058</v>
      </c>
      <c r="F33" s="102" t="s">
        <v>2445</v>
      </c>
      <c r="G33" t="s">
        <v>239</v>
      </c>
      <c r="H33" s="111" t="s">
        <v>2721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2347</v>
      </c>
      <c r="N33" s="111" t="s">
        <v>333</v>
      </c>
    </row>
    <row r="34" spans="1:14" ht="27" customHeight="1" thickBot="1" x14ac:dyDescent="0.25">
      <c r="A34" s="113" t="s">
        <v>2697</v>
      </c>
      <c r="B34" s="114" t="s">
        <v>2698</v>
      </c>
      <c r="C34" s="115" t="s">
        <v>13</v>
      </c>
      <c r="D34" s="114" t="s">
        <v>1994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2347</v>
      </c>
      <c r="N34" s="113" t="s">
        <v>373</v>
      </c>
    </row>
    <row r="35" spans="1:14" ht="27" customHeight="1" thickBot="1" x14ac:dyDescent="0.25">
      <c r="A35" s="113" t="s">
        <v>2699</v>
      </c>
      <c r="B35" s="114" t="s">
        <v>2700</v>
      </c>
      <c r="C35" s="115" t="s">
        <v>13</v>
      </c>
      <c r="D35" s="114" t="s">
        <v>2449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2347</v>
      </c>
      <c r="N35" s="113" t="s">
        <v>373</v>
      </c>
    </row>
    <row r="36" spans="1:14" ht="15.75" customHeight="1" thickBot="1" x14ac:dyDescent="0.25">
      <c r="A36" s="113" t="s">
        <v>2701</v>
      </c>
      <c r="B36" s="114" t="s">
        <v>2702</v>
      </c>
      <c r="C36" s="115" t="s">
        <v>13</v>
      </c>
      <c r="D36" s="114" t="s">
        <v>1994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 x14ac:dyDescent="0.25">
      <c r="A37" s="113" t="s">
        <v>2703</v>
      </c>
      <c r="B37" s="114" t="s">
        <v>2704</v>
      </c>
      <c r="C37" s="115" t="s">
        <v>13</v>
      </c>
      <c r="D37" s="114" t="s">
        <v>2449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2347</v>
      </c>
      <c r="N37" s="113" t="s">
        <v>333</v>
      </c>
    </row>
    <row r="38" spans="1:14" ht="15.75" customHeight="1" thickBot="1" x14ac:dyDescent="0.25">
      <c r="A38" s="113" t="s">
        <v>2705</v>
      </c>
      <c r="B38" s="114" t="s">
        <v>2706</v>
      </c>
      <c r="C38" s="115" t="s">
        <v>13</v>
      </c>
      <c r="D38" s="114" t="s">
        <v>1994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 x14ac:dyDescent="0.25">
      <c r="A39" s="113" t="s">
        <v>2707</v>
      </c>
      <c r="B39" s="114" t="s">
        <v>2708</v>
      </c>
      <c r="C39" s="115" t="s">
        <v>13</v>
      </c>
      <c r="D39" s="114" t="s">
        <v>2449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2664</v>
      </c>
    </row>
    <row r="40" spans="1:14" ht="27" customHeight="1" thickBot="1" x14ac:dyDescent="0.25">
      <c r="A40" s="4" t="s">
        <v>2453</v>
      </c>
      <c r="B40" s="102" t="s">
        <v>2359</v>
      </c>
      <c r="C40" s="103" t="s">
        <v>13</v>
      </c>
      <c r="D40" s="102" t="s">
        <v>1994</v>
      </c>
      <c r="E40" s="102" t="s">
        <v>1058</v>
      </c>
      <c r="F40" s="102" t="s">
        <v>2445</v>
      </c>
      <c r="G40" t="s">
        <v>251</v>
      </c>
      <c r="H40" s="111" t="s">
        <v>2722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 x14ac:dyDescent="0.25">
      <c r="A41" s="4" t="s">
        <v>2454</v>
      </c>
      <c r="B41" s="102" t="s">
        <v>2360</v>
      </c>
      <c r="C41" s="103" t="s">
        <v>13</v>
      </c>
      <c r="D41" s="102" t="s">
        <v>1994</v>
      </c>
      <c r="E41" s="102" t="s">
        <v>1055</v>
      </c>
      <c r="F41" s="102" t="s">
        <v>2446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2347</v>
      </c>
      <c r="N41" s="111" t="s">
        <v>380</v>
      </c>
    </row>
    <row r="42" spans="1:14" ht="15.75" customHeight="1" thickBot="1" x14ac:dyDescent="0.25">
      <c r="A42" s="4" t="s">
        <v>2455</v>
      </c>
      <c r="B42" s="102" t="s">
        <v>2361</v>
      </c>
      <c r="C42" s="103" t="s">
        <v>13</v>
      </c>
      <c r="D42" s="102" t="s">
        <v>1994</v>
      </c>
      <c r="E42" s="102" t="s">
        <v>1055</v>
      </c>
      <c r="F42" s="102" t="s">
        <v>2446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 x14ac:dyDescent="0.25">
      <c r="A43" s="4" t="s">
        <v>2456</v>
      </c>
      <c r="B43" s="102" t="s">
        <v>2362</v>
      </c>
      <c r="C43" s="103" t="s">
        <v>13</v>
      </c>
      <c r="D43" s="102" t="s">
        <v>2449</v>
      </c>
      <c r="E43" s="102" t="s">
        <v>1058</v>
      </c>
      <c r="F43" s="102" t="s">
        <v>2445</v>
      </c>
      <c r="G43" t="s">
        <v>259</v>
      </c>
      <c r="H43" s="111" t="s">
        <v>2719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2347</v>
      </c>
      <c r="N43" s="111" t="s">
        <v>333</v>
      </c>
    </row>
    <row r="44" spans="1:14" ht="116.25" customHeight="1" thickBot="1" x14ac:dyDescent="0.25">
      <c r="A44" s="4" t="s">
        <v>2457</v>
      </c>
      <c r="B44" s="102" t="s">
        <v>2363</v>
      </c>
      <c r="C44" s="103" t="s">
        <v>13</v>
      </c>
      <c r="D44" s="102" t="s">
        <v>1994</v>
      </c>
      <c r="E44" s="102" t="s">
        <v>1058</v>
      </c>
      <c r="F44" s="102" t="s">
        <v>2445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2347</v>
      </c>
      <c r="N44" s="111" t="s">
        <v>333</v>
      </c>
    </row>
    <row r="45" spans="1:14" ht="52.5" customHeight="1" thickBot="1" x14ac:dyDescent="0.25">
      <c r="A45" s="4" t="s">
        <v>2458</v>
      </c>
      <c r="B45" s="102" t="s">
        <v>2364</v>
      </c>
      <c r="C45" s="103" t="s">
        <v>13</v>
      </c>
      <c r="D45" s="102" t="s">
        <v>1994</v>
      </c>
      <c r="E45" s="102" t="s">
        <v>1055</v>
      </c>
      <c r="F45" s="102" t="s">
        <v>2446</v>
      </c>
      <c r="G45" t="s">
        <v>247</v>
      </c>
      <c r="H45" s="111" t="s">
        <v>2723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 x14ac:dyDescent="0.25">
      <c r="A46" s="4" t="s">
        <v>2459</v>
      </c>
      <c r="B46" s="102" t="s">
        <v>2365</v>
      </c>
      <c r="C46" s="103" t="s">
        <v>13</v>
      </c>
      <c r="D46" s="102" t="s">
        <v>1994</v>
      </c>
      <c r="E46" s="102" t="s">
        <v>1061</v>
      </c>
      <c r="F46" s="102" t="s">
        <v>2444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 x14ac:dyDescent="0.25">
      <c r="A47" s="4" t="s">
        <v>2460</v>
      </c>
      <c r="B47" s="102" t="s">
        <v>2366</v>
      </c>
      <c r="C47" s="103" t="s">
        <v>13</v>
      </c>
      <c r="D47" s="102" t="s">
        <v>1994</v>
      </c>
      <c r="E47" s="102" t="s">
        <v>1055</v>
      </c>
      <c r="F47" s="102" t="s">
        <v>2446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2347</v>
      </c>
      <c r="N47" s="111" t="s">
        <v>327</v>
      </c>
    </row>
    <row r="48" spans="1:14" ht="27" customHeight="1" thickBot="1" x14ac:dyDescent="0.25">
      <c r="A48" s="4" t="s">
        <v>2461</v>
      </c>
      <c r="B48" s="102" t="s">
        <v>2367</v>
      </c>
      <c r="C48" s="103" t="s">
        <v>13</v>
      </c>
      <c r="D48" s="102" t="s">
        <v>1994</v>
      </c>
      <c r="E48" s="102" t="s">
        <v>1058</v>
      </c>
      <c r="F48" s="102" t="s">
        <v>2445</v>
      </c>
      <c r="G48" t="s">
        <v>235</v>
      </c>
      <c r="H48" s="111" t="s">
        <v>2724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 x14ac:dyDescent="0.25">
      <c r="A49" s="4" t="s">
        <v>2462</v>
      </c>
      <c r="B49" s="102" t="s">
        <v>2368</v>
      </c>
      <c r="C49" s="103" t="s">
        <v>13</v>
      </c>
      <c r="D49" s="102" t="s">
        <v>2449</v>
      </c>
      <c r="E49" s="102" t="s">
        <v>1058</v>
      </c>
      <c r="F49" s="102" t="s">
        <v>2445</v>
      </c>
      <c r="G49" t="s">
        <v>247</v>
      </c>
      <c r="H49" s="111" t="s">
        <v>2725</v>
      </c>
      <c r="I49" s="102" t="s">
        <v>120</v>
      </c>
      <c r="J49" s="102" t="s">
        <v>140</v>
      </c>
      <c r="K49" s="102" t="s">
        <v>145</v>
      </c>
      <c r="L49" s="111" t="s">
        <v>2664</v>
      </c>
      <c r="M49" s="111" t="s">
        <v>373</v>
      </c>
      <c r="N49" s="111" t="s">
        <v>333</v>
      </c>
    </row>
    <row r="50" spans="1:14" ht="27" customHeight="1" thickBot="1" x14ac:dyDescent="0.25">
      <c r="A50" s="4" t="s">
        <v>2463</v>
      </c>
      <c r="B50" s="102" t="s">
        <v>2369</v>
      </c>
      <c r="C50" s="103" t="s">
        <v>13</v>
      </c>
      <c r="D50" s="102" t="s">
        <v>2449</v>
      </c>
      <c r="E50" s="102" t="s">
        <v>1055</v>
      </c>
      <c r="F50" s="102" t="s">
        <v>2446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 x14ac:dyDescent="0.25">
      <c r="A51" s="4" t="s">
        <v>2464</v>
      </c>
      <c r="B51" s="102" t="s">
        <v>2370</v>
      </c>
      <c r="C51" s="103" t="s">
        <v>13</v>
      </c>
      <c r="D51" s="102" t="s">
        <v>1994</v>
      </c>
      <c r="E51" s="102" t="s">
        <v>1061</v>
      </c>
      <c r="F51" s="102" t="s">
        <v>2444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 x14ac:dyDescent="0.25">
      <c r="A52" s="4" t="s">
        <v>2465</v>
      </c>
      <c r="B52" s="102" t="s">
        <v>2371</v>
      </c>
      <c r="C52" s="103" t="s">
        <v>13</v>
      </c>
      <c r="D52" s="102" t="s">
        <v>2449</v>
      </c>
      <c r="E52" s="102" t="s">
        <v>1058</v>
      </c>
      <c r="F52" s="102" t="s">
        <v>2445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2347</v>
      </c>
      <c r="N52" s="111" t="s">
        <v>373</v>
      </c>
    </row>
    <row r="53" spans="1:14" ht="27" customHeight="1" thickBot="1" x14ac:dyDescent="0.25">
      <c r="A53" s="4" t="s">
        <v>2466</v>
      </c>
      <c r="B53" s="102" t="s">
        <v>2372</v>
      </c>
      <c r="C53" s="103" t="s">
        <v>13</v>
      </c>
      <c r="D53" s="102" t="s">
        <v>2449</v>
      </c>
      <c r="E53" s="102" t="s">
        <v>1069</v>
      </c>
      <c r="F53" s="102" t="s">
        <v>2447</v>
      </c>
      <c r="G53" t="s">
        <v>259</v>
      </c>
      <c r="H53" s="111" t="s">
        <v>2711</v>
      </c>
      <c r="I53" s="102" t="s">
        <v>125</v>
      </c>
      <c r="J53" s="102" t="s">
        <v>145</v>
      </c>
      <c r="K53" s="102" t="s">
        <v>140</v>
      </c>
      <c r="L53" s="111" t="s">
        <v>2347</v>
      </c>
      <c r="M53" s="111" t="s">
        <v>373</v>
      </c>
      <c r="N53" s="111" t="s">
        <v>322</v>
      </c>
    </row>
    <row r="54" spans="1:14" ht="27" customHeight="1" thickBot="1" x14ac:dyDescent="0.25">
      <c r="A54" s="4" t="s">
        <v>2467</v>
      </c>
      <c r="B54" s="102" t="s">
        <v>2436</v>
      </c>
      <c r="C54" s="103" t="s">
        <v>2561</v>
      </c>
      <c r="D54" s="102" t="s">
        <v>2449</v>
      </c>
      <c r="E54" s="102" t="s">
        <v>1058</v>
      </c>
      <c r="F54" s="102" t="s">
        <v>2445</v>
      </c>
      <c r="G54" t="s">
        <v>239</v>
      </c>
      <c r="H54" s="111" t="s">
        <v>2726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 x14ac:dyDescent="0.25">
      <c r="A55" s="4" t="s">
        <v>2468</v>
      </c>
      <c r="B55" s="102" t="s">
        <v>2373</v>
      </c>
      <c r="C55" s="103" t="s">
        <v>13</v>
      </c>
      <c r="D55" s="102" t="s">
        <v>2449</v>
      </c>
      <c r="E55" s="102" t="s">
        <v>1055</v>
      </c>
      <c r="F55" s="102" t="s">
        <v>2446</v>
      </c>
      <c r="G55" t="s">
        <v>259</v>
      </c>
      <c r="H55" s="111" t="s">
        <v>2727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 x14ac:dyDescent="0.25">
      <c r="A56" s="4" t="s">
        <v>2469</v>
      </c>
      <c r="B56" s="102" t="s">
        <v>2374</v>
      </c>
      <c r="C56" s="103" t="s">
        <v>2542</v>
      </c>
      <c r="D56" s="102" t="s">
        <v>2449</v>
      </c>
      <c r="E56" s="102" t="s">
        <v>1058</v>
      </c>
      <c r="F56" s="102" t="s">
        <v>2445</v>
      </c>
      <c r="G56" t="s">
        <v>243</v>
      </c>
      <c r="H56" s="111" t="s">
        <v>2728</v>
      </c>
      <c r="I56" s="102" t="s">
        <v>125</v>
      </c>
      <c r="J56" s="102" t="s">
        <v>130</v>
      </c>
      <c r="K56" s="102" t="s">
        <v>125</v>
      </c>
      <c r="L56" s="111" t="s">
        <v>2347</v>
      </c>
      <c r="M56" s="111" t="s">
        <v>2655</v>
      </c>
      <c r="N56" s="111" t="s">
        <v>327</v>
      </c>
    </row>
    <row r="57" spans="1:14" ht="52.5" customHeight="1" thickBot="1" x14ac:dyDescent="0.25">
      <c r="A57" s="4" t="s">
        <v>2470</v>
      </c>
      <c r="B57" s="102" t="s">
        <v>2375</v>
      </c>
      <c r="C57" s="103" t="s">
        <v>13</v>
      </c>
      <c r="D57" s="102" t="s">
        <v>1994</v>
      </c>
      <c r="E57" s="102" t="s">
        <v>1055</v>
      </c>
      <c r="F57" s="102" t="s">
        <v>2446</v>
      </c>
      <c r="G57" t="s">
        <v>231</v>
      </c>
      <c r="H57" s="111" t="s">
        <v>2729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 x14ac:dyDescent="0.25">
      <c r="A58" s="4" t="s">
        <v>2471</v>
      </c>
      <c r="B58" s="102" t="s">
        <v>2376</v>
      </c>
      <c r="C58" s="103" t="s">
        <v>13</v>
      </c>
      <c r="D58" s="102" t="s">
        <v>1994</v>
      </c>
      <c r="E58" s="102" t="s">
        <v>1069</v>
      </c>
      <c r="F58" s="102" t="s">
        <v>2447</v>
      </c>
      <c r="G58" t="s">
        <v>239</v>
      </c>
      <c r="H58" s="111" t="s">
        <v>2730</v>
      </c>
      <c r="I58" s="102" t="s">
        <v>125</v>
      </c>
      <c r="J58" s="102" t="s">
        <v>140</v>
      </c>
      <c r="K58" s="102" t="s">
        <v>120</v>
      </c>
      <c r="L58" s="111" t="s">
        <v>2709</v>
      </c>
      <c r="M58" s="111" t="s">
        <v>373</v>
      </c>
      <c r="N58" s="111" t="s">
        <v>322</v>
      </c>
    </row>
    <row r="59" spans="1:14" ht="27" customHeight="1" thickBot="1" x14ac:dyDescent="0.25">
      <c r="A59" s="4" t="s">
        <v>2472</v>
      </c>
      <c r="B59" s="102" t="s">
        <v>2377</v>
      </c>
      <c r="C59" s="103" t="s">
        <v>13</v>
      </c>
      <c r="D59" s="102" t="s">
        <v>1994</v>
      </c>
      <c r="E59" s="102" t="s">
        <v>1058</v>
      </c>
      <c r="F59" s="102" t="s">
        <v>2445</v>
      </c>
      <c r="G59" t="s">
        <v>255</v>
      </c>
      <c r="H59" s="111" t="s">
        <v>2714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 x14ac:dyDescent="0.25">
      <c r="A60" s="4" t="s">
        <v>2473</v>
      </c>
      <c r="B60" s="102" t="s">
        <v>2437</v>
      </c>
      <c r="C60" s="103" t="s">
        <v>2544</v>
      </c>
      <c r="D60" s="102" t="s">
        <v>2449</v>
      </c>
      <c r="E60" s="102" t="s">
        <v>1069</v>
      </c>
      <c r="F60" s="102" t="s">
        <v>2447</v>
      </c>
      <c r="G60" t="s">
        <v>231</v>
      </c>
      <c r="H60" s="111" t="s">
        <v>2731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 x14ac:dyDescent="0.25">
      <c r="A61" s="4" t="s">
        <v>2474</v>
      </c>
      <c r="B61" s="102" t="s">
        <v>2378</v>
      </c>
      <c r="C61" s="103" t="s">
        <v>13</v>
      </c>
      <c r="D61" s="102" t="s">
        <v>1994</v>
      </c>
      <c r="E61" s="102" t="s">
        <v>1058</v>
      </c>
      <c r="F61" s="102" t="s">
        <v>2445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2347</v>
      </c>
      <c r="N61" s="111" t="s">
        <v>333</v>
      </c>
    </row>
    <row r="62" spans="1:14" ht="27" customHeight="1" thickBot="1" x14ac:dyDescent="0.25">
      <c r="A62" s="4" t="s">
        <v>2475</v>
      </c>
      <c r="B62" s="102" t="s">
        <v>2379</v>
      </c>
      <c r="C62" s="103" t="s">
        <v>13</v>
      </c>
      <c r="D62" s="102" t="s">
        <v>1994</v>
      </c>
      <c r="E62" s="102" t="s">
        <v>1061</v>
      </c>
      <c r="F62" s="102" t="s">
        <v>2444</v>
      </c>
      <c r="G62" t="s">
        <v>239</v>
      </c>
      <c r="H62" s="111" t="s">
        <v>2732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 x14ac:dyDescent="0.25">
      <c r="A63" s="4" t="s">
        <v>2476</v>
      </c>
      <c r="B63" s="102" t="s">
        <v>2380</v>
      </c>
      <c r="C63" s="103" t="s">
        <v>2545</v>
      </c>
      <c r="D63" s="102" t="s">
        <v>1994</v>
      </c>
      <c r="E63" s="102" t="s">
        <v>1064</v>
      </c>
      <c r="F63" s="102" t="s">
        <v>2448</v>
      </c>
      <c r="G63" t="s">
        <v>251</v>
      </c>
      <c r="H63" s="111" t="s">
        <v>2733</v>
      </c>
      <c r="I63" s="102" t="s">
        <v>125</v>
      </c>
      <c r="J63" s="102" t="s">
        <v>145</v>
      </c>
      <c r="K63" s="102" t="s">
        <v>140</v>
      </c>
      <c r="L63" s="111" t="s">
        <v>2655</v>
      </c>
      <c r="M63" s="111" t="s">
        <v>357</v>
      </c>
      <c r="N63" s="111" t="s">
        <v>327</v>
      </c>
    </row>
    <row r="64" spans="1:14" ht="27" customHeight="1" thickBot="1" x14ac:dyDescent="0.25">
      <c r="A64" s="4" t="s">
        <v>2477</v>
      </c>
      <c r="B64" s="102" t="s">
        <v>2381</v>
      </c>
      <c r="C64" s="103" t="s">
        <v>13</v>
      </c>
      <c r="D64" s="102" t="s">
        <v>2449</v>
      </c>
      <c r="E64" s="102" t="s">
        <v>1058</v>
      </c>
      <c r="F64" s="102" t="s">
        <v>2445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 x14ac:dyDescent="0.25">
      <c r="A65" s="4" t="s">
        <v>2478</v>
      </c>
      <c r="B65" s="102" t="s">
        <v>2382</v>
      </c>
      <c r="C65" s="103" t="s">
        <v>13</v>
      </c>
      <c r="D65" s="102" t="s">
        <v>1994</v>
      </c>
      <c r="E65" s="102" t="s">
        <v>1069</v>
      </c>
      <c r="F65" s="102" t="s">
        <v>2447</v>
      </c>
      <c r="G65" t="s">
        <v>247</v>
      </c>
      <c r="H65" s="111" t="s">
        <v>2734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2347</v>
      </c>
      <c r="N65" s="111" t="s">
        <v>373</v>
      </c>
    </row>
    <row r="66" spans="1:14" ht="15.75" customHeight="1" thickBot="1" x14ac:dyDescent="0.25">
      <c r="A66" s="4" t="s">
        <v>2479</v>
      </c>
      <c r="B66" s="102" t="s">
        <v>2383</v>
      </c>
      <c r="C66" s="103" t="s">
        <v>13</v>
      </c>
      <c r="D66" s="102" t="s">
        <v>2449</v>
      </c>
      <c r="E66" s="102" t="s">
        <v>1058</v>
      </c>
      <c r="F66" s="102" t="s">
        <v>2445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2347</v>
      </c>
      <c r="N66" s="111" t="s">
        <v>380</v>
      </c>
    </row>
    <row r="67" spans="1:14" ht="27" customHeight="1" thickBot="1" x14ac:dyDescent="0.25">
      <c r="A67" s="4" t="s">
        <v>2480</v>
      </c>
      <c r="B67" s="102" t="s">
        <v>2384</v>
      </c>
      <c r="C67" s="103" t="s">
        <v>13</v>
      </c>
      <c r="D67" s="102" t="s">
        <v>1994</v>
      </c>
      <c r="E67" s="102" t="s">
        <v>1058</v>
      </c>
      <c r="F67" s="102" t="s">
        <v>2445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2347</v>
      </c>
      <c r="N67" s="111" t="s">
        <v>333</v>
      </c>
    </row>
    <row r="68" spans="1:14" ht="27" customHeight="1" thickBot="1" x14ac:dyDescent="0.25">
      <c r="A68" s="4" t="s">
        <v>2481</v>
      </c>
      <c r="B68" s="102" t="s">
        <v>2438</v>
      </c>
      <c r="C68" s="103" t="s">
        <v>13</v>
      </c>
      <c r="D68" s="102" t="s">
        <v>1994</v>
      </c>
      <c r="E68" s="102" t="s">
        <v>1055</v>
      </c>
      <c r="F68" s="102" t="s">
        <v>2446</v>
      </c>
      <c r="G68" t="s">
        <v>255</v>
      </c>
      <c r="H68" s="111" t="s">
        <v>2714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 x14ac:dyDescent="0.25">
      <c r="A69" s="4" t="s">
        <v>2482</v>
      </c>
      <c r="B69" s="102" t="s">
        <v>2385</v>
      </c>
      <c r="C69" s="103" t="s">
        <v>13</v>
      </c>
      <c r="D69" s="102" t="s">
        <v>1994</v>
      </c>
      <c r="E69" s="102" t="s">
        <v>1074</v>
      </c>
      <c r="F69" s="102" t="s">
        <v>2443</v>
      </c>
      <c r="G69" t="s">
        <v>231</v>
      </c>
      <c r="H69" s="111" t="s">
        <v>2735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2347</v>
      </c>
      <c r="N69" s="111" t="s">
        <v>2347</v>
      </c>
    </row>
    <row r="70" spans="1:14" ht="27" customHeight="1" thickBot="1" x14ac:dyDescent="0.25">
      <c r="A70" s="4" t="s">
        <v>2483</v>
      </c>
      <c r="B70" s="102" t="s">
        <v>2386</v>
      </c>
      <c r="C70" s="103" t="s">
        <v>13</v>
      </c>
      <c r="D70" s="102" t="s">
        <v>2449</v>
      </c>
      <c r="E70" s="102" t="s">
        <v>1061</v>
      </c>
      <c r="F70" s="102" t="s">
        <v>2444</v>
      </c>
      <c r="G70" t="s">
        <v>243</v>
      </c>
      <c r="H70" s="111" t="s">
        <v>2715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2347</v>
      </c>
      <c r="N70" s="111" t="s">
        <v>333</v>
      </c>
    </row>
    <row r="71" spans="1:14" ht="27" customHeight="1" thickBot="1" x14ac:dyDescent="0.25">
      <c r="A71" s="4" t="s">
        <v>2484</v>
      </c>
      <c r="B71" s="102" t="s">
        <v>2387</v>
      </c>
      <c r="C71" s="103" t="s">
        <v>13</v>
      </c>
      <c r="D71" s="102" t="s">
        <v>1994</v>
      </c>
      <c r="E71" s="102" t="s">
        <v>1074</v>
      </c>
      <c r="F71" s="102" t="s">
        <v>2443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2664</v>
      </c>
      <c r="M71" s="111" t="s">
        <v>2347</v>
      </c>
      <c r="N71" s="111" t="s">
        <v>2664</v>
      </c>
    </row>
    <row r="72" spans="1:14" ht="15.75" customHeight="1" thickBot="1" x14ac:dyDescent="0.25">
      <c r="A72" s="4" t="s">
        <v>2485</v>
      </c>
      <c r="B72" s="102" t="s">
        <v>2388</v>
      </c>
      <c r="C72" s="103" t="s">
        <v>13</v>
      </c>
      <c r="D72" s="102" t="s">
        <v>1994</v>
      </c>
      <c r="E72" s="102" t="s">
        <v>1061</v>
      </c>
      <c r="F72" s="102" t="s">
        <v>2444</v>
      </c>
      <c r="G72" t="s">
        <v>226</v>
      </c>
      <c r="H72" s="111" t="s">
        <v>2736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 x14ac:dyDescent="0.25">
      <c r="A73" s="4" t="s">
        <v>2486</v>
      </c>
      <c r="B73" s="102" t="s">
        <v>2389</v>
      </c>
      <c r="C73" s="103" t="s">
        <v>13</v>
      </c>
      <c r="D73" s="102" t="s">
        <v>1994</v>
      </c>
      <c r="E73" s="102" t="s">
        <v>1074</v>
      </c>
      <c r="F73" s="102" t="s">
        <v>2443</v>
      </c>
      <c r="G73" t="s">
        <v>243</v>
      </c>
      <c r="H73" s="111" t="s">
        <v>2737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2347</v>
      </c>
      <c r="N73" s="111" t="s">
        <v>333</v>
      </c>
    </row>
    <row r="74" spans="1:14" ht="15.75" customHeight="1" thickBot="1" x14ac:dyDescent="0.25">
      <c r="A74" s="4" t="s">
        <v>2487</v>
      </c>
      <c r="B74" s="102" t="s">
        <v>1063</v>
      </c>
      <c r="C74" s="103" t="s">
        <v>2543</v>
      </c>
      <c r="D74" s="102" t="s">
        <v>2449</v>
      </c>
      <c r="E74" s="102" t="s">
        <v>1064</v>
      </c>
      <c r="F74" s="102" t="s">
        <v>2448</v>
      </c>
      <c r="G74" t="s">
        <v>255</v>
      </c>
      <c r="H74" s="111" t="s">
        <v>2738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2347</v>
      </c>
    </row>
    <row r="75" spans="1:14" ht="27" customHeight="1" thickBot="1" x14ac:dyDescent="0.25">
      <c r="A75" s="4" t="s">
        <v>2488</v>
      </c>
      <c r="B75" s="102" t="s">
        <v>2390</v>
      </c>
      <c r="C75" s="103" t="s">
        <v>13</v>
      </c>
      <c r="D75" s="102" t="s">
        <v>1994</v>
      </c>
      <c r="E75" s="102" t="s">
        <v>1055</v>
      </c>
      <c r="F75" s="102" t="s">
        <v>2446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2347</v>
      </c>
      <c r="N75" s="111" t="s">
        <v>380</v>
      </c>
    </row>
    <row r="76" spans="1:14" ht="27" customHeight="1" thickBot="1" x14ac:dyDescent="0.25">
      <c r="A76" s="4" t="s">
        <v>2489</v>
      </c>
      <c r="B76" s="102" t="s">
        <v>2391</v>
      </c>
      <c r="C76" s="103" t="s">
        <v>13</v>
      </c>
      <c r="D76" s="102" t="s">
        <v>2449</v>
      </c>
      <c r="E76" s="102" t="s">
        <v>1058</v>
      </c>
      <c r="F76" s="102" t="s">
        <v>2445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2347</v>
      </c>
      <c r="M76" s="111" t="s">
        <v>373</v>
      </c>
      <c r="N76" s="111" t="s">
        <v>322</v>
      </c>
    </row>
    <row r="77" spans="1:14" ht="27" customHeight="1" thickBot="1" x14ac:dyDescent="0.25">
      <c r="A77" s="4" t="s">
        <v>2490</v>
      </c>
      <c r="B77" s="102" t="s">
        <v>2392</v>
      </c>
      <c r="C77" s="103" t="s">
        <v>13</v>
      </c>
      <c r="D77" s="102" t="s">
        <v>1994</v>
      </c>
      <c r="E77" s="102" t="s">
        <v>1069</v>
      </c>
      <c r="F77" s="102" t="s">
        <v>2447</v>
      </c>
      <c r="G77" t="s">
        <v>226</v>
      </c>
      <c r="H77" s="111" t="s">
        <v>2736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2347</v>
      </c>
      <c r="N77" s="111" t="s">
        <v>333</v>
      </c>
    </row>
    <row r="78" spans="1:14" ht="27" customHeight="1" thickBot="1" x14ac:dyDescent="0.25">
      <c r="A78" s="4" t="s">
        <v>2491</v>
      </c>
      <c r="B78" s="102" t="s">
        <v>2393</v>
      </c>
      <c r="C78" s="103" t="s">
        <v>13</v>
      </c>
      <c r="D78" s="102" t="s">
        <v>2449</v>
      </c>
      <c r="E78" s="102" t="s">
        <v>1069</v>
      </c>
      <c r="F78" s="102" t="s">
        <v>2447</v>
      </c>
      <c r="G78" t="s">
        <v>231</v>
      </c>
      <c r="H78" s="111" t="s">
        <v>2739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2347</v>
      </c>
      <c r="N78" s="111" t="s">
        <v>333</v>
      </c>
    </row>
    <row r="79" spans="1:14" ht="27" customHeight="1" thickBot="1" x14ac:dyDescent="0.25">
      <c r="A79" s="4" t="s">
        <v>2492</v>
      </c>
      <c r="B79" s="102" t="s">
        <v>2394</v>
      </c>
      <c r="C79" s="103" t="s">
        <v>13</v>
      </c>
      <c r="D79" s="102" t="s">
        <v>1994</v>
      </c>
      <c r="E79" s="102" t="s">
        <v>1074</v>
      </c>
      <c r="F79" s="102" t="s">
        <v>2443</v>
      </c>
      <c r="G79" t="s">
        <v>235</v>
      </c>
      <c r="H79" s="111" t="s">
        <v>2740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 x14ac:dyDescent="0.25">
      <c r="A80" s="4" t="s">
        <v>2493</v>
      </c>
      <c r="B80" s="102" t="s">
        <v>2395</v>
      </c>
      <c r="C80" s="103" t="s">
        <v>13</v>
      </c>
      <c r="D80" s="102" t="s">
        <v>1994</v>
      </c>
      <c r="E80" s="102" t="s">
        <v>1055</v>
      </c>
      <c r="F80" s="102" t="s">
        <v>2446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 x14ac:dyDescent="0.25">
      <c r="A81" s="4" t="s">
        <v>2494</v>
      </c>
      <c r="B81" s="102" t="s">
        <v>2396</v>
      </c>
      <c r="C81" s="103" t="s">
        <v>13</v>
      </c>
      <c r="D81" s="102" t="s">
        <v>1994</v>
      </c>
      <c r="E81" s="102" t="s">
        <v>1055</v>
      </c>
      <c r="F81" s="102" t="s">
        <v>2446</v>
      </c>
      <c r="G81" t="s">
        <v>235</v>
      </c>
      <c r="H81" s="111" t="s">
        <v>2741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 x14ac:dyDescent="0.25">
      <c r="A82" s="4" t="s">
        <v>2495</v>
      </c>
      <c r="B82" s="102" t="s">
        <v>2397</v>
      </c>
      <c r="C82" s="103" t="s">
        <v>13</v>
      </c>
      <c r="D82" s="102" t="s">
        <v>1994</v>
      </c>
      <c r="E82" s="102" t="s">
        <v>1058</v>
      </c>
      <c r="F82" s="102" t="s">
        <v>2445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 x14ac:dyDescent="0.25">
      <c r="A83" s="4" t="s">
        <v>2496</v>
      </c>
      <c r="B83" s="102" t="s">
        <v>1068</v>
      </c>
      <c r="C83" s="103" t="s">
        <v>13</v>
      </c>
      <c r="D83" s="102" t="s">
        <v>1994</v>
      </c>
      <c r="E83" s="102" t="s">
        <v>1069</v>
      </c>
      <c r="F83" s="102" t="s">
        <v>2447</v>
      </c>
      <c r="G83" t="s">
        <v>247</v>
      </c>
      <c r="H83" s="111" t="s">
        <v>2725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 x14ac:dyDescent="0.25">
      <c r="A84" s="4" t="s">
        <v>2497</v>
      </c>
      <c r="B84" s="102" t="s">
        <v>2398</v>
      </c>
      <c r="C84" s="103" t="s">
        <v>2546</v>
      </c>
      <c r="D84" s="102" t="s">
        <v>1994</v>
      </c>
      <c r="E84" s="102" t="s">
        <v>1069</v>
      </c>
      <c r="F84" s="102" t="s">
        <v>2447</v>
      </c>
      <c r="G84" t="s">
        <v>235</v>
      </c>
      <c r="H84" s="111" t="s">
        <v>2742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2659</v>
      </c>
      <c r="N84" s="111" t="s">
        <v>373</v>
      </c>
    </row>
    <row r="85" spans="1:14" ht="27" customHeight="1" thickBot="1" x14ac:dyDescent="0.25">
      <c r="A85" s="4" t="s">
        <v>2498</v>
      </c>
      <c r="B85" s="102" t="s">
        <v>1060</v>
      </c>
      <c r="C85" s="103" t="s">
        <v>13</v>
      </c>
      <c r="D85" s="102" t="s">
        <v>1994</v>
      </c>
      <c r="E85" s="102" t="s">
        <v>1061</v>
      </c>
      <c r="F85" s="102" t="s">
        <v>2444</v>
      </c>
      <c r="G85" t="s">
        <v>239</v>
      </c>
      <c r="H85" s="111" t="s">
        <v>2730</v>
      </c>
      <c r="I85" s="102" t="s">
        <v>145</v>
      </c>
      <c r="J85" s="102" t="s">
        <v>140</v>
      </c>
      <c r="K85" s="102" t="s">
        <v>140</v>
      </c>
      <c r="L85" s="111" t="s">
        <v>2347</v>
      </c>
      <c r="M85" s="111" t="s">
        <v>327</v>
      </c>
      <c r="N85" s="111" t="s">
        <v>327</v>
      </c>
    </row>
    <row r="86" spans="1:14" ht="27" customHeight="1" thickBot="1" x14ac:dyDescent="0.25">
      <c r="A86" s="4" t="s">
        <v>2499</v>
      </c>
      <c r="B86" s="102" t="s">
        <v>2399</v>
      </c>
      <c r="C86" s="103" t="s">
        <v>13</v>
      </c>
      <c r="D86" s="102" t="s">
        <v>1994</v>
      </c>
      <c r="E86" s="102" t="s">
        <v>1055</v>
      </c>
      <c r="F86" s="102" t="s">
        <v>2446</v>
      </c>
      <c r="G86" t="s">
        <v>247</v>
      </c>
      <c r="H86" s="111" t="s">
        <v>2723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2347</v>
      </c>
      <c r="N86" s="111" t="s">
        <v>373</v>
      </c>
    </row>
    <row r="87" spans="1:14" ht="27" customHeight="1" thickBot="1" x14ac:dyDescent="0.25">
      <c r="A87" s="4" t="s">
        <v>2500</v>
      </c>
      <c r="B87" s="102" t="s">
        <v>2400</v>
      </c>
      <c r="C87" s="103" t="s">
        <v>13</v>
      </c>
      <c r="D87" s="102" t="s">
        <v>1994</v>
      </c>
      <c r="E87" s="102" t="s">
        <v>1058</v>
      </c>
      <c r="F87" s="102" t="s">
        <v>2445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2347</v>
      </c>
      <c r="M87" s="111" t="s">
        <v>373</v>
      </c>
      <c r="N87" s="111" t="s">
        <v>322</v>
      </c>
    </row>
    <row r="88" spans="1:14" ht="27" customHeight="1" thickBot="1" x14ac:dyDescent="0.25">
      <c r="A88" s="4" t="s">
        <v>2501</v>
      </c>
      <c r="B88" s="102" t="s">
        <v>2401</v>
      </c>
      <c r="C88" s="103" t="s">
        <v>13</v>
      </c>
      <c r="D88" s="102" t="s">
        <v>1994</v>
      </c>
      <c r="E88" s="102" t="s">
        <v>1055</v>
      </c>
      <c r="F88" s="102" t="s">
        <v>2446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2347</v>
      </c>
      <c r="N88" s="111" t="s">
        <v>373</v>
      </c>
    </row>
    <row r="89" spans="1:14" ht="15.75" customHeight="1" thickBot="1" x14ac:dyDescent="0.25">
      <c r="A89" s="4" t="s">
        <v>2502</v>
      </c>
      <c r="B89" s="102" t="s">
        <v>2402</v>
      </c>
      <c r="C89" s="103" t="s">
        <v>13</v>
      </c>
      <c r="D89" s="102" t="s">
        <v>2449</v>
      </c>
      <c r="E89" s="102" t="s">
        <v>1074</v>
      </c>
      <c r="F89" s="102" t="s">
        <v>2443</v>
      </c>
      <c r="G89" t="s">
        <v>251</v>
      </c>
      <c r="H89" s="111" t="s">
        <v>2743</v>
      </c>
      <c r="I89" s="102" t="s">
        <v>120</v>
      </c>
      <c r="J89" s="102" t="s">
        <v>125</v>
      </c>
      <c r="K89" s="102" t="s">
        <v>140</v>
      </c>
      <c r="L89" s="111" t="s">
        <v>2664</v>
      </c>
      <c r="M89" s="111" t="s">
        <v>2347</v>
      </c>
      <c r="N89" s="111" t="s">
        <v>380</v>
      </c>
    </row>
    <row r="90" spans="1:14" ht="27" customHeight="1" thickBot="1" x14ac:dyDescent="0.25">
      <c r="A90" s="4" t="s">
        <v>2503</v>
      </c>
      <c r="B90" s="102" t="s">
        <v>2403</v>
      </c>
      <c r="C90" s="103" t="s">
        <v>13</v>
      </c>
      <c r="D90" s="102" t="s">
        <v>1994</v>
      </c>
      <c r="E90" s="102" t="s">
        <v>1055</v>
      </c>
      <c r="F90" s="102" t="s">
        <v>2446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 x14ac:dyDescent="0.25">
      <c r="A91" s="4" t="s">
        <v>2504</v>
      </c>
      <c r="B91" s="102" t="s">
        <v>2404</v>
      </c>
      <c r="C91" s="103" t="s">
        <v>13</v>
      </c>
      <c r="D91" s="102" t="s">
        <v>1994</v>
      </c>
      <c r="E91" s="102" t="s">
        <v>1058</v>
      </c>
      <c r="F91" s="102" t="s">
        <v>2445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2347</v>
      </c>
      <c r="N91" s="111" t="s">
        <v>373</v>
      </c>
    </row>
    <row r="92" spans="1:14" ht="27" customHeight="1" thickBot="1" x14ac:dyDescent="0.25">
      <c r="A92" s="4" t="s">
        <v>2505</v>
      </c>
      <c r="B92" s="102" t="s">
        <v>2405</v>
      </c>
      <c r="C92" s="103" t="s">
        <v>13</v>
      </c>
      <c r="D92" s="102" t="s">
        <v>2449</v>
      </c>
      <c r="E92" s="102" t="s">
        <v>1055</v>
      </c>
      <c r="F92" s="102" t="s">
        <v>2446</v>
      </c>
      <c r="G92" t="s">
        <v>226</v>
      </c>
      <c r="H92" s="111" t="s">
        <v>2744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 x14ac:dyDescent="0.25">
      <c r="A93" s="4" t="s">
        <v>2506</v>
      </c>
      <c r="B93" s="102" t="s">
        <v>2406</v>
      </c>
      <c r="C93" s="103" t="s">
        <v>13</v>
      </c>
      <c r="D93" s="102" t="s">
        <v>2449</v>
      </c>
      <c r="E93" s="102" t="s">
        <v>1055</v>
      </c>
      <c r="F93" s="102" t="s">
        <v>2446</v>
      </c>
      <c r="G93" t="s">
        <v>235</v>
      </c>
      <c r="H93" s="111" t="s">
        <v>2740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 x14ac:dyDescent="0.25">
      <c r="A94" s="4" t="s">
        <v>2507</v>
      </c>
      <c r="B94" s="102" t="s">
        <v>2407</v>
      </c>
      <c r="C94" s="103" t="s">
        <v>2562</v>
      </c>
      <c r="D94" s="102" t="s">
        <v>1994</v>
      </c>
      <c r="E94" s="102" t="s">
        <v>1061</v>
      </c>
      <c r="F94" s="102" t="s">
        <v>2444</v>
      </c>
      <c r="G94" t="s">
        <v>235</v>
      </c>
      <c r="H94" s="111" t="s">
        <v>2745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2655</v>
      </c>
      <c r="N94" s="111" t="s">
        <v>374</v>
      </c>
    </row>
    <row r="95" spans="1:14" ht="15.75" customHeight="1" thickBot="1" x14ac:dyDescent="0.25">
      <c r="A95" s="4" t="s">
        <v>2508</v>
      </c>
      <c r="B95" s="102" t="s">
        <v>2408</v>
      </c>
      <c r="C95" s="103" t="s">
        <v>13</v>
      </c>
      <c r="D95" s="102" t="s">
        <v>2449</v>
      </c>
      <c r="E95" s="102" t="s">
        <v>1055</v>
      </c>
      <c r="F95" s="102" t="s">
        <v>2446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 x14ac:dyDescent="0.25">
      <c r="A96" s="4" t="s">
        <v>2509</v>
      </c>
      <c r="B96" s="102" t="s">
        <v>2409</v>
      </c>
      <c r="C96" s="103" t="s">
        <v>13</v>
      </c>
      <c r="D96" s="102" t="s">
        <v>2449</v>
      </c>
      <c r="E96" s="102" t="s">
        <v>1074</v>
      </c>
      <c r="F96" s="102" t="s">
        <v>2443</v>
      </c>
      <c r="G96" t="s">
        <v>226</v>
      </c>
      <c r="H96" s="111" t="s">
        <v>2744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 x14ac:dyDescent="0.25">
      <c r="A97" s="4" t="s">
        <v>2510</v>
      </c>
      <c r="B97" s="102" t="s">
        <v>2410</v>
      </c>
      <c r="C97" s="103" t="s">
        <v>13</v>
      </c>
      <c r="D97" s="102" t="s">
        <v>1994</v>
      </c>
      <c r="E97" s="102" t="s">
        <v>1058</v>
      </c>
      <c r="F97" s="102" t="s">
        <v>2445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2347</v>
      </c>
      <c r="N97" s="111" t="s">
        <v>327</v>
      </c>
    </row>
    <row r="98" spans="1:14" ht="27" customHeight="1" thickBot="1" x14ac:dyDescent="0.25">
      <c r="A98" s="4" t="s">
        <v>2511</v>
      </c>
      <c r="B98" s="102" t="s">
        <v>2411</v>
      </c>
      <c r="C98" s="103" t="s">
        <v>13</v>
      </c>
      <c r="D98" s="102" t="s">
        <v>2449</v>
      </c>
      <c r="E98" s="102" t="s">
        <v>1069</v>
      </c>
      <c r="F98" s="102" t="s">
        <v>2447</v>
      </c>
      <c r="G98" t="s">
        <v>231</v>
      </c>
      <c r="H98" s="111" t="s">
        <v>2735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2347</v>
      </c>
      <c r="N98" s="111" t="s">
        <v>333</v>
      </c>
    </row>
    <row r="99" spans="1:14" ht="78" customHeight="1" thickBot="1" x14ac:dyDescent="0.25">
      <c r="A99" s="4" t="s">
        <v>2512</v>
      </c>
      <c r="B99" s="102" t="s">
        <v>2412</v>
      </c>
      <c r="C99" s="103" t="s">
        <v>13</v>
      </c>
      <c r="D99" s="102" t="s">
        <v>1994</v>
      </c>
      <c r="E99" s="102" t="s">
        <v>1061</v>
      </c>
      <c r="F99" s="102" t="s">
        <v>2444</v>
      </c>
      <c r="G99" t="s">
        <v>247</v>
      </c>
      <c r="H99" s="111" t="s">
        <v>2734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2347</v>
      </c>
      <c r="N99" s="111" t="s">
        <v>333</v>
      </c>
    </row>
    <row r="100" spans="1:14" ht="15.75" customHeight="1" thickBot="1" x14ac:dyDescent="0.25">
      <c r="A100" s="4" t="s">
        <v>2513</v>
      </c>
      <c r="B100" s="102" t="s">
        <v>2413</v>
      </c>
      <c r="C100" s="103" t="s">
        <v>13</v>
      </c>
      <c r="D100" s="102" t="s">
        <v>2449</v>
      </c>
      <c r="E100" s="102" t="s">
        <v>1058</v>
      </c>
      <c r="F100" s="102" t="s">
        <v>2445</v>
      </c>
      <c r="G100" t="s">
        <v>235</v>
      </c>
      <c r="H100" s="111" t="s">
        <v>2741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 x14ac:dyDescent="0.25">
      <c r="A101" s="4" t="s">
        <v>2514</v>
      </c>
      <c r="B101" s="102" t="s">
        <v>2414</v>
      </c>
      <c r="C101" s="103" t="s">
        <v>13</v>
      </c>
      <c r="D101" s="102" t="s">
        <v>2449</v>
      </c>
      <c r="E101" s="102" t="s">
        <v>1069</v>
      </c>
      <c r="F101" s="102" t="s">
        <v>2447</v>
      </c>
      <c r="G101" t="s">
        <v>243</v>
      </c>
      <c r="H101" s="111" t="s">
        <v>2746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 x14ac:dyDescent="0.25">
      <c r="A102" s="4" t="s">
        <v>2515</v>
      </c>
      <c r="B102" s="102" t="s">
        <v>2415</v>
      </c>
      <c r="C102" s="103" t="s">
        <v>13</v>
      </c>
      <c r="D102" s="102" t="s">
        <v>1994</v>
      </c>
      <c r="E102" s="102" t="s">
        <v>1074</v>
      </c>
      <c r="F102" s="102" t="s">
        <v>2443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2347</v>
      </c>
      <c r="N102" s="111" t="s">
        <v>333</v>
      </c>
    </row>
    <row r="103" spans="1:14" ht="15.75" customHeight="1" thickBot="1" x14ac:dyDescent="0.25">
      <c r="A103" s="1" t="s">
        <v>2516</v>
      </c>
      <c r="B103" s="102" t="s">
        <v>2416</v>
      </c>
      <c r="C103" s="103" t="s">
        <v>13</v>
      </c>
      <c r="D103" s="102" t="s">
        <v>2449</v>
      </c>
      <c r="E103" s="102" t="s">
        <v>1055</v>
      </c>
      <c r="F103" s="102" t="s">
        <v>2446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 x14ac:dyDescent="0.25">
      <c r="A104" s="1" t="s">
        <v>2517</v>
      </c>
      <c r="B104" s="102" t="s">
        <v>1066</v>
      </c>
      <c r="C104" s="103" t="s">
        <v>13</v>
      </c>
      <c r="D104" s="102" t="s">
        <v>1994</v>
      </c>
      <c r="E104" s="102" t="s">
        <v>1061</v>
      </c>
      <c r="F104" s="102" t="s">
        <v>2444</v>
      </c>
      <c r="G104" s="105" t="s">
        <v>251</v>
      </c>
      <c r="H104" s="110" t="s">
        <v>2720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 x14ac:dyDescent="0.25">
      <c r="A105" s="1" t="s">
        <v>2518</v>
      </c>
      <c r="B105" s="102" t="s">
        <v>2417</v>
      </c>
      <c r="C105" s="103" t="s">
        <v>2548</v>
      </c>
      <c r="D105" s="102" t="s">
        <v>2449</v>
      </c>
      <c r="E105" s="102" t="s">
        <v>1074</v>
      </c>
      <c r="F105" s="102" t="s">
        <v>2443</v>
      </c>
      <c r="G105" s="105" t="s">
        <v>259</v>
      </c>
      <c r="H105" s="110" t="s">
        <v>2747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 x14ac:dyDescent="0.25">
      <c r="A106" s="1" t="s">
        <v>2519</v>
      </c>
      <c r="B106" s="102" t="s">
        <v>2418</v>
      </c>
      <c r="C106" s="103" t="s">
        <v>13</v>
      </c>
      <c r="D106" s="102" t="s">
        <v>2449</v>
      </c>
      <c r="E106" s="102" t="s">
        <v>1074</v>
      </c>
      <c r="F106" s="102" t="s">
        <v>2443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2347</v>
      </c>
      <c r="M106" s="110" t="s">
        <v>373</v>
      </c>
      <c r="N106" s="110" t="s">
        <v>322</v>
      </c>
    </row>
    <row r="107" spans="1:14" ht="15.75" customHeight="1" thickBot="1" x14ac:dyDescent="0.25">
      <c r="A107" s="1" t="s">
        <v>2520</v>
      </c>
      <c r="B107" s="102" t="s">
        <v>2439</v>
      </c>
      <c r="C107" s="103" t="s">
        <v>2563</v>
      </c>
      <c r="D107" s="102" t="s">
        <v>2449</v>
      </c>
      <c r="E107" s="102" t="s">
        <v>1064</v>
      </c>
      <c r="F107" s="102" t="s">
        <v>2448</v>
      </c>
      <c r="G107" s="105" t="s">
        <v>259</v>
      </c>
      <c r="H107" s="110" t="s">
        <v>2716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2347</v>
      </c>
    </row>
    <row r="108" spans="1:14" ht="15.75" customHeight="1" thickBot="1" x14ac:dyDescent="0.25">
      <c r="A108" s="1" t="s">
        <v>2521</v>
      </c>
      <c r="B108" s="102" t="s">
        <v>2419</v>
      </c>
      <c r="C108" s="103" t="s">
        <v>13</v>
      </c>
      <c r="D108" s="102" t="s">
        <v>1994</v>
      </c>
      <c r="E108" s="102" t="s">
        <v>1069</v>
      </c>
      <c r="F108" s="102" t="s">
        <v>2447</v>
      </c>
      <c r="G108" s="105" t="s">
        <v>226</v>
      </c>
      <c r="H108" s="110" t="s">
        <v>2748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2347</v>
      </c>
      <c r="N108" s="110" t="s">
        <v>333</v>
      </c>
    </row>
    <row r="109" spans="1:14" ht="15.75" customHeight="1" thickBot="1" x14ac:dyDescent="0.25">
      <c r="A109" s="1" t="s">
        <v>2522</v>
      </c>
      <c r="B109" s="102" t="s">
        <v>2440</v>
      </c>
      <c r="C109" s="103" t="s">
        <v>2547</v>
      </c>
      <c r="D109" s="102" t="s">
        <v>1994</v>
      </c>
      <c r="E109" s="102" t="s">
        <v>1058</v>
      </c>
      <c r="F109" s="102" t="s">
        <v>2445</v>
      </c>
      <c r="G109" s="105" t="s">
        <v>247</v>
      </c>
      <c r="H109" s="110" t="s">
        <v>2749</v>
      </c>
      <c r="I109" s="102" t="s">
        <v>120</v>
      </c>
      <c r="J109" s="102" t="s">
        <v>140</v>
      </c>
      <c r="K109" s="102" t="s">
        <v>120</v>
      </c>
      <c r="L109" s="110" t="s">
        <v>2664</v>
      </c>
      <c r="M109" s="110" t="s">
        <v>2655</v>
      </c>
      <c r="N109" s="110" t="s">
        <v>373</v>
      </c>
    </row>
    <row r="110" spans="1:14" ht="15.75" customHeight="1" thickBot="1" x14ac:dyDescent="0.25">
      <c r="A110" s="1" t="s">
        <v>2523</v>
      </c>
      <c r="B110" s="102" t="s">
        <v>2441</v>
      </c>
      <c r="C110" s="103" t="s">
        <v>2564</v>
      </c>
      <c r="D110" s="102" t="s">
        <v>1994</v>
      </c>
      <c r="E110" s="102" t="s">
        <v>1055</v>
      </c>
      <c r="F110" s="102" t="s">
        <v>2446</v>
      </c>
      <c r="G110" s="105" t="s">
        <v>255</v>
      </c>
      <c r="H110" s="110" t="s">
        <v>2750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2347</v>
      </c>
      <c r="N110" s="110" t="s">
        <v>373</v>
      </c>
    </row>
    <row r="111" spans="1:14" ht="15.75" customHeight="1" thickBot="1" x14ac:dyDescent="0.25">
      <c r="A111" s="1" t="s">
        <v>2524</v>
      </c>
      <c r="B111" s="102" t="s">
        <v>2420</v>
      </c>
      <c r="C111" s="103" t="s">
        <v>13</v>
      </c>
      <c r="D111" s="102" t="s">
        <v>1994</v>
      </c>
      <c r="E111" s="102" t="s">
        <v>1069</v>
      </c>
      <c r="F111" s="102" t="s">
        <v>2447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 x14ac:dyDescent="0.25">
      <c r="A112" s="1" t="s">
        <v>2525</v>
      </c>
      <c r="B112" s="102" t="s">
        <v>1071</v>
      </c>
      <c r="C112" s="103" t="s">
        <v>13</v>
      </c>
      <c r="D112" s="102" t="s">
        <v>1994</v>
      </c>
      <c r="E112" s="102" t="s">
        <v>1064</v>
      </c>
      <c r="F112" s="102" t="s">
        <v>2448</v>
      </c>
      <c r="G112" s="105" t="s">
        <v>226</v>
      </c>
      <c r="H112" s="110" t="s">
        <v>2751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 x14ac:dyDescent="0.25">
      <c r="A113" s="1" t="s">
        <v>2526</v>
      </c>
      <c r="B113" s="102" t="s">
        <v>2421</v>
      </c>
      <c r="C113" s="103" t="s">
        <v>13</v>
      </c>
      <c r="D113" s="102" t="s">
        <v>1994</v>
      </c>
      <c r="E113" s="102" t="s">
        <v>1069</v>
      </c>
      <c r="F113" s="102" t="s">
        <v>2447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2347</v>
      </c>
      <c r="M113" s="110" t="s">
        <v>373</v>
      </c>
      <c r="N113" s="110" t="s">
        <v>322</v>
      </c>
    </row>
    <row r="114" spans="1:14" ht="15.75" customHeight="1" thickBot="1" x14ac:dyDescent="0.25">
      <c r="A114" s="1" t="s">
        <v>2527</v>
      </c>
      <c r="B114" s="102" t="s">
        <v>2422</v>
      </c>
      <c r="C114" s="103" t="s">
        <v>13</v>
      </c>
      <c r="D114" s="102" t="s">
        <v>1994</v>
      </c>
      <c r="E114" s="102" t="s">
        <v>1069</v>
      </c>
      <c r="F114" s="102" t="s">
        <v>2447</v>
      </c>
      <c r="G114" s="105" t="s">
        <v>259</v>
      </c>
      <c r="H114" s="110" t="s">
        <v>2719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2347</v>
      </c>
      <c r="N114" s="110" t="s">
        <v>2347</v>
      </c>
    </row>
    <row r="115" spans="1:14" ht="15.75" customHeight="1" thickBot="1" x14ac:dyDescent="0.25">
      <c r="A115" s="1" t="s">
        <v>2528</v>
      </c>
      <c r="B115" s="102" t="s">
        <v>2423</v>
      </c>
      <c r="C115" s="103" t="s">
        <v>13</v>
      </c>
      <c r="D115" s="102" t="s">
        <v>1994</v>
      </c>
      <c r="E115" s="102" t="s">
        <v>1074</v>
      </c>
      <c r="F115" s="102" t="s">
        <v>2443</v>
      </c>
      <c r="G115" s="105" t="s">
        <v>239</v>
      </c>
      <c r="H115" s="110" t="s">
        <v>2752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2347</v>
      </c>
      <c r="N115" s="110" t="s">
        <v>333</v>
      </c>
    </row>
    <row r="116" spans="1:14" ht="15.75" customHeight="1" thickBot="1" x14ac:dyDescent="0.25">
      <c r="A116" s="1" t="s">
        <v>2529</v>
      </c>
      <c r="B116" s="102" t="s">
        <v>2424</v>
      </c>
      <c r="C116" s="103" t="s">
        <v>13</v>
      </c>
      <c r="D116" s="102" t="s">
        <v>1994</v>
      </c>
      <c r="E116" s="102" t="s">
        <v>1069</v>
      </c>
      <c r="F116" s="102" t="s">
        <v>2447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2347</v>
      </c>
      <c r="N116" s="110" t="s">
        <v>373</v>
      </c>
    </row>
    <row r="117" spans="1:14" ht="15.75" customHeight="1" thickBot="1" x14ac:dyDescent="0.25">
      <c r="A117" s="1" t="s">
        <v>2530</v>
      </c>
      <c r="B117" s="102" t="s">
        <v>2425</v>
      </c>
      <c r="C117" s="103" t="s">
        <v>13</v>
      </c>
      <c r="D117" s="102" t="s">
        <v>1994</v>
      </c>
      <c r="E117" s="102" t="s">
        <v>1069</v>
      </c>
      <c r="F117" s="102" t="s">
        <v>2447</v>
      </c>
      <c r="G117" s="105" t="s">
        <v>239</v>
      </c>
      <c r="H117" s="110" t="s">
        <v>2730</v>
      </c>
      <c r="I117" s="102" t="s">
        <v>125</v>
      </c>
      <c r="J117" s="102" t="s">
        <v>140</v>
      </c>
      <c r="K117" s="102" t="s">
        <v>120</v>
      </c>
      <c r="L117" s="110" t="s">
        <v>2709</v>
      </c>
      <c r="M117" s="110" t="s">
        <v>373</v>
      </c>
      <c r="N117" s="110" t="s">
        <v>322</v>
      </c>
    </row>
    <row r="118" spans="1:14" ht="15.75" customHeight="1" thickBot="1" x14ac:dyDescent="0.25">
      <c r="A118" s="1" t="s">
        <v>2531</v>
      </c>
      <c r="B118" s="102" t="s">
        <v>2426</v>
      </c>
      <c r="C118" s="103" t="s">
        <v>2565</v>
      </c>
      <c r="D118" s="102" t="s">
        <v>1994</v>
      </c>
      <c r="E118" s="102" t="s">
        <v>1069</v>
      </c>
      <c r="F118" s="102" t="s">
        <v>2447</v>
      </c>
      <c r="G118" s="105" t="s">
        <v>226</v>
      </c>
      <c r="H118" s="110" t="s">
        <v>2753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2710</v>
      </c>
      <c r="N118" s="110" t="s">
        <v>374</v>
      </c>
    </row>
    <row r="119" spans="1:14" ht="15.75" customHeight="1" thickBot="1" x14ac:dyDescent="0.25">
      <c r="A119" s="1" t="s">
        <v>2532</v>
      </c>
      <c r="B119" s="102" t="s">
        <v>1076</v>
      </c>
      <c r="C119" s="103" t="s">
        <v>13</v>
      </c>
      <c r="D119" s="102" t="s">
        <v>1994</v>
      </c>
      <c r="E119" s="102" t="s">
        <v>1055</v>
      </c>
      <c r="F119" s="102" t="s">
        <v>2446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 x14ac:dyDescent="0.25">
      <c r="A120" s="1" t="s">
        <v>2533</v>
      </c>
      <c r="B120" s="102" t="s">
        <v>2427</v>
      </c>
      <c r="C120" s="103" t="s">
        <v>13</v>
      </c>
      <c r="D120" s="102" t="s">
        <v>1994</v>
      </c>
      <c r="E120" s="102" t="s">
        <v>1055</v>
      </c>
      <c r="F120" s="102" t="s">
        <v>2446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 x14ac:dyDescent="0.25">
      <c r="A121" s="1" t="s">
        <v>2534</v>
      </c>
      <c r="B121" s="102" t="s">
        <v>2428</v>
      </c>
      <c r="C121" s="103" t="s">
        <v>13</v>
      </c>
      <c r="D121" s="102" t="s">
        <v>2449</v>
      </c>
      <c r="E121" s="102" t="s">
        <v>1058</v>
      </c>
      <c r="F121" s="102" t="s">
        <v>2445</v>
      </c>
      <c r="G121" s="105" t="s">
        <v>243</v>
      </c>
      <c r="H121" s="110" t="s">
        <v>2746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 x14ac:dyDescent="0.25">
      <c r="A122" s="1" t="s">
        <v>2535</v>
      </c>
      <c r="B122" s="102" t="s">
        <v>2429</v>
      </c>
      <c r="C122" s="103" t="s">
        <v>13</v>
      </c>
      <c r="D122" s="102" t="s">
        <v>2449</v>
      </c>
      <c r="E122" s="102" t="s">
        <v>1069</v>
      </c>
      <c r="F122" s="102" t="s">
        <v>2447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 x14ac:dyDescent="0.25">
      <c r="A123" s="1" t="s">
        <v>2536</v>
      </c>
      <c r="B123" s="102" t="s">
        <v>2430</v>
      </c>
      <c r="C123" s="103" t="s">
        <v>13</v>
      </c>
      <c r="D123" s="102" t="s">
        <v>2449</v>
      </c>
      <c r="E123" s="102" t="s">
        <v>1074</v>
      </c>
      <c r="F123" s="102" t="s">
        <v>2443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2347</v>
      </c>
      <c r="M123" s="110" t="s">
        <v>373</v>
      </c>
      <c r="N123" s="110" t="s">
        <v>322</v>
      </c>
    </row>
    <row r="124" spans="1:14" ht="15.75" customHeight="1" thickBot="1" x14ac:dyDescent="0.25">
      <c r="A124" s="1" t="s">
        <v>2537</v>
      </c>
      <c r="B124" s="102" t="s">
        <v>2431</v>
      </c>
      <c r="C124" s="103" t="s">
        <v>13</v>
      </c>
      <c r="D124" s="102" t="s">
        <v>1994</v>
      </c>
      <c r="E124" s="102" t="s">
        <v>1061</v>
      </c>
      <c r="F124" s="102" t="s">
        <v>2444</v>
      </c>
      <c r="G124" s="105" t="s">
        <v>255</v>
      </c>
      <c r="H124" s="110" t="s">
        <v>2754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2347</v>
      </c>
      <c r="N124" s="110" t="s">
        <v>333</v>
      </c>
    </row>
    <row r="125" spans="1:14" ht="15.75" customHeight="1" thickBot="1" x14ac:dyDescent="0.25">
      <c r="A125" s="1" t="s">
        <v>2538</v>
      </c>
      <c r="B125" s="102" t="s">
        <v>2432</v>
      </c>
      <c r="C125" s="103" t="s">
        <v>13</v>
      </c>
      <c r="D125" s="102" t="s">
        <v>2449</v>
      </c>
      <c r="E125" s="102" t="s">
        <v>1055</v>
      </c>
      <c r="F125" s="102" t="s">
        <v>2446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 x14ac:dyDescent="0.25">
      <c r="A126" s="1" t="s">
        <v>2539</v>
      </c>
      <c r="B126" s="102" t="s">
        <v>2433</v>
      </c>
      <c r="C126" s="103" t="s">
        <v>13</v>
      </c>
      <c r="D126" s="102" t="s">
        <v>2449</v>
      </c>
      <c r="E126" s="102" t="s">
        <v>1055</v>
      </c>
      <c r="F126" s="102" t="s">
        <v>2446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2347</v>
      </c>
      <c r="N126" s="110" t="s">
        <v>373</v>
      </c>
    </row>
    <row r="127" spans="1:14" ht="15.75" customHeight="1" thickBot="1" x14ac:dyDescent="0.25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 x14ac:dyDescent="0.25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 x14ac:dyDescent="0.25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 x14ac:dyDescent="0.25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 x14ac:dyDescent="0.25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 x14ac:dyDescent="0.25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 x14ac:dyDescent="0.25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 x14ac:dyDescent="0.25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 x14ac:dyDescent="0.25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 x14ac:dyDescent="0.25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 x14ac:dyDescent="0.25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 x14ac:dyDescent="0.25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 x14ac:dyDescent="0.25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 x14ac:dyDescent="0.25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 x14ac:dyDescent="0.25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 x14ac:dyDescent="0.25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 x14ac:dyDescent="0.25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 x14ac:dyDescent="0.25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 x14ac:dyDescent="0.25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 x14ac:dyDescent="0.25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 x14ac:dyDescent="0.25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 x14ac:dyDescent="0.25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 x14ac:dyDescent="0.25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 x14ac:dyDescent="0.25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 x14ac:dyDescent="0.25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 x14ac:dyDescent="0.25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 x14ac:dyDescent="0.25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 x14ac:dyDescent="0.25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 x14ac:dyDescent="0.25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 x14ac:dyDescent="0.25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 x14ac:dyDescent="0.25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 x14ac:dyDescent="0.25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 x14ac:dyDescent="0.25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 x14ac:dyDescent="0.25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 x14ac:dyDescent="0.25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 x14ac:dyDescent="0.25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 x14ac:dyDescent="0.25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 x14ac:dyDescent="0.25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 x14ac:dyDescent="0.25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 x14ac:dyDescent="0.25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 x14ac:dyDescent="0.25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 x14ac:dyDescent="0.25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 x14ac:dyDescent="0.25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 x14ac:dyDescent="0.25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 x14ac:dyDescent="0.25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 x14ac:dyDescent="0.25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 x14ac:dyDescent="0.25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 x14ac:dyDescent="0.25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 x14ac:dyDescent="0.25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 x14ac:dyDescent="0.25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 x14ac:dyDescent="0.25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 x14ac:dyDescent="0.25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 x14ac:dyDescent="0.25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 x14ac:dyDescent="0.25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 x14ac:dyDescent="0.25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 x14ac:dyDescent="0.25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 x14ac:dyDescent="0.25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 x14ac:dyDescent="0.25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 x14ac:dyDescent="0.25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 x14ac:dyDescent="0.25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 x14ac:dyDescent="0.25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 x14ac:dyDescent="0.25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 x14ac:dyDescent="0.25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 x14ac:dyDescent="0.25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 x14ac:dyDescent="0.25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 x14ac:dyDescent="0.25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 x14ac:dyDescent="0.25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 x14ac:dyDescent="0.25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 x14ac:dyDescent="0.25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 x14ac:dyDescent="0.25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 x14ac:dyDescent="0.25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 x14ac:dyDescent="0.25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 x14ac:dyDescent="0.25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 x14ac:dyDescent="0.25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 x14ac:dyDescent="0.25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 x14ac:dyDescent="0.25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 x14ac:dyDescent="0.25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 x14ac:dyDescent="0.25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 x14ac:dyDescent="0.25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 x14ac:dyDescent="0.25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 x14ac:dyDescent="0.25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 x14ac:dyDescent="0.25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 x14ac:dyDescent="0.25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 x14ac:dyDescent="0.25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 x14ac:dyDescent="0.25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 x14ac:dyDescent="0.25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 x14ac:dyDescent="0.25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 x14ac:dyDescent="0.25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 x14ac:dyDescent="0.25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 x14ac:dyDescent="0.25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 x14ac:dyDescent="0.25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 x14ac:dyDescent="0.25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 x14ac:dyDescent="0.25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 x14ac:dyDescent="0.25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 x14ac:dyDescent="0.25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 x14ac:dyDescent="0.25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 x14ac:dyDescent="0.25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 x14ac:dyDescent="0.25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 x14ac:dyDescent="0.25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 x14ac:dyDescent="0.25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 x14ac:dyDescent="0.25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 x14ac:dyDescent="0.25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 x14ac:dyDescent="0.25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 x14ac:dyDescent="0.25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 x14ac:dyDescent="0.25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 x14ac:dyDescent="0.25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 x14ac:dyDescent="0.25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 x14ac:dyDescent="0.25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 x14ac:dyDescent="0.25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 x14ac:dyDescent="0.25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 x14ac:dyDescent="0.25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 x14ac:dyDescent="0.25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 x14ac:dyDescent="0.25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 x14ac:dyDescent="0.25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 x14ac:dyDescent="0.25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 x14ac:dyDescent="0.25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 x14ac:dyDescent="0.25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 x14ac:dyDescent="0.25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 x14ac:dyDescent="0.25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 x14ac:dyDescent="0.25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 x14ac:dyDescent="0.25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 x14ac:dyDescent="0.25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 x14ac:dyDescent="0.25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 x14ac:dyDescent="0.25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 x14ac:dyDescent="0.25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 x14ac:dyDescent="0.25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 x14ac:dyDescent="0.25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 x14ac:dyDescent="0.25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 x14ac:dyDescent="0.25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 x14ac:dyDescent="0.25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 x14ac:dyDescent="0.25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 x14ac:dyDescent="0.25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 x14ac:dyDescent="0.25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 x14ac:dyDescent="0.25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 x14ac:dyDescent="0.25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 x14ac:dyDescent="0.25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 x14ac:dyDescent="0.25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 x14ac:dyDescent="0.25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 x14ac:dyDescent="0.25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 x14ac:dyDescent="0.25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 x14ac:dyDescent="0.25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 x14ac:dyDescent="0.25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 x14ac:dyDescent="0.25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 x14ac:dyDescent="0.25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 x14ac:dyDescent="0.25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 x14ac:dyDescent="0.25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 x14ac:dyDescent="0.25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 x14ac:dyDescent="0.25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 x14ac:dyDescent="0.25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 x14ac:dyDescent="0.25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 x14ac:dyDescent="0.25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 x14ac:dyDescent="0.25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 x14ac:dyDescent="0.25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 x14ac:dyDescent="0.25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 x14ac:dyDescent="0.25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 x14ac:dyDescent="0.25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 x14ac:dyDescent="0.25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 x14ac:dyDescent="0.25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 x14ac:dyDescent="0.25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 x14ac:dyDescent="0.25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 x14ac:dyDescent="0.25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 x14ac:dyDescent="0.25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 x14ac:dyDescent="0.25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 x14ac:dyDescent="0.25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 x14ac:dyDescent="0.25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 x14ac:dyDescent="0.25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 x14ac:dyDescent="0.25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 x14ac:dyDescent="0.25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 x14ac:dyDescent="0.25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 x14ac:dyDescent="0.25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 x14ac:dyDescent="0.25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 x14ac:dyDescent="0.25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 x14ac:dyDescent="0.25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 x14ac:dyDescent="0.25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 x14ac:dyDescent="0.25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 x14ac:dyDescent="0.25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 x14ac:dyDescent="0.25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 x14ac:dyDescent="0.25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 x14ac:dyDescent="0.25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 x14ac:dyDescent="0.25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 x14ac:dyDescent="0.25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 x14ac:dyDescent="0.25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 x14ac:dyDescent="0.25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 x14ac:dyDescent="0.25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 x14ac:dyDescent="0.25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 x14ac:dyDescent="0.25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 x14ac:dyDescent="0.25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 x14ac:dyDescent="0.25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 x14ac:dyDescent="0.25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 x14ac:dyDescent="0.25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 x14ac:dyDescent="0.25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 x14ac:dyDescent="0.25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 x14ac:dyDescent="0.25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 x14ac:dyDescent="0.25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 x14ac:dyDescent="0.25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 x14ac:dyDescent="0.25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 x14ac:dyDescent="0.25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 x14ac:dyDescent="0.25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 x14ac:dyDescent="0.25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 x14ac:dyDescent="0.25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 x14ac:dyDescent="0.25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 x14ac:dyDescent="0.25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 x14ac:dyDescent="0.25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 x14ac:dyDescent="0.25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 x14ac:dyDescent="0.25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 x14ac:dyDescent="0.25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 x14ac:dyDescent="0.25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 x14ac:dyDescent="0.25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 x14ac:dyDescent="0.25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 x14ac:dyDescent="0.25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 x14ac:dyDescent="0.25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 x14ac:dyDescent="0.25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 x14ac:dyDescent="0.25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 x14ac:dyDescent="0.25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 x14ac:dyDescent="0.25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 x14ac:dyDescent="0.25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 x14ac:dyDescent="0.25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 x14ac:dyDescent="0.25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 x14ac:dyDescent="0.25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 x14ac:dyDescent="0.25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 x14ac:dyDescent="0.25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 x14ac:dyDescent="0.25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 x14ac:dyDescent="0.25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 x14ac:dyDescent="0.25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 x14ac:dyDescent="0.25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 x14ac:dyDescent="0.25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 x14ac:dyDescent="0.25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 x14ac:dyDescent="0.25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 x14ac:dyDescent="0.25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 x14ac:dyDescent="0.25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 x14ac:dyDescent="0.25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 x14ac:dyDescent="0.25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 x14ac:dyDescent="0.25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 x14ac:dyDescent="0.25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 x14ac:dyDescent="0.25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 x14ac:dyDescent="0.25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 x14ac:dyDescent="0.25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 x14ac:dyDescent="0.25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 x14ac:dyDescent="0.25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 x14ac:dyDescent="0.25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 x14ac:dyDescent="0.25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 x14ac:dyDescent="0.25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 x14ac:dyDescent="0.25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 x14ac:dyDescent="0.25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 x14ac:dyDescent="0.25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 x14ac:dyDescent="0.25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 x14ac:dyDescent="0.25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 x14ac:dyDescent="0.25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 x14ac:dyDescent="0.25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 x14ac:dyDescent="0.25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 x14ac:dyDescent="0.25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 x14ac:dyDescent="0.25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 x14ac:dyDescent="0.25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 x14ac:dyDescent="0.25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 x14ac:dyDescent="0.25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 x14ac:dyDescent="0.25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 x14ac:dyDescent="0.25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 x14ac:dyDescent="0.25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 x14ac:dyDescent="0.25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 x14ac:dyDescent="0.25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 x14ac:dyDescent="0.25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 x14ac:dyDescent="0.25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 x14ac:dyDescent="0.25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 x14ac:dyDescent="0.25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 x14ac:dyDescent="0.25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 x14ac:dyDescent="0.25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 x14ac:dyDescent="0.25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 x14ac:dyDescent="0.25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 x14ac:dyDescent="0.25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 x14ac:dyDescent="0.25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 x14ac:dyDescent="0.25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 x14ac:dyDescent="0.25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 x14ac:dyDescent="0.25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 x14ac:dyDescent="0.25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 x14ac:dyDescent="0.25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 x14ac:dyDescent="0.25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 x14ac:dyDescent="0.25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 x14ac:dyDescent="0.25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 x14ac:dyDescent="0.25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 x14ac:dyDescent="0.25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 x14ac:dyDescent="0.25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 x14ac:dyDescent="0.25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 x14ac:dyDescent="0.25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 x14ac:dyDescent="0.25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 x14ac:dyDescent="0.25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 x14ac:dyDescent="0.25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 x14ac:dyDescent="0.25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 x14ac:dyDescent="0.25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 x14ac:dyDescent="0.25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 x14ac:dyDescent="0.25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 x14ac:dyDescent="0.25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 x14ac:dyDescent="0.25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 x14ac:dyDescent="0.25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 x14ac:dyDescent="0.25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 x14ac:dyDescent="0.25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 x14ac:dyDescent="0.25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 x14ac:dyDescent="0.25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 x14ac:dyDescent="0.25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 x14ac:dyDescent="0.25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 x14ac:dyDescent="0.25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 x14ac:dyDescent="0.25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 x14ac:dyDescent="0.25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 x14ac:dyDescent="0.25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 x14ac:dyDescent="0.25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 x14ac:dyDescent="0.25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 x14ac:dyDescent="0.25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 x14ac:dyDescent="0.25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 x14ac:dyDescent="0.25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 x14ac:dyDescent="0.25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 x14ac:dyDescent="0.25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 x14ac:dyDescent="0.25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 x14ac:dyDescent="0.25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 x14ac:dyDescent="0.25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 x14ac:dyDescent="0.25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 x14ac:dyDescent="0.25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 x14ac:dyDescent="0.25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 x14ac:dyDescent="0.25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 x14ac:dyDescent="0.25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 x14ac:dyDescent="0.25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 x14ac:dyDescent="0.25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 x14ac:dyDescent="0.25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 x14ac:dyDescent="0.25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 x14ac:dyDescent="0.25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 x14ac:dyDescent="0.25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 x14ac:dyDescent="0.25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 x14ac:dyDescent="0.25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 x14ac:dyDescent="0.25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 x14ac:dyDescent="0.25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 x14ac:dyDescent="0.25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 x14ac:dyDescent="0.25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 x14ac:dyDescent="0.25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 x14ac:dyDescent="0.25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 x14ac:dyDescent="0.25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 x14ac:dyDescent="0.25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 x14ac:dyDescent="0.25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 x14ac:dyDescent="0.25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 x14ac:dyDescent="0.25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 x14ac:dyDescent="0.25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 x14ac:dyDescent="0.25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 x14ac:dyDescent="0.25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 x14ac:dyDescent="0.25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 x14ac:dyDescent="0.25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 x14ac:dyDescent="0.25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 x14ac:dyDescent="0.25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 x14ac:dyDescent="0.25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 x14ac:dyDescent="0.25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 x14ac:dyDescent="0.25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 x14ac:dyDescent="0.25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 x14ac:dyDescent="0.25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 x14ac:dyDescent="0.25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 x14ac:dyDescent="0.25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 x14ac:dyDescent="0.25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 x14ac:dyDescent="0.25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 x14ac:dyDescent="0.25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 x14ac:dyDescent="0.25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 x14ac:dyDescent="0.25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 x14ac:dyDescent="0.25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 x14ac:dyDescent="0.25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 x14ac:dyDescent="0.25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 x14ac:dyDescent="0.25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 x14ac:dyDescent="0.25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 x14ac:dyDescent="0.25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 x14ac:dyDescent="0.25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 x14ac:dyDescent="0.25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 x14ac:dyDescent="0.25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 x14ac:dyDescent="0.25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 x14ac:dyDescent="0.25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 x14ac:dyDescent="0.25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 x14ac:dyDescent="0.25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 x14ac:dyDescent="0.25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 x14ac:dyDescent="0.25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 x14ac:dyDescent="0.25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 x14ac:dyDescent="0.25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 x14ac:dyDescent="0.25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 x14ac:dyDescent="0.25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 x14ac:dyDescent="0.25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 x14ac:dyDescent="0.25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 x14ac:dyDescent="0.25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 x14ac:dyDescent="0.25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 x14ac:dyDescent="0.25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 x14ac:dyDescent="0.25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 x14ac:dyDescent="0.25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 x14ac:dyDescent="0.25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 x14ac:dyDescent="0.25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 x14ac:dyDescent="0.25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 x14ac:dyDescent="0.25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 x14ac:dyDescent="0.25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 x14ac:dyDescent="0.25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 x14ac:dyDescent="0.25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 x14ac:dyDescent="0.25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 x14ac:dyDescent="0.25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 x14ac:dyDescent="0.25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 x14ac:dyDescent="0.25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 x14ac:dyDescent="0.25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 x14ac:dyDescent="0.25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 x14ac:dyDescent="0.25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 x14ac:dyDescent="0.25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 x14ac:dyDescent="0.25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 x14ac:dyDescent="0.25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 x14ac:dyDescent="0.25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 x14ac:dyDescent="0.25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 x14ac:dyDescent="0.25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 x14ac:dyDescent="0.25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 x14ac:dyDescent="0.25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 x14ac:dyDescent="0.25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 x14ac:dyDescent="0.25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 x14ac:dyDescent="0.25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 x14ac:dyDescent="0.25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 x14ac:dyDescent="0.25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 x14ac:dyDescent="0.25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 x14ac:dyDescent="0.25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 x14ac:dyDescent="0.25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 x14ac:dyDescent="0.25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 x14ac:dyDescent="0.25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 x14ac:dyDescent="0.25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 x14ac:dyDescent="0.25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 x14ac:dyDescent="0.25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 x14ac:dyDescent="0.25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 x14ac:dyDescent="0.25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 x14ac:dyDescent="0.25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 x14ac:dyDescent="0.25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 x14ac:dyDescent="0.25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 x14ac:dyDescent="0.25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 x14ac:dyDescent="0.25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 x14ac:dyDescent="0.25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 x14ac:dyDescent="0.25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 x14ac:dyDescent="0.25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 x14ac:dyDescent="0.25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 x14ac:dyDescent="0.25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 x14ac:dyDescent="0.25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 x14ac:dyDescent="0.25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 x14ac:dyDescent="0.25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 x14ac:dyDescent="0.25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 x14ac:dyDescent="0.25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 x14ac:dyDescent="0.25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 x14ac:dyDescent="0.25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 x14ac:dyDescent="0.25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 x14ac:dyDescent="0.25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 x14ac:dyDescent="0.25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 x14ac:dyDescent="0.25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 x14ac:dyDescent="0.25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 x14ac:dyDescent="0.25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 x14ac:dyDescent="0.25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 x14ac:dyDescent="0.25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 x14ac:dyDescent="0.25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 x14ac:dyDescent="0.25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 x14ac:dyDescent="0.25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 x14ac:dyDescent="0.25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 x14ac:dyDescent="0.25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 x14ac:dyDescent="0.25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 x14ac:dyDescent="0.25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 x14ac:dyDescent="0.25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 x14ac:dyDescent="0.25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 x14ac:dyDescent="0.25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 x14ac:dyDescent="0.25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 x14ac:dyDescent="0.25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 x14ac:dyDescent="0.25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 x14ac:dyDescent="0.25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 x14ac:dyDescent="0.25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 x14ac:dyDescent="0.25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 x14ac:dyDescent="0.25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 x14ac:dyDescent="0.25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 x14ac:dyDescent="0.25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 x14ac:dyDescent="0.25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 x14ac:dyDescent="0.25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 x14ac:dyDescent="0.25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 x14ac:dyDescent="0.25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 x14ac:dyDescent="0.25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 x14ac:dyDescent="0.25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 x14ac:dyDescent="0.25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 x14ac:dyDescent="0.25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 x14ac:dyDescent="0.25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 x14ac:dyDescent="0.25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 x14ac:dyDescent="0.25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 x14ac:dyDescent="0.25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 x14ac:dyDescent="0.25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 x14ac:dyDescent="0.25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 x14ac:dyDescent="0.25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 x14ac:dyDescent="0.25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 x14ac:dyDescent="0.25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 x14ac:dyDescent="0.25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 x14ac:dyDescent="0.25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 x14ac:dyDescent="0.25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 x14ac:dyDescent="0.25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 x14ac:dyDescent="0.25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 x14ac:dyDescent="0.25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 x14ac:dyDescent="0.25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 x14ac:dyDescent="0.25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 x14ac:dyDescent="0.25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 x14ac:dyDescent="0.25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 x14ac:dyDescent="0.25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 x14ac:dyDescent="0.25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 x14ac:dyDescent="0.25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 x14ac:dyDescent="0.25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 x14ac:dyDescent="0.25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 x14ac:dyDescent="0.25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 x14ac:dyDescent="0.25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 x14ac:dyDescent="0.25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 x14ac:dyDescent="0.25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 x14ac:dyDescent="0.25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 x14ac:dyDescent="0.25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 x14ac:dyDescent="0.25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 x14ac:dyDescent="0.25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 x14ac:dyDescent="0.25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 x14ac:dyDescent="0.25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 x14ac:dyDescent="0.25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 x14ac:dyDescent="0.25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 x14ac:dyDescent="0.25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 x14ac:dyDescent="0.25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 x14ac:dyDescent="0.25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 x14ac:dyDescent="0.25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 x14ac:dyDescent="0.25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 x14ac:dyDescent="0.25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 x14ac:dyDescent="0.25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 x14ac:dyDescent="0.25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 x14ac:dyDescent="0.25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 x14ac:dyDescent="0.25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 x14ac:dyDescent="0.25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 x14ac:dyDescent="0.25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 x14ac:dyDescent="0.25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 x14ac:dyDescent="0.25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 x14ac:dyDescent="0.25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 x14ac:dyDescent="0.25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 x14ac:dyDescent="0.25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 x14ac:dyDescent="0.25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 x14ac:dyDescent="0.25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 x14ac:dyDescent="0.25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 x14ac:dyDescent="0.25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 x14ac:dyDescent="0.25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 x14ac:dyDescent="0.25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 x14ac:dyDescent="0.25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 x14ac:dyDescent="0.25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 x14ac:dyDescent="0.25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 x14ac:dyDescent="0.25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 x14ac:dyDescent="0.25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 x14ac:dyDescent="0.25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 x14ac:dyDescent="0.25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 x14ac:dyDescent="0.25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 x14ac:dyDescent="0.25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 x14ac:dyDescent="0.25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 x14ac:dyDescent="0.25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 x14ac:dyDescent="0.25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 x14ac:dyDescent="0.25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 x14ac:dyDescent="0.25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 x14ac:dyDescent="0.25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 x14ac:dyDescent="0.25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 x14ac:dyDescent="0.25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 x14ac:dyDescent="0.25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 x14ac:dyDescent="0.25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 x14ac:dyDescent="0.25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 x14ac:dyDescent="0.25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 x14ac:dyDescent="0.25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 x14ac:dyDescent="0.25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 x14ac:dyDescent="0.25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 x14ac:dyDescent="0.25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 x14ac:dyDescent="0.25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 x14ac:dyDescent="0.25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 x14ac:dyDescent="0.25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 x14ac:dyDescent="0.25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 x14ac:dyDescent="0.25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 x14ac:dyDescent="0.25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 x14ac:dyDescent="0.25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 x14ac:dyDescent="0.25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 x14ac:dyDescent="0.25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 x14ac:dyDescent="0.25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 x14ac:dyDescent="0.25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 x14ac:dyDescent="0.25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 x14ac:dyDescent="0.25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 x14ac:dyDescent="0.25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 x14ac:dyDescent="0.25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 x14ac:dyDescent="0.25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 x14ac:dyDescent="0.25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 x14ac:dyDescent="0.25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 x14ac:dyDescent="0.25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 x14ac:dyDescent="0.25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 x14ac:dyDescent="0.25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 x14ac:dyDescent="0.25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 x14ac:dyDescent="0.25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 x14ac:dyDescent="0.25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 x14ac:dyDescent="0.25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 x14ac:dyDescent="0.25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 x14ac:dyDescent="0.25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 x14ac:dyDescent="0.25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 x14ac:dyDescent="0.25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 x14ac:dyDescent="0.25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 x14ac:dyDescent="0.25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 x14ac:dyDescent="0.25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 x14ac:dyDescent="0.25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 x14ac:dyDescent="0.25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 x14ac:dyDescent="0.25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 x14ac:dyDescent="0.25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 x14ac:dyDescent="0.25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 x14ac:dyDescent="0.25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 x14ac:dyDescent="0.25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 x14ac:dyDescent="0.25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 x14ac:dyDescent="0.25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 x14ac:dyDescent="0.25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 x14ac:dyDescent="0.25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 x14ac:dyDescent="0.25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 x14ac:dyDescent="0.25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 x14ac:dyDescent="0.25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 x14ac:dyDescent="0.25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 x14ac:dyDescent="0.25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 x14ac:dyDescent="0.25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 x14ac:dyDescent="0.25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 x14ac:dyDescent="0.25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 x14ac:dyDescent="0.25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 x14ac:dyDescent="0.25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 x14ac:dyDescent="0.25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 x14ac:dyDescent="0.25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 x14ac:dyDescent="0.25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 x14ac:dyDescent="0.25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 x14ac:dyDescent="0.25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 x14ac:dyDescent="0.25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 x14ac:dyDescent="0.25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 x14ac:dyDescent="0.25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 x14ac:dyDescent="0.25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 x14ac:dyDescent="0.25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 x14ac:dyDescent="0.25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 x14ac:dyDescent="0.25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 x14ac:dyDescent="0.25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 x14ac:dyDescent="0.25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 x14ac:dyDescent="0.25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 x14ac:dyDescent="0.25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 x14ac:dyDescent="0.25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 x14ac:dyDescent="0.25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 x14ac:dyDescent="0.25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 x14ac:dyDescent="0.25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 x14ac:dyDescent="0.25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 x14ac:dyDescent="0.25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 x14ac:dyDescent="0.25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 x14ac:dyDescent="0.25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 x14ac:dyDescent="0.25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 x14ac:dyDescent="0.25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 x14ac:dyDescent="0.25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 x14ac:dyDescent="0.25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 x14ac:dyDescent="0.25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 x14ac:dyDescent="0.25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 x14ac:dyDescent="0.25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 x14ac:dyDescent="0.25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 x14ac:dyDescent="0.25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 x14ac:dyDescent="0.25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 x14ac:dyDescent="0.25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 x14ac:dyDescent="0.25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 x14ac:dyDescent="0.25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 x14ac:dyDescent="0.25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 x14ac:dyDescent="0.25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 x14ac:dyDescent="0.25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 x14ac:dyDescent="0.25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 x14ac:dyDescent="0.25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 x14ac:dyDescent="0.25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 x14ac:dyDescent="0.25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 x14ac:dyDescent="0.25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 x14ac:dyDescent="0.25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 x14ac:dyDescent="0.25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 x14ac:dyDescent="0.25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 x14ac:dyDescent="0.25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 x14ac:dyDescent="0.25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 x14ac:dyDescent="0.25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 x14ac:dyDescent="0.25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 x14ac:dyDescent="0.25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 x14ac:dyDescent="0.25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 x14ac:dyDescent="0.25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 x14ac:dyDescent="0.25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 x14ac:dyDescent="0.25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 x14ac:dyDescent="0.25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 x14ac:dyDescent="0.25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 x14ac:dyDescent="0.25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 x14ac:dyDescent="0.25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 x14ac:dyDescent="0.25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 x14ac:dyDescent="0.25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 x14ac:dyDescent="0.25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 x14ac:dyDescent="0.25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 x14ac:dyDescent="0.25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 x14ac:dyDescent="0.25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 x14ac:dyDescent="0.25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 x14ac:dyDescent="0.25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 x14ac:dyDescent="0.25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 x14ac:dyDescent="0.25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 x14ac:dyDescent="0.25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 x14ac:dyDescent="0.25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 x14ac:dyDescent="0.25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 x14ac:dyDescent="0.25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 x14ac:dyDescent="0.25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 x14ac:dyDescent="0.25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 x14ac:dyDescent="0.25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 x14ac:dyDescent="0.25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 x14ac:dyDescent="0.25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 x14ac:dyDescent="0.25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 x14ac:dyDescent="0.25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 x14ac:dyDescent="0.25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 x14ac:dyDescent="0.25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 x14ac:dyDescent="0.25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 x14ac:dyDescent="0.25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 x14ac:dyDescent="0.25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 x14ac:dyDescent="0.25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 x14ac:dyDescent="0.25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 x14ac:dyDescent="0.25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 x14ac:dyDescent="0.25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 x14ac:dyDescent="0.25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 x14ac:dyDescent="0.25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 x14ac:dyDescent="0.25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 x14ac:dyDescent="0.25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 x14ac:dyDescent="0.25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 x14ac:dyDescent="0.25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 x14ac:dyDescent="0.25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 x14ac:dyDescent="0.25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 x14ac:dyDescent="0.25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 x14ac:dyDescent="0.25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 x14ac:dyDescent="0.25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 x14ac:dyDescent="0.25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 x14ac:dyDescent="0.25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 x14ac:dyDescent="0.25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 x14ac:dyDescent="0.25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 x14ac:dyDescent="0.25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 x14ac:dyDescent="0.25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 x14ac:dyDescent="0.25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 x14ac:dyDescent="0.25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 x14ac:dyDescent="0.25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 x14ac:dyDescent="0.25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 x14ac:dyDescent="0.25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 x14ac:dyDescent="0.25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 x14ac:dyDescent="0.25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 x14ac:dyDescent="0.25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 x14ac:dyDescent="0.25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 x14ac:dyDescent="0.25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 x14ac:dyDescent="0.25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 x14ac:dyDescent="0.25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 x14ac:dyDescent="0.25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 x14ac:dyDescent="0.25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 x14ac:dyDescent="0.25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 x14ac:dyDescent="0.25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 x14ac:dyDescent="0.25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 x14ac:dyDescent="0.25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 x14ac:dyDescent="0.25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 x14ac:dyDescent="0.25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 x14ac:dyDescent="0.25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 x14ac:dyDescent="0.25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 x14ac:dyDescent="0.25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 x14ac:dyDescent="0.25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 x14ac:dyDescent="0.25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 x14ac:dyDescent="0.25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 x14ac:dyDescent="0.25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 x14ac:dyDescent="0.25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 x14ac:dyDescent="0.25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 x14ac:dyDescent="0.25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 x14ac:dyDescent="0.25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 x14ac:dyDescent="0.25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 x14ac:dyDescent="0.25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 x14ac:dyDescent="0.25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 x14ac:dyDescent="0.25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 x14ac:dyDescent="0.25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 x14ac:dyDescent="0.25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 x14ac:dyDescent="0.25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 x14ac:dyDescent="0.25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 x14ac:dyDescent="0.25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 x14ac:dyDescent="0.25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 x14ac:dyDescent="0.25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 x14ac:dyDescent="0.25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 x14ac:dyDescent="0.25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 x14ac:dyDescent="0.25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 x14ac:dyDescent="0.25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 x14ac:dyDescent="0.25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 x14ac:dyDescent="0.25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 x14ac:dyDescent="0.25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 x14ac:dyDescent="0.25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 x14ac:dyDescent="0.25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 x14ac:dyDescent="0.25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 x14ac:dyDescent="0.25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 x14ac:dyDescent="0.25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 x14ac:dyDescent="0.25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 x14ac:dyDescent="0.25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 x14ac:dyDescent="0.25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 x14ac:dyDescent="0.25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 x14ac:dyDescent="0.25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 x14ac:dyDescent="0.25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 x14ac:dyDescent="0.25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 x14ac:dyDescent="0.25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 x14ac:dyDescent="0.25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 x14ac:dyDescent="0.25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 x14ac:dyDescent="0.25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 x14ac:dyDescent="0.25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 x14ac:dyDescent="0.25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 x14ac:dyDescent="0.25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 x14ac:dyDescent="0.25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 x14ac:dyDescent="0.25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 x14ac:dyDescent="0.25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 x14ac:dyDescent="0.25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 x14ac:dyDescent="0.25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 x14ac:dyDescent="0.25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 x14ac:dyDescent="0.25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 x14ac:dyDescent="0.25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 x14ac:dyDescent="0.25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 x14ac:dyDescent="0.25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 x14ac:dyDescent="0.25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 x14ac:dyDescent="0.25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 x14ac:dyDescent="0.25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 x14ac:dyDescent="0.25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 x14ac:dyDescent="0.25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 x14ac:dyDescent="0.25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 x14ac:dyDescent="0.25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 x14ac:dyDescent="0.25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 x14ac:dyDescent="0.25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 x14ac:dyDescent="0.25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 x14ac:dyDescent="0.25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 x14ac:dyDescent="0.25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 x14ac:dyDescent="0.25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 x14ac:dyDescent="0.25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 x14ac:dyDescent="0.25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 x14ac:dyDescent="0.25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 x14ac:dyDescent="0.25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 x14ac:dyDescent="0.25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 x14ac:dyDescent="0.25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 x14ac:dyDescent="0.25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 x14ac:dyDescent="0.25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 x14ac:dyDescent="0.25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 x14ac:dyDescent="0.25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 x14ac:dyDescent="0.25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 x14ac:dyDescent="0.25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 x14ac:dyDescent="0.25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 x14ac:dyDescent="0.25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 x14ac:dyDescent="0.25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 x14ac:dyDescent="0.25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 x14ac:dyDescent="0.25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 x14ac:dyDescent="0.25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 x14ac:dyDescent="0.25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 x14ac:dyDescent="0.25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 x14ac:dyDescent="0.25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 x14ac:dyDescent="0.25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 x14ac:dyDescent="0.25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 x14ac:dyDescent="0.25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 x14ac:dyDescent="0.25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 x14ac:dyDescent="0.25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 x14ac:dyDescent="0.25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 x14ac:dyDescent="0.25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 x14ac:dyDescent="0.25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 x14ac:dyDescent="0.25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 x14ac:dyDescent="0.25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 x14ac:dyDescent="0.25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 x14ac:dyDescent="0.25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 x14ac:dyDescent="0.25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 x14ac:dyDescent="0.25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 x14ac:dyDescent="0.25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 x14ac:dyDescent="0.25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 x14ac:dyDescent="0.25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 x14ac:dyDescent="0.25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 x14ac:dyDescent="0.25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 x14ac:dyDescent="0.25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 x14ac:dyDescent="0.25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 x14ac:dyDescent="0.25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 x14ac:dyDescent="0.25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 x14ac:dyDescent="0.25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 x14ac:dyDescent="0.25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 x14ac:dyDescent="0.25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 x14ac:dyDescent="0.25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 x14ac:dyDescent="0.25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 x14ac:dyDescent="0.25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 x14ac:dyDescent="0.25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 x14ac:dyDescent="0.25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 x14ac:dyDescent="0.25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 x14ac:dyDescent="0.25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 x14ac:dyDescent="0.25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 x14ac:dyDescent="0.25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 x14ac:dyDescent="0.25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 x14ac:dyDescent="0.25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 x14ac:dyDescent="0.25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 x14ac:dyDescent="0.25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 x14ac:dyDescent="0.25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 x14ac:dyDescent="0.25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 x14ac:dyDescent="0.25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 x14ac:dyDescent="0.25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 x14ac:dyDescent="0.25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 x14ac:dyDescent="0.25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 x14ac:dyDescent="0.25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H3" sqref="H3"/>
    </sheetView>
  </sheetViews>
  <sheetFormatPr defaultColWidth="8.7421875" defaultRowHeight="15" x14ac:dyDescent="0.2"/>
  <cols>
    <col min="1" max="1" width="20.04296875" customWidth="1"/>
    <col min="2" max="2" width="7.93359375" customWidth="1"/>
    <col min="3" max="3" width="11.1640625" customWidth="1"/>
    <col min="4" max="4" width="6.9921875" customWidth="1"/>
    <col min="5" max="5" width="6.05078125" customWidth="1"/>
    <col min="6" max="7" width="10.76171875" customWidth="1"/>
    <col min="8" max="9" width="39.953125" customWidth="1"/>
    <col min="10" max="10" width="36.05078125" customWidth="1"/>
  </cols>
  <sheetData>
    <row r="1" spans="1:10" ht="31.5" customHeight="1" x14ac:dyDescent="0.2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 x14ac:dyDescent="0.35">
      <c r="A2" s="4" t="s">
        <v>1086</v>
      </c>
      <c r="B2" s="6" t="s">
        <v>1087</v>
      </c>
      <c r="C2" s="4" t="s">
        <v>895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 x14ac:dyDescent="0.35">
      <c r="A3" s="4" t="s">
        <v>1089</v>
      </c>
      <c r="B3" s="6" t="s">
        <v>1090</v>
      </c>
      <c r="C3" s="65" t="s">
        <v>1091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 x14ac:dyDescent="0.35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 x14ac:dyDescent="0.35">
      <c r="A5" s="4" t="s">
        <v>1095</v>
      </c>
      <c r="B5" s="6" t="s">
        <v>1096</v>
      </c>
      <c r="C5" s="4" t="s">
        <v>1097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13"/>
  <sheetViews>
    <sheetView tabSelected="1" workbookViewId="0">
      <pane ySplit="1" topLeftCell="A196" activePane="bottomLeft" state="frozen"/>
      <selection pane="bottomLeft" activeCell="A213" sqref="A213"/>
    </sheetView>
  </sheetViews>
  <sheetFormatPr defaultRowHeight="15" x14ac:dyDescent="0.2"/>
  <cols>
    <col min="1" max="1" width="29.99609375" customWidth="1"/>
    <col min="2" max="2" width="34.03125" customWidth="1"/>
    <col min="3" max="3" width="52.05859375" customWidth="1"/>
    <col min="4" max="4" width="16.0078125" customWidth="1"/>
    <col min="5" max="5" width="66.05078125" customWidth="1"/>
  </cols>
  <sheetData>
    <row r="1" spans="1:5" x14ac:dyDescent="0.2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 x14ac:dyDescent="0.2">
      <c r="A2" t="s">
        <v>1104</v>
      </c>
      <c r="B2" t="s">
        <v>1105</v>
      </c>
      <c r="C2" s="13" t="s">
        <v>2767</v>
      </c>
      <c r="E2" s="13" t="s">
        <v>1106</v>
      </c>
    </row>
    <row r="3" spans="1:5" x14ac:dyDescent="0.2">
      <c r="A3" t="s">
        <v>1107</v>
      </c>
      <c r="B3" t="s">
        <v>1105</v>
      </c>
      <c r="C3" s="13" t="s">
        <v>1108</v>
      </c>
      <c r="E3" s="13" t="s">
        <v>1109</v>
      </c>
    </row>
    <row r="4" spans="1:5" x14ac:dyDescent="0.2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 x14ac:dyDescent="0.2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 x14ac:dyDescent="0.2">
      <c r="A6" t="s">
        <v>1116</v>
      </c>
      <c r="B6" t="s">
        <v>1105</v>
      </c>
      <c r="C6" s="13" t="s">
        <v>2766</v>
      </c>
      <c r="D6" t="s">
        <v>1117</v>
      </c>
      <c r="E6" s="13" t="s">
        <v>1118</v>
      </c>
    </row>
    <row r="7" spans="1:5" x14ac:dyDescent="0.2">
      <c r="A7" t="s">
        <v>1119</v>
      </c>
      <c r="B7" t="s">
        <v>1105</v>
      </c>
      <c r="C7" s="13" t="s">
        <v>1120</v>
      </c>
      <c r="E7" s="13" t="s">
        <v>1121</v>
      </c>
    </row>
    <row r="8" spans="1:5" x14ac:dyDescent="0.2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 x14ac:dyDescent="0.2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 x14ac:dyDescent="0.2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 x14ac:dyDescent="0.2">
      <c r="A11" t="s">
        <v>1134</v>
      </c>
      <c r="B11" t="s">
        <v>1123</v>
      </c>
      <c r="C11" s="13" t="s">
        <v>1135</v>
      </c>
      <c r="E11" s="13" t="s">
        <v>1136</v>
      </c>
    </row>
    <row r="12" spans="1:5" x14ac:dyDescent="0.2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 x14ac:dyDescent="0.2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 x14ac:dyDescent="0.2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 x14ac:dyDescent="0.2">
      <c r="A15" t="s">
        <v>1148</v>
      </c>
      <c r="B15" t="s">
        <v>1149</v>
      </c>
      <c r="C15" s="13" t="s">
        <v>1150</v>
      </c>
      <c r="E15" s="13" t="s">
        <v>1151</v>
      </c>
    </row>
    <row r="16" spans="1:5" x14ac:dyDescent="0.2">
      <c r="A16" t="s">
        <v>1152</v>
      </c>
      <c r="B16" t="s">
        <v>1149</v>
      </c>
      <c r="C16" s="13" t="s">
        <v>1153</v>
      </c>
      <c r="E16" s="13" t="s">
        <v>1154</v>
      </c>
    </row>
    <row r="17" spans="1:5" x14ac:dyDescent="0.2">
      <c r="A17" t="s">
        <v>1155</v>
      </c>
      <c r="B17" t="s">
        <v>1149</v>
      </c>
      <c r="C17" s="13" t="s">
        <v>1156</v>
      </c>
      <c r="E17" s="13" t="s">
        <v>1157</v>
      </c>
    </row>
    <row r="18" spans="1:5" x14ac:dyDescent="0.2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 x14ac:dyDescent="0.2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 x14ac:dyDescent="0.2">
      <c r="A20" t="s">
        <v>1166</v>
      </c>
      <c r="B20" t="s">
        <v>1159</v>
      </c>
      <c r="C20" s="13" t="s">
        <v>1167</v>
      </c>
      <c r="E20" s="13" t="s">
        <v>1168</v>
      </c>
    </row>
    <row r="21" spans="1:5" x14ac:dyDescent="0.2">
      <c r="A21" t="s">
        <v>1169</v>
      </c>
      <c r="B21" t="s">
        <v>1159</v>
      </c>
      <c r="C21" s="13" t="s">
        <v>1170</v>
      </c>
      <c r="E21" s="13" t="s">
        <v>1171</v>
      </c>
    </row>
    <row r="22" spans="1:5" x14ac:dyDescent="0.2">
      <c r="A22" t="s">
        <v>1172</v>
      </c>
      <c r="B22" t="s">
        <v>1159</v>
      </c>
      <c r="C22" s="13" t="s">
        <v>1173</v>
      </c>
      <c r="E22" s="13" t="s">
        <v>1174</v>
      </c>
    </row>
    <row r="23" spans="1:5" x14ac:dyDescent="0.2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 x14ac:dyDescent="0.2">
      <c r="A24" t="s">
        <v>1180</v>
      </c>
      <c r="B24" t="s">
        <v>1176</v>
      </c>
      <c r="C24" s="13" t="s">
        <v>1181</v>
      </c>
      <c r="E24" s="13" t="s">
        <v>1182</v>
      </c>
    </row>
    <row r="25" spans="1:5" x14ac:dyDescent="0.2">
      <c r="A25" t="s">
        <v>1183</v>
      </c>
      <c r="B25" t="s">
        <v>1176</v>
      </c>
      <c r="C25" s="13" t="s">
        <v>1184</v>
      </c>
      <c r="E25" s="13" t="s">
        <v>1185</v>
      </c>
    </row>
    <row r="26" spans="1:5" x14ac:dyDescent="0.2">
      <c r="A26" t="s">
        <v>1186</v>
      </c>
      <c r="B26" t="s">
        <v>1176</v>
      </c>
      <c r="C26" s="13" t="s">
        <v>1187</v>
      </c>
      <c r="E26" s="13" t="s">
        <v>1188</v>
      </c>
    </row>
    <row r="27" spans="1:5" x14ac:dyDescent="0.2">
      <c r="A27" t="s">
        <v>1189</v>
      </c>
      <c r="B27" t="s">
        <v>1176</v>
      </c>
      <c r="C27" s="13" t="s">
        <v>1190</v>
      </c>
      <c r="E27" s="13" t="s">
        <v>1191</v>
      </c>
    </row>
    <row r="28" spans="1:5" x14ac:dyDescent="0.2">
      <c r="A28" t="s">
        <v>1192</v>
      </c>
      <c r="B28" t="s">
        <v>1176</v>
      </c>
      <c r="C28" s="13" t="s">
        <v>1193</v>
      </c>
      <c r="E28" s="13" t="s">
        <v>1194</v>
      </c>
    </row>
    <row r="29" spans="1:5" x14ac:dyDescent="0.2">
      <c r="A29" t="s">
        <v>1195</v>
      </c>
      <c r="B29" t="s">
        <v>1176</v>
      </c>
      <c r="C29" s="13" t="s">
        <v>1196</v>
      </c>
      <c r="E29" s="13" t="s">
        <v>1197</v>
      </c>
    </row>
    <row r="30" spans="1:5" x14ac:dyDescent="0.2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 x14ac:dyDescent="0.2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 x14ac:dyDescent="0.2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 x14ac:dyDescent="0.2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 x14ac:dyDescent="0.2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 x14ac:dyDescent="0.2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 x14ac:dyDescent="0.2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 x14ac:dyDescent="0.2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 x14ac:dyDescent="0.2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 x14ac:dyDescent="0.2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 x14ac:dyDescent="0.2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 x14ac:dyDescent="0.2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 x14ac:dyDescent="0.2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 x14ac:dyDescent="0.2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 x14ac:dyDescent="0.2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 x14ac:dyDescent="0.2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 x14ac:dyDescent="0.2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 x14ac:dyDescent="0.2">
      <c r="A47" t="s">
        <v>1252</v>
      </c>
      <c r="B47" t="s">
        <v>1248</v>
      </c>
      <c r="C47" s="13" t="s">
        <v>1253</v>
      </c>
      <c r="E47" s="13" t="s">
        <v>1254</v>
      </c>
    </row>
    <row r="48" spans="1:5" x14ac:dyDescent="0.2">
      <c r="A48" t="s">
        <v>1255</v>
      </c>
      <c r="B48" t="s">
        <v>1248</v>
      </c>
      <c r="C48" s="13" t="s">
        <v>1256</v>
      </c>
      <c r="E48" s="13" t="s">
        <v>1257</v>
      </c>
    </row>
    <row r="49" spans="1:5" x14ac:dyDescent="0.2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 x14ac:dyDescent="0.2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 x14ac:dyDescent="0.2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 x14ac:dyDescent="0.2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 x14ac:dyDescent="0.2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 x14ac:dyDescent="0.2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 x14ac:dyDescent="0.2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 x14ac:dyDescent="0.2">
      <c r="A56" t="s">
        <v>1277</v>
      </c>
      <c r="B56" t="s">
        <v>1278</v>
      </c>
      <c r="C56" s="13" t="s">
        <v>1279</v>
      </c>
      <c r="E56" s="13"/>
    </row>
    <row r="57" spans="1:5" x14ac:dyDescent="0.2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 x14ac:dyDescent="0.2">
      <c r="A58" t="s">
        <v>1284</v>
      </c>
      <c r="B58" t="s">
        <v>1278</v>
      </c>
      <c r="C58" s="13" t="s">
        <v>1285</v>
      </c>
      <c r="E58" s="13"/>
    </row>
    <row r="59" spans="1:5" x14ac:dyDescent="0.2">
      <c r="A59" t="s">
        <v>1286</v>
      </c>
      <c r="B59" t="s">
        <v>1278</v>
      </c>
      <c r="C59" s="13" t="s">
        <v>1287</v>
      </c>
      <c r="E59" s="13"/>
    </row>
    <row r="60" spans="1:5" x14ac:dyDescent="0.2">
      <c r="A60" t="s">
        <v>1288</v>
      </c>
      <c r="B60" t="s">
        <v>1278</v>
      </c>
      <c r="C60" s="13" t="s">
        <v>1289</v>
      </c>
      <c r="E60" s="13"/>
    </row>
    <row r="61" spans="1:5" x14ac:dyDescent="0.2">
      <c r="A61" t="s">
        <v>1290</v>
      </c>
      <c r="B61" t="s">
        <v>1278</v>
      </c>
      <c r="C61" s="13" t="s">
        <v>1291</v>
      </c>
      <c r="E61" s="13"/>
    </row>
    <row r="62" spans="1:5" x14ac:dyDescent="0.2">
      <c r="A62" t="s">
        <v>1292</v>
      </c>
      <c r="B62" t="s">
        <v>1278</v>
      </c>
      <c r="C62" s="13" t="s">
        <v>475</v>
      </c>
      <c r="E62" s="13"/>
    </row>
    <row r="63" spans="1:5" x14ac:dyDescent="0.2">
      <c r="A63" t="s">
        <v>1293</v>
      </c>
      <c r="B63" t="s">
        <v>1278</v>
      </c>
      <c r="C63" s="13" t="s">
        <v>1294</v>
      </c>
      <c r="E63" s="13"/>
    </row>
    <row r="64" spans="1:5" x14ac:dyDescent="0.2">
      <c r="A64" t="s">
        <v>1295</v>
      </c>
      <c r="B64" t="s">
        <v>1278</v>
      </c>
      <c r="C64" s="13" t="s">
        <v>1296</v>
      </c>
      <c r="E64" s="13"/>
    </row>
    <row r="65" spans="1:5" x14ac:dyDescent="0.2">
      <c r="A65" t="s">
        <v>1297</v>
      </c>
      <c r="B65" t="s">
        <v>1278</v>
      </c>
      <c r="C65" s="13" t="s">
        <v>1298</v>
      </c>
      <c r="E65" s="13"/>
    </row>
    <row r="66" spans="1:5" x14ac:dyDescent="0.2">
      <c r="A66" t="s">
        <v>1299</v>
      </c>
      <c r="B66" t="s">
        <v>1278</v>
      </c>
      <c r="C66" s="13" t="s">
        <v>1300</v>
      </c>
      <c r="E66" s="13"/>
    </row>
    <row r="67" spans="1:5" x14ac:dyDescent="0.2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 x14ac:dyDescent="0.2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 x14ac:dyDescent="0.2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 x14ac:dyDescent="0.2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 x14ac:dyDescent="0.2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 x14ac:dyDescent="0.2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 x14ac:dyDescent="0.2">
      <c r="A73" t="s">
        <v>1321</v>
      </c>
      <c r="B73" t="s">
        <v>1278</v>
      </c>
      <c r="C73" s="13" t="s">
        <v>1322</v>
      </c>
      <c r="E73" s="13" t="s">
        <v>1323</v>
      </c>
    </row>
    <row r="74" spans="1:5" x14ac:dyDescent="0.2">
      <c r="A74" t="s">
        <v>1324</v>
      </c>
      <c r="B74" t="s">
        <v>1278</v>
      </c>
      <c r="C74" s="13" t="s">
        <v>1325</v>
      </c>
      <c r="E74" s="13"/>
    </row>
    <row r="75" spans="1:5" x14ac:dyDescent="0.2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 x14ac:dyDescent="0.2">
      <c r="A76" t="s">
        <v>1328</v>
      </c>
      <c r="B76" t="s">
        <v>1278</v>
      </c>
      <c r="C76" s="13" t="s">
        <v>1329</v>
      </c>
      <c r="E76" s="13" t="s">
        <v>1330</v>
      </c>
    </row>
    <row r="77" spans="1:5" x14ac:dyDescent="0.2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 x14ac:dyDescent="0.2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 x14ac:dyDescent="0.2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 x14ac:dyDescent="0.2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 x14ac:dyDescent="0.2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 x14ac:dyDescent="0.2">
      <c r="A82" t="s">
        <v>1342</v>
      </c>
      <c r="B82" t="s">
        <v>1278</v>
      </c>
      <c r="C82" s="13" t="s">
        <v>1343</v>
      </c>
      <c r="E82" s="13"/>
    </row>
    <row r="83" spans="1:5" x14ac:dyDescent="0.2">
      <c r="A83" t="s">
        <v>1344</v>
      </c>
      <c r="B83" t="s">
        <v>1278</v>
      </c>
      <c r="C83" s="13" t="s">
        <v>1345</v>
      </c>
      <c r="E83" s="13"/>
    </row>
    <row r="84" spans="1:5" ht="30" customHeight="1" x14ac:dyDescent="0.2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 x14ac:dyDescent="0.2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 x14ac:dyDescent="0.2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 x14ac:dyDescent="0.2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 x14ac:dyDescent="0.2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 x14ac:dyDescent="0.2">
      <c r="A89" t="s">
        <v>1357</v>
      </c>
      <c r="B89" t="s">
        <v>1358</v>
      </c>
      <c r="C89" s="13" t="s">
        <v>1359</v>
      </c>
      <c r="E89" s="13"/>
    </row>
    <row r="90" spans="1:5" x14ac:dyDescent="0.2">
      <c r="A90" t="s">
        <v>1360</v>
      </c>
      <c r="B90" t="s">
        <v>1361</v>
      </c>
      <c r="C90" s="13" t="s">
        <v>1362</v>
      </c>
      <c r="E90" s="13"/>
    </row>
    <row r="91" spans="1:5" x14ac:dyDescent="0.2">
      <c r="A91" t="s">
        <v>1363</v>
      </c>
      <c r="B91" t="s">
        <v>1361</v>
      </c>
      <c r="C91" s="13" t="s">
        <v>1364</v>
      </c>
      <c r="E91" s="13" t="s">
        <v>1365</v>
      </c>
    </row>
    <row r="92" spans="1:5" x14ac:dyDescent="0.2">
      <c r="A92" t="s">
        <v>1366</v>
      </c>
      <c r="B92" t="s">
        <v>1361</v>
      </c>
      <c r="C92" s="13" t="s">
        <v>1367</v>
      </c>
      <c r="E92" s="13"/>
    </row>
    <row r="93" spans="1:5" x14ac:dyDescent="0.2">
      <c r="A93" t="s">
        <v>1368</v>
      </c>
      <c r="B93" t="s">
        <v>1358</v>
      </c>
      <c r="C93" s="13" t="s">
        <v>1369</v>
      </c>
      <c r="E93" s="13" t="s">
        <v>1370</v>
      </c>
    </row>
    <row r="94" spans="1:5" x14ac:dyDescent="0.2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 x14ac:dyDescent="0.2">
      <c r="A95" t="s">
        <v>1374</v>
      </c>
      <c r="B95" t="s">
        <v>1358</v>
      </c>
      <c r="C95" s="13" t="s">
        <v>2768</v>
      </c>
      <c r="E95" s="13" t="s">
        <v>1375</v>
      </c>
    </row>
    <row r="96" spans="1:5" x14ac:dyDescent="0.2">
      <c r="A96" t="s">
        <v>1376</v>
      </c>
      <c r="B96" t="s">
        <v>1358</v>
      </c>
      <c r="C96" s="13" t="s">
        <v>2769</v>
      </c>
      <c r="E96" s="13"/>
    </row>
    <row r="97" spans="1:5" x14ac:dyDescent="0.2">
      <c r="A97" t="s">
        <v>1377</v>
      </c>
      <c r="B97" t="s">
        <v>1358</v>
      </c>
      <c r="C97" s="13" t="s">
        <v>2770</v>
      </c>
      <c r="E97" s="13"/>
    </row>
    <row r="98" spans="1:5" x14ac:dyDescent="0.2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 x14ac:dyDescent="0.2">
      <c r="A99" t="s">
        <v>1381</v>
      </c>
      <c r="B99" t="s">
        <v>1379</v>
      </c>
      <c r="C99" s="13" t="s">
        <v>1382</v>
      </c>
      <c r="E99" s="13"/>
    </row>
    <row r="100" spans="1:5" x14ac:dyDescent="0.2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 x14ac:dyDescent="0.2">
      <c r="A101" t="s">
        <v>1385</v>
      </c>
      <c r="B101" t="s">
        <v>1379</v>
      </c>
      <c r="C101" s="13" t="s">
        <v>1386</v>
      </c>
      <c r="E101" s="13"/>
    </row>
    <row r="102" spans="1:5" x14ac:dyDescent="0.2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 x14ac:dyDescent="0.2">
      <c r="A103" t="s">
        <v>1390</v>
      </c>
      <c r="B103" t="s">
        <v>1379</v>
      </c>
      <c r="C103" s="13" t="s">
        <v>1391</v>
      </c>
      <c r="E103" s="13"/>
    </row>
    <row r="104" spans="1:5" x14ac:dyDescent="0.2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 x14ac:dyDescent="0.2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 x14ac:dyDescent="0.2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 x14ac:dyDescent="0.2">
      <c r="A107" t="s">
        <v>1403</v>
      </c>
      <c r="B107" t="s">
        <v>1393</v>
      </c>
      <c r="C107" s="13" t="s">
        <v>1404</v>
      </c>
      <c r="E107" s="13"/>
    </row>
    <row r="108" spans="1:5" x14ac:dyDescent="0.2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 x14ac:dyDescent="0.2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 x14ac:dyDescent="0.2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 x14ac:dyDescent="0.2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 x14ac:dyDescent="0.2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 x14ac:dyDescent="0.2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 x14ac:dyDescent="0.2">
      <c r="A114" t="s">
        <v>1421</v>
      </c>
      <c r="B114" t="s">
        <v>1397</v>
      </c>
      <c r="C114" s="13" t="s">
        <v>1422</v>
      </c>
      <c r="E114" s="13"/>
    </row>
    <row r="115" spans="1:5" x14ac:dyDescent="0.2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 x14ac:dyDescent="0.2">
      <c r="A116" t="s">
        <v>1426</v>
      </c>
      <c r="B116" t="s">
        <v>1427</v>
      </c>
      <c r="C116" s="13" t="s">
        <v>1428</v>
      </c>
      <c r="E116" s="13"/>
    </row>
    <row r="117" spans="1:5" ht="45" customHeight="1" x14ac:dyDescent="0.2">
      <c r="A117" t="s">
        <v>1429</v>
      </c>
      <c r="B117" t="s">
        <v>1400</v>
      </c>
      <c r="C117" s="13" t="s">
        <v>1430</v>
      </c>
      <c r="E117" s="13"/>
    </row>
    <row r="118" spans="1:5" x14ac:dyDescent="0.2">
      <c r="A118" t="s">
        <v>1431</v>
      </c>
      <c r="B118" t="s">
        <v>1400</v>
      </c>
      <c r="C118" s="13" t="s">
        <v>1432</v>
      </c>
      <c r="E118" s="13"/>
    </row>
    <row r="119" spans="1:5" x14ac:dyDescent="0.2">
      <c r="A119" t="s">
        <v>1433</v>
      </c>
      <c r="B119" t="s">
        <v>1400</v>
      </c>
      <c r="C119" s="13" t="s">
        <v>1434</v>
      </c>
      <c r="E119" s="13"/>
    </row>
    <row r="120" spans="1:5" ht="30" customHeight="1" x14ac:dyDescent="0.2">
      <c r="A120" t="s">
        <v>1435</v>
      </c>
      <c r="B120" t="s">
        <v>1400</v>
      </c>
      <c r="C120" s="13" t="s">
        <v>1436</v>
      </c>
      <c r="E120" s="13"/>
    </row>
    <row r="121" spans="1:5" ht="30" customHeight="1" x14ac:dyDescent="0.2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 x14ac:dyDescent="0.2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 x14ac:dyDescent="0.2">
      <c r="A123" t="s">
        <v>1444</v>
      </c>
      <c r="B123" t="s">
        <v>1441</v>
      </c>
      <c r="C123" s="13" t="s">
        <v>1445</v>
      </c>
      <c r="E123" s="13"/>
    </row>
    <row r="124" spans="1:5" x14ac:dyDescent="0.2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 x14ac:dyDescent="0.2">
      <c r="A125" t="s">
        <v>1448</v>
      </c>
      <c r="B125" t="s">
        <v>1441</v>
      </c>
      <c r="C125" s="13" t="s">
        <v>1449</v>
      </c>
      <c r="E125" s="13"/>
    </row>
    <row r="126" spans="1:5" x14ac:dyDescent="0.2">
      <c r="A126" t="s">
        <v>1450</v>
      </c>
      <c r="B126" t="s">
        <v>1441</v>
      </c>
      <c r="C126" s="13" t="s">
        <v>1451</v>
      </c>
      <c r="E126" s="13"/>
    </row>
    <row r="127" spans="1:5" x14ac:dyDescent="0.2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 x14ac:dyDescent="0.2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 x14ac:dyDescent="0.2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 x14ac:dyDescent="0.2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 x14ac:dyDescent="0.2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 x14ac:dyDescent="0.2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 x14ac:dyDescent="0.2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 x14ac:dyDescent="0.2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 x14ac:dyDescent="0.2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 x14ac:dyDescent="0.2">
      <c r="A136" t="s">
        <v>1477</v>
      </c>
      <c r="B136" t="s">
        <v>1474</v>
      </c>
      <c r="C136" s="13" t="s">
        <v>1478</v>
      </c>
      <c r="E136" s="13"/>
    </row>
    <row r="137" spans="1:5" x14ac:dyDescent="0.2">
      <c r="A137" t="s">
        <v>1479</v>
      </c>
      <c r="B137" t="s">
        <v>1474</v>
      </c>
      <c r="C137" s="13" t="s">
        <v>1480</v>
      </c>
      <c r="E137" s="13"/>
    </row>
    <row r="138" spans="1:5" ht="30" customHeight="1" x14ac:dyDescent="0.2">
      <c r="A138" t="s">
        <v>1481</v>
      </c>
      <c r="B138" t="s">
        <v>1474</v>
      </c>
      <c r="C138" s="13" t="s">
        <v>1482</v>
      </c>
      <c r="E138" s="13"/>
    </row>
    <row r="139" spans="1:5" x14ac:dyDescent="0.2">
      <c r="A139" t="s">
        <v>1483</v>
      </c>
      <c r="B139" t="s">
        <v>1474</v>
      </c>
      <c r="C139" s="13" t="s">
        <v>1484</v>
      </c>
      <c r="E139" s="13"/>
    </row>
    <row r="140" spans="1:5" x14ac:dyDescent="0.2">
      <c r="A140" t="s">
        <v>1485</v>
      </c>
      <c r="B140" t="s">
        <v>1474</v>
      </c>
      <c r="C140" s="13" t="s">
        <v>1486</v>
      </c>
      <c r="E140" s="13"/>
    </row>
    <row r="141" spans="1:5" x14ac:dyDescent="0.2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 x14ac:dyDescent="0.2">
      <c r="A142" t="s">
        <v>1490</v>
      </c>
      <c r="B142" t="s">
        <v>1474</v>
      </c>
      <c r="C142" s="13" t="s">
        <v>1491</v>
      </c>
      <c r="E142" s="13"/>
    </row>
    <row r="143" spans="1:5" x14ac:dyDescent="0.2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 x14ac:dyDescent="0.2">
      <c r="A144" t="s">
        <v>1494</v>
      </c>
      <c r="B144" t="s">
        <v>1474</v>
      </c>
      <c r="C144" s="13" t="s">
        <v>1495</v>
      </c>
      <c r="E144" s="13"/>
    </row>
    <row r="145" spans="1:5" x14ac:dyDescent="0.2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 x14ac:dyDescent="0.2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 x14ac:dyDescent="0.2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 x14ac:dyDescent="0.2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 x14ac:dyDescent="0.2">
      <c r="A149" t="s">
        <v>1508</v>
      </c>
      <c r="B149" t="s">
        <v>1474</v>
      </c>
      <c r="C149" s="13" t="s">
        <v>1509</v>
      </c>
      <c r="E149" s="13"/>
    </row>
    <row r="150" spans="1:5" x14ac:dyDescent="0.2">
      <c r="A150" t="s">
        <v>1510</v>
      </c>
      <c r="B150" t="s">
        <v>1474</v>
      </c>
      <c r="C150" s="13" t="s">
        <v>1511</v>
      </c>
      <c r="E150" s="13"/>
    </row>
    <row r="151" spans="1:5" x14ac:dyDescent="0.2">
      <c r="A151" t="s">
        <v>1512</v>
      </c>
      <c r="B151" t="s">
        <v>1474</v>
      </c>
      <c r="C151" s="13" t="s">
        <v>1513</v>
      </c>
      <c r="E151" s="13"/>
    </row>
    <row r="152" spans="1:5" x14ac:dyDescent="0.2">
      <c r="A152" t="s">
        <v>1514</v>
      </c>
      <c r="B152" t="s">
        <v>1474</v>
      </c>
      <c r="C152" s="13" t="s">
        <v>1515</v>
      </c>
      <c r="E152" s="13"/>
    </row>
    <row r="153" spans="1:5" x14ac:dyDescent="0.2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 x14ac:dyDescent="0.2">
      <c r="A154" t="s">
        <v>1518</v>
      </c>
      <c r="B154" t="s">
        <v>1474</v>
      </c>
      <c r="C154" s="13" t="s">
        <v>1519</v>
      </c>
      <c r="E154" s="13"/>
    </row>
    <row r="155" spans="1:5" x14ac:dyDescent="0.2">
      <c r="A155" t="s">
        <v>1520</v>
      </c>
      <c r="B155" t="s">
        <v>1474</v>
      </c>
      <c r="C155" s="13" t="s">
        <v>1521</v>
      </c>
      <c r="E155" s="13"/>
    </row>
    <row r="156" spans="1:5" x14ac:dyDescent="0.2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 x14ac:dyDescent="0.2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 x14ac:dyDescent="0.2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 x14ac:dyDescent="0.2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 x14ac:dyDescent="0.2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 x14ac:dyDescent="0.2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 x14ac:dyDescent="0.2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 x14ac:dyDescent="0.2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 x14ac:dyDescent="0.2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 x14ac:dyDescent="0.2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 x14ac:dyDescent="0.2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 x14ac:dyDescent="0.2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 x14ac:dyDescent="0.2">
      <c r="A168" t="s">
        <v>1558</v>
      </c>
      <c r="B168" t="s">
        <v>1559</v>
      </c>
      <c r="C168" t="s">
        <v>1560</v>
      </c>
      <c r="D168" t="s">
        <v>1561</v>
      </c>
    </row>
    <row r="169" spans="1:5" x14ac:dyDescent="0.2">
      <c r="A169" t="s">
        <v>1562</v>
      </c>
      <c r="B169" t="s">
        <v>1559</v>
      </c>
      <c r="C169" t="s">
        <v>1563</v>
      </c>
      <c r="D169" t="s">
        <v>1561</v>
      </c>
    </row>
    <row r="170" spans="1:5" x14ac:dyDescent="0.2">
      <c r="A170" t="s">
        <v>1564</v>
      </c>
      <c r="B170" t="s">
        <v>1559</v>
      </c>
      <c r="C170" t="s">
        <v>1565</v>
      </c>
      <c r="D170" t="s">
        <v>1132</v>
      </c>
    </row>
    <row r="171" spans="1:5" x14ac:dyDescent="0.2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 x14ac:dyDescent="0.2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 x14ac:dyDescent="0.2">
      <c r="A173" t="s">
        <v>1575</v>
      </c>
      <c r="B173" t="s">
        <v>1571</v>
      </c>
      <c r="C173" t="s">
        <v>1576</v>
      </c>
      <c r="D173" t="s">
        <v>1577</v>
      </c>
    </row>
    <row r="174" spans="1:5" x14ac:dyDescent="0.2">
      <c r="A174" t="s">
        <v>1578</v>
      </c>
      <c r="B174" t="s">
        <v>1571</v>
      </c>
      <c r="C174" t="s">
        <v>1579</v>
      </c>
      <c r="D174" t="s">
        <v>1568</v>
      </c>
    </row>
    <row r="175" spans="1:5" x14ac:dyDescent="0.2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 x14ac:dyDescent="0.2">
      <c r="A176" t="s">
        <v>1584</v>
      </c>
      <c r="B176" t="s">
        <v>1571</v>
      </c>
      <c r="C176" t="s">
        <v>1585</v>
      </c>
      <c r="D176" t="s">
        <v>1568</v>
      </c>
    </row>
    <row r="177" spans="1:5" x14ac:dyDescent="0.2">
      <c r="A177" t="s">
        <v>1586</v>
      </c>
      <c r="B177" t="s">
        <v>1587</v>
      </c>
      <c r="C177" t="s">
        <v>1588</v>
      </c>
      <c r="D177" t="s">
        <v>1125</v>
      </c>
    </row>
    <row r="178" spans="1:5" x14ac:dyDescent="0.2">
      <c r="A178" t="s">
        <v>1589</v>
      </c>
      <c r="B178" t="s">
        <v>1587</v>
      </c>
      <c r="C178" t="s">
        <v>1590</v>
      </c>
      <c r="D178" t="s">
        <v>1125</v>
      </c>
    </row>
    <row r="179" spans="1:5" x14ac:dyDescent="0.2">
      <c r="A179" t="s">
        <v>1591</v>
      </c>
      <c r="B179" t="s">
        <v>1587</v>
      </c>
      <c r="C179" t="s">
        <v>1592</v>
      </c>
      <c r="D179" t="s">
        <v>1125</v>
      </c>
    </row>
    <row r="180" spans="1:5" x14ac:dyDescent="0.2">
      <c r="A180" t="s">
        <v>1593</v>
      </c>
      <c r="B180" t="s">
        <v>1559</v>
      </c>
      <c r="C180" t="s">
        <v>1594</v>
      </c>
      <c r="D180" t="s">
        <v>1595</v>
      </c>
    </row>
    <row r="181" spans="1:5" x14ac:dyDescent="0.2">
      <c r="A181" t="s">
        <v>1596</v>
      </c>
      <c r="B181" t="s">
        <v>1559</v>
      </c>
      <c r="C181" t="s">
        <v>1597</v>
      </c>
      <c r="D181" t="s">
        <v>1568</v>
      </c>
    </row>
    <row r="182" spans="1:5" x14ac:dyDescent="0.2">
      <c r="A182" t="s">
        <v>1598</v>
      </c>
      <c r="B182" t="s">
        <v>1599</v>
      </c>
      <c r="C182" t="s">
        <v>1600</v>
      </c>
      <c r="D182" t="s">
        <v>1568</v>
      </c>
    </row>
    <row r="183" spans="1:5" x14ac:dyDescent="0.2">
      <c r="A183" t="s">
        <v>1601</v>
      </c>
      <c r="B183" t="s">
        <v>1602</v>
      </c>
      <c r="C183" t="s">
        <v>1603</v>
      </c>
      <c r="D183" t="s">
        <v>1604</v>
      </c>
    </row>
    <row r="184" spans="1:5" x14ac:dyDescent="0.2">
      <c r="A184" t="s">
        <v>1605</v>
      </c>
      <c r="B184" t="s">
        <v>1606</v>
      </c>
      <c r="C184" t="s">
        <v>1607</v>
      </c>
      <c r="D184" t="s">
        <v>1608</v>
      </c>
    </row>
    <row r="185" spans="1:5" x14ac:dyDescent="0.2">
      <c r="A185" t="s">
        <v>1609</v>
      </c>
      <c r="B185" t="s">
        <v>1606</v>
      </c>
      <c r="C185" t="s">
        <v>1610</v>
      </c>
      <c r="D185" t="s">
        <v>1608</v>
      </c>
    </row>
    <row r="186" spans="1:5" x14ac:dyDescent="0.2">
      <c r="A186" t="s">
        <v>1611</v>
      </c>
      <c r="B186" t="s">
        <v>1612</v>
      </c>
      <c r="C186" t="s">
        <v>1613</v>
      </c>
      <c r="D186" t="s">
        <v>1217</v>
      </c>
    </row>
    <row r="187" spans="1:5" x14ac:dyDescent="0.2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 x14ac:dyDescent="0.2">
      <c r="A188" t="s">
        <v>1617</v>
      </c>
      <c r="B188" t="s">
        <v>1612</v>
      </c>
      <c r="C188" t="s">
        <v>1618</v>
      </c>
      <c r="D188" t="s">
        <v>1568</v>
      </c>
    </row>
    <row r="189" spans="1:5" x14ac:dyDescent="0.2">
      <c r="A189" t="s">
        <v>1619</v>
      </c>
      <c r="B189" t="s">
        <v>1612</v>
      </c>
      <c r="C189" t="s">
        <v>1620</v>
      </c>
      <c r="D189" t="s">
        <v>1228</v>
      </c>
    </row>
    <row r="190" spans="1:5" x14ac:dyDescent="0.2">
      <c r="A190" t="s">
        <v>1621</v>
      </c>
      <c r="B190" t="s">
        <v>1612</v>
      </c>
      <c r="C190" t="s">
        <v>1622</v>
      </c>
      <c r="D190" t="s">
        <v>1623</v>
      </c>
    </row>
    <row r="191" spans="1:5" x14ac:dyDescent="0.2">
      <c r="A191" t="s">
        <v>1624</v>
      </c>
      <c r="B191" t="s">
        <v>1612</v>
      </c>
      <c r="C191" t="s">
        <v>1625</v>
      </c>
      <c r="D191" t="s">
        <v>1626</v>
      </c>
    </row>
    <row r="192" spans="1:5" x14ac:dyDescent="0.2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 x14ac:dyDescent="0.2">
      <c r="A193" t="s">
        <v>1630</v>
      </c>
      <c r="B193" t="s">
        <v>1631</v>
      </c>
      <c r="C193" t="s">
        <v>1632</v>
      </c>
      <c r="D193" t="s">
        <v>1125</v>
      </c>
    </row>
    <row r="194" spans="1:5" x14ac:dyDescent="0.2">
      <c r="A194" t="s">
        <v>1633</v>
      </c>
      <c r="B194" t="s">
        <v>1631</v>
      </c>
      <c r="C194" t="s">
        <v>1634</v>
      </c>
      <c r="D194" t="s">
        <v>1125</v>
      </c>
    </row>
    <row r="195" spans="1:5" x14ac:dyDescent="0.2">
      <c r="A195" t="s">
        <v>1635</v>
      </c>
      <c r="B195" t="s">
        <v>1631</v>
      </c>
      <c r="C195" t="s">
        <v>1636</v>
      </c>
      <c r="D195" t="s">
        <v>1125</v>
      </c>
    </row>
    <row r="196" spans="1:5" x14ac:dyDescent="0.2">
      <c r="A196" t="s">
        <v>1637</v>
      </c>
      <c r="B196" t="s">
        <v>1631</v>
      </c>
      <c r="C196" t="s">
        <v>1638</v>
      </c>
      <c r="D196" t="s">
        <v>1125</v>
      </c>
    </row>
    <row r="197" spans="1:5" x14ac:dyDescent="0.2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 x14ac:dyDescent="0.2">
      <c r="A198" t="s">
        <v>1641</v>
      </c>
      <c r="B198" t="s">
        <v>1631</v>
      </c>
      <c r="C198" t="s">
        <v>1642</v>
      </c>
      <c r="D198" t="s">
        <v>1568</v>
      </c>
    </row>
    <row r="199" spans="1:5" x14ac:dyDescent="0.2">
      <c r="A199" t="s">
        <v>1643</v>
      </c>
      <c r="B199" t="s">
        <v>1631</v>
      </c>
      <c r="C199" t="s">
        <v>1644</v>
      </c>
      <c r="D199" t="s">
        <v>1568</v>
      </c>
    </row>
    <row r="200" spans="1:5" x14ac:dyDescent="0.2">
      <c r="A200" t="s">
        <v>1645</v>
      </c>
      <c r="B200" t="s">
        <v>1646</v>
      </c>
      <c r="C200" t="s">
        <v>1647</v>
      </c>
      <c r="D200" t="s">
        <v>1648</v>
      </c>
    </row>
    <row r="201" spans="1:5" x14ac:dyDescent="0.2">
      <c r="A201" t="s">
        <v>1649</v>
      </c>
      <c r="B201" t="s">
        <v>1646</v>
      </c>
      <c r="C201" t="s">
        <v>1650</v>
      </c>
      <c r="D201" t="s">
        <v>1651</v>
      </c>
    </row>
    <row r="203" spans="1:5" x14ac:dyDescent="0.2">
      <c r="A203" t="s">
        <v>2825</v>
      </c>
      <c r="B203" t="s">
        <v>2826</v>
      </c>
      <c r="C203" t="s">
        <v>2784</v>
      </c>
    </row>
    <row r="204" spans="1:5" x14ac:dyDescent="0.2">
      <c r="A204" t="s">
        <v>2827</v>
      </c>
      <c r="B204" t="s">
        <v>2828</v>
      </c>
      <c r="C204" t="s">
        <v>2829</v>
      </c>
    </row>
    <row r="205" spans="1:5" x14ac:dyDescent="0.2">
      <c r="A205" t="s">
        <v>2830</v>
      </c>
      <c r="B205" t="s">
        <v>2831</v>
      </c>
      <c r="C205" t="s">
        <v>2832</v>
      </c>
      <c r="D205" t="s">
        <v>2833</v>
      </c>
    </row>
    <row r="206" spans="1:5" x14ac:dyDescent="0.2">
      <c r="A206" t="s">
        <v>2834</v>
      </c>
      <c r="B206" t="s">
        <v>2835</v>
      </c>
      <c r="C206" t="s">
        <v>2836</v>
      </c>
    </row>
    <row r="207" spans="1:5" x14ac:dyDescent="0.2">
      <c r="A207" t="s">
        <v>2837</v>
      </c>
      <c r="B207" t="s">
        <v>2838</v>
      </c>
      <c r="C207" t="s">
        <v>2839</v>
      </c>
      <c r="D207" t="s">
        <v>2840</v>
      </c>
    </row>
    <row r="208" spans="1:5" x14ac:dyDescent="0.2">
      <c r="A208" t="s">
        <v>2841</v>
      </c>
      <c r="B208" t="s">
        <v>2842</v>
      </c>
      <c r="C208" t="s">
        <v>2843</v>
      </c>
      <c r="D208" t="s">
        <v>2844</v>
      </c>
    </row>
    <row r="209" spans="1:3" x14ac:dyDescent="0.2">
      <c r="A209" t="s">
        <v>2845</v>
      </c>
      <c r="B209" t="s">
        <v>2846</v>
      </c>
      <c r="C209" t="s">
        <v>2847</v>
      </c>
    </row>
    <row r="213" spans="1:3" x14ac:dyDescent="0.2">
      <c r="A213" t="s">
        <v>2848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7.93359375" customWidth="1"/>
    <col min="2" max="2" width="27.98046875" customWidth="1"/>
    <col min="3" max="3" width="11.97265625" customWidth="1"/>
    <col min="4" max="4" width="34.03125" customWidth="1"/>
    <col min="9" max="9" width="4.9765625" customWidth="1"/>
    <col min="14" max="14" width="7.93359375" customWidth="1"/>
    <col min="16" max="16" width="18.0234375" customWidth="1"/>
    <col min="17" max="17" width="7.93359375" customWidth="1"/>
  </cols>
  <sheetData>
    <row r="1" spans="1:17" ht="25.5" customHeight="1" x14ac:dyDescent="0.2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 x14ac:dyDescent="0.2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 x14ac:dyDescent="0.2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 x14ac:dyDescent="0.2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 x14ac:dyDescent="0.2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 x14ac:dyDescent="0.2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 x14ac:dyDescent="0.2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 x14ac:dyDescent="0.2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 x14ac:dyDescent="0.2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 x14ac:dyDescent="0.2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 x14ac:dyDescent="0.2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 x14ac:dyDescent="0.2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 x14ac:dyDescent="0.2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 x14ac:dyDescent="0.2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 x14ac:dyDescent="0.2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 x14ac:dyDescent="0.2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 x14ac:dyDescent="0.2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 x14ac:dyDescent="0.2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 x14ac:dyDescent="0.2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 x14ac:dyDescent="0.2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 x14ac:dyDescent="0.2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 x14ac:dyDescent="0.2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 x14ac:dyDescent="0.2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 x14ac:dyDescent="0.2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 x14ac:dyDescent="0.2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 x14ac:dyDescent="0.2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 x14ac:dyDescent="0.2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 x14ac:dyDescent="0.2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 x14ac:dyDescent="0.2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 x14ac:dyDescent="0.2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 x14ac:dyDescent="0.2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 x14ac:dyDescent="0.2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 x14ac:dyDescent="0.2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 x14ac:dyDescent="0.2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 x14ac:dyDescent="0.2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 x14ac:dyDescent="0.2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 x14ac:dyDescent="0.2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 x14ac:dyDescent="0.2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 x14ac:dyDescent="0.2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 x14ac:dyDescent="0.2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 x14ac:dyDescent="0.2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 x14ac:dyDescent="0.2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 x14ac:dyDescent="0.2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 x14ac:dyDescent="0.2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 x14ac:dyDescent="0.2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 x14ac:dyDescent="0.2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 x14ac:dyDescent="0.2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 x14ac:dyDescent="0.2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 x14ac:dyDescent="0.2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 x14ac:dyDescent="0.2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 x14ac:dyDescent="0.2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 x14ac:dyDescent="0.2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 x14ac:dyDescent="0.2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 x14ac:dyDescent="0.2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 x14ac:dyDescent="0.2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 x14ac:dyDescent="0.2"/>
  <cols>
    <col min="1" max="1" width="13.046875" customWidth="1"/>
    <col min="2" max="2" width="43.98828125" customWidth="1"/>
    <col min="4" max="4" width="39.953125" customWidth="1"/>
    <col min="5" max="5" width="36.05078125" customWidth="1"/>
  </cols>
  <sheetData>
    <row r="1" spans="1:5" ht="15.75" customHeight="1" x14ac:dyDescent="0.2">
      <c r="A1" s="42" t="s">
        <v>1938</v>
      </c>
    </row>
    <row r="2" spans="1:5" x14ac:dyDescent="0.2">
      <c r="A2" s="43" t="s">
        <v>1939</v>
      </c>
    </row>
    <row r="4" spans="1:5" x14ac:dyDescent="0.2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 x14ac:dyDescent="0.2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 x14ac:dyDescent="0.2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 x14ac:dyDescent="0.2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 x14ac:dyDescent="0.2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 x14ac:dyDescent="0.2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 x14ac:dyDescent="0.2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 x14ac:dyDescent="0.2">
      <c r="A13" s="42" t="s">
        <v>1962</v>
      </c>
    </row>
    <row r="14" spans="1:5" x14ac:dyDescent="0.2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 x14ac:dyDescent="0.2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 x14ac:dyDescent="0.2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 x14ac:dyDescent="0.2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 x14ac:dyDescent="0.2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 x14ac:dyDescent="0.2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39.953125" customWidth="1"/>
    <col min="3" max="3" width="13.04687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02" customHeight="1" x14ac:dyDescent="0.2">
      <c r="A2" s="59" t="s">
        <v>1990</v>
      </c>
      <c r="B2" s="60" t="s">
        <v>1991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8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INDEX(Cards!$B$2:$B$55,MATCH("C13",Cards!$A$2:$A$55,0))&amp;" (C13): Let's look at the actual numbers."</f>
        <v>Present the Stats (C13): Let's look at the actual numbers.</v>
      </c>
      <c r="N2" s="62" t="str">
        <f>INDEX(Cards!$B$2:$B$55,MATCH("C21",Cards!$A$2:$A$55,0))&amp;" (C21): We'll find a balance that pleases everyone."</f>
        <v>Iridescent Answer (C21): We'll find a balance that pleases everyone.</v>
      </c>
    </row>
    <row r="3" spans="1:14" ht="114.75" customHeight="1" x14ac:dyDescent="0.2">
      <c r="A3" s="59" t="s">
        <v>1995</v>
      </c>
      <c r="B3" s="60" t="s">
        <v>1996</v>
      </c>
      <c r="C3" s="61" t="s">
        <v>1997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INDEX(Cards!$B$2:$B$55,MATCH("C02",Cards!$A$2:$A$55,0))&amp;" (C02): Let me answer you directly."</f>
        <v>Sincere Answer (C02): Let me answer you directly.</v>
      </c>
      <c r="M3" s="62" t="str">
        <f>INDEX(Cards!$B$2:$B$55,MATCH("C21",Cards!$A$2:$A$55,0))&amp;" (C21): There's truth on every side of this."</f>
        <v>Iridescent Answer (C21): There's truth on every side of this.</v>
      </c>
      <c r="N3" s="62" t="str">
        <f>INDEX(Cards!$B$2:$B$55,MATCH("C18",Cards!$A$2:$A$55,0))&amp;" (C18): It's us against them, plain and simple."</f>
        <v>Drawing Battle Lines (C18): It's us against them, plain and simple.</v>
      </c>
    </row>
    <row r="4" spans="1:14" ht="102" customHeight="1" x14ac:dyDescent="0.2">
      <c r="A4" s="59" t="s">
        <v>1998</v>
      </c>
      <c r="B4" s="60" t="s">
        <v>1999</v>
      </c>
      <c r="C4" s="61" t="s">
        <v>2000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9</v>
      </c>
      <c r="L4" s="62" t="str">
        <f>INDEX(Cards!$B$2:$B$55,MATCH("C13",Cards!$A$2:$A$55,0))&amp;" (C13): Facts don't care about talking points."</f>
        <v>Present the Stats (C13): Facts don't care about talking points.</v>
      </c>
      <c r="M4" s="62" t="str">
        <f>INDEX(Cards!$B$2:$B$55,MATCH("C17",Cards!$A$2:$A$55,0))&amp;" (C17): Typical out-of-touch elitist."</f>
        <v>Labeling (C17): Typical out-of-touch elitist.</v>
      </c>
      <c r="N4" s="62" t="str">
        <f>INDEX(Cards!$B$2:$B$55,MATCH("C23",Cards!$A$2:$A$55,0))&amp;" (C23): The real question is why you're asking."</f>
        <v>Shifting the Issue (C23): The real question is why you're asking.</v>
      </c>
    </row>
    <row r="5" spans="1:14" ht="114.75" customHeight="1" x14ac:dyDescent="0.2">
      <c r="A5" s="59" t="s">
        <v>2001</v>
      </c>
      <c r="B5" s="60" t="s">
        <v>2002</v>
      </c>
      <c r="C5" s="61" t="s">
        <v>2003</v>
      </c>
      <c r="D5" s="59" t="s">
        <v>2004</v>
      </c>
      <c r="E5" s="59" t="s">
        <v>1994</v>
      </c>
      <c r="F5" s="59" t="s">
        <v>1993</v>
      </c>
      <c r="G5" s="59" t="s">
        <v>1994</v>
      </c>
      <c r="H5" s="59" t="s">
        <v>1993</v>
      </c>
      <c r="I5" s="59" t="s">
        <v>1994</v>
      </c>
      <c r="J5" s="59">
        <f t="shared" si="0"/>
        <v>2</v>
      </c>
      <c r="K5" s="59">
        <f t="shared" si="1"/>
        <v>8</v>
      </c>
      <c r="L5" s="62" t="str">
        <f>INDEX(Cards!$B$2:$B$55,MATCH("C39",Cards!$A$2:$A$55,0))&amp;" (C39): Count them yourself. We have the votes."</f>
        <v>We Have the Votes (C39): Count them yourself. We have the votes.</v>
      </c>
      <c r="M5" s="62" t="str">
        <f>INDEX(Cards!$B$2:$B$55,MATCH("C20",Cards!$A$2:$A$55,0))&amp;" (C20): Oppose this, and you're not one of us."</f>
        <v>Loyalty Test (C20): Oppose this, and you're not one of us.</v>
      </c>
      <c r="N5" s="62" t="str">
        <f>INDEX(Cards!$B$2:$B$55,MATCH("C24",Cards!$A$2:$A$55,0))&amp;" (C24): Rest assured, you'll be taken care of."</f>
        <v>Offer a Quiet Assurance (C24): Rest assured, you'll be taken care of.</v>
      </c>
    </row>
    <row r="6" spans="1:14" ht="127.5" customHeight="1" x14ac:dyDescent="0.2">
      <c r="A6" s="59" t="s">
        <v>2005</v>
      </c>
      <c r="B6" s="60" t="s">
        <v>2006</v>
      </c>
      <c r="C6" s="61" t="s">
        <v>2007</v>
      </c>
      <c r="D6" s="59" t="s">
        <v>1994</v>
      </c>
      <c r="E6" s="59" t="s">
        <v>1993</v>
      </c>
      <c r="F6" s="59" t="s">
        <v>1994</v>
      </c>
      <c r="G6" s="59" t="s">
        <v>1993</v>
      </c>
      <c r="H6" s="59" t="s">
        <v>1993</v>
      </c>
      <c r="I6" s="59" t="s">
        <v>1994</v>
      </c>
      <c r="J6" s="59">
        <f t="shared" si="0"/>
        <v>3</v>
      </c>
      <c r="K6" s="59">
        <f t="shared" si="1"/>
        <v>6</v>
      </c>
      <c r="L6" s="62" t="str">
        <f>INDEX(Cards!$B$2:$B$55,MATCH("C40",Cards!$A$2:$A$55,0))&amp;" (C40): Follow the donations, and it all makes sense."</f>
        <v>Question the Funding (C40): Follow the donations, and it all makes sense.</v>
      </c>
      <c r="M6" s="62" t="str">
        <f>INDEX(Cards!$B$2:$B$55,MATCH("C18",Cards!$A$2:$A$55,0))&amp;" (C18): They stand for themselves. We stand for you."</f>
        <v>Drawing Battle Lines (C18): They stand for themselves. We stand for you.</v>
      </c>
      <c r="N6" s="62" t="str">
        <f>INDEX(Cards!$B$2:$B$55,MATCH("C53",Cards!$A$2:$A$55,0))&amp;" (C53): Nobody fights harder for people like you."</f>
        <v>Tell the Room What It Wants (C53): Nobody fights harder for people like you.</v>
      </c>
    </row>
    <row r="7" spans="1:14" ht="114.75" customHeight="1" x14ac:dyDescent="0.2">
      <c r="A7" s="59" t="s">
        <v>2008</v>
      </c>
      <c r="B7" s="60" t="s">
        <v>2009</v>
      </c>
      <c r="C7" s="61" t="s">
        <v>2010</v>
      </c>
      <c r="D7" s="59" t="s">
        <v>1994</v>
      </c>
      <c r="E7" s="59" t="s">
        <v>1994</v>
      </c>
      <c r="F7" s="59" t="s">
        <v>1993</v>
      </c>
      <c r="G7" s="59" t="s">
        <v>2004</v>
      </c>
      <c r="H7" s="59" t="s">
        <v>1993</v>
      </c>
      <c r="I7" s="59" t="s">
        <v>1994</v>
      </c>
      <c r="J7" s="59">
        <f t="shared" si="0"/>
        <v>2</v>
      </c>
      <c r="K7" s="59">
        <f t="shared" si="1"/>
        <v>7</v>
      </c>
      <c r="L7" s="62" t="str">
        <f>INDEX(Cards!$B$2:$B$55,MATCH("C35",Cards!$A$2:$A$55,0))&amp;" (C35): Our party speaks with one voice on this."</f>
        <v>Invoke Party Discipline (C35): Our party speaks with one voice on this.</v>
      </c>
      <c r="M7" s="62" t="str">
        <f>INDEX(Cards!$B$2:$B$55,MATCH("C47",Cards!$A$2:$A$55,0))&amp;" (C47): Some here forget who they serve."</f>
        <v>Question Their Loyalty (C47): Some here forget who they serve.</v>
      </c>
      <c r="N7" s="62" t="str">
        <f>INDEX(Cards!$B$2:$B$55,MATCH("C11",Cards!$A$2:$A$55,0))&amp;" (C11): I believe we understand each other."</f>
        <v>Work the Room First (C11): I believe we understand each other.</v>
      </c>
    </row>
    <row r="8" spans="1:14" ht="127.5" customHeight="1" x14ac:dyDescent="0.2">
      <c r="A8" s="59" t="s">
        <v>2011</v>
      </c>
      <c r="B8" s="60" t="s">
        <v>2012</v>
      </c>
      <c r="C8" s="61" t="s">
        <v>2013</v>
      </c>
      <c r="D8" s="59" t="s">
        <v>1994</v>
      </c>
      <c r="E8" s="59" t="s">
        <v>2004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INDEX(Cards!$B$2:$B$55,MATCH("C01",Cards!$A$2:$A$55,0))&amp;" (C01): Judge me by my record."</f>
        <v>Record of Service (C01): Judge me by my record.</v>
      </c>
    </row>
    <row r="9" spans="1:14" ht="140.25" customHeight="1" x14ac:dyDescent="0.2">
      <c r="A9" s="59" t="s">
        <v>2014</v>
      </c>
      <c r="B9" s="60" t="s">
        <v>2015</v>
      </c>
      <c r="C9" s="61" t="s">
        <v>2016</v>
      </c>
      <c r="D9" s="59" t="s">
        <v>1994</v>
      </c>
      <c r="E9" s="59" t="s">
        <v>1994</v>
      </c>
      <c r="F9" s="59" t="s">
        <v>2004</v>
      </c>
      <c r="G9" s="59" t="s">
        <v>1993</v>
      </c>
      <c r="H9" s="59" t="s">
        <v>2004</v>
      </c>
      <c r="I9" s="59" t="s">
        <v>1993</v>
      </c>
      <c r="J9" s="59">
        <f t="shared" si="0"/>
        <v>2</v>
      </c>
      <c r="K9" s="59">
        <f t="shared" si="1"/>
        <v>5</v>
      </c>
      <c r="L9" s="62" t="str">
        <f>INDEX(Cards!$B$2:$B$55,MATCH("C16",Cards!$A$2:$A$55,0))&amp;" (C16): Our findings are published. Refute them."</f>
        <v>Table the White Paper (C16): Our findings are published. Refute them.</v>
      </c>
      <c r="M9" s="62" t="str">
        <f>INDEX(Cards!$B$2:$B$55,MATCH("C52",Cards!$A$2:$A$55,0))&amp;" (C52): It depends on seventeen interlocking variables."</f>
        <v>Drown Them in Detail (C52): It depends on seventeen interlocking variables.</v>
      </c>
      <c r="N9" s="62" t="str">
        <f>INDEX(Cards!$B$2:$B$55,MATCH("C28",Cards!$A$2:$A$55,0))&amp;" (C28): These letters are why I'm standing here."</f>
        <v>Read the Letters Aloud (C28): These letters are why I'm standing here.</v>
      </c>
    </row>
    <row r="10" spans="1:14" ht="102" customHeight="1" x14ac:dyDescent="0.2">
      <c r="A10" s="59" t="s">
        <v>2017</v>
      </c>
      <c r="B10" s="60" t="s">
        <v>2018</v>
      </c>
      <c r="C10" s="61" t="s">
        <v>2019</v>
      </c>
      <c r="D10" s="59" t="s">
        <v>1993</v>
      </c>
      <c r="E10" s="59" t="s">
        <v>1993</v>
      </c>
      <c r="F10" s="59" t="s">
        <v>1994</v>
      </c>
      <c r="G10" s="59" t="s">
        <v>1994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8</v>
      </c>
      <c r="L10" s="62" t="str">
        <f>INDEX(Cards!$B$2:$B$55,MATCH("C25",Cards!$A$2:$A$55,0))&amp;" (C25): When I make a promise, I keep it."</f>
        <v>Point to the Promise Kept (C25): When I make a promise, I keep it.</v>
      </c>
      <c r="M10" s="62" t="str">
        <f>INDEX(Cards!$B$2:$B$55,MATCH("C33",Cards!$A$2:$A$55,0))&amp;" (C33): I will not yield. Full stop."</f>
        <v>Refuse to Yield (C33): I will not yield. Full stop.</v>
      </c>
      <c r="N10" s="62" t="str">
        <f>INDEX(Cards!$B$2:$B$55,MATCH("C50",Cards!$A$2:$A$55,0))&amp;" (C50): We will consider that positively."</f>
        <v>Take It Under Advisement (C50): We will consider that positively.</v>
      </c>
    </row>
    <row r="11" spans="1:14" ht="127.5" customHeight="1" x14ac:dyDescent="0.2">
      <c r="A11" s="59" t="s">
        <v>2020</v>
      </c>
      <c r="B11" s="60" t="s">
        <v>2021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8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You're either with the people or against them."</f>
        <v>Drawing Battle Lines (C18): You're either with the people or against them.</v>
      </c>
      <c r="N11" s="62" t="str">
        <f>INDEX(Cards!$B$2:$B$55,MATCH("C04",Cards!$A$2:$A$55,0))&amp;" (C04): I'm here to serve, not to climb."</f>
        <v>Return to First Principles (C04): I'm here to serve, not to climb.</v>
      </c>
    </row>
    <row r="12" spans="1:14" ht="102" customHeight="1" x14ac:dyDescent="0.2">
      <c r="A12" s="59" t="s">
        <v>2023</v>
      </c>
      <c r="B12" s="60" t="s">
        <v>2024</v>
      </c>
      <c r="C12" s="61" t="s">
        <v>2025</v>
      </c>
      <c r="D12" s="59" t="s">
        <v>1994</v>
      </c>
      <c r="E12" s="59" t="s">
        <v>1993</v>
      </c>
      <c r="F12" s="59" t="s">
        <v>1994</v>
      </c>
      <c r="G12" s="59" t="s">
        <v>1993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8</v>
      </c>
      <c r="L12" s="62" t="str">
        <f>INDEX(Cards!$B$2:$B$55,MATCH("C05",Cards!$A$2:$A$55,0))&amp;" (C05): I will not stand by while families suffer!"</f>
        <v>Impassioned Speech (C05): I will not stand by while families suffer!</v>
      </c>
      <c r="M12" s="62" t="str">
        <f>INDEX(Cards!$B$2:$B$55,MATCH("C21",Cards!$A$2:$A$55,0))&amp;" (C21): I'm for progress, and also for caution."</f>
        <v>Iridescent Answer (C21): I'm for progress, and also for caution.</v>
      </c>
      <c r="N12" s="62" t="str">
        <f>INDEX(Cards!$B$2:$B$55,MATCH("C13",Cards!$A$2:$A$55,0))&amp;" (C13): The data tells a different story."</f>
        <v>Present the Stats (C13): The data tells a different story.</v>
      </c>
    </row>
    <row r="13" spans="1:14" ht="127.5" customHeight="1" x14ac:dyDescent="0.2">
      <c r="A13" s="59" t="s">
        <v>2026</v>
      </c>
      <c r="B13" s="60" t="s">
        <v>2027</v>
      </c>
      <c r="C13" s="61" t="s">
        <v>2025</v>
      </c>
      <c r="D13" s="59" t="s">
        <v>1994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2</v>
      </c>
      <c r="K13" s="59">
        <f t="shared" si="1"/>
        <v>8</v>
      </c>
      <c r="L13" s="62" t="str">
        <f>INDEX(Cards!$B$2:$B$55,MATCH("C05",Cards!$A$2:$A$55,0))&amp;" (C05): Enough talk. Our people need action!"</f>
        <v>Impassioned Speech (C05): Enough talk. Our people need action!</v>
      </c>
      <c r="M13" s="62" t="str">
        <f>INDEX(Cards!$B$2:$B$55,MATCH("C09",Cards!$A$2:$A$55,0))&amp;" (C09): Whatever divides us, this unites us."</f>
        <v>Call for Unity (C09): Whatever divides us, this unites us.</v>
      </c>
      <c r="N13" s="62" t="str">
        <f>INDEX(Cards!$B$2:$B$55,MATCH("C37",Cards!$A$2:$A$55,0))&amp;" (C37): Different paths, same destination. Walk with us."</f>
        <v>Call for Common Cause (C37): Different paths, same destination. Walk with us.</v>
      </c>
    </row>
    <row r="14" spans="1:14" ht="114.75" customHeight="1" x14ac:dyDescent="0.2">
      <c r="A14" s="59" t="s">
        <v>2028</v>
      </c>
      <c r="B14" s="60" t="s">
        <v>2029</v>
      </c>
      <c r="C14" s="61" t="s">
        <v>2030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1993</v>
      </c>
      <c r="I14" s="59" t="s">
        <v>1994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INDEX(Cards!$B$2:$B$55,MATCH("C18",Cards!$A$2:$A$55,0))&amp;" (C18): There are two sides here. Pick one."</f>
        <v>Drawing Battle Lines (C18): There are two sides here. Pick one.</v>
      </c>
    </row>
    <row r="15" spans="1:14" ht="127.5" customHeight="1" x14ac:dyDescent="0.2">
      <c r="A15" s="59" t="s">
        <v>2031</v>
      </c>
      <c r="B15" s="60" t="s">
        <v>2032</v>
      </c>
      <c r="C15" s="61" t="s">
        <v>2033</v>
      </c>
      <c r="D15" s="59" t="s">
        <v>1993</v>
      </c>
      <c r="E15" s="59" t="s">
        <v>1994</v>
      </c>
      <c r="F15" s="59" t="s">
        <v>2004</v>
      </c>
      <c r="G15" s="59" t="s">
        <v>1993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6</v>
      </c>
      <c r="L15" s="62" t="str">
        <f>INDEX(Cards!$B$2:$B$55,MATCH("C01",Cards!$A$2:$A$55,0))&amp;" (C01): Look at the work, not the words."</f>
        <v>Record of Service (C01): Look at the work, not the words.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INDEX(Cards!$B$2:$B$55,MATCH("C17",Cards!$A$2:$A$55,0))&amp;" (C17): Another career politician, protecting their own."</f>
        <v>Labeling (C17): Another career politician, protecting their own.</v>
      </c>
    </row>
    <row r="16" spans="1:14" ht="127.5" customHeight="1" x14ac:dyDescent="0.2">
      <c r="A16" s="59" t="s">
        <v>2034</v>
      </c>
      <c r="B16" s="60" t="s">
        <v>2035</v>
      </c>
      <c r="C16" s="61" t="s">
        <v>532</v>
      </c>
      <c r="D16" s="59" t="s">
        <v>1993</v>
      </c>
      <c r="E16" s="59" t="s">
        <v>1993</v>
      </c>
      <c r="F16" s="59" t="s">
        <v>1993</v>
      </c>
      <c r="G16" s="59" t="s">
        <v>2004</v>
      </c>
      <c r="H16" s="59" t="s">
        <v>1993</v>
      </c>
      <c r="I16" s="59" t="s">
        <v>1994</v>
      </c>
      <c r="J16" s="59">
        <f t="shared" si="0"/>
        <v>4</v>
      </c>
      <c r="K16" s="59">
        <f t="shared" si="1"/>
        <v>10</v>
      </c>
      <c r="L16" s="62" t="str">
        <f>INDEX(Cards!$B$2:$B$55,MATCH("C10",Cards!$A$2:$A$55,0))&amp;" (C10): Where I'm from, neighbors look out for each other."</f>
        <v>Voice of the Hometown (C10): Where I'm from, neighbors look out for each other.</v>
      </c>
      <c r="M16" s="62" t="str">
        <f>INDEX(Cards!$B$2:$B$55,MATCH("C19",Cards!$A$2:$A$55,0))&amp;" (C19): Wake up! They're laughing at you!"</f>
        <v>Agitation (C19): Wake up! They're laughing at you!</v>
      </c>
      <c r="N16" s="62" t="str">
        <f>INDEX(Cards!$B$2:$B$55,MATCH("C53",Cards!$A$2:$A$55,0))&amp;" (C53): Your concerns are my top priority."</f>
        <v>Tell the Room What It Wants (C53): Your concerns are my top priority.</v>
      </c>
    </row>
    <row r="17" spans="1:14" ht="114.75" customHeight="1" x14ac:dyDescent="0.2">
      <c r="A17" s="59" t="s">
        <v>2036</v>
      </c>
      <c r="B17" s="60" t="s">
        <v>2037</v>
      </c>
      <c r="C17" s="61" t="s">
        <v>2038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INDEX(Cards!$B$2:$B$55,MATCH("C26",Cards!$A$2:$A$55,0))&amp;" (C26): When I'm wrong, I say so."</f>
        <v>Own the Mistake (C26): When I'm wrong, I say so.</v>
      </c>
      <c r="M17" s="62" t="str">
        <f>INDEX(Cards!$B$2:$B$55,MATCH("C50",Cards!$A$2:$A$55,0))&amp;" (C50): A committee will look into it."</f>
        <v>Take It Under Advisement (C50): A committee will look into it.</v>
      </c>
      <c r="N17" s="62" t="str">
        <f>INDEX(Cards!$B$2:$B$55,MATCH("C44",Cards!$A$2:$A$55,0))&amp;" (C44): Let an independent panel decide."</f>
        <v>Demand an Outside Review (C44): Let an independent panel decide.</v>
      </c>
    </row>
    <row r="18" spans="1:14" ht="127.5" customHeight="1" x14ac:dyDescent="0.2">
      <c r="A18" s="59" t="s">
        <v>2039</v>
      </c>
      <c r="B18" s="60" t="s">
        <v>2040</v>
      </c>
      <c r="C18" s="61" t="s">
        <v>2041</v>
      </c>
      <c r="D18" s="59" t="s">
        <v>1993</v>
      </c>
      <c r="E18" s="59" t="s">
        <v>1994</v>
      </c>
      <c r="F18" s="59" t="s">
        <v>1994</v>
      </c>
      <c r="G18" s="59" t="s">
        <v>1993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7</v>
      </c>
      <c r="L18" s="62" t="str">
        <f>INDEX(Cards!$B$2:$B$55,MATCH("C01",Cards!$A$2:$A$55,0))&amp;" (C01): I let my results do the talking."</f>
        <v>Record of Service (C01): I let my results do the talking.</v>
      </c>
      <c r="M18" s="62" t="str">
        <f>INDEX(Cards!$B$2:$B$55,MATCH("C53",Cards!$A$2:$A$55,0))&amp;" (C53): You and I see this exactly the same."</f>
        <v>Tell the Room What It Wants (C53): You and I see this exactly the same.</v>
      </c>
      <c r="N18" s="62" t="str">
        <f>INDEX(Cards!$B$2:$B$55,MATCH("C16",Cards!$A$2:$A$55,0))&amp;" (C16): Every claim here is sourced and verified."</f>
        <v>Table the White Paper (C16): Every claim here is sourced and verified.</v>
      </c>
    </row>
    <row r="19" spans="1:14" ht="114.75" customHeight="1" x14ac:dyDescent="0.2">
      <c r="A19" s="59" t="s">
        <v>2042</v>
      </c>
      <c r="B19" s="60" t="s">
        <v>2043</v>
      </c>
      <c r="C19" s="61" t="s">
        <v>2044</v>
      </c>
      <c r="D19" s="59" t="s">
        <v>1993</v>
      </c>
      <c r="E19" s="59" t="s">
        <v>1994</v>
      </c>
      <c r="F19" s="59" t="s">
        <v>2004</v>
      </c>
      <c r="G19" s="59" t="s">
        <v>1994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10</v>
      </c>
      <c r="L19" s="62" t="str">
        <f>INDEX(Cards!$B$2:$B$55,MATCH("C02",Cards!$A$2:$A$55,0))&amp;" (C02): No spin. Just the truth as I see it."</f>
        <v>Sincere Answer (C02): No spin. Just the truth as I see it.</v>
      </c>
      <c r="M19" s="62" t="str">
        <f>INDEX(Cards!$B$2:$B$55,MATCH("C22",Cards!$A$2:$A$55,0))&amp;" (C22): That doesn't ring a bell."</f>
        <v>"I Have No Recollection" (C22): That doesn't ring a bell.</v>
      </c>
      <c r="N19" s="62" t="str">
        <f>INDEX(Cards!$B$2:$B$55,MATCH("C48",Cards!$A$2:$A$55,0))&amp;" (C48): Everyone should hear what they're hiding."</f>
        <v>Media Appeal (C48): Everyone should hear what they're hiding.</v>
      </c>
    </row>
    <row r="20" spans="1:14" ht="102" customHeight="1" x14ac:dyDescent="0.2">
      <c r="A20" s="59" t="s">
        <v>2045</v>
      </c>
      <c r="B20" s="60" t="s">
        <v>2046</v>
      </c>
      <c r="C20" s="61" t="s">
        <v>2047</v>
      </c>
      <c r="D20" s="59" t="s">
        <v>1994</v>
      </c>
      <c r="E20" s="59" t="s">
        <v>1994</v>
      </c>
      <c r="F20" s="59" t="s">
        <v>1993</v>
      </c>
      <c r="G20" s="59" t="s">
        <v>2004</v>
      </c>
      <c r="H20" s="59" t="s">
        <v>1993</v>
      </c>
      <c r="I20" s="59" t="s">
        <v>1994</v>
      </c>
      <c r="J20" s="59">
        <f t="shared" si="0"/>
        <v>2</v>
      </c>
      <c r="K20" s="59">
        <f t="shared" si="1"/>
        <v>9</v>
      </c>
      <c r="L20" s="62" t="str">
        <f>INDEX(Cards!$B$2:$B$55,MATCH("C35",Cards!$A$2:$A$55,0))&amp;" (C35): Break ranks, and it will be remembered."</f>
        <v>Invoke Party Discipline (C35): Break ranks, and it will be remembered.</v>
      </c>
      <c r="M20" s="62" t="str">
        <f>INDEX(Cards!$B$2:$B$55,MATCH("C20",Cards!$A$2:$A$55,0))&amp;" (C20): Prove whose side you're really on."</f>
        <v>Loyalty Test (C20): Prove whose side you're really on.</v>
      </c>
      <c r="N20" s="62" t="str">
        <f>INDEX(Cards!$B$2:$B$55,MATCH("C38",Cards!$A$2:$A$55,0))&amp;" (C38): Friends stand by friends. Stand by me."</f>
        <v>Call In a Favor (C38): Friends stand by friends. Stand by me.</v>
      </c>
    </row>
    <row r="21" spans="1:14" ht="114.75" customHeight="1" x14ac:dyDescent="0.2">
      <c r="A21" s="59" t="s">
        <v>2048</v>
      </c>
      <c r="B21" s="60" t="s">
        <v>2049</v>
      </c>
      <c r="C21" s="61" t="s">
        <v>2050</v>
      </c>
      <c r="D21" s="59" t="s">
        <v>1993</v>
      </c>
      <c r="E21" s="59" t="s">
        <v>1993</v>
      </c>
      <c r="F21" s="59" t="s">
        <v>1994</v>
      </c>
      <c r="G21" s="59" t="s">
        <v>1993</v>
      </c>
      <c r="H21" s="59" t="s">
        <v>1994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INDEX(Cards!$B$2:$B$55,MATCH("C05",Cards!$A$2:$A$55,0))&amp;" (C05): This is the fight that defines us!"</f>
        <v>Impassioned Speech (C05): This is the fight that defines us!</v>
      </c>
      <c r="M21" s="62" t="str">
        <f>INDEX(Cards!$B$2:$B$55,MATCH("C13",Cards!$A$2:$A$55,0))&amp;" (C13): The statistics speak for themselves."</f>
        <v>Present the Stats (C13): The statistics speak for themselves.</v>
      </c>
      <c r="N21" s="62" t="str">
        <f>INDEX(Cards!$B$2:$B$55,MATCH("C04",Cards!$A$2:$A$55,0))&amp;" (C04): Back to basics: who are we here for?"</f>
        <v>Return to First Principles (C04): Back to basics: who are we here for?</v>
      </c>
    </row>
    <row r="22" spans="1:14" x14ac:dyDescent="0.2">
      <c r="C22" s="16" t="s">
        <v>2051</v>
      </c>
      <c r="D22" s="63">
        <f t="shared" ref="D22:I22" si="2">COUNTIF(D2:D21,"S")</f>
        <v>11</v>
      </c>
      <c r="E22" s="63">
        <f t="shared" si="2"/>
        <v>9</v>
      </c>
      <c r="F22" s="63">
        <f t="shared" si="2"/>
        <v>7</v>
      </c>
      <c r="G22" s="63">
        <f t="shared" si="2"/>
        <v>9</v>
      </c>
      <c r="H22" s="63">
        <f t="shared" si="2"/>
        <v>11</v>
      </c>
      <c r="I22" s="63">
        <f t="shared" si="2"/>
        <v>8</v>
      </c>
    </row>
    <row r="24" spans="1:14" x14ac:dyDescent="0.2">
      <c r="B24" s="64" t="s">
        <v>2052</v>
      </c>
    </row>
    <row r="25" spans="1:14" x14ac:dyDescent="0.2">
      <c r="B25" s="64" t="s">
        <v>2053</v>
      </c>
    </row>
    <row r="26" spans="1:14" x14ac:dyDescent="0.2">
      <c r="B26" s="64" t="s">
        <v>2054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2056</v>
      </c>
      <c r="B2" s="60" t="s">
        <v>2057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INDEX(Cards!$B$2:$B$55,MATCH("C10",Cards!$A$2:$A$55,0))&amp;" (C10): Where I'm from, neighbors look out for each other."</f>
        <v>Voice of the Hometown (C10): Where I'm from, neighbors look out for each other.</v>
      </c>
      <c r="N2" s="62" t="str">
        <f>INDEX(Cards!$B$2:$B$55,MATCH("C53",Cards!$A$2:$A$55,0))&amp;" (C53): Your concerns are my top priority."</f>
        <v>Tell the Room What It Wants (C53): Your concerns are my top priority.</v>
      </c>
    </row>
    <row r="3" spans="1:14" ht="127.5" customHeight="1" x14ac:dyDescent="0.2">
      <c r="A3" s="59" t="s">
        <v>2058</v>
      </c>
      <c r="B3" s="60" t="s">
        <v>2059</v>
      </c>
      <c r="C3" s="61" t="s">
        <v>2041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6</v>
      </c>
      <c r="L3" s="62" t="str">
        <f>INDEX(Cards!$B$2:$B$55,MATCH("C01",Cards!$A$2:$A$55,0))&amp;" (C01): I let my results do the talking."</f>
        <v>Record of Service (C01): I let my results do the talking.</v>
      </c>
      <c r="M3" s="62" t="str">
        <f>INDEX(Cards!$B$2:$B$55,MATCH("C18",Cards!$A$2:$A$55,0))&amp;" (C18): They stand for themselves. We stand for you."</f>
        <v>Drawing Battle Lines (C18): They stand for themselves. We stand for you.</v>
      </c>
      <c r="N3" s="62" t="str">
        <f>INDEX(Cards!$B$2:$B$55,MATCH("C53",Cards!$A$2:$A$55,0))&amp;" (C53): Nobody fights harder for people like you."</f>
        <v>Tell the Room What It Wants (C53): Nobody fights harder for people like you.</v>
      </c>
    </row>
    <row r="4" spans="1:14" ht="127.5" customHeight="1" x14ac:dyDescent="0.2">
      <c r="A4" s="59" t="s">
        <v>2060</v>
      </c>
      <c r="B4" s="60" t="s">
        <v>2061</v>
      </c>
      <c r="C4" s="61" t="s">
        <v>2062</v>
      </c>
      <c r="D4" s="59" t="s">
        <v>1993</v>
      </c>
      <c r="E4" s="59" t="s">
        <v>1994</v>
      </c>
      <c r="F4" s="59" t="s">
        <v>1993</v>
      </c>
      <c r="G4" s="59" t="s">
        <v>1994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6</v>
      </c>
      <c r="L4" s="62" t="str">
        <f>INDEX(Cards!$B$2:$B$55,MATCH("C04",Cards!$A$2:$A$55,0))&amp;" (C04): I know exactly who I work for."</f>
        <v>Return to First Principles (C04): I know exactly who I work for.</v>
      </c>
      <c r="M4" s="62" t="str">
        <f>INDEX(Cards!$B$2:$B$55,MATCH("C10",Cards!$A$2:$A$55,0))&amp;" (C10): I speak for the people of my district."</f>
        <v>Voice of the Hometown (C10): I speak for the people of my district.</v>
      </c>
      <c r="N4" s="62" t="str">
        <f>INDEX(Cards!$B$2:$B$55,MATCH("C18",Cards!$A$2:$A$55,0))&amp;" (C18): They stand for themselves. We stand for you."</f>
        <v>Drawing Battle Lines (C18): They stand for themselves. We stand for you.</v>
      </c>
    </row>
    <row r="5" spans="1:14" ht="140.25" customHeight="1" x14ac:dyDescent="0.2">
      <c r="A5" s="59" t="s">
        <v>2063</v>
      </c>
      <c r="B5" s="60" t="s">
        <v>2064</v>
      </c>
      <c r="C5" s="61" t="s">
        <v>2013</v>
      </c>
      <c r="D5" s="59" t="s">
        <v>1994</v>
      </c>
      <c r="E5" s="59" t="s">
        <v>1994</v>
      </c>
      <c r="F5" s="59" t="s">
        <v>1994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INDEX(Cards!$B$2:$B$55,MATCH("C13",Cards!$A$2:$A$55,0))&amp;" (C13): Let's look at the actual numbers."</f>
        <v>Present the Stats (C13): Let's look at the actual numbers.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2065</v>
      </c>
      <c r="B6" s="60" t="s">
        <v>2066</v>
      </c>
      <c r="C6" s="61" t="s">
        <v>2067</v>
      </c>
      <c r="D6" s="59" t="s">
        <v>1993</v>
      </c>
      <c r="E6" s="59" t="s">
        <v>1993</v>
      </c>
      <c r="F6" s="59" t="s">
        <v>1993</v>
      </c>
      <c r="G6" s="59" t="s">
        <v>2004</v>
      </c>
      <c r="H6" s="59" t="s">
        <v>1993</v>
      </c>
      <c r="I6" s="59" t="s">
        <v>1994</v>
      </c>
      <c r="J6" s="59">
        <f t="shared" si="0"/>
        <v>4</v>
      </c>
      <c r="K6" s="59">
        <f t="shared" si="1"/>
        <v>8</v>
      </c>
      <c r="L6" s="62" t="str">
        <f>INDEX(Cards!$B$2:$B$55,MATCH("C10",Cards!$A$2:$A$55,0))&amp;" (C10): Small towns are this country's backbone."</f>
        <v>Voice of the Hometown (C10): Small towns are this country's backbone.</v>
      </c>
      <c r="M6" s="62" t="str">
        <f>INDEX(Cards!$B$2:$B$55,MATCH("C05",Cards!$A$2:$A$55,0))&amp;" (C05): Our towns deserve better than this!"</f>
        <v>Impassioned Speech (C05): Our towns deserve better than this!</v>
      </c>
      <c r="N6" s="62" t="str">
        <f>INDEX(Cards!$B$2:$B$55,MATCH("C18",Cards!$A$2:$A$55,0))&amp;" (C18): They stand for themselves. We stand for you."</f>
        <v>Drawing Battle Lines (C18): They stand for themselves. We stand for you.</v>
      </c>
    </row>
    <row r="7" spans="1:14" ht="127.5" customHeight="1" x14ac:dyDescent="0.2">
      <c r="A7" s="59" t="s">
        <v>2068</v>
      </c>
      <c r="B7" s="60" t="s">
        <v>2069</v>
      </c>
      <c r="C7" s="61" t="s">
        <v>2070</v>
      </c>
      <c r="D7" s="59" t="s">
        <v>1994</v>
      </c>
      <c r="E7" s="59" t="s">
        <v>1993</v>
      </c>
      <c r="F7" s="59" t="s">
        <v>1993</v>
      </c>
      <c r="G7" s="59" t="s">
        <v>2004</v>
      </c>
      <c r="H7" s="59" t="s">
        <v>1993</v>
      </c>
      <c r="I7" s="59" t="s">
        <v>1993</v>
      </c>
      <c r="J7" s="59">
        <f t="shared" si="0"/>
        <v>4</v>
      </c>
      <c r="K7" s="59">
        <f t="shared" si="1"/>
        <v>7</v>
      </c>
      <c r="L7" s="62" t="str">
        <f>INDEX(Cards!$B$2:$B$55,MATCH("C33",Cards!$A$2:$A$55,0))&amp;" (C33): Not one step back. Not one inch."</f>
        <v>Refuse to Yield (C33): Not one step back. Not one inch.</v>
      </c>
      <c r="M7" s="62" t="str">
        <f>INDEX(Cards!$B$2:$B$55,MATCH("C30",Cards!$A$2:$A$55,0))&amp;" (C30): You are the reason I keep fighting!"</f>
        <v>Rally the Faithful (C30): You are the reason I keep fighting!</v>
      </c>
      <c r="N7" s="62" t="str">
        <f>INDEX(Cards!$B$2:$B$55,MATCH("C53",Cards!$A$2:$A$55,0))&amp;" (C53): Nobody fights harder for people like you."</f>
        <v>Tell the Room What It Wants (C53): Nobody fights harder for people like you.</v>
      </c>
    </row>
    <row r="8" spans="1:14" ht="127.5" customHeight="1" x14ac:dyDescent="0.2">
      <c r="A8" s="59" t="s">
        <v>2071</v>
      </c>
      <c r="B8" s="60" t="s">
        <v>2072</v>
      </c>
      <c r="C8" s="61" t="s">
        <v>2073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8</v>
      </c>
      <c r="L8" s="62" t="str">
        <f>INDEX(Cards!$B$2:$B$55,MATCH("C04",Cards!$A$2:$A$55,0))&amp;" (C04): Strip away the noise. This is what matters."</f>
        <v>Return to First Principles (C04): Strip away the noise. This is what matters.</v>
      </c>
      <c r="M8" s="62" t="str">
        <f>INDEX(Cards!$B$2:$B$55,MATCH("C13",Cards!$A$2:$A$55,0))&amp;" (C13): Let's look at the actual numbers."</f>
        <v>Present the Stats (C13): Let's look at the actual numbers.</v>
      </c>
      <c r="N8" s="62" t="str">
        <f>INDEX(Cards!$B$2:$B$55,MATCH("C52",Cards!$A$2:$A$55,0))&amp;" (C52): The technical framework is quite involved, actually."</f>
        <v>Drown Them in Detail (C52): The technical framework is quite involved, actually.</v>
      </c>
    </row>
    <row r="9" spans="1:14" ht="114.75" customHeight="1" x14ac:dyDescent="0.2">
      <c r="A9" s="59" t="s">
        <v>2074</v>
      </c>
      <c r="B9" s="60" t="s">
        <v>2075</v>
      </c>
      <c r="C9" s="61" t="s">
        <v>2067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8</v>
      </c>
      <c r="L9" s="62" t="str">
        <f>INDEX(Cards!$B$2:$B$55,MATCH("C06",Cards!$A$2:$A$55,0))&amp;" (C06): They're not statistics. They're our neighbors."</f>
        <v>Tearful Appeal (C06): They're not statistics. They're our neighbors.</v>
      </c>
      <c r="M9" s="62" t="str">
        <f>INDEX(Cards!$B$2:$B$55,MATCH("C10",Cards!$A$2:$A$55,0))&amp;" (C10): I speak for the people of my district."</f>
        <v>Voice of the Hometown (C10): I speak for the people of my district.</v>
      </c>
      <c r="N9" s="62" t="str">
        <f>INDEX(Cards!$B$2:$B$55,MATCH("C19",Cards!$A$2:$A$55,0))&amp;" (C19): Wake up! They're laughing at you!"</f>
        <v>Agitation (C19): Wake up! They're laughing at you!</v>
      </c>
    </row>
    <row r="10" spans="1:14" ht="127.5" customHeight="1" x14ac:dyDescent="0.2">
      <c r="A10" s="59" t="s">
        <v>2076</v>
      </c>
      <c r="B10" s="60" t="s">
        <v>2077</v>
      </c>
      <c r="C10" s="61" t="s">
        <v>2078</v>
      </c>
      <c r="D10" s="59" t="s">
        <v>1994</v>
      </c>
      <c r="E10" s="59" t="s">
        <v>1993</v>
      </c>
      <c r="F10" s="59" t="s">
        <v>1993</v>
      </c>
      <c r="G10" s="59" t="s">
        <v>1994</v>
      </c>
      <c r="H10" s="59" t="s">
        <v>1993</v>
      </c>
      <c r="I10" s="59" t="s">
        <v>1994</v>
      </c>
      <c r="J10" s="59">
        <f t="shared" si="0"/>
        <v>3</v>
      </c>
      <c r="K10" s="59">
        <f t="shared" si="1"/>
        <v>8</v>
      </c>
      <c r="L10" s="62" t="str">
        <f>INDEX(Cards!$B$2:$B$55,MATCH("C19",Cards!$A$2:$A$55,0))&amp;" (C19): Your jobs, your homes. They want it all."</f>
        <v>Agitation (C19): Your jobs, your homes. They want it all.</v>
      </c>
      <c r="M10" s="62" t="str">
        <f>INDEX(Cards!$B$2:$B$55,MATCH("C13",Cards!$A$2:$A$55,0))&amp;" (C13): The statistics speak for themselves."</f>
        <v>Present the Stats (C13): The statistics speak for themselves.</v>
      </c>
      <c r="N10" s="62" t="str">
        <f>INDEX(Cards!$B$2:$B$55,MATCH("C10",Cards!$A$2:$A$55,0))&amp;" (C10): Ask anyone on Main Street. They'll tell you."</f>
        <v>Voice of the Hometown (C10): Ask anyone on Main Street. They'll tell you.</v>
      </c>
    </row>
    <row r="11" spans="1:14" ht="114.75" customHeight="1" x14ac:dyDescent="0.2">
      <c r="A11" s="59" t="s">
        <v>2079</v>
      </c>
      <c r="B11" s="60" t="s">
        <v>2080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9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On one side, workers. On the other, them."</f>
        <v>Drawing Battle Lines (C18): On one side, workers. On the other, them.</v>
      </c>
      <c r="N11" s="62" t="str">
        <f>INDEX(Cards!$B$2:$B$55,MATCH("C17",Cards!$A$2:$A$55,0))&amp;" (C17): You are a shill for special interests!"</f>
        <v>Labeling (C17): You are a shill for special interests!</v>
      </c>
    </row>
    <row r="12" spans="1:14" ht="114.75" customHeight="1" x14ac:dyDescent="0.2">
      <c r="A12" s="59" t="s">
        <v>2081</v>
      </c>
      <c r="B12" s="60" t="s">
        <v>2082</v>
      </c>
      <c r="C12" s="61" t="s">
        <v>2083</v>
      </c>
      <c r="D12" s="59" t="s">
        <v>1993</v>
      </c>
      <c r="E12" s="59" t="s">
        <v>1993</v>
      </c>
      <c r="F12" s="59" t="s">
        <v>1993</v>
      </c>
      <c r="G12" s="59" t="s">
        <v>2004</v>
      </c>
      <c r="H12" s="59" t="s">
        <v>1994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INDEX(Cards!$B$2:$B$55,MATCH("C06",Cards!$A$2:$A$55,0))&amp;" (C06): Think of your own mother, your own child."</f>
        <v>Tearful Appeal (C06): Think of your own mother, your own child.</v>
      </c>
      <c r="M12" s="62" t="str">
        <f>INDEX(Cards!$B$2:$B$55,MATCH("C09",Cards!$A$2:$A$55,0))&amp;" (C09): Stand with me, and stand with each other."</f>
        <v>Call for Unity (C09): Stand with me, and stand with each other.</v>
      </c>
      <c r="N12" s="62" t="str">
        <f>INDEX(Cards!$B$2:$B$55,MATCH("C04",Cards!$A$2:$A$55,0))&amp;" (C04): Back to basics: who are we here for?"</f>
        <v>Return to First Principles (C04): Back to basics: who are we here for?</v>
      </c>
    </row>
    <row r="13" spans="1:14" ht="127.5" customHeight="1" x14ac:dyDescent="0.2">
      <c r="A13" s="59" t="s">
        <v>2084</v>
      </c>
      <c r="B13" s="60" t="s">
        <v>2085</v>
      </c>
      <c r="C13" s="61" t="s">
        <v>2041</v>
      </c>
      <c r="D13" s="59" t="s">
        <v>1993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INDEX(Cards!$B$2:$B$55,MATCH("C01",Cards!$A$2:$A$55,0))&amp;" (C01): Judge me by my record."</f>
        <v>Record of Service (C01): Judge me by my record.</v>
      </c>
      <c r="M13" s="62" t="str">
        <f>INDEX(Cards!$B$2:$B$55,MATCH("C30",Cards!$A$2:$A$55,0))&amp;" (C30): You are the reason I keep fighting!"</f>
        <v>Rally the Faithful (C30): You are the reason I keep fighting!</v>
      </c>
      <c r="N13" s="62" t="str">
        <f>INDEX(Cards!$B$2:$B$55,MATCH("C10",Cards!$A$2:$A$55,0))&amp;" (C10): My hometown's values guide every decision."</f>
        <v>Voice of the Hometown (C10): My hometown's values guide every decision.</v>
      </c>
    </row>
    <row r="14" spans="1:14" ht="114.75" customHeight="1" x14ac:dyDescent="0.2">
      <c r="A14" s="59" t="s">
        <v>2086</v>
      </c>
      <c r="B14" s="60" t="s">
        <v>2087</v>
      </c>
      <c r="C14" s="61" t="s">
        <v>2088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INDEX(Cards!$B$2:$B$55,MATCH("C50",Cards!$A$2:$A$55,0))&amp;" (C50): I'll take it under advisement."</f>
        <v>Take It Under Advisement (C50): I'll take it under advisement.</v>
      </c>
    </row>
    <row r="15" spans="1:14" ht="127.5" customHeight="1" x14ac:dyDescent="0.2">
      <c r="A15" s="59" t="s">
        <v>2089</v>
      </c>
      <c r="B15" s="60" t="s">
        <v>2090</v>
      </c>
      <c r="C15" s="61" t="s">
        <v>2062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1993</v>
      </c>
      <c r="J15" s="59">
        <f t="shared" si="0"/>
        <v>4</v>
      </c>
      <c r="K15" s="59">
        <f t="shared" si="1"/>
        <v>7</v>
      </c>
      <c r="L15" s="62" t="str">
        <f>INDEX(Cards!$B$2:$B$55,MATCH("C18",Cards!$A$2:$A$55,0))&amp;" (C18): It's us against them, plain and simple."</f>
        <v>Drawing Battle Lines (C18): It's us against them, plain and simple.</v>
      </c>
      <c r="M15" s="62" t="str">
        <f>INDEX(Cards!$B$2:$B$55,MATCH("C53",Cards!$A$2:$A$55,0))&amp;" (C53): You and I see this exactly the same."</f>
        <v>Tell the Room What It Wants (C53): You and I see this exactly the same.</v>
      </c>
      <c r="N15" s="62" t="str">
        <f>INDEX(Cards!$B$2:$B$55,MATCH("C30",Cards!$A$2:$A$55,0))&amp;" (C30): You are the heart of this movement!"</f>
        <v>Rally the Faithful (C30): You are the heart of this movement!</v>
      </c>
    </row>
    <row r="16" spans="1:14" ht="127.5" customHeight="1" x14ac:dyDescent="0.2">
      <c r="A16" s="59" t="s">
        <v>2091</v>
      </c>
      <c r="B16" s="60" t="s">
        <v>2092</v>
      </c>
      <c r="C16" s="61" t="s">
        <v>2093</v>
      </c>
      <c r="D16" s="59" t="s">
        <v>1993</v>
      </c>
      <c r="E16" s="59" t="s">
        <v>1993</v>
      </c>
      <c r="F16" s="59" t="s">
        <v>1993</v>
      </c>
      <c r="G16" s="59" t="s">
        <v>1994</v>
      </c>
      <c r="H16" s="59" t="s">
        <v>1994</v>
      </c>
      <c r="I16" s="59" t="s">
        <v>1994</v>
      </c>
      <c r="J16" s="59">
        <f t="shared" si="0"/>
        <v>3</v>
      </c>
      <c r="K16" s="59">
        <f t="shared" si="1"/>
        <v>10</v>
      </c>
      <c r="L16" s="62" t="str">
        <f>INDEX(Cards!$B$2:$B$55,MATCH("C05",Cards!$A$2:$A$55,0))&amp;" (C05): I will not stand by while families suffer!"</f>
        <v>Impassioned Speech (C05): I will not stand by while families suffer!</v>
      </c>
      <c r="M16" s="62" t="str">
        <f>INDEX(Cards!$B$2:$B$55,MATCH("C06",Cards!$A$2:$A$55,0))&amp;" (C06): Every family has a story like this."</f>
        <v>Tearful Appeal (C06): Every family has a story like this.</v>
      </c>
      <c r="N16" s="62" t="str">
        <f>INDEX(Cards!$B$2:$B$55,MATCH("C28",Cards!$A$2:$A$55,0))&amp;" (C28): This letter comes from a mother in my district."</f>
        <v>Read the Letters Aloud (C28): This letter comes from a mother in my district.</v>
      </c>
    </row>
    <row r="17" spans="1:14" ht="127.5" customHeight="1" x14ac:dyDescent="0.2">
      <c r="A17" s="59" t="s">
        <v>2094</v>
      </c>
      <c r="B17" s="60" t="s">
        <v>2095</v>
      </c>
      <c r="C17" s="61" t="s">
        <v>2041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1993</v>
      </c>
      <c r="I17" s="59" t="s">
        <v>1993</v>
      </c>
      <c r="J17" s="59">
        <f t="shared" si="0"/>
        <v>4</v>
      </c>
      <c r="K17" s="59">
        <f t="shared" si="1"/>
        <v>7</v>
      </c>
      <c r="L17" s="62" t="str">
        <f>INDEX(Cards!$B$2:$B$55,MATCH("C26",Cards!$A$2:$A$55,0))&amp;" (C26): I'd rather admit fault than hide it."</f>
        <v>Own the Mistake (C26): I'd rather admit fault than hide it.</v>
      </c>
      <c r="M17" s="62" t="str">
        <f>INDEX(Cards!$B$2:$B$55,MATCH("C16",Cards!$A$2:$A$55,0))&amp;" (C16): Every claim here is sourced and verified."</f>
        <v>Table the White Paper (C16): Every claim here is sourced and verified.</v>
      </c>
      <c r="N17" s="62" t="str">
        <f>INDEX(Cards!$B$2:$B$55,MATCH("C17",Cards!$A$2:$A$55,0))&amp;" (C17): Another career politician, protecting their own."</f>
        <v>Labeling (C17): Another career politician, protecting their own.</v>
      </c>
    </row>
    <row r="18" spans="1:14" ht="127.5" customHeight="1" x14ac:dyDescent="0.2">
      <c r="A18" s="59" t="s">
        <v>2096</v>
      </c>
      <c r="B18" s="60" t="s">
        <v>2097</v>
      </c>
      <c r="C18" s="61" t="s">
        <v>2033</v>
      </c>
      <c r="D18" s="59" t="s">
        <v>1994</v>
      </c>
      <c r="E18" s="59" t="s">
        <v>1994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3</v>
      </c>
      <c r="K18" s="59">
        <f t="shared" si="1"/>
        <v>5</v>
      </c>
      <c r="L18" s="62" t="str">
        <f>INDEX(Cards!$B$2:$B$55,MATCH("C16",Cards!$A$2:$A$55,0))&amp;" (C16): Our findings are published. Refute them."</f>
        <v>Table the White Paper (C16): Our findings are published. Refute them.</v>
      </c>
      <c r="M18" s="62" t="str">
        <f>INDEX(Cards!$B$2:$B$55,MATCH("C22",Cards!$A$2:$A$55,0))&amp;" (C22): I can neither confirm nor deny that."</f>
        <v>"I Have No Recollection" (C22): I can neither confirm nor deny that.</v>
      </c>
      <c r="N18" s="62" t="str">
        <f>INDEX(Cards!$B$2:$B$55,MATCH("C18",Cards!$A$2:$A$55,0))&amp;" (C18): They stand for themselves. We stand for you."</f>
        <v>Drawing Battle Lines (C18): They stand for themselves. We stand for you.</v>
      </c>
    </row>
    <row r="19" spans="1:14" ht="102" customHeight="1" x14ac:dyDescent="0.2">
      <c r="A19" s="59" t="s">
        <v>2098</v>
      </c>
      <c r="B19" s="60" t="s">
        <v>2099</v>
      </c>
      <c r="C19" s="61" t="s">
        <v>2100</v>
      </c>
      <c r="D19" s="59" t="s">
        <v>1994</v>
      </c>
      <c r="E19" s="59" t="s">
        <v>1993</v>
      </c>
      <c r="F19" s="59" t="s">
        <v>1993</v>
      </c>
      <c r="G19" s="59" t="s">
        <v>2004</v>
      </c>
      <c r="H19" s="59" t="s">
        <v>1994</v>
      </c>
      <c r="I19" s="59" t="s">
        <v>1994</v>
      </c>
      <c r="J19" s="59">
        <f t="shared" si="0"/>
        <v>2</v>
      </c>
      <c r="K19" s="59">
        <f t="shared" si="1"/>
        <v>7</v>
      </c>
      <c r="L19" s="62" t="str">
        <f>INDEX(Cards!$B$2:$B$55,MATCH("C07",Cards!$A$2:$A$55,0))&amp;" (C07): Let them know where you stand!"</f>
        <v>Rousing Applause (C07): Let them know where you stand!</v>
      </c>
      <c r="M19" s="62" t="str">
        <f>INDEX(Cards!$B$2:$B$55,MATCH("C09",Cards!$A$2:$A$55,0))&amp;" (C09): Stand with me, and stand with each other."</f>
        <v>Call for Unity (C09): Stand with me, and stand with each other.</v>
      </c>
      <c r="N19" s="62" t="str">
        <f>INDEX(Cards!$B$2:$B$55,MATCH("C34",Cards!$A$2:$A$55,0))&amp;" (C34): Tell them who we are!"</f>
        <v>Bring the Room to Its Feet (C34): Tell them who we are!</v>
      </c>
    </row>
    <row r="20" spans="1:14" ht="102" customHeight="1" x14ac:dyDescent="0.2">
      <c r="A20" s="59" t="s">
        <v>2101</v>
      </c>
      <c r="B20" s="60" t="s">
        <v>2102</v>
      </c>
      <c r="C20" s="61" t="s">
        <v>2019</v>
      </c>
      <c r="D20" s="59" t="s">
        <v>1993</v>
      </c>
      <c r="E20" s="59" t="s">
        <v>1994</v>
      </c>
      <c r="F20" s="59" t="s">
        <v>1994</v>
      </c>
      <c r="G20" s="59" t="s">
        <v>1994</v>
      </c>
      <c r="H20" s="59" t="s">
        <v>2004</v>
      </c>
      <c r="I20" s="59" t="s">
        <v>1993</v>
      </c>
      <c r="J20" s="59">
        <f t="shared" si="0"/>
        <v>2</v>
      </c>
      <c r="K20" s="59">
        <f t="shared" si="1"/>
        <v>7</v>
      </c>
      <c r="L20" s="62" t="str">
        <f>INDEX(Cards!$B$2:$B$55,MATCH("C25",Cards!$A$2:$A$55,0))&amp;" (C25): When I make a promise, I keep it."</f>
        <v>Point to the Promise Kept (C25): When I make a promise, I keep it.</v>
      </c>
      <c r="M20" s="62" t="str">
        <f>INDEX(Cards!$B$2:$B$55,MATCH("C01",Cards!$A$2:$A$55,0))&amp;" (C01): Judge me by my record."</f>
        <v>Record of Service (C01): Judge me by my record.</v>
      </c>
      <c r="N20" s="62" t="str">
        <f>INDEX(Cards!$B$2:$B$55,MATCH("C50",Cards!$A$2:$A$55,0))&amp;" (C50): We will consider that positively."</f>
        <v>Take It Under Advisement (C50): We will consider that positively.</v>
      </c>
    </row>
    <row r="21" spans="1:14" ht="102" customHeight="1" x14ac:dyDescent="0.2">
      <c r="A21" s="59" t="s">
        <v>2103</v>
      </c>
      <c r="B21" s="60" t="s">
        <v>2104</v>
      </c>
      <c r="C21" s="61" t="s">
        <v>2105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7</v>
      </c>
      <c r="L21" s="62" t="str">
        <f>INDEX(Cards!$B$2:$B$55,MATCH("C29",Cards!$A$2:$A$55,0))&amp;" (C29): Vote as if your children were watching."</f>
        <v>Appeal to Conscience (C29): Vote as if your children were watching.</v>
      </c>
      <c r="M21" s="62" t="str">
        <f>INDEX(Cards!$B$2:$B$55,MATCH("C34",Cards!$A$2:$A$55,0))&amp;" (C34): This is our chance! Take it!"</f>
        <v>Bring the Room to Its Feet (C34): This is our chance! Take it!</v>
      </c>
      <c r="N21" s="62" t="str">
        <f>INDEX(Cards!$B$2:$B$55,MATCH("C19",Cards!$A$2:$A$55,0))&amp;" (C19): They're taking what's yours. Will you let them?"</f>
        <v>Agitation (C19): They're taking what's yours. Will you let them?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12</v>
      </c>
      <c r="F22" s="63">
        <f t="shared" si="2"/>
        <v>12</v>
      </c>
      <c r="G22" s="63">
        <f t="shared" si="2"/>
        <v>4</v>
      </c>
      <c r="H22" s="63">
        <f t="shared" si="2"/>
        <v>11</v>
      </c>
      <c r="I22" s="63">
        <f t="shared" si="2"/>
        <v>9</v>
      </c>
    </row>
    <row r="24" spans="1:14" x14ac:dyDescent="0.2">
      <c r="B24" s="64" t="s">
        <v>2106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8" sqref="L28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2108</v>
      </c>
      <c r="B2" s="60" t="s">
        <v>2109</v>
      </c>
      <c r="C2" s="61" t="s">
        <v>199</v>
      </c>
      <c r="D2" s="59" t="s">
        <v>1994</v>
      </c>
      <c r="E2" s="59" t="s">
        <v>1994</v>
      </c>
      <c r="F2" s="59" t="s">
        <v>1993</v>
      </c>
      <c r="G2" s="59" t="s">
        <v>1994</v>
      </c>
      <c r="H2" s="59" t="s">
        <v>1994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INDEX(Cards!$B$2:$B$55,MATCH("C11",Cards!$A$2:$A$55,0))&amp;" (C11): I believe we understand each other."</f>
        <v>Work the Room First (C11): I believe we understand each other.</v>
      </c>
      <c r="M2" s="62" t="str">
        <f>INDEX(Cards!$B$2:$B$55,MATCH("C24",Cards!$A$2:$A$55,0))&amp;" (C24): Rest assured, you'll be taken care of."</f>
        <v>Offer a Quiet Assurance (C24): Rest assured, you'll be taken care of.</v>
      </c>
      <c r="N2" s="62" t="str">
        <f>INDEX(Cards!$B$2:$B$55,MATCH("C25",Cards!$A$2:$A$55,0))&amp;" (C25): When I make a promise, I keep it."</f>
        <v>Point to the Promise Kept (C25): When I make a promise, I keep it.</v>
      </c>
    </row>
    <row r="3" spans="1:14" ht="114.75" customHeight="1" x14ac:dyDescent="0.2">
      <c r="A3" s="59" t="s">
        <v>2110</v>
      </c>
      <c r="B3" s="60" t="s">
        <v>2111</v>
      </c>
      <c r="C3" s="61" t="s">
        <v>2112</v>
      </c>
      <c r="D3" s="59" t="s">
        <v>1993</v>
      </c>
      <c r="E3" s="59" t="s">
        <v>2004</v>
      </c>
      <c r="F3" s="59" t="s">
        <v>1993</v>
      </c>
      <c r="G3" s="59" t="s">
        <v>1994</v>
      </c>
      <c r="H3" s="59" t="s">
        <v>1994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INDEX(Cards!$B$2:$B$55,MATCH("C38",Cards!$A$2:$A$55,0))&amp;" (C38): One good turn deserves another."</f>
        <v>Call In a Favor (C38): One good turn deserves another.</v>
      </c>
      <c r="N3" s="62" t="str">
        <f>INDEX(Cards!$B$2:$B$55,MATCH("C24",Cards!$A$2:$A$55,0))&amp;" (C24): Support me, and I'll remember it."</f>
        <v>Offer a Quiet Assurance (C24): Support me, and I'll remember it.</v>
      </c>
    </row>
    <row r="4" spans="1:14" ht="140.25" customHeight="1" x14ac:dyDescent="0.2">
      <c r="A4" s="59" t="s">
        <v>2113</v>
      </c>
      <c r="B4" s="60" t="s">
        <v>2114</v>
      </c>
      <c r="C4" s="61" t="s">
        <v>2115</v>
      </c>
      <c r="D4" s="59" t="s">
        <v>1994</v>
      </c>
      <c r="E4" s="59" t="s">
        <v>2004</v>
      </c>
      <c r="F4" s="59" t="s">
        <v>1993</v>
      </c>
      <c r="G4" s="59" t="s">
        <v>1993</v>
      </c>
      <c r="H4" s="59" t="s">
        <v>2004</v>
      </c>
      <c r="I4" s="59" t="s">
        <v>1993</v>
      </c>
      <c r="J4" s="59">
        <f t="shared" si="0"/>
        <v>3</v>
      </c>
      <c r="K4" s="59">
        <f t="shared" si="1"/>
        <v>8</v>
      </c>
      <c r="L4" s="62" t="str">
        <f>INDEX(Cards!$B$2:$B$55,MATCH("C37",Cards!$A$2:$A$55,0))&amp;" (C37): There's room at this table for everyone."</f>
        <v>Call for Common Cause (C37): There's room at this table for everyone.</v>
      </c>
      <c r="M4" s="62" t="str">
        <f>INDEX(Cards!$B$2:$B$55,MATCH("C52",Cards!$A$2:$A$55,0))&amp;" (C52): Per subsection four, paragraph two, clause B..."</f>
        <v>Drown Them in Detail (C52): Per subsection four, paragraph two, clause B...</v>
      </c>
      <c r="N4" s="62" t="str">
        <f>INDEX(Cards!$B$2:$B$55,MATCH("C13",Cards!$A$2:$A$55,0))&amp;" (C13): Let's look at the actual numbers."</f>
        <v>Present the Stats (C13): Let's look at the actual numbers.</v>
      </c>
    </row>
    <row r="5" spans="1:14" ht="127.5" customHeight="1" x14ac:dyDescent="0.2">
      <c r="A5" s="59" t="s">
        <v>2116</v>
      </c>
      <c r="B5" s="60" t="s">
        <v>2117</v>
      </c>
      <c r="C5" s="61" t="s">
        <v>2118</v>
      </c>
      <c r="D5" s="59" t="s">
        <v>1993</v>
      </c>
      <c r="E5" s="59" t="s">
        <v>2004</v>
      </c>
      <c r="F5" s="59" t="s">
        <v>1993</v>
      </c>
      <c r="G5" s="59" t="s">
        <v>1994</v>
      </c>
      <c r="H5" s="59" t="s">
        <v>1994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INDEX(Cards!$B$2:$B$55,MATCH("C27",Cards!$A$2:$A$55,0))&amp;" (C27): I'll work with anyone who wants results."</f>
        <v>Appeal Across the Aisle (C27): I'll work with anyone who wants results.</v>
      </c>
      <c r="M5" s="62" t="str">
        <f>INDEX(Cards!$B$2:$B$55,MATCH("C24",Cards!$A$2:$A$55,0))&amp;" (C24): Let's just say your concerns are understood."</f>
        <v>Offer a Quiet Assurance (C24): Let's just say your concerns are understood.</v>
      </c>
      <c r="N5" s="62" t="str">
        <f>INDEX(Cards!$B$2:$B$55,MATCH("C50",Cards!$A$2:$A$55,0))&amp;" (C50): I'll take it under advisement."</f>
        <v>Take It Under Advisement (C50): I'll take it under advisement.</v>
      </c>
    </row>
    <row r="6" spans="1:14" ht="114.75" customHeight="1" x14ac:dyDescent="0.2">
      <c r="A6" s="59" t="s">
        <v>2119</v>
      </c>
      <c r="B6" s="60" t="s">
        <v>2120</v>
      </c>
      <c r="C6" s="61" t="s">
        <v>2121</v>
      </c>
      <c r="D6" s="59" t="s">
        <v>1993</v>
      </c>
      <c r="E6" s="59" t="s">
        <v>2004</v>
      </c>
      <c r="F6" s="59" t="s">
        <v>1993</v>
      </c>
      <c r="G6" s="59" t="s">
        <v>2004</v>
      </c>
      <c r="H6" s="59" t="s">
        <v>1994</v>
      </c>
      <c r="I6" s="59" t="s">
        <v>1993</v>
      </c>
      <c r="J6" s="59">
        <f t="shared" si="0"/>
        <v>3</v>
      </c>
      <c r="K6" s="59">
        <f t="shared" si="1"/>
        <v>6</v>
      </c>
      <c r="L6" s="62" t="str">
        <f>INDEX(Cards!$B$2:$B$55,MATCH("C54",Cards!$A$2:$A$55,0))&amp;" (C54): Between us, here's how it really is."</f>
        <v>Off the Record (C54): Between us, here's how it really is.</v>
      </c>
      <c r="M6" s="62" t="str">
        <f>INDEX(Cards!$B$2:$B$55,MATCH("C36",Cards!$A$2:$A$55,0))&amp;" (C36): Let's keep this conversation private."</f>
        <v>Offer a Private Word (C36): Let's keep this conversation private.</v>
      </c>
      <c r="N6" s="62" t="str">
        <f>INDEX(Cards!$B$2:$B$55,MATCH("C02",Cards!$A$2:$A$55,0))&amp;" (C02): No spin. Just the truth as I see it."</f>
        <v>Sincere Answer (C02): No spin. Just the truth as I see it.</v>
      </c>
    </row>
    <row r="7" spans="1:14" ht="127.5" customHeight="1" x14ac:dyDescent="0.2">
      <c r="A7" s="59" t="s">
        <v>2122</v>
      </c>
      <c r="B7" s="60" t="s">
        <v>2123</v>
      </c>
      <c r="C7" s="61" t="s">
        <v>2124</v>
      </c>
      <c r="D7" s="59" t="s">
        <v>1993</v>
      </c>
      <c r="E7" s="59" t="s">
        <v>2004</v>
      </c>
      <c r="F7" s="59" t="s">
        <v>1994</v>
      </c>
      <c r="G7" s="59" t="s">
        <v>1994</v>
      </c>
      <c r="H7" s="59" t="s">
        <v>1994</v>
      </c>
      <c r="I7" s="59" t="s">
        <v>1993</v>
      </c>
      <c r="J7" s="59">
        <f t="shared" si="0"/>
        <v>2</v>
      </c>
      <c r="K7" s="59">
        <f t="shared" si="1"/>
        <v>7</v>
      </c>
      <c r="L7" s="62" t="str">
        <f>INDEX(Cards!$B$2:$B$55,MATCH("C02",Cards!$A$2:$A$55,0))&amp;" (C02): I won't dodge this one."</f>
        <v>Sincere Answer (C02): I won't dodge this one.</v>
      </c>
      <c r="M7" s="62" t="str">
        <f>INDEX(Cards!$B$2:$B$55,MATCH("C22",Cards!$A$2:$A$55,0))&amp;" (C22): I can neither confirm nor deny that."</f>
        <v>"I Have No Recollection" (C22): I can neither confirm nor deny that.</v>
      </c>
      <c r="N7" s="62" t="str">
        <f>INDEX(Cards!$B$2:$B$55,MATCH("C54",Cards!$A$2:$A$55,0))&amp;" (C54): This stays in the room."</f>
        <v>Off the Record (C54): This stays in the room.</v>
      </c>
    </row>
    <row r="8" spans="1:14" ht="114.75" customHeight="1" x14ac:dyDescent="0.2">
      <c r="A8" s="59" t="s">
        <v>2125</v>
      </c>
      <c r="B8" s="60" t="s">
        <v>2126</v>
      </c>
      <c r="C8" s="61" t="s">
        <v>2127</v>
      </c>
      <c r="D8" s="59" t="s">
        <v>1994</v>
      </c>
      <c r="E8" s="59" t="s">
        <v>1994</v>
      </c>
      <c r="F8" s="59" t="s">
        <v>1993</v>
      </c>
      <c r="G8" s="59" t="s">
        <v>2004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INDEX(Cards!$B$2:$B$55,MATCH("C12",Cards!$A$2:$A$55,0))&amp;" (C12): I need to know who I can count on."</f>
        <v>Ask Who's With You (C12): I need to know who I can count on.</v>
      </c>
      <c r="M8" s="62" t="str">
        <f>INDEX(Cards!$B$2:$B$55,MATCH("C38",Cards!$A$2:$A$55,0))&amp;" (C38): I'm asking you, as a friend."</f>
        <v>Call In a Favor (C38): I'm asking you, as a friend.</v>
      </c>
      <c r="N8" s="62" t="str">
        <f>INDEX(Cards!$B$2:$B$55,MATCH("C24",Cards!$A$2:$A$55,0))&amp;" (C24): Support me, and I'll remember it."</f>
        <v>Offer a Quiet Assurance (C24): Support me, and I'll remember it.</v>
      </c>
    </row>
    <row r="9" spans="1:14" ht="102" customHeight="1" x14ac:dyDescent="0.2">
      <c r="A9" s="59" t="s">
        <v>2128</v>
      </c>
      <c r="B9" s="60" t="s">
        <v>2129</v>
      </c>
      <c r="C9" s="61" t="s">
        <v>2130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9</v>
      </c>
      <c r="L9" s="62" t="str">
        <f>INDEX(Cards!$B$2:$B$55,MATCH("C10",Cards!$A$2:$A$55,0))&amp;" (C10): I speak for the people of my district."</f>
        <v>Voice of the Hometown (C10): I speak for the people of my district.</v>
      </c>
      <c r="M9" s="62" t="str">
        <f>INDEX(Cards!$B$2:$B$55,MATCH("C04",Cards!$A$2:$A$55,0))&amp;" (C04): I know exactly who I work for."</f>
        <v>Return to First Principles (C04): I know exactly who I work for.</v>
      </c>
      <c r="N9" s="62" t="str">
        <f>INDEX(Cards!$B$2:$B$55,MATCH("C31",Cards!$A$2:$A$55,0))&amp;" (C31): You should be ashamed of yourself!"</f>
        <v>Righteous Anger (C31): You should be ashamed of yourself!</v>
      </c>
    </row>
    <row r="10" spans="1:14" ht="114.75" customHeight="1" x14ac:dyDescent="0.2">
      <c r="A10" s="59" t="s">
        <v>2131</v>
      </c>
      <c r="B10" s="60" t="s">
        <v>2132</v>
      </c>
      <c r="C10" s="61" t="s">
        <v>2133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2004</v>
      </c>
      <c r="I10" s="59" t="s">
        <v>1993</v>
      </c>
      <c r="J10" s="59">
        <f t="shared" si="0"/>
        <v>2</v>
      </c>
      <c r="K10" s="59">
        <f t="shared" si="1"/>
        <v>9</v>
      </c>
      <c r="L10" s="62" t="str">
        <f>INDEX(Cards!$B$2:$B$55,MATCH("C16",Cards!$A$2:$A$55,0))&amp;" (C16): Our findings are published. Refute them."</f>
        <v>Table the White Paper (C16): Our findings are published. Refute them.</v>
      </c>
      <c r="M10" s="62" t="str">
        <f>INDEX(Cards!$B$2:$B$55,MATCH("C50",Cards!$A$2:$A$55,0))&amp;" (C50): We're studying all options carefully."</f>
        <v>Take It Under Advisement (C50): We're studying all options carefully.</v>
      </c>
      <c r="N10" s="62" t="str">
        <f>INDEX(Cards!$B$2:$B$55,MATCH("C01",Cards!$A$2:$A$55,0))&amp;" (C01): Look at the work, not the words."</f>
        <v>Record of Service (C01): Look at the work, not the words.</v>
      </c>
    </row>
    <row r="11" spans="1:14" ht="102" customHeight="1" x14ac:dyDescent="0.2">
      <c r="A11" s="59" t="s">
        <v>2134</v>
      </c>
      <c r="B11" s="60" t="s">
        <v>2135</v>
      </c>
      <c r="C11" s="61" t="s">
        <v>2136</v>
      </c>
      <c r="D11" s="59" t="s">
        <v>1994</v>
      </c>
      <c r="E11" s="59" t="s">
        <v>1994</v>
      </c>
      <c r="F11" s="59" t="s">
        <v>1993</v>
      </c>
      <c r="G11" s="59" t="s">
        <v>2004</v>
      </c>
      <c r="H11" s="59" t="s">
        <v>1993</v>
      </c>
      <c r="I11" s="59" t="s">
        <v>1993</v>
      </c>
      <c r="J11" s="59">
        <f t="shared" si="0"/>
        <v>3</v>
      </c>
      <c r="K11" s="59">
        <f t="shared" si="1"/>
        <v>5</v>
      </c>
      <c r="L11" s="62" t="str">
        <f>INDEX(Cards!$B$2:$B$55,MATCH("C35",Cards!$A$2:$A$55,0))&amp;" (C35): The party's position is settled. We stand together."</f>
        <v>Invoke Party Discipline (C35): The party's position is settled. We stand together.</v>
      </c>
      <c r="M11" s="62" t="str">
        <f>INDEX(Cards!$B$2:$B$55,MATCH("C21",Cards!$A$2:$A$55,0))&amp;" (C21): I support the spirit of both positions."</f>
        <v>Iridescent Answer (C21): I support the spirit of both positions.</v>
      </c>
      <c r="N11" s="62" t="str">
        <f>INDEX(Cards!$B$2:$B$55,MATCH("C47",Cards!$A$2:$A$55,0))&amp;" (C47): Who do you really answer to?"</f>
        <v>Question Their Loyalty (C47): Who do you really answer to?</v>
      </c>
    </row>
    <row r="12" spans="1:14" ht="89.25" customHeight="1" x14ac:dyDescent="0.2">
      <c r="A12" s="59" t="s">
        <v>2137</v>
      </c>
      <c r="B12" s="60" t="s">
        <v>2138</v>
      </c>
      <c r="C12" s="61" t="s">
        <v>2139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INDEX(Cards!$B$2:$B$55,MATCH("C25",Cards!$A$2:$A$55,0))&amp;" (C25): I give my word, and it holds."</f>
        <v>Point to the Promise Kept (C25): I give my word, and it holds.</v>
      </c>
      <c r="M12" s="62" t="str">
        <f>INDEX(Cards!$B$2:$B$55,MATCH("C33",Cards!$A$2:$A$55,0))&amp;" (C33): Not one step back. Not one inch."</f>
        <v>Refuse to Yield (C33): Not one step back. Not one inch.</v>
      </c>
      <c r="N12" s="62" t="str">
        <f>INDEX(Cards!$B$2:$B$55,MATCH("C46",Cards!$A$2:$A$55,0))&amp;" (C46): Yes or no. There is no middle."</f>
        <v>Force the Choice (C46): Yes or no. There is no middle.</v>
      </c>
    </row>
    <row r="13" spans="1:14" ht="114.75" customHeight="1" x14ac:dyDescent="0.2">
      <c r="A13" s="59" t="s">
        <v>2140</v>
      </c>
      <c r="B13" s="60" t="s">
        <v>2141</v>
      </c>
      <c r="C13" s="61" t="s">
        <v>2115</v>
      </c>
      <c r="D13" s="59" t="s">
        <v>1994</v>
      </c>
      <c r="E13" s="59" t="s">
        <v>2004</v>
      </c>
      <c r="F13" s="59" t="s">
        <v>1993</v>
      </c>
      <c r="G13" s="59" t="s">
        <v>1994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INDEX(Cards!$B$2:$B$55,MATCH("C37",Cards!$A$2:$A$55,0))&amp;" (C37): Let's build something neither of us could alone."</f>
        <v>Call for Common Cause (C37): Let's build something neither of us could alone.</v>
      </c>
      <c r="M13" s="62" t="str">
        <f>INDEX(Cards!$B$2:$B$55,MATCH("C50",Cards!$A$2:$A$55,0))&amp;" (C50): We will consider that positively."</f>
        <v>Take It Under Advisement (C50): We will consider that positively.</v>
      </c>
      <c r="N13" s="62" t="str">
        <f>INDEX(Cards!$B$2:$B$55,MATCH("C27",Cards!$A$2:$A$55,0))&amp;" (C27): Let's set party aside and solve this together."</f>
        <v>Appeal Across the Aisle (C27): Let's set party aside and solve this together.</v>
      </c>
    </row>
    <row r="14" spans="1:14" ht="114.75" customHeight="1" x14ac:dyDescent="0.2">
      <c r="A14" s="59" t="s">
        <v>2142</v>
      </c>
      <c r="B14" s="60" t="s">
        <v>2143</v>
      </c>
      <c r="C14" s="61" t="s">
        <v>2144</v>
      </c>
      <c r="D14" s="59" t="s">
        <v>1993</v>
      </c>
      <c r="E14" s="59" t="s">
        <v>1993</v>
      </c>
      <c r="F14" s="59" t="s">
        <v>1994</v>
      </c>
      <c r="G14" s="59" t="s">
        <v>2004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7</v>
      </c>
      <c r="L14" s="62" t="str">
        <f>INDEX(Cards!$B$2:$B$55,MATCH("C04",Cards!$A$2:$A$55,0))&amp;" (C04): I'm here to serve, not to climb."</f>
        <v>Return to First Principles (C04): I'm here to serve, not to climb.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INDEX(Cards!$B$2:$B$55,MATCH("C24",Cards!$A$2:$A$55,0))&amp;" (C24): Nothing in writing, but consider it done."</f>
        <v>Offer a Quiet Assurance (C24): Nothing in writing, but consider it done.</v>
      </c>
    </row>
    <row r="15" spans="1:14" ht="127.5" customHeight="1" x14ac:dyDescent="0.2">
      <c r="A15" s="59" t="s">
        <v>2145</v>
      </c>
      <c r="B15" s="60" t="s">
        <v>2146</v>
      </c>
      <c r="C15" s="61" t="s">
        <v>2033</v>
      </c>
      <c r="D15" s="59" t="s">
        <v>1994</v>
      </c>
      <c r="E15" s="59" t="s">
        <v>2004</v>
      </c>
      <c r="F15" s="59" t="s">
        <v>1994</v>
      </c>
      <c r="G15" s="59" t="s">
        <v>1993</v>
      </c>
      <c r="H15" s="59" t="s">
        <v>1994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INDEX(Cards!$B$2:$B$55,MATCH("C16",Cards!$A$2:$A$55,0))&amp;" (C16): Every claim here is sourced and verified."</f>
        <v>Table the White Paper (C16): Every claim here is sourced and verified.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INDEX(Cards!$B$2:$B$55,MATCH("C54",Cards!$A$2:$A$55,0))&amp;" (C54): Between us, here's how it really is."</f>
        <v>Off the Record (C54): Between us, here's how it really is.</v>
      </c>
    </row>
    <row r="16" spans="1:14" ht="114.75" customHeight="1" x14ac:dyDescent="0.2">
      <c r="A16" s="59" t="s">
        <v>2147</v>
      </c>
      <c r="B16" s="60" t="s">
        <v>2148</v>
      </c>
      <c r="C16" s="61" t="s">
        <v>2144</v>
      </c>
      <c r="D16" s="59" t="s">
        <v>1993</v>
      </c>
      <c r="E16" s="59" t="s">
        <v>2004</v>
      </c>
      <c r="F16" s="59" t="s">
        <v>1993</v>
      </c>
      <c r="G16" s="59" t="s">
        <v>2004</v>
      </c>
      <c r="H16" s="59" t="s">
        <v>1994</v>
      </c>
      <c r="I16" s="59" t="s">
        <v>1993</v>
      </c>
      <c r="J16" s="59">
        <f t="shared" si="0"/>
        <v>3</v>
      </c>
      <c r="K16" s="59">
        <f t="shared" si="1"/>
        <v>8</v>
      </c>
      <c r="L16" s="62" t="str">
        <f>INDEX(Cards!$B$2:$B$55,MATCH("C04",Cards!$A$2:$A$55,0))&amp;" (C04): I know exactly who I work for."</f>
        <v>Return to First Principles (C04): I know exactly who I work for.</v>
      </c>
      <c r="M16" s="62" t="str">
        <f>INDEX(Cards!$B$2:$B$55,MATCH("C38",Cards!$A$2:$A$55,0))&amp;" (C38): One good turn deserves another."</f>
        <v>Call In a Favor (C38): One good turn deserves another.</v>
      </c>
      <c r="N16" s="62" t="str">
        <f>INDEX(Cards!$B$2:$B$55,MATCH("C24",Cards!$A$2:$A$55,0))&amp;" (C24): My friends are well looked after."</f>
        <v>Offer a Quiet Assurance (C24): My friends are well looked after.</v>
      </c>
    </row>
    <row r="17" spans="1:14" ht="102" customHeight="1" x14ac:dyDescent="0.2">
      <c r="A17" s="59" t="s">
        <v>2149</v>
      </c>
      <c r="B17" s="60" t="s">
        <v>2150</v>
      </c>
      <c r="C17" s="61" t="s">
        <v>2070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1994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INDEX(Cards!$B$2:$B$55,MATCH("C25",Cards!$A$2:$A$55,0))&amp;" (C25): Every commitment I make, I honor."</f>
        <v>Point to the Promise Kept (C25): Every commitment I make, I honor.</v>
      </c>
      <c r="M17" s="62" t="str">
        <f>INDEX(Cards!$B$2:$B$55,MATCH("C33",Cards!$A$2:$A$55,0))&amp;" (C33): I will not yield. Full stop."</f>
        <v>Refuse to Yield (C33): I will not yield. Full stop.</v>
      </c>
      <c r="N17" s="62" t="str">
        <f>INDEX(Cards!$B$2:$B$55,MATCH("C21",Cards!$A$2:$A$55,0))&amp;" (C21): I'm for progress, and also for caution."</f>
        <v>Iridescent Answer (C21): I'm for progress, and also for caution.</v>
      </c>
    </row>
    <row r="18" spans="1:14" ht="127.5" customHeight="1" x14ac:dyDescent="0.2">
      <c r="A18" s="59" t="s">
        <v>2151</v>
      </c>
      <c r="B18" s="60" t="s">
        <v>2152</v>
      </c>
      <c r="C18" s="61" t="s">
        <v>2153</v>
      </c>
      <c r="D18" s="59" t="s">
        <v>1993</v>
      </c>
      <c r="E18" s="59" t="s">
        <v>1994</v>
      </c>
      <c r="F18" s="59" t="s">
        <v>1993</v>
      </c>
      <c r="G18" s="59" t="s">
        <v>1994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6</v>
      </c>
      <c r="L18" s="62" t="str">
        <f>INDEX(Cards!$B$2:$B$55,MATCH("C27",Cards!$A$2:$A$55,0))&amp;" (C27): Good ideas don't belong to one party."</f>
        <v>Appeal Across the Aisle (C27): Good ideas don't belong to one party.</v>
      </c>
      <c r="M18" s="62" t="str">
        <f>INDEX(Cards!$B$2:$B$55,MATCH("C37",Cards!$A$2:$A$55,0))&amp;" (C37): Different paths, same destination. Walk with us."</f>
        <v>Call for Common Cause (C37): Different paths, same destination. Walk with us.</v>
      </c>
      <c r="N18" s="62" t="str">
        <f>INDEX(Cards!$B$2:$B$55,MATCH("C21",Cards!$A$2:$A$55,0))&amp;" (C21): I support the spirit of both positions."</f>
        <v>Iridescent Answer (C21): I support the spirit of both positions.</v>
      </c>
    </row>
    <row r="19" spans="1:14" ht="127.5" customHeight="1" x14ac:dyDescent="0.2">
      <c r="A19" s="59" t="s">
        <v>2154</v>
      </c>
      <c r="B19" s="60" t="s">
        <v>2155</v>
      </c>
      <c r="C19" s="61" t="s">
        <v>1992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9</v>
      </c>
      <c r="L19" s="62" t="str">
        <f>INDEX(Cards!$B$2:$B$55,MATCH("C13",Cards!$A$2:$A$55,0))&amp;" (C13): The data tells a different story."</f>
        <v>Present the Stats (C13): The data tells a different story.</v>
      </c>
      <c r="M19" s="62" t="str">
        <f>INDEX(Cards!$B$2:$B$55,MATCH("C18",Cards!$A$2:$A$55,0))&amp;" (C18): They stand for themselves. We stand for you."</f>
        <v>Drawing Battle Lines (C18): They stand for themselves. We stand for you.</v>
      </c>
      <c r="N19" s="62" t="str">
        <f>INDEX(Cards!$B$2:$B$55,MATCH("C53",Cards!$A$2:$A$55,0))&amp;" (C53): Your concerns are my top priority."</f>
        <v>Tell the Room What It Wants (C53): Your concerns are my top priority.</v>
      </c>
    </row>
    <row r="20" spans="1:14" ht="114.75" customHeight="1" x14ac:dyDescent="0.2">
      <c r="A20" s="59" t="s">
        <v>2156</v>
      </c>
      <c r="B20" s="60" t="s">
        <v>2157</v>
      </c>
      <c r="C20" s="61" t="s">
        <v>2121</v>
      </c>
      <c r="D20" s="59" t="s">
        <v>1993</v>
      </c>
      <c r="E20" s="59" t="s">
        <v>2004</v>
      </c>
      <c r="F20" s="59" t="s">
        <v>1993</v>
      </c>
      <c r="G20" s="59" t="s">
        <v>2004</v>
      </c>
      <c r="H20" s="59" t="s">
        <v>1994</v>
      </c>
      <c r="I20" s="59" t="s">
        <v>1993</v>
      </c>
      <c r="J20" s="59">
        <f t="shared" si="0"/>
        <v>3</v>
      </c>
      <c r="K20" s="59">
        <f t="shared" si="1"/>
        <v>7</v>
      </c>
      <c r="L20" s="62" t="str">
        <f>INDEX(Cards!$B$2:$B$55,MATCH("C54",Cards!$A$2:$A$55,0))&amp;" (C54): This stays in the room."</f>
        <v>Off the Record (C54): This stays in the room.</v>
      </c>
      <c r="M20" s="62" t="str">
        <f>INDEX(Cards!$B$2:$B$55,MATCH("C11",Cards!$A$2:$A$55,0))&amp;" (C11): I believe we understand each other."</f>
        <v>Work the Room First (C11): I believe we understand each other.</v>
      </c>
      <c r="N20" s="62" t="str">
        <f>INDEX(Cards!$B$2:$B$55,MATCH("C02",Cards!$A$2:$A$55,0))&amp;" (C02): No spin. Just the truth as I see it."</f>
        <v>Sincere Answer (C02): No spin. Just the truth as I see it.</v>
      </c>
    </row>
    <row r="21" spans="1:14" ht="89.25" customHeight="1" x14ac:dyDescent="0.2">
      <c r="A21" s="59" t="s">
        <v>2158</v>
      </c>
      <c r="B21" s="60" t="s">
        <v>2159</v>
      </c>
      <c r="C21" s="61" t="s">
        <v>2160</v>
      </c>
      <c r="D21" s="59" t="s">
        <v>1993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INDEX(Cards!$B$2:$B$55,MATCH("C39",Cards!$A$2:$A$55,0))&amp;" (C39): Count them yourself. We have the votes."</f>
        <v>We Have the Votes (C39): Count them yourself. We have the votes.</v>
      </c>
      <c r="M21" s="62" t="str">
        <f>INDEX(Cards!$B$2:$B$55,MATCH("C01",Cards!$A$2:$A$55,0))&amp;" (C01): I let my results do the talking."</f>
        <v>Record of Service (C01): I let my results do the talking.</v>
      </c>
      <c r="N21" s="62" t="str">
        <f>INDEX(Cards!$B$2:$B$55,MATCH("C46",Cards!$A$2:$A$55,0))&amp;" (C46): Pick a side. The voters are watching."</f>
        <v>Force the Choice (C46): Pick a side. The voters are watching.</v>
      </c>
    </row>
    <row r="22" spans="1:14" x14ac:dyDescent="0.2">
      <c r="C22" s="16" t="s">
        <v>2051</v>
      </c>
      <c r="D22" s="63">
        <f t="shared" ref="D22:I22" si="2">COUNTIF(D2:D21,"S")</f>
        <v>12</v>
      </c>
      <c r="E22" s="63">
        <f t="shared" si="2"/>
        <v>4</v>
      </c>
      <c r="F22" s="63">
        <f t="shared" si="2"/>
        <v>13</v>
      </c>
      <c r="G22" s="63">
        <f t="shared" si="2"/>
        <v>4</v>
      </c>
      <c r="H22" s="63">
        <f t="shared" si="2"/>
        <v>6</v>
      </c>
      <c r="I22" s="63">
        <f t="shared" si="2"/>
        <v>17</v>
      </c>
    </row>
    <row r="24" spans="1:14" x14ac:dyDescent="0.2">
      <c r="B24" s="64" t="s">
        <v>2161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2162</v>
      </c>
      <c r="B2" s="60" t="s">
        <v>2163</v>
      </c>
      <c r="C2" s="61" t="s">
        <v>2164</v>
      </c>
      <c r="D2" s="59" t="s">
        <v>1994</v>
      </c>
      <c r="E2" s="59" t="s">
        <v>2004</v>
      </c>
      <c r="F2" s="59" t="s">
        <v>1994</v>
      </c>
      <c r="G2" s="59" t="s">
        <v>1993</v>
      </c>
      <c r="H2" s="59" t="s">
        <v>2004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INDEX(Cards!$B$2:$B$55,MATCH("C16",Cards!$A$2:$A$55,0))&amp;" (C16): This white paper answers your question."</f>
        <v>Table the White Paper (C16): This white paper answers your question.</v>
      </c>
      <c r="M2" s="62" t="str">
        <f>INDEX(Cards!$B$2:$B$55,MATCH("C52",Cards!$A$2:$A$55,0))&amp;" (C52): Let me walk you through all forty provisions."</f>
        <v>Drown Them in Detail (C52): Let me walk you through all forty provisions.</v>
      </c>
      <c r="N2" s="62" t="str">
        <f>INDEX(Cards!$B$2:$B$55,MATCH("C50",Cards!$A$2:$A$55,0))&amp;" (C50): We're studying all options carefully."</f>
        <v>Take It Under Advisement (C50): We're studying all options carefully.</v>
      </c>
    </row>
    <row r="3" spans="1:14" ht="127.5" customHeight="1" x14ac:dyDescent="0.2">
      <c r="A3" s="59" t="s">
        <v>2165</v>
      </c>
      <c r="B3" s="60" t="s">
        <v>2166</v>
      </c>
      <c r="C3" s="61" t="s">
        <v>73</v>
      </c>
      <c r="D3" s="59" t="s">
        <v>1993</v>
      </c>
      <c r="E3" s="59" t="s">
        <v>1994</v>
      </c>
      <c r="F3" s="59" t="s">
        <v>1994</v>
      </c>
      <c r="G3" s="59" t="s">
        <v>1993</v>
      </c>
      <c r="H3" s="59" t="s">
        <v>2004</v>
      </c>
      <c r="I3" s="59" t="s">
        <v>1994</v>
      </c>
      <c r="J3" s="59">
        <f t="shared" si="0"/>
        <v>2</v>
      </c>
      <c r="K3" s="59">
        <f t="shared" si="1"/>
        <v>8</v>
      </c>
      <c r="L3" s="62" t="str">
        <f>INDEX(Cards!$B$2:$B$55,MATCH("C04",Cards!$A$2:$A$55,0))&amp;" (C04): Strip away the noise. This is what matters."</f>
        <v>Return to First Principles (C04): Strip away the noise. This is what matters.</v>
      </c>
      <c r="M3" s="62" t="str">
        <f>INDEX(Cards!$B$2:$B$55,MATCH("C13",Cards!$A$2:$A$55,0))&amp;" (C13): The data tells a different story."</f>
        <v>Present the Stats (C13): The data tells a different story.</v>
      </c>
      <c r="N3" s="62" t="str">
        <f>INDEX(Cards!$B$2:$B$55,MATCH("C06",Cards!$A$2:$A$55,0))&amp;" (C06): They're not statistics. They're our neighbors."</f>
        <v>Tearful Appeal (C06): They're not statistics. They're our neighbors.</v>
      </c>
    </row>
    <row r="4" spans="1:14" ht="127.5" customHeight="1" x14ac:dyDescent="0.2">
      <c r="A4" s="59" t="s">
        <v>2167</v>
      </c>
      <c r="B4" s="60" t="s">
        <v>2168</v>
      </c>
      <c r="C4" s="61" t="s">
        <v>2169</v>
      </c>
      <c r="D4" s="59" t="s">
        <v>1994</v>
      </c>
      <c r="E4" s="59" t="s">
        <v>2004</v>
      </c>
      <c r="F4" s="59" t="s">
        <v>1994</v>
      </c>
      <c r="G4" s="59" t="s">
        <v>1993</v>
      </c>
      <c r="H4" s="59" t="s">
        <v>2004</v>
      </c>
      <c r="I4" s="59" t="s">
        <v>1993</v>
      </c>
      <c r="J4" s="59">
        <f t="shared" si="0"/>
        <v>2</v>
      </c>
      <c r="K4" s="59">
        <f t="shared" si="1"/>
        <v>6</v>
      </c>
      <c r="L4" s="62" t="str">
        <f>INDEX(Cards!$B$2:$B$55,MATCH("C52",Cards!$A$2:$A$55,0))&amp;" (C52): Per subsection four, paragraph two, clause B..."</f>
        <v>Drown Them in Detail (C52): Per subsection four, paragraph two, clause B...</v>
      </c>
      <c r="M4" s="62" t="str">
        <f>INDEX(Cards!$B$2:$B$55,MATCH("C16",Cards!$A$2:$A$55,0))&amp;" (C16): This white paper answers your question."</f>
        <v>Table the White Paper (C16): This white paper answers your question.</v>
      </c>
      <c r="N4" s="62" t="str">
        <f>INDEX(Cards!$B$2:$B$55,MATCH("C50",Cards!$A$2:$A$55,0))&amp;" (C50): A committee will look into it."</f>
        <v>Take It Under Advisement (C50): A committee will look into it.</v>
      </c>
    </row>
    <row r="5" spans="1:14" ht="140.25" customHeight="1" x14ac:dyDescent="0.2">
      <c r="A5" s="59" t="s">
        <v>2170</v>
      </c>
      <c r="B5" s="60" t="s">
        <v>2171</v>
      </c>
      <c r="C5" s="61" t="s">
        <v>2013</v>
      </c>
      <c r="D5" s="59" t="s">
        <v>1994</v>
      </c>
      <c r="E5" s="59" t="s">
        <v>2004</v>
      </c>
      <c r="F5" s="59" t="s">
        <v>2004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INDEX(Cards!$B$2:$B$55,MATCH("C41",Cards!$A$2:$A$55,0))&amp;" (C41): For accuracy, here are the real figures."</f>
        <v>Set the Record Straight (C41): For accuracy, here are the real figures.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2172</v>
      </c>
      <c r="B6" s="60" t="s">
        <v>2173</v>
      </c>
      <c r="C6" s="61" t="s">
        <v>2174</v>
      </c>
      <c r="D6" s="59" t="s">
        <v>1994</v>
      </c>
      <c r="E6" s="59" t="s">
        <v>2004</v>
      </c>
      <c r="F6" s="59" t="s">
        <v>1994</v>
      </c>
      <c r="G6" s="59" t="s">
        <v>1993</v>
      </c>
      <c r="H6" s="59" t="s">
        <v>2004</v>
      </c>
      <c r="I6" s="59" t="s">
        <v>1993</v>
      </c>
      <c r="J6" s="59">
        <f t="shared" si="0"/>
        <v>2</v>
      </c>
      <c r="K6" s="59">
        <f t="shared" si="1"/>
        <v>8</v>
      </c>
      <c r="L6" s="62" t="str">
        <f>INDEX(Cards!$B$2:$B$55,MATCH("C52",Cards!$A$2:$A$55,0))&amp;" (C52): Per subsection four, paragraph two, clause B..."</f>
        <v>Drown Them in Detail (C52): Per subsection four, paragraph two, clause B...</v>
      </c>
      <c r="M6" s="62" t="str">
        <f>INDEX(Cards!$B$2:$B$55,MATCH("C41",Cards!$A$2:$A$55,0))&amp;" (C41): Precision matters. Here's the accurate version."</f>
        <v>Set the Record Straight (C41): Precision matters. Here's the accurate version.</v>
      </c>
      <c r="N6" s="62" t="str">
        <f>INDEX(Cards!$B$2:$B$55,MATCH("C21",Cards!$A$2:$A$55,0))&amp;" (C21): It's complicated, and I respect all views."</f>
        <v>Iridescent Answer (C21): It's complicated, and I respect all views.</v>
      </c>
    </row>
    <row r="7" spans="1:14" ht="140.25" customHeight="1" x14ac:dyDescent="0.2">
      <c r="A7" s="59" t="s">
        <v>2175</v>
      </c>
      <c r="B7" s="60" t="s">
        <v>2176</v>
      </c>
      <c r="C7" s="61" t="s">
        <v>2016</v>
      </c>
      <c r="D7" s="59" t="s">
        <v>1994</v>
      </c>
      <c r="E7" s="59" t="s">
        <v>1994</v>
      </c>
      <c r="F7" s="59" t="s">
        <v>2004</v>
      </c>
      <c r="G7" s="59" t="s">
        <v>1993</v>
      </c>
      <c r="H7" s="59" t="s">
        <v>2004</v>
      </c>
      <c r="I7" s="59" t="s">
        <v>1993</v>
      </c>
      <c r="J7" s="59">
        <f t="shared" si="0"/>
        <v>2</v>
      </c>
      <c r="K7" s="59">
        <f t="shared" si="1"/>
        <v>5</v>
      </c>
      <c r="L7" s="62" t="str">
        <f>INDEX(Cards!$B$2:$B$55,MATCH("C16",Cards!$A$2:$A$55,0))&amp;" (C16): Two hundred pages of evidence. Read them."</f>
        <v>Table the White Paper (C16): Two hundred pages of evidence. Read them.</v>
      </c>
      <c r="M7" s="62" t="str">
        <f>INDEX(Cards!$B$2:$B$55,MATCH("C13",Cards!$A$2:$A$55,0))&amp;" (C13): The statistics speak for themselves."</f>
        <v>Present the Stats (C13): The statistics speak for themselves.</v>
      </c>
      <c r="N7" s="62" t="str">
        <f>INDEX(Cards!$B$2:$B$55,MATCH("C52",Cards!$A$2:$A$55,0))&amp;" (C52): It depends on seventeen interlocking variables."</f>
        <v>Drown Them in Detail (C52): It depends on seventeen interlocking variables.</v>
      </c>
    </row>
    <row r="8" spans="1:14" ht="114.75" customHeight="1" x14ac:dyDescent="0.2">
      <c r="A8" s="59" t="s">
        <v>2177</v>
      </c>
      <c r="B8" s="60" t="s">
        <v>2178</v>
      </c>
      <c r="C8" s="61" t="s">
        <v>2179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6</v>
      </c>
      <c r="L8" s="62" t="str">
        <f>INDEX(Cards!$B$2:$B$55,MATCH("C21",Cards!$A$2:$A$55,0))&amp;" (C21): I'm for progress, and also for caution."</f>
        <v>Iridescent Answer (C21): I'm for progress, and also for caution.</v>
      </c>
      <c r="M8" s="62" t="str">
        <f>INDEX(Cards!$B$2:$B$55,MATCH("C44",Cards!$A$2:$A$55,0))&amp;" (C44): Bring in outside eyes on this."</f>
        <v>Demand an Outside Review (C44): Bring in outside eyes on this.</v>
      </c>
      <c r="N8" s="62" t="str">
        <f>INDEX(Cards!$B$2:$B$55,MATCH("C26",Cards!$A$2:$A$55,0))&amp;" (C26): When I'm wrong, I say so."</f>
        <v>Own the Mistake (C26): When I'm wrong, I say so.</v>
      </c>
    </row>
    <row r="9" spans="1:14" ht="102" customHeight="1" x14ac:dyDescent="0.2">
      <c r="A9" s="59" t="s">
        <v>2180</v>
      </c>
      <c r="B9" s="60" t="s">
        <v>2181</v>
      </c>
      <c r="C9" s="61" t="s">
        <v>2182</v>
      </c>
      <c r="D9" s="59" t="s">
        <v>1993</v>
      </c>
      <c r="E9" s="59" t="s">
        <v>1994</v>
      </c>
      <c r="F9" s="59" t="s">
        <v>1994</v>
      </c>
      <c r="G9" s="59" t="s">
        <v>1993</v>
      </c>
      <c r="H9" s="59" t="s">
        <v>2004</v>
      </c>
      <c r="I9" s="59" t="s">
        <v>1993</v>
      </c>
      <c r="J9" s="59">
        <f t="shared" si="0"/>
        <v>3</v>
      </c>
      <c r="K9" s="59">
        <f t="shared" si="1"/>
        <v>5</v>
      </c>
      <c r="L9" s="62" t="str">
        <f>INDEX(Cards!$B$2:$B$55,MATCH("C25",Cards!$A$2:$A$55,0))&amp;" (C25): Check my promises against my results."</f>
        <v>Point to the Promise Kept (C25): Check my promises against my results.</v>
      </c>
      <c r="M9" s="62" t="str">
        <f>INDEX(Cards!$B$2:$B$55,MATCH("C13",Cards!$A$2:$A$55,0))&amp;" (C13): Let's look at the actual numbers."</f>
        <v>Present the Stats (C13): Let's look at the actual numbers.</v>
      </c>
      <c r="N9" s="62" t="str">
        <f>INDEX(Cards!$B$2:$B$55,MATCH("C50",Cards!$A$2:$A$55,0))&amp;" (C50): That matter is under review."</f>
        <v>Take It Under Advisement (C50): That matter is under review.</v>
      </c>
    </row>
    <row r="10" spans="1:14" ht="140.25" customHeight="1" x14ac:dyDescent="0.2">
      <c r="A10" s="59" t="s">
        <v>2183</v>
      </c>
      <c r="B10" s="60" t="s">
        <v>2184</v>
      </c>
      <c r="C10" s="61" t="s">
        <v>2185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1994</v>
      </c>
      <c r="I10" s="59" t="s">
        <v>1993</v>
      </c>
      <c r="J10" s="59">
        <f t="shared" si="0"/>
        <v>2</v>
      </c>
      <c r="K10" s="59">
        <f t="shared" si="1"/>
        <v>6</v>
      </c>
      <c r="L10" s="62" t="str">
        <f>INDEX(Cards!$B$2:$B$55,MATCH("C41",Cards!$A$2:$A$55,0))&amp;" (C41): Let's clear up a misunderstanding."</f>
        <v>Set the Record Straight (C41): Let's clear up a misunderstanding.</v>
      </c>
      <c r="M10" s="62" t="str">
        <f>INDEX(Cards!$B$2:$B$55,MATCH("C52",Cards!$A$2:$A$55,0))&amp;" (C52): Per subsection four, paragraph two, clause B..."</f>
        <v>Drown Them in Detail (C52): Per subsection four, paragraph two, clause B...</v>
      </c>
      <c r="N10" s="62" t="str">
        <f>INDEX(Cards!$B$2:$B$55,MATCH("C44",Cards!$A$2:$A$55,0))&amp;" (C44): Let an independent panel decide."</f>
        <v>Demand an Outside Review (C44): Let an independent panel decide.</v>
      </c>
    </row>
    <row r="11" spans="1:14" ht="102" customHeight="1" x14ac:dyDescent="0.2">
      <c r="A11" s="59" t="s">
        <v>2186</v>
      </c>
      <c r="B11" s="60" t="s">
        <v>2187</v>
      </c>
      <c r="C11" s="61" t="s">
        <v>1992</v>
      </c>
      <c r="D11" s="59" t="s">
        <v>1993</v>
      </c>
      <c r="E11" s="59" t="s">
        <v>1993</v>
      </c>
      <c r="F11" s="59" t="s">
        <v>1993</v>
      </c>
      <c r="G11" s="59" t="s">
        <v>1994</v>
      </c>
      <c r="H11" s="59" t="s">
        <v>1994</v>
      </c>
      <c r="I11" s="59" t="s">
        <v>1994</v>
      </c>
      <c r="J11" s="59">
        <f t="shared" si="0"/>
        <v>3</v>
      </c>
      <c r="K11" s="59">
        <f t="shared" si="1"/>
        <v>6</v>
      </c>
      <c r="L11" s="62" t="str">
        <f>INDEX(Cards!$B$2:$B$55,MATCH("C10",Cards!$A$2:$A$55,0))&amp;" (C10): I speak for the people of my district."</f>
        <v>Voice of the Hometown (C10): I speak for the people of my district.</v>
      </c>
      <c r="M11" s="62" t="str">
        <f>INDEX(Cards!$B$2:$B$55,MATCH("C06",Cards!$A$2:$A$55,0))&amp;" (C06): Every family has a story like this."</f>
        <v>Tearful Appeal (C06): Every family has a story like this.</v>
      </c>
      <c r="N11" s="62" t="str">
        <f>INDEX(Cards!$B$2:$B$55,MATCH("C13",Cards!$A$2:$A$55,0))&amp;" (C13): Let's look at the actual numbers."</f>
        <v>Present the Stats (C13): Let's look at the actual numbers.</v>
      </c>
    </row>
    <row r="12" spans="1:14" ht="114.75" customHeight="1" x14ac:dyDescent="0.2">
      <c r="A12" s="59" t="s">
        <v>2188</v>
      </c>
      <c r="B12" s="60" t="s">
        <v>2189</v>
      </c>
      <c r="C12" s="61" t="s">
        <v>2190</v>
      </c>
      <c r="D12" s="59" t="s">
        <v>1993</v>
      </c>
      <c r="E12" s="59" t="s">
        <v>1994</v>
      </c>
      <c r="F12" s="59" t="s">
        <v>1993</v>
      </c>
      <c r="G12" s="59" t="s">
        <v>2004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5</v>
      </c>
      <c r="L12" s="62" t="str">
        <f>INDEX(Cards!$B$2:$B$55,MATCH("C27",Cards!$A$2:$A$55,0))&amp;" (C27): I'll work with anyone who wants results."</f>
        <v>Appeal Across the Aisle (C27): I'll work with anyone who wants results.</v>
      </c>
      <c r="M12" s="62" t="str">
        <f>INDEX(Cards!$B$2:$B$55,MATCH("C37",Cards!$A$2:$A$55,0))&amp;" (C37): There's room at this table for everyone."</f>
        <v>Call for Common Cause (C37): There's room at this table for everyone.</v>
      </c>
      <c r="N12" s="62" t="str">
        <f>INDEX(Cards!$B$2:$B$55,MATCH("C50",Cards!$A$2:$A$55,0))&amp;" (C50): I'll take it under advisement."</f>
        <v>Take It Under Advisement (C50): I'll take it under advisement.</v>
      </c>
    </row>
    <row r="13" spans="1:14" ht="127.5" customHeight="1" x14ac:dyDescent="0.2">
      <c r="A13" s="59" t="s">
        <v>2191</v>
      </c>
      <c r="B13" s="60" t="s">
        <v>2192</v>
      </c>
      <c r="C13" s="61" t="s">
        <v>2193</v>
      </c>
      <c r="D13" s="59" t="s">
        <v>1994</v>
      </c>
      <c r="E13" s="59" t="s">
        <v>2004</v>
      </c>
      <c r="F13" s="59" t="s">
        <v>1994</v>
      </c>
      <c r="G13" s="59" t="s">
        <v>1993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INDEX(Cards!$B$2:$B$55,MATCH("C13",Cards!$A$2:$A$55,0))&amp;" (C13): Let's look at the actual numbers."</f>
        <v>Present the Stats (C13): Let's look at the actual numbers.</v>
      </c>
      <c r="M13" s="62" t="str">
        <f>INDEX(Cards!$B$2:$B$55,MATCH("C52",Cards!$A$2:$A$55,0))&amp;" (C52): The technical framework is quite involved, actually."</f>
        <v>Drown Them in Detail (C52): The technical framework is quite involved, actually.</v>
      </c>
      <c r="N13" s="62" t="str">
        <f>INDEX(Cards!$B$2:$B$55,MATCH("C50",Cards!$A$2:$A$55,0))&amp;" (C50): We're studying all options carefully."</f>
        <v>Take It Under Advisement (C50): We're studying all options carefully.</v>
      </c>
    </row>
    <row r="14" spans="1:14" ht="140.25" customHeight="1" x14ac:dyDescent="0.2">
      <c r="A14" s="59" t="s">
        <v>2194</v>
      </c>
      <c r="B14" s="60" t="s">
        <v>2195</v>
      </c>
      <c r="C14" s="61" t="s">
        <v>2196</v>
      </c>
      <c r="D14" s="59" t="s">
        <v>1993</v>
      </c>
      <c r="E14" s="59" t="s">
        <v>2004</v>
      </c>
      <c r="F14" s="59" t="s">
        <v>1994</v>
      </c>
      <c r="G14" s="59" t="s">
        <v>1993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7</v>
      </c>
      <c r="L14" s="62" t="str">
        <f>INDEX(Cards!$B$2:$B$55,MATCH("C44",Cards!$A$2:$A$55,0))&amp;" (C44): Let an independent panel decide."</f>
        <v>Demand an Outside Review (C44): Let an independent panel decide.</v>
      </c>
      <c r="M14" s="62" t="str">
        <f>INDEX(Cards!$B$2:$B$55,MATCH("C25",Cards!$A$2:$A$55,0))&amp;" (C25): Check my promises against my results."</f>
        <v>Point to the Promise Kept (C25): Check my promises against my results.</v>
      </c>
      <c r="N14" s="62" t="str">
        <f>INDEX(Cards!$B$2:$B$55,MATCH("C50",Cards!$A$2:$A$55,0))&amp;" (C50): That matter is under review."</f>
        <v>Take It Under Advisement (C50): That matter is under review.</v>
      </c>
    </row>
    <row r="15" spans="1:14" ht="140.25" customHeight="1" x14ac:dyDescent="0.2">
      <c r="A15" s="59" t="s">
        <v>2197</v>
      </c>
      <c r="B15" s="60" t="s">
        <v>2198</v>
      </c>
      <c r="C15" s="61" t="s">
        <v>2199</v>
      </c>
      <c r="D15" s="59" t="s">
        <v>1994</v>
      </c>
      <c r="E15" s="59" t="s">
        <v>2004</v>
      </c>
      <c r="F15" s="59" t="s">
        <v>1993</v>
      </c>
      <c r="G15" s="59" t="s">
        <v>1994</v>
      </c>
      <c r="H15" s="59" t="s">
        <v>2004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INDEX(Cards!$B$2:$B$55,MATCH("C37",Cards!$A$2:$A$55,0))&amp;" (C37): Different paths, same destination. Walk with us."</f>
        <v>Call for Common Cause (C37): Different paths, same destination. Walk with us.</v>
      </c>
      <c r="M15" s="62" t="str">
        <f>INDEX(Cards!$B$2:$B$55,MATCH("C52",Cards!$A$2:$A$55,0))&amp;" (C52): It depends on seventeen interlocking variables."</f>
        <v>Drown Them in Detail (C52): It depends on seventeen interlocking variables.</v>
      </c>
      <c r="N15" s="62" t="str">
        <f>INDEX(Cards!$B$2:$B$55,MATCH("C11",Cards!$A$2:$A$55,0))&amp;" (C11): Let's not pretend we're far apart."</f>
        <v>Work the Room First (C11): Let's not pretend we're far apart.</v>
      </c>
    </row>
    <row r="16" spans="1:14" ht="114.75" customHeight="1" x14ac:dyDescent="0.2">
      <c r="A16" s="59" t="s">
        <v>2200</v>
      </c>
      <c r="B16" s="60" t="s">
        <v>2201</v>
      </c>
      <c r="C16" s="61" t="s">
        <v>2038</v>
      </c>
      <c r="D16" s="59" t="s">
        <v>1993</v>
      </c>
      <c r="E16" s="59" t="s">
        <v>1994</v>
      </c>
      <c r="F16" s="59" t="s">
        <v>1994</v>
      </c>
      <c r="G16" s="59" t="s">
        <v>1993</v>
      </c>
      <c r="H16" s="59" t="s">
        <v>2004</v>
      </c>
      <c r="I16" s="59" t="s">
        <v>1993</v>
      </c>
      <c r="J16" s="59">
        <f t="shared" si="0"/>
        <v>3</v>
      </c>
      <c r="K16" s="59">
        <f t="shared" si="1"/>
        <v>7</v>
      </c>
      <c r="L16" s="62" t="str">
        <f>INDEX(Cards!$B$2:$B$55,MATCH("C26",Cards!$A$2:$A$55,0))&amp;" (C26): No excuses. Accountability starts with me."</f>
        <v>Own the Mistake (C26): No excuses. Accountability starts with me.</v>
      </c>
      <c r="M16" s="62" t="str">
        <f>INDEX(Cards!$B$2:$B$55,MATCH("C44",Cards!$A$2:$A$55,0))&amp;" (C44): Let an independent panel decide."</f>
        <v>Demand an Outside Review (C44): Let an independent panel decide.</v>
      </c>
      <c r="N16" s="62" t="str">
        <f>INDEX(Cards!$B$2:$B$55,MATCH("C50",Cards!$A$2:$A$55,0))&amp;" (C50): A committee will look into it."</f>
        <v>Take It Under Advisement (C50): A committee will look into it.</v>
      </c>
    </row>
    <row r="17" spans="1:14" ht="127.5" customHeight="1" x14ac:dyDescent="0.2">
      <c r="A17" s="59" t="s">
        <v>2202</v>
      </c>
      <c r="B17" s="60" t="s">
        <v>2203</v>
      </c>
      <c r="C17" s="61" t="s">
        <v>2204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8</v>
      </c>
      <c r="L17" s="62" t="str">
        <f>INDEX(Cards!$B$2:$B$55,MATCH("C04",Cards!$A$2:$A$55,0))&amp;" (C04): Strip away the noise. This is what matters."</f>
        <v>Return to First Principles (C04): Strip away the noise. This is what matters.</v>
      </c>
      <c r="M17" s="62" t="str">
        <f>INDEX(Cards!$B$2:$B$55,MATCH("C41",Cards!$A$2:$A$55,0))&amp;" (C41): Precision matters. Here's the accurate version."</f>
        <v>Set the Record Straight (C41): Precision matters. Here's the accurate version.</v>
      </c>
      <c r="N17" s="62" t="str">
        <f>INDEX(Cards!$B$2:$B$55,MATCH("C52",Cards!$A$2:$A$55,0))&amp;" (C52): Let me walk you through all forty provisions."</f>
        <v>Drown Them in Detail (C52): Let me walk you through all forty provisions.</v>
      </c>
    </row>
    <row r="18" spans="1:14" ht="114.75" customHeight="1" x14ac:dyDescent="0.2">
      <c r="A18" s="59" t="s">
        <v>2205</v>
      </c>
      <c r="B18" s="60" t="s">
        <v>2206</v>
      </c>
      <c r="C18" s="61" t="s">
        <v>2136</v>
      </c>
      <c r="D18" s="59" t="s">
        <v>1994</v>
      </c>
      <c r="E18" s="59" t="s">
        <v>2004</v>
      </c>
      <c r="F18" s="59" t="s">
        <v>1993</v>
      </c>
      <c r="G18" s="59" t="s">
        <v>1994</v>
      </c>
      <c r="H18" s="59" t="s">
        <v>2004</v>
      </c>
      <c r="I18" s="59" t="s">
        <v>1993</v>
      </c>
      <c r="J18" s="59">
        <f t="shared" si="0"/>
        <v>2</v>
      </c>
      <c r="K18" s="59">
        <f t="shared" si="1"/>
        <v>6</v>
      </c>
      <c r="L18" s="62" t="str">
        <f>INDEX(Cards!$B$2:$B$55,MATCH("C11",Cards!$A$2:$A$55,0))&amp;" (C11): We're more agreed than it appears."</f>
        <v>Work the Room First (C11): We're more agreed than it appears.</v>
      </c>
      <c r="M18" s="62" t="str">
        <f>INDEX(Cards!$B$2:$B$55,MATCH("C21",Cards!$A$2:$A$55,0))&amp;" (C21): We'll find a balance that pleases everyone."</f>
        <v>Iridescent Answer (C21): We'll find a balance that pleases everyone.</v>
      </c>
      <c r="N18" s="62" t="str">
        <f>INDEX(Cards!$B$2:$B$55,MATCH("C37",Cards!$A$2:$A$55,0))&amp;" (C37): There's room at this table for everyone."</f>
        <v>Call for Common Cause (C37): There's room at this table for everyone.</v>
      </c>
    </row>
    <row r="19" spans="1:14" ht="127.5" customHeight="1" x14ac:dyDescent="0.2">
      <c r="A19" s="59" t="s">
        <v>2207</v>
      </c>
      <c r="B19" s="60" t="s">
        <v>2208</v>
      </c>
      <c r="C19" s="61" t="s">
        <v>2209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1994</v>
      </c>
      <c r="I19" s="59" t="s">
        <v>1993</v>
      </c>
      <c r="J19" s="59">
        <f t="shared" si="0"/>
        <v>2</v>
      </c>
      <c r="K19" s="59">
        <f t="shared" si="1"/>
        <v>6</v>
      </c>
      <c r="L19" s="62" t="str">
        <f>INDEX(Cards!$B$2:$B$55,MATCH("C13",Cards!$A$2:$A$55,0))&amp;" (C13): Let's look at the actual numbers."</f>
        <v>Present the Stats (C13): Let's look at the actual numbers.</v>
      </c>
      <c r="M19" s="62" t="str">
        <f>INDEX(Cards!$B$2:$B$55,MATCH("C52",Cards!$A$2:$A$55,0))&amp;" (C52): The technical framework is quite involved, actually."</f>
        <v>Drown Them in Detail (C52): The technical framework is quite involved, actually.</v>
      </c>
      <c r="N19" s="62" t="str">
        <f>INDEX(Cards!$B$2:$B$55,MATCH("C04",Cards!$A$2:$A$55,0))&amp;" (C04): Back to basics: who are we here for?"</f>
        <v>Return to First Principles (C04): Back to basics: who are we here for?</v>
      </c>
    </row>
    <row r="20" spans="1:14" ht="89.25" customHeight="1" x14ac:dyDescent="0.2">
      <c r="A20" s="59" t="s">
        <v>2210</v>
      </c>
      <c r="B20" s="60" t="s">
        <v>2211</v>
      </c>
      <c r="C20" s="61" t="s">
        <v>2212</v>
      </c>
      <c r="D20" s="59" t="s">
        <v>1994</v>
      </c>
      <c r="E20" s="59" t="s">
        <v>2004</v>
      </c>
      <c r="F20" s="59" t="s">
        <v>2004</v>
      </c>
      <c r="G20" s="59" t="s">
        <v>1993</v>
      </c>
      <c r="H20" s="59" t="s">
        <v>1994</v>
      </c>
      <c r="I20" s="59" t="s">
        <v>1993</v>
      </c>
      <c r="J20" s="59">
        <f t="shared" si="0"/>
        <v>2</v>
      </c>
      <c r="K20" s="59">
        <f t="shared" si="1"/>
        <v>4</v>
      </c>
      <c r="L20" s="62" t="str">
        <f>INDEX(Cards!$B$2:$B$55,MATCH("C16",Cards!$A$2:$A$55,0))&amp;" (C16): Every claim here is sourced and verified."</f>
        <v>Table the White Paper (C16): Every claim here is sourced and verified.</v>
      </c>
      <c r="M20" s="62" t="str">
        <f>INDEX(Cards!$B$2:$B$55,MATCH("C21",Cards!$A$2:$A$55,0))&amp;" (C21): It's complicated, and I respect all views."</f>
        <v>Iridescent Answer (C21): It's complicated, and I respect all views.</v>
      </c>
      <c r="N20" s="62" t="str">
        <f>INDEX(Cards!$B$2:$B$55,MATCH("C26",Cards!$A$2:$A$55,0))&amp;" (C26): When I'm wrong, I say so."</f>
        <v>Own the Mistake (C26): When I'm wrong, I say so.</v>
      </c>
    </row>
    <row r="21" spans="1:14" ht="114.75" customHeight="1" x14ac:dyDescent="0.2">
      <c r="A21" s="59" t="s">
        <v>2213</v>
      </c>
      <c r="B21" s="60" t="s">
        <v>2214</v>
      </c>
      <c r="C21" s="61" t="s">
        <v>199</v>
      </c>
      <c r="D21" s="59" t="s">
        <v>1994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1993</v>
      </c>
      <c r="J21" s="59">
        <f t="shared" si="0"/>
        <v>3</v>
      </c>
      <c r="K21" s="59">
        <f t="shared" si="1"/>
        <v>8</v>
      </c>
      <c r="L21" s="62" t="str">
        <f>INDEX(Cards!$B$2:$B$55,MATCH("C39",Cards!$A$2:$A$55,0))&amp;" (C39): The numbers are on our side."</f>
        <v>We Have the Votes (C39): The numbers are on our side.</v>
      </c>
      <c r="M21" s="62" t="str">
        <f>INDEX(Cards!$B$2:$B$55,MATCH("C11",Cards!$A$2:$A$55,0))&amp;" (C11): We're more agreed than it appears."</f>
        <v>Work the Room First (C11): We're more agreed than it appears.</v>
      </c>
      <c r="N21" s="62" t="str">
        <f>INDEX(Cards!$B$2:$B$55,MATCH("C20",Cards!$A$2:$A$55,0))&amp;" (C20): Prove whose side you're really on."</f>
        <v>Loyalty Test (C20): Prove whose side you're really on.</v>
      </c>
    </row>
    <row r="22" spans="1:14" x14ac:dyDescent="0.2">
      <c r="C22" s="16" t="s">
        <v>2051</v>
      </c>
      <c r="D22" s="63">
        <f t="shared" ref="D22:I22" si="2">COUNTIF(D2:D21,"S")</f>
        <v>8</v>
      </c>
      <c r="E22" s="63">
        <f t="shared" si="2"/>
        <v>1</v>
      </c>
      <c r="F22" s="63">
        <f t="shared" si="2"/>
        <v>5</v>
      </c>
      <c r="G22" s="63">
        <f t="shared" si="2"/>
        <v>15</v>
      </c>
      <c r="H22" s="63">
        <f t="shared" si="2"/>
        <v>1</v>
      </c>
      <c r="I22" s="63">
        <f t="shared" si="2"/>
        <v>18</v>
      </c>
    </row>
    <row r="24" spans="1:14" x14ac:dyDescent="0.2">
      <c r="B24" s="64" t="s">
        <v>2215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7" sqref="L27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  <col min="13" max="13" width="9.01171875" customWidth="1"/>
  </cols>
  <sheetData>
    <row r="1" spans="1:14" ht="38.2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2216</v>
      </c>
      <c r="B2" s="60" t="s">
        <v>2217</v>
      </c>
      <c r="C2" s="61" t="s">
        <v>2121</v>
      </c>
      <c r="D2" s="59" t="s">
        <v>1993</v>
      </c>
      <c r="E2" s="59" t="s">
        <v>1994</v>
      </c>
      <c r="F2" s="59" t="s">
        <v>2004</v>
      </c>
      <c r="G2" s="59" t="s">
        <v>1994</v>
      </c>
      <c r="H2" s="59" t="s">
        <v>1993</v>
      </c>
      <c r="I2" s="59" t="s">
        <v>1993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INDEX(Cards!$B$2:$B$55,MATCH("C02",Cards!$A$2:$A$55,0))&amp;" (C02): No spin. Just the truth as I see it."</f>
        <v>Sincere Answer (C02): No spin. Just the truth as I see it.</v>
      </c>
      <c r="M2" s="62" t="str">
        <f>INDEX(Cards!$B$2:$B$55,MATCH("C22",Cards!$A$2:$A$55,0))&amp;" (C22): That doesn't ring a bell."</f>
        <v>"I Have No Recollection" (C22): That doesn't ring a bell.</v>
      </c>
      <c r="N2" s="62" t="str">
        <f>INDEX(Cards!$B$2:$B$55,MATCH("C48",Cards!$A$2:$A$55,0))&amp;" (C48): Everyone should hear what they're hiding."</f>
        <v>Media Appeal (C48): Everyone should hear what they're hiding.</v>
      </c>
    </row>
    <row r="3" spans="1:14" ht="102" customHeight="1" x14ac:dyDescent="0.2">
      <c r="A3" s="59" t="s">
        <v>2218</v>
      </c>
      <c r="B3" s="60" t="s">
        <v>2219</v>
      </c>
      <c r="C3" s="61" t="s">
        <v>2033</v>
      </c>
      <c r="D3" s="59" t="s">
        <v>1993</v>
      </c>
      <c r="E3" s="59" t="s">
        <v>1993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4</v>
      </c>
      <c r="K3" s="59">
        <f t="shared" si="1"/>
        <v>5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INDEX(Cards!$B$2:$B$55,MATCH("C31",Cards!$A$2:$A$55,0))&amp;" (C31): You should be ashamed of yourself!"</f>
        <v>Righteous Anger (C31): You should be ashamed of yourself!</v>
      </c>
      <c r="N3" s="62" t="str">
        <f>INDEX(Cards!$B$2:$B$55,MATCH("C23",Cards!$A$2:$A$55,0))&amp;" (C23): Let's talk about what really matters."</f>
        <v>Shifting the Issue (C23): Let's talk about what really matters.</v>
      </c>
    </row>
    <row r="4" spans="1:14" ht="127.5" customHeight="1" x14ac:dyDescent="0.2">
      <c r="A4" s="59" t="s">
        <v>2220</v>
      </c>
      <c r="B4" s="60" t="s">
        <v>2221</v>
      </c>
      <c r="C4" s="61" t="s">
        <v>2222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1993</v>
      </c>
      <c r="J4" s="59">
        <f t="shared" si="0"/>
        <v>4</v>
      </c>
      <c r="K4" s="59">
        <f t="shared" si="1"/>
        <v>6</v>
      </c>
      <c r="L4" s="62" t="str">
        <f>INDEX(Cards!$B$2:$B$55,MATCH("C16",Cards!$A$2:$A$55,0))&amp;" (C16): Every claim here is sourced and verified."</f>
        <v>Table the White Paper (C16): Every claim here is sourced and verified.</v>
      </c>
      <c r="M4" s="62" t="str">
        <f>INDEX(Cards!$B$2:$B$55,MATCH("C22",Cards!$A$2:$A$55,0))&amp;" (C22): I can neither confirm nor deny that."</f>
        <v>"I Have No Recollection" (C22): I can neither confirm nor deny that.</v>
      </c>
      <c r="N4" s="62" t="str">
        <f>INDEX(Cards!$B$2:$B$55,MATCH("C17",Cards!$A$2:$A$55,0))&amp;" (C17): Another career politician, protecting their own."</f>
        <v>Labeling (C17): Another career politician, protecting their own.</v>
      </c>
    </row>
    <row r="5" spans="1:14" ht="127.5" customHeight="1" x14ac:dyDescent="0.2">
      <c r="A5" s="59" t="s">
        <v>2223</v>
      </c>
      <c r="B5" s="60" t="s">
        <v>2224</v>
      </c>
      <c r="C5" s="61" t="s">
        <v>2225</v>
      </c>
      <c r="D5" s="59" t="s">
        <v>1993</v>
      </c>
      <c r="E5" s="59" t="s">
        <v>1994</v>
      </c>
      <c r="F5" s="59" t="s">
        <v>2004</v>
      </c>
      <c r="G5" s="59" t="s">
        <v>1994</v>
      </c>
      <c r="H5" s="59" t="s">
        <v>1993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INDEX(Cards!$B$2:$B$55,MATCH("C25",Cards!$A$2:$A$55,0))&amp;" (C25): My word is my bond."</f>
        <v>Point to the Promise Kept (C25): My word is my bond.</v>
      </c>
      <c r="M5" s="62" t="str">
        <f>INDEX(Cards!$B$2:$B$55,MATCH("C23",Cards!$A$2:$A$55,0))&amp;" (C23): That's a distraction from the actual issue."</f>
        <v>Shifting the Issue (C23): That's a distraction from the actual issue.</v>
      </c>
      <c r="N5" s="62" t="str">
        <f>INDEX(Cards!$B$2:$B$55,MATCH("C18",Cards!$A$2:$A$55,0))&amp;" (C18): They stand for themselves. We stand for you."</f>
        <v>Drawing Battle Lines (C18): They stand for themselves. We stand for you.</v>
      </c>
    </row>
    <row r="6" spans="1:14" ht="102" customHeight="1" x14ac:dyDescent="0.2">
      <c r="A6" s="59" t="s">
        <v>2226</v>
      </c>
      <c r="B6" s="60" t="s">
        <v>2227</v>
      </c>
      <c r="C6" s="61" t="s">
        <v>2228</v>
      </c>
      <c r="D6" s="59" t="s">
        <v>1993</v>
      </c>
      <c r="E6" s="59" t="s">
        <v>1993</v>
      </c>
      <c r="F6" s="59" t="s">
        <v>1994</v>
      </c>
      <c r="G6" s="59" t="s">
        <v>1994</v>
      </c>
      <c r="H6" s="59" t="s">
        <v>1993</v>
      </c>
      <c r="I6" s="59" t="s">
        <v>1993</v>
      </c>
      <c r="J6" s="59">
        <f t="shared" si="0"/>
        <v>4</v>
      </c>
      <c r="K6" s="59">
        <f t="shared" si="1"/>
        <v>7</v>
      </c>
      <c r="L6" s="62" t="str">
        <f>INDEX(Cards!$B$2:$B$55,MATCH("C25",Cards!$A$2:$A$55,0))&amp;" (C25): I give my word, and it holds."</f>
        <v>Point to the Promise Kept (C25): I give my word, and it holds.</v>
      </c>
      <c r="M6" s="62" t="str">
        <f>INDEX(Cards!$B$2:$B$55,MATCH("C32",Cards!$A$2:$A$55,0))&amp;" (C32): No, you will hear me out!"</f>
        <v>Raise Your Voice (C32): No, you will hear me out!</v>
      </c>
      <c r="N6" s="62" t="str">
        <f>INDEX(Cards!$B$2:$B$55,MATCH("C23",Cards!$A$2:$A$55,0))&amp;" (C23): The real question is why you're asking."</f>
        <v>Shifting the Issue (C23): The real question is why you're asking.</v>
      </c>
    </row>
    <row r="7" spans="1:14" ht="114.75" customHeight="1" x14ac:dyDescent="0.2">
      <c r="A7" s="59" t="s">
        <v>2229</v>
      </c>
      <c r="B7" s="60" t="s">
        <v>2230</v>
      </c>
      <c r="C7" s="61" t="s">
        <v>2231</v>
      </c>
      <c r="D7" s="59" t="s">
        <v>1993</v>
      </c>
      <c r="E7" s="59" t="s">
        <v>1993</v>
      </c>
      <c r="F7" s="59" t="s">
        <v>2004</v>
      </c>
      <c r="G7" s="59" t="s">
        <v>1994</v>
      </c>
      <c r="H7" s="59" t="s">
        <v>1994</v>
      </c>
      <c r="I7" s="59" t="s">
        <v>1993</v>
      </c>
      <c r="J7" s="59">
        <f t="shared" si="0"/>
        <v>3</v>
      </c>
      <c r="K7" s="59">
        <f t="shared" si="1"/>
        <v>6</v>
      </c>
      <c r="L7" s="62" t="str">
        <f>INDEX(Cards!$B$2:$B$55,MATCH("C33",Cards!$A$2:$A$55,0))&amp;" (C33): Underestimate me. See what happens."</f>
        <v>Refuse to Yield (C33): Underestimate me. See what happens.</v>
      </c>
      <c r="M7" s="62" t="str">
        <f>INDEX(Cards!$B$2:$B$55,MATCH("C23",Cards!$A$2:$A$55,0))&amp;" (C23): Interesting, but consider the bigger picture."</f>
        <v>Shifting the Issue (C23): Interesting, but consider the bigger picture.</v>
      </c>
      <c r="N7" s="62" t="str">
        <f>INDEX(Cards!$B$2:$B$55,MATCH("C01",Cards!$A$2:$A$55,0))&amp;" (C01): Judge me by my record."</f>
        <v>Record of Service (C01): Judge me by my record.</v>
      </c>
    </row>
    <row r="8" spans="1:14" ht="127.5" customHeight="1" x14ac:dyDescent="0.2">
      <c r="A8" s="59" t="s">
        <v>2232</v>
      </c>
      <c r="B8" s="60" t="s">
        <v>2233</v>
      </c>
      <c r="C8" s="61" t="s">
        <v>2231</v>
      </c>
      <c r="D8" s="59" t="s">
        <v>1994</v>
      </c>
      <c r="E8" s="59" t="s">
        <v>1994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INDEX(Cards!$B$2:$B$55,MATCH("C32",Cards!$A$2:$A$55,0))&amp;" (C32): Let me finish! Let me finish!"</f>
        <v>Raise Your Voice (C32): Let me finish! Let me finish!</v>
      </c>
    </row>
    <row r="9" spans="1:14" ht="114.75" customHeight="1" x14ac:dyDescent="0.2">
      <c r="A9" s="59" t="s">
        <v>2234</v>
      </c>
      <c r="B9" s="60" t="s">
        <v>2235</v>
      </c>
      <c r="C9" s="61" t="s">
        <v>2236</v>
      </c>
      <c r="D9" s="59" t="s">
        <v>1994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3</v>
      </c>
      <c r="K9" s="59">
        <f t="shared" si="1"/>
        <v>5</v>
      </c>
      <c r="L9" s="62" t="str">
        <f>INDEX(Cards!$B$2:$B$55,MATCH("C35",Cards!$A$2:$A$55,0))&amp;" (C35): Our party speaks with one voice on this."</f>
        <v>Invoke Party Discipline (C35): Our party speaks with one voice on this.</v>
      </c>
      <c r="M9" s="62" t="str">
        <f>INDEX(Cards!$B$2:$B$55,MATCH("C33",Cards!$A$2:$A$55,0))&amp;" (C33): Knock me down. I'll get back up."</f>
        <v>Refuse to Yield (C33): Knock me down. I'll get back up.</v>
      </c>
      <c r="N9" s="62" t="str">
        <f>INDEX(Cards!$B$2:$B$55,MATCH("C47",Cards!$A$2:$A$55,0))&amp;" (C47): Some here forget who they serve."</f>
        <v>Question Their Loyalty (C47): Some here forget who they serve.</v>
      </c>
    </row>
    <row r="10" spans="1:14" ht="102" customHeight="1" x14ac:dyDescent="0.2">
      <c r="A10" s="59" t="s">
        <v>2237</v>
      </c>
      <c r="B10" s="60" t="s">
        <v>2238</v>
      </c>
      <c r="C10" s="61" t="s">
        <v>2239</v>
      </c>
      <c r="D10" s="59" t="s">
        <v>1993</v>
      </c>
      <c r="E10" s="59" t="s">
        <v>1993</v>
      </c>
      <c r="F10" s="59" t="s">
        <v>1994</v>
      </c>
      <c r="G10" s="59" t="s">
        <v>2004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6</v>
      </c>
      <c r="L10" s="62" t="str">
        <f>INDEX(Cards!$B$2:$B$55,MATCH("C02",Cards!$A$2:$A$55,0))&amp;" (C02): I won't dodge this one."</f>
        <v>Sincere Answer (C02): I won't dodge this one.</v>
      </c>
      <c r="M10" s="62" t="str">
        <f>INDEX(Cards!$B$2:$B$55,MATCH("C32",Cards!$A$2:$A$55,0))&amp;" (C32): I will not be shouted down!"</f>
        <v>Raise Your Voice (C32): I will not be shouted down!</v>
      </c>
      <c r="N10" s="62" t="str">
        <f>INDEX(Cards!$B$2:$B$55,MATCH("C54",Cards!$A$2:$A$55,0))&amp;" (C54): Don't repeat this, but..."</f>
        <v>Off the Record (C54): Don't repeat this, but...</v>
      </c>
    </row>
    <row r="11" spans="1:14" ht="127.5" customHeight="1" x14ac:dyDescent="0.2">
      <c r="A11" s="59" t="s">
        <v>2240</v>
      </c>
      <c r="B11" s="60" t="s">
        <v>2241</v>
      </c>
      <c r="C11" s="61" t="s">
        <v>2242</v>
      </c>
      <c r="D11" s="59" t="s">
        <v>1993</v>
      </c>
      <c r="E11" s="59" t="s">
        <v>1994</v>
      </c>
      <c r="F11" s="59" t="s">
        <v>2004</v>
      </c>
      <c r="G11" s="59" t="s">
        <v>1993</v>
      </c>
      <c r="H11" s="59" t="s">
        <v>1993</v>
      </c>
      <c r="I11" s="59" t="s">
        <v>1993</v>
      </c>
      <c r="J11" s="59">
        <f t="shared" si="0"/>
        <v>4</v>
      </c>
      <c r="K11" s="59">
        <f t="shared" si="1"/>
        <v>4</v>
      </c>
      <c r="L11" s="62" t="str">
        <f>INDEX(Cards!$B$2:$B$55,MATCH("C02",Cards!$A$2:$A$55,0))&amp;" (C02): No spin. Just the truth as I see it."</f>
        <v>Sincere Answer (C02): No spin. Just the truth as I see it.</v>
      </c>
      <c r="M11" s="62" t="str">
        <f>INDEX(Cards!$B$2:$B$55,MATCH("C44",Cards!$A$2:$A$55,0))&amp;" (C44): Bring in outside eyes on this."</f>
        <v>Demand an Outside Review (C44): Bring in outside eyes on this.</v>
      </c>
      <c r="N11" s="62" t="str">
        <f>INDEX(Cards!$B$2:$B$55,MATCH("C22",Cards!$A$2:$A$55,0))&amp;" (C22): I can neither confirm nor deny that."</f>
        <v>"I Have No Recollection" (C22): I can neither confirm nor deny that.</v>
      </c>
    </row>
    <row r="12" spans="1:14" ht="127.5" customHeight="1" x14ac:dyDescent="0.2">
      <c r="A12" s="59" t="s">
        <v>2243</v>
      </c>
      <c r="B12" s="60" t="s">
        <v>2244</v>
      </c>
      <c r="C12" s="61" t="s">
        <v>2245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7</v>
      </c>
      <c r="L12" s="62" t="str">
        <f>INDEX(Cards!$B$2:$B$55,MATCH("C25",Cards!$A$2:$A$55,0))&amp;" (C25): My word is my bond."</f>
        <v>Point to the Promise Kept (C25): My word is my bond.</v>
      </c>
      <c r="M12" s="62" t="str">
        <f>INDEX(Cards!$B$2:$B$55,MATCH("C06",Cards!$A$2:$A$55,0))&amp;" (C06): Think of your own mother, your own child."</f>
        <v>Tearful Appeal (C06): Think of your own mother, your own child.</v>
      </c>
      <c r="N12" s="62" t="str">
        <f>INDEX(Cards!$B$2:$B$55,MATCH("C18",Cards!$A$2:$A$55,0))&amp;" (C18): They stand for themselves. We stand for you."</f>
        <v>Drawing Battle Lines (C18): They stand for themselves. We stand for you.</v>
      </c>
    </row>
    <row r="13" spans="1:14" ht="114.75" customHeight="1" x14ac:dyDescent="0.2">
      <c r="A13" s="59" t="s">
        <v>2246</v>
      </c>
      <c r="B13" s="60" t="s">
        <v>2247</v>
      </c>
      <c r="C13" s="61" t="s">
        <v>2222</v>
      </c>
      <c r="D13" s="59" t="s">
        <v>1994</v>
      </c>
      <c r="E13" s="59" t="s">
        <v>1993</v>
      </c>
      <c r="F13" s="59" t="s">
        <v>1994</v>
      </c>
      <c r="G13" s="59" t="s">
        <v>1993</v>
      </c>
      <c r="H13" s="59" t="s">
        <v>1993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INDEX(Cards!$B$2:$B$55,MATCH("C40",Cards!$A$2:$A$55,0))&amp;" (C40): Who benefits most? Follow that thread."</f>
        <v>Question the Funding (C40): Who benefits most? Follow that thread.</v>
      </c>
      <c r="M13" s="62" t="str">
        <f>INDEX(Cards!$B$2:$B$55,MATCH("C18",Cards!$A$2:$A$55,0))&amp;" (C18): On one side, workers. On the other, them."</f>
        <v>Drawing Battle Lines (C18): On one side, workers. On the other, them.</v>
      </c>
      <c r="N13" s="62" t="str">
        <f>INDEX(Cards!$B$2:$B$55,MATCH("C31",Cards!$A$2:$A$55,0))&amp;" (C31): This is an outrage, and you know it!"</f>
        <v>Righteous Anger (C31): This is an outrage, and you know it!</v>
      </c>
    </row>
    <row r="14" spans="1:14" ht="114.75" customHeight="1" x14ac:dyDescent="0.2">
      <c r="A14" s="59" t="s">
        <v>2248</v>
      </c>
      <c r="B14" s="60" t="s">
        <v>2249</v>
      </c>
      <c r="C14" s="61" t="s">
        <v>2250</v>
      </c>
      <c r="D14" s="59" t="s">
        <v>1993</v>
      </c>
      <c r="E14" s="59" t="s">
        <v>1993</v>
      </c>
      <c r="F14" s="59" t="s">
        <v>2004</v>
      </c>
      <c r="G14" s="59" t="s">
        <v>1994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6</v>
      </c>
      <c r="L14" s="62" t="str">
        <f>INDEX(Cards!$B$2:$B$55,MATCH("C02",Cards!$A$2:$A$55,0))&amp;" (C02): You deserve a straight reply."</f>
        <v>Sincere Answer (C02): You deserve a straight reply.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INDEX(Cards!$B$2:$B$55,MATCH("C22",Cards!$A$2:$A$55,0))&amp;" (C22): I don't recall any such thing."</f>
        <v>"I Have No Recollection" (C22): I don't recall any such thing.</v>
      </c>
    </row>
    <row r="15" spans="1:14" ht="102" customHeight="1" x14ac:dyDescent="0.2">
      <c r="A15" s="59" t="s">
        <v>2251</v>
      </c>
      <c r="B15" s="60" t="s">
        <v>2252</v>
      </c>
      <c r="C15" s="61" t="s">
        <v>2236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8</v>
      </c>
      <c r="L15" s="62" t="str">
        <f>INDEX(Cards!$B$2:$B$55,MATCH("C35",Cards!$A$2:$A$55,0))&amp;" (C35): The party's position is settled. We stand together."</f>
        <v>Invoke Party Discipline (C35): The party's position is settled. We stand together.</v>
      </c>
      <c r="M15" s="62" t="str">
        <f>INDEX(Cards!$B$2:$B$55,MATCH("C30",Cards!$A$2:$A$55,0))&amp;" (C30): Loyal hearts, one more push!"</f>
        <v>Rally the Faithful (C30): Loyal hearts, one more push!</v>
      </c>
      <c r="N15" s="62" t="str">
        <f>INDEX(Cards!$B$2:$B$55,MATCH("C20",Cards!$A$2:$A$55,0))&amp;" (C20): Prove whose side you're really on."</f>
        <v>Loyalty Test (C20): Prove whose side you're really on.</v>
      </c>
    </row>
    <row r="16" spans="1:14" ht="127.5" customHeight="1" x14ac:dyDescent="0.2">
      <c r="A16" s="59" t="s">
        <v>2253</v>
      </c>
      <c r="B16" s="60" t="s">
        <v>2254</v>
      </c>
      <c r="C16" s="61" t="s">
        <v>2022</v>
      </c>
      <c r="D16" s="59" t="s">
        <v>1993</v>
      </c>
      <c r="E16" s="59" t="s">
        <v>1993</v>
      </c>
      <c r="F16" s="59" t="s">
        <v>1994</v>
      </c>
      <c r="G16" s="59" t="s">
        <v>1994</v>
      </c>
      <c r="H16" s="59" t="s">
        <v>1993</v>
      </c>
      <c r="I16" s="59" t="s">
        <v>1994</v>
      </c>
      <c r="J16" s="59">
        <f t="shared" si="0"/>
        <v>3</v>
      </c>
      <c r="K16" s="59">
        <f t="shared" si="1"/>
        <v>6</v>
      </c>
      <c r="L16" s="62" t="str">
        <f>INDEX(Cards!$B$2:$B$55,MATCH("C04",Cards!$A$2:$A$55,0))&amp;" (C04): I'm here to serve, not to climb."</f>
        <v>Return to First Principles (C04): I'm here to serve, not to climb.</v>
      </c>
      <c r="M16" s="62" t="str">
        <f>INDEX(Cards!$B$2:$B$55,MATCH("C05",Cards!$A$2:$A$55,0))&amp;" (C05): This is the fight that defines us!"</f>
        <v>Impassioned Speech (C05): This is the fight that defines us!</v>
      </c>
      <c r="N16" s="62" t="str">
        <f>INDEX(Cards!$B$2:$B$55,MATCH("C18",Cards!$A$2:$A$55,0))&amp;" (C18): You're either with the people or against them."</f>
        <v>Drawing Battle Lines (C18): You're either with the people or against them.</v>
      </c>
    </row>
    <row r="17" spans="1:14" ht="102" customHeight="1" x14ac:dyDescent="0.2">
      <c r="A17" s="59" t="s">
        <v>2255</v>
      </c>
      <c r="B17" s="60" t="s">
        <v>2256</v>
      </c>
      <c r="C17" s="61" t="s">
        <v>2038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6</v>
      </c>
      <c r="L17" s="62" t="str">
        <f>INDEX(Cards!$B$2:$B$55,MATCH("C33",Cards!$A$2:$A$55,0))&amp;" (C33): I will not yield. Full stop."</f>
        <v>Refuse to Yield (C33): I will not yield. Full stop.</v>
      </c>
      <c r="M17" s="62" t="str">
        <f>INDEX(Cards!$B$2:$B$55,MATCH("C26",Cards!$A$2:$A$55,0))&amp;" (C26): No excuses. Accountability starts with me."</f>
        <v>Own the Mistake (C26): No excuses. Accountability starts with me.</v>
      </c>
      <c r="N17" s="62" t="str">
        <f>INDEX(Cards!$B$2:$B$55,MATCH("C50",Cards!$A$2:$A$55,0))&amp;" (C50): That matter is under review."</f>
        <v>Take It Under Advisement (C50): That matter is under review.</v>
      </c>
    </row>
    <row r="18" spans="1:14" ht="102" customHeight="1" x14ac:dyDescent="0.2">
      <c r="A18" s="59" t="s">
        <v>2257</v>
      </c>
      <c r="B18" s="60" t="s">
        <v>2258</v>
      </c>
      <c r="C18" s="61" t="s">
        <v>2259</v>
      </c>
      <c r="D18" s="59" t="s">
        <v>1994</v>
      </c>
      <c r="E18" s="59" t="s">
        <v>1993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4</v>
      </c>
      <c r="K18" s="59">
        <f t="shared" si="1"/>
        <v>8</v>
      </c>
      <c r="L18" s="62" t="str">
        <f>INDEX(Cards!$B$2:$B$55,MATCH("C13",Cards!$A$2:$A$55,0))&amp;" (C13): The data tells a different story."</f>
        <v>Present the Stats (C13): The data tells a different story.</v>
      </c>
      <c r="M18" s="62" t="str">
        <f>INDEX(Cards!$B$2:$B$55,MATCH("C21",Cards!$A$2:$A$55,0))&amp;" (C21): There's truth on every side of this."</f>
        <v>Iridescent Answer (C21): There's truth on every side of this.</v>
      </c>
      <c r="N18" s="62" t="str">
        <f>INDEX(Cards!$B$2:$B$55,MATCH("C46",Cards!$A$2:$A$55,0))&amp;" (C46): Yes or no. There is no middle."</f>
        <v>Force the Choice (C46): Yes or no. There is no middle.</v>
      </c>
    </row>
    <row r="19" spans="1:14" ht="102" customHeight="1" x14ac:dyDescent="0.2">
      <c r="A19" s="59" t="s">
        <v>2260</v>
      </c>
      <c r="B19" s="60" t="s">
        <v>2261</v>
      </c>
      <c r="C19" s="61" t="s">
        <v>2262</v>
      </c>
      <c r="D19" s="59" t="s">
        <v>1993</v>
      </c>
      <c r="E19" s="59" t="s">
        <v>1993</v>
      </c>
      <c r="F19" s="59" t="s">
        <v>1994</v>
      </c>
      <c r="G19" s="59" t="s">
        <v>2004</v>
      </c>
      <c r="H19" s="59" t="s">
        <v>1993</v>
      </c>
      <c r="I19" s="59" t="s">
        <v>1993</v>
      </c>
      <c r="J19" s="59">
        <f t="shared" si="0"/>
        <v>4</v>
      </c>
      <c r="K19" s="59">
        <f t="shared" si="1"/>
        <v>6</v>
      </c>
      <c r="L19" s="62" t="str">
        <f>INDEX(Cards!$B$2:$B$55,MATCH("C32",Cards!$A$2:$A$55,0))&amp;" (C32): Go on, try to silence me."</f>
        <v>Raise Your Voice (C32): Go on, try to silence me.</v>
      </c>
      <c r="M19" s="62" t="str">
        <f>INDEX(Cards!$B$2:$B$55,MATCH("C02",Cards!$A$2:$A$55,0))&amp;" (C02): I won't dodge this one."</f>
        <v>Sincere Answer (C02): I won't dodge this one.</v>
      </c>
      <c r="N19" s="62" t="str">
        <f>INDEX(Cards!$B$2:$B$55,MATCH("C23",Cards!$A$2:$A$55,0))&amp;" (C23): That's a distraction from the actual issue."</f>
        <v>Shifting the Issue (C23): That's a distraction from the actual issue.</v>
      </c>
    </row>
    <row r="20" spans="1:14" ht="102" customHeight="1" x14ac:dyDescent="0.2">
      <c r="A20" s="59" t="s">
        <v>2263</v>
      </c>
      <c r="B20" s="60" t="s">
        <v>2264</v>
      </c>
      <c r="C20" s="61" t="s">
        <v>2265</v>
      </c>
      <c r="D20" s="59" t="s">
        <v>1993</v>
      </c>
      <c r="E20" s="59" t="s">
        <v>1993</v>
      </c>
      <c r="F20" s="59" t="s">
        <v>1994</v>
      </c>
      <c r="G20" s="59" t="s">
        <v>1993</v>
      </c>
      <c r="H20" s="59" t="s">
        <v>1994</v>
      </c>
      <c r="I20" s="59" t="s">
        <v>1994</v>
      </c>
      <c r="J20" s="59">
        <f t="shared" si="0"/>
        <v>3</v>
      </c>
      <c r="K20" s="59">
        <f t="shared" si="1"/>
        <v>10</v>
      </c>
      <c r="L20" s="62" t="str">
        <f>INDEX(Cards!$B$2:$B$55,MATCH("C02",Cards!$A$2:$A$55,0))&amp;" (C02): Let me answer you directly."</f>
        <v>Sincere Answer (C02): Let me answer you directly.</v>
      </c>
      <c r="M20" s="62" t="str">
        <f>INDEX(Cards!$B$2:$B$55,MATCH("C06",Cards!$A$2:$A$55,0))&amp;" (C06): I carry their faces with me."</f>
        <v>Tearful Appeal (C06): I carry their faces with me.</v>
      </c>
      <c r="N20" s="62" t="str">
        <f>INDEX(Cards!$B$2:$B$55,MATCH("C13",Cards!$A$2:$A$55,0))&amp;" (C13): Facts don't care about talking points."</f>
        <v>Present the Stats (C13): Facts don't care about talking points.</v>
      </c>
    </row>
    <row r="21" spans="1:14" ht="89.25" customHeight="1" x14ac:dyDescent="0.2">
      <c r="A21" s="59" t="s">
        <v>2266</v>
      </c>
      <c r="B21" s="60" t="s">
        <v>2267</v>
      </c>
      <c r="C21" s="61" t="s">
        <v>2228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1993</v>
      </c>
      <c r="J21" s="59">
        <f t="shared" si="0"/>
        <v>4</v>
      </c>
      <c r="K21" s="59">
        <f t="shared" si="1"/>
        <v>6</v>
      </c>
      <c r="L21" s="62" t="str">
        <f>INDEX(Cards!$B$2:$B$55,MATCH("C01",Cards!$A$2:$A$55,0))&amp;" (C01): My record speaks louder than my speeches."</f>
        <v>Record of Service (C01): My record speaks louder than my speeches.</v>
      </c>
      <c r="M21" s="62" t="str">
        <f>INDEX(Cards!$B$2:$B$55,MATCH("C33",Cards!$A$2:$A$55,0))&amp;" (C33): Count me out at your peril."</f>
        <v>Refuse to Yield (C33): Count me out at your peril.</v>
      </c>
      <c r="N21" s="62" t="str">
        <f>INDEX(Cards!$B$2:$B$55,MATCH("C17",Cards!$A$2:$A$55,0))&amp;" (C17): Typical out-of-touch elitist."</f>
        <v>Labeling (C17): Typical out-of-touch elitist.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16</v>
      </c>
      <c r="F22" s="63">
        <f t="shared" si="2"/>
        <v>2</v>
      </c>
      <c r="G22" s="63">
        <f t="shared" si="2"/>
        <v>6</v>
      </c>
      <c r="H22" s="63">
        <f t="shared" si="2"/>
        <v>15</v>
      </c>
      <c r="I22" s="63">
        <f t="shared" si="2"/>
        <v>14</v>
      </c>
    </row>
    <row r="24" spans="1:14" x14ac:dyDescent="0.2">
      <c r="B24" s="64" t="s">
        <v>2268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 x14ac:dyDescent="0.2"/>
  <cols>
    <col min="1" max="1" width="18.0234375" customWidth="1"/>
    <col min="2" max="2" width="13.98828125" customWidth="1"/>
    <col min="3" max="3" width="25.9609375" customWidth="1"/>
    <col min="4" max="4" width="9.953125" customWidth="1"/>
    <col min="5" max="5" width="46.00390625" customWidth="1"/>
    <col min="6" max="6" width="71.96875" customWidth="1"/>
  </cols>
  <sheetData>
    <row r="1" spans="1:6" x14ac:dyDescent="0.2">
      <c r="A1" s="12" t="s">
        <v>1984</v>
      </c>
      <c r="B1" s="12" t="s">
        <v>2269</v>
      </c>
      <c r="C1" s="12" t="s">
        <v>2270</v>
      </c>
      <c r="D1" s="12" t="s">
        <v>1289</v>
      </c>
      <c r="E1" s="124" t="s">
        <v>2271</v>
      </c>
      <c r="F1" s="12" t="s">
        <v>2272</v>
      </c>
    </row>
    <row r="2" spans="1:6" x14ac:dyDescent="0.2">
      <c r="A2" t="s">
        <v>2118</v>
      </c>
      <c r="B2" t="s">
        <v>955</v>
      </c>
      <c r="C2" t="s">
        <v>952</v>
      </c>
      <c r="D2">
        <v>1</v>
      </c>
      <c r="E2" s="125" t="s">
        <v>271</v>
      </c>
      <c r="F2" s="13" t="s">
        <v>2273</v>
      </c>
    </row>
    <row r="3" spans="1:6" x14ac:dyDescent="0.2">
      <c r="A3" t="s">
        <v>2038</v>
      </c>
      <c r="B3" t="s">
        <v>867</v>
      </c>
      <c r="C3" t="s">
        <v>958</v>
      </c>
      <c r="D3">
        <v>3</v>
      </c>
      <c r="E3" s="125" t="s">
        <v>2815</v>
      </c>
      <c r="F3" s="13" t="s">
        <v>2274</v>
      </c>
    </row>
    <row r="4" spans="1:6" x14ac:dyDescent="0.2">
      <c r="A4" t="s">
        <v>2127</v>
      </c>
      <c r="B4" t="s">
        <v>949</v>
      </c>
      <c r="C4" t="s">
        <v>946</v>
      </c>
      <c r="D4">
        <v>1</v>
      </c>
      <c r="E4" s="125" t="s">
        <v>271</v>
      </c>
      <c r="F4" s="13" t="s">
        <v>2275</v>
      </c>
    </row>
    <row r="5" spans="1:6" x14ac:dyDescent="0.2">
      <c r="A5" t="s">
        <v>2007</v>
      </c>
      <c r="B5" t="s">
        <v>949</v>
      </c>
      <c r="C5" t="s">
        <v>946</v>
      </c>
      <c r="D5">
        <v>1</v>
      </c>
      <c r="E5" s="125" t="s">
        <v>201</v>
      </c>
      <c r="F5" s="13" t="s">
        <v>2276</v>
      </c>
    </row>
    <row r="6" spans="1:6" x14ac:dyDescent="0.2">
      <c r="A6" t="s">
        <v>2209</v>
      </c>
      <c r="B6" t="s">
        <v>906</v>
      </c>
      <c r="C6" t="s">
        <v>935</v>
      </c>
      <c r="D6">
        <v>1</v>
      </c>
      <c r="E6" s="125" t="s">
        <v>275</v>
      </c>
      <c r="F6" s="13" t="s">
        <v>2277</v>
      </c>
    </row>
    <row r="7" spans="1:6" x14ac:dyDescent="0.2">
      <c r="A7" t="s">
        <v>2073</v>
      </c>
      <c r="B7" t="s">
        <v>949</v>
      </c>
      <c r="C7" t="s">
        <v>946</v>
      </c>
      <c r="D7">
        <v>1</v>
      </c>
      <c r="E7" s="125" t="s">
        <v>206</v>
      </c>
      <c r="F7" s="13" t="s">
        <v>2278</v>
      </c>
    </row>
    <row r="8" spans="1:6" x14ac:dyDescent="0.2">
      <c r="A8" t="s">
        <v>2019</v>
      </c>
      <c r="B8" t="s">
        <v>886</v>
      </c>
      <c r="C8" t="s">
        <v>920</v>
      </c>
      <c r="D8">
        <v>2</v>
      </c>
      <c r="E8" s="125" t="s">
        <v>2816</v>
      </c>
      <c r="F8" s="13" t="s">
        <v>2279</v>
      </c>
    </row>
    <row r="9" spans="1:6" x14ac:dyDescent="0.2">
      <c r="A9" t="s">
        <v>2231</v>
      </c>
      <c r="B9" t="s">
        <v>867</v>
      </c>
      <c r="C9" t="s">
        <v>958</v>
      </c>
      <c r="D9">
        <v>2</v>
      </c>
      <c r="E9" s="125" t="s">
        <v>267</v>
      </c>
      <c r="F9" s="13" t="s">
        <v>2280</v>
      </c>
    </row>
    <row r="10" spans="1:6" x14ac:dyDescent="0.2">
      <c r="A10" t="s">
        <v>2124</v>
      </c>
      <c r="B10" t="s">
        <v>943</v>
      </c>
      <c r="C10" t="s">
        <v>940</v>
      </c>
      <c r="D10">
        <v>1</v>
      </c>
      <c r="E10" s="125" t="s">
        <v>271</v>
      </c>
      <c r="F10" s="13" t="s">
        <v>2281</v>
      </c>
    </row>
    <row r="11" spans="1:6" x14ac:dyDescent="0.2">
      <c r="A11" t="s">
        <v>2153</v>
      </c>
      <c r="B11" t="s">
        <v>874</v>
      </c>
      <c r="C11" t="s">
        <v>925</v>
      </c>
      <c r="D11">
        <v>1</v>
      </c>
      <c r="E11" s="125" t="s">
        <v>271</v>
      </c>
      <c r="F11" s="13" t="s">
        <v>2282</v>
      </c>
    </row>
    <row r="12" spans="1:6" x14ac:dyDescent="0.2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2283</v>
      </c>
    </row>
    <row r="13" spans="1:6" x14ac:dyDescent="0.2">
      <c r="A13" t="s">
        <v>2190</v>
      </c>
      <c r="B13" t="s">
        <v>906</v>
      </c>
      <c r="C13" t="s">
        <v>935</v>
      </c>
      <c r="D13">
        <v>1</v>
      </c>
      <c r="E13" s="125" t="s">
        <v>275</v>
      </c>
      <c r="F13" s="13" t="s">
        <v>2284</v>
      </c>
    </row>
    <row r="14" spans="1:6" x14ac:dyDescent="0.2">
      <c r="A14" t="s">
        <v>2265</v>
      </c>
      <c r="B14" t="s">
        <v>933</v>
      </c>
      <c r="C14" t="s">
        <v>930</v>
      </c>
      <c r="D14">
        <v>1</v>
      </c>
      <c r="E14" s="125" t="s">
        <v>267</v>
      </c>
      <c r="F14" s="13" t="s">
        <v>2285</v>
      </c>
    </row>
    <row r="15" spans="1:6" x14ac:dyDescent="0.2">
      <c r="A15" t="s">
        <v>2030</v>
      </c>
      <c r="B15" t="s">
        <v>874</v>
      </c>
      <c r="C15" t="s">
        <v>925</v>
      </c>
      <c r="D15">
        <v>1</v>
      </c>
      <c r="E15" s="125" t="s">
        <v>201</v>
      </c>
      <c r="F15" s="13" t="s">
        <v>2286</v>
      </c>
    </row>
    <row r="16" spans="1:6" x14ac:dyDescent="0.2">
      <c r="A16" t="s">
        <v>2199</v>
      </c>
      <c r="B16" t="s">
        <v>906</v>
      </c>
      <c r="C16" t="s">
        <v>935</v>
      </c>
      <c r="D16">
        <v>1</v>
      </c>
      <c r="E16" s="125" t="s">
        <v>275</v>
      </c>
      <c r="F16" s="13" t="s">
        <v>2287</v>
      </c>
    </row>
    <row r="17" spans="1:6" x14ac:dyDescent="0.2">
      <c r="A17" t="s">
        <v>2013</v>
      </c>
      <c r="B17" t="s">
        <v>943</v>
      </c>
      <c r="C17" t="s">
        <v>940</v>
      </c>
      <c r="D17">
        <v>3</v>
      </c>
      <c r="E17" s="125" t="s">
        <v>2824</v>
      </c>
      <c r="F17" s="13" t="s">
        <v>2288</v>
      </c>
    </row>
    <row r="18" spans="1:6" x14ac:dyDescent="0.2">
      <c r="A18" t="s">
        <v>2228</v>
      </c>
      <c r="B18" t="s">
        <v>867</v>
      </c>
      <c r="C18" t="s">
        <v>958</v>
      </c>
      <c r="D18">
        <v>2</v>
      </c>
      <c r="E18" s="125" t="s">
        <v>267</v>
      </c>
      <c r="F18" s="13" t="s">
        <v>2289</v>
      </c>
    </row>
    <row r="19" spans="1:6" x14ac:dyDescent="0.2">
      <c r="A19" t="s">
        <v>2000</v>
      </c>
      <c r="B19" t="s">
        <v>867</v>
      </c>
      <c r="C19" t="s">
        <v>958</v>
      </c>
      <c r="D19">
        <v>1</v>
      </c>
      <c r="E19" s="125" t="s">
        <v>201</v>
      </c>
      <c r="F19" s="13" t="s">
        <v>2290</v>
      </c>
    </row>
    <row r="20" spans="1:6" x14ac:dyDescent="0.2">
      <c r="A20" t="s">
        <v>2225</v>
      </c>
      <c r="B20" t="s">
        <v>867</v>
      </c>
      <c r="C20" t="s">
        <v>958</v>
      </c>
      <c r="D20">
        <v>1</v>
      </c>
      <c r="E20" s="125" t="s">
        <v>267</v>
      </c>
      <c r="F20" s="13" t="s">
        <v>2291</v>
      </c>
    </row>
    <row r="21" spans="1:6" x14ac:dyDescent="0.2">
      <c r="A21" t="s">
        <v>2174</v>
      </c>
      <c r="B21" t="s">
        <v>861</v>
      </c>
      <c r="C21" t="s">
        <v>858</v>
      </c>
      <c r="D21">
        <v>1</v>
      </c>
      <c r="E21" s="125" t="s">
        <v>275</v>
      </c>
      <c r="F21" s="13" t="s">
        <v>2292</v>
      </c>
    </row>
    <row r="22" spans="1:6" x14ac:dyDescent="0.2">
      <c r="A22" t="s">
        <v>2047</v>
      </c>
      <c r="B22" t="s">
        <v>886</v>
      </c>
      <c r="C22" t="s">
        <v>920</v>
      </c>
      <c r="D22">
        <v>1</v>
      </c>
      <c r="E22" s="125" t="s">
        <v>201</v>
      </c>
      <c r="F22" s="13" t="s">
        <v>2293</v>
      </c>
    </row>
    <row r="23" spans="1:6" x14ac:dyDescent="0.2">
      <c r="A23" t="s">
        <v>2115</v>
      </c>
      <c r="B23" t="s">
        <v>861</v>
      </c>
      <c r="C23" t="s">
        <v>858</v>
      </c>
      <c r="D23">
        <v>2</v>
      </c>
      <c r="E23" s="125" t="s">
        <v>271</v>
      </c>
      <c r="F23" s="13" t="s">
        <v>2294</v>
      </c>
    </row>
    <row r="24" spans="1:6" x14ac:dyDescent="0.2">
      <c r="A24" t="s">
        <v>2169</v>
      </c>
      <c r="B24" t="s">
        <v>861</v>
      </c>
      <c r="C24" t="s">
        <v>858</v>
      </c>
      <c r="D24">
        <v>1</v>
      </c>
      <c r="E24" s="125" t="s">
        <v>275</v>
      </c>
      <c r="F24" s="13" t="s">
        <v>2295</v>
      </c>
    </row>
    <row r="25" spans="1:6" x14ac:dyDescent="0.2">
      <c r="A25" t="s">
        <v>2239</v>
      </c>
      <c r="B25" t="s">
        <v>867</v>
      </c>
      <c r="C25" t="s">
        <v>958</v>
      </c>
      <c r="D25">
        <v>1</v>
      </c>
      <c r="E25" s="125" t="s">
        <v>267</v>
      </c>
      <c r="F25" s="13" t="s">
        <v>2296</v>
      </c>
    </row>
    <row r="26" spans="1:6" x14ac:dyDescent="0.2">
      <c r="A26" t="s">
        <v>2016</v>
      </c>
      <c r="B26" t="s">
        <v>861</v>
      </c>
      <c r="C26" t="s">
        <v>858</v>
      </c>
      <c r="D26">
        <v>2</v>
      </c>
      <c r="E26" s="125" t="s">
        <v>2823</v>
      </c>
      <c r="F26" s="13" t="s">
        <v>2297</v>
      </c>
    </row>
    <row r="27" spans="1:6" x14ac:dyDescent="0.2">
      <c r="A27" t="s">
        <v>2262</v>
      </c>
      <c r="B27" t="s">
        <v>867</v>
      </c>
      <c r="C27" t="s">
        <v>958</v>
      </c>
      <c r="D27">
        <v>1</v>
      </c>
      <c r="E27" s="125" t="s">
        <v>267</v>
      </c>
      <c r="F27" s="13" t="s">
        <v>2298</v>
      </c>
    </row>
    <row r="28" spans="1:6" x14ac:dyDescent="0.2">
      <c r="A28" t="s">
        <v>2212</v>
      </c>
      <c r="B28" t="s">
        <v>906</v>
      </c>
      <c r="C28" t="s">
        <v>935</v>
      </c>
      <c r="D28">
        <v>1</v>
      </c>
      <c r="E28" s="125" t="s">
        <v>275</v>
      </c>
      <c r="F28" s="13" t="s">
        <v>2299</v>
      </c>
    </row>
    <row r="29" spans="1:6" x14ac:dyDescent="0.2">
      <c r="A29" t="s">
        <v>2136</v>
      </c>
      <c r="B29" t="s">
        <v>943</v>
      </c>
      <c r="C29" t="s">
        <v>940</v>
      </c>
      <c r="D29">
        <v>2</v>
      </c>
      <c r="E29" s="125" t="s">
        <v>2817</v>
      </c>
      <c r="F29" s="13" t="s">
        <v>2300</v>
      </c>
    </row>
    <row r="30" spans="1:6" x14ac:dyDescent="0.2">
      <c r="A30" t="s">
        <v>2093</v>
      </c>
      <c r="B30" t="s">
        <v>949</v>
      </c>
      <c r="C30" t="s">
        <v>946</v>
      </c>
      <c r="D30">
        <v>1</v>
      </c>
      <c r="E30" s="125" t="s">
        <v>206</v>
      </c>
      <c r="F30" s="13" t="s">
        <v>2301</v>
      </c>
    </row>
    <row r="31" spans="1:6" x14ac:dyDescent="0.2">
      <c r="A31" t="s">
        <v>2250</v>
      </c>
      <c r="B31" t="s">
        <v>867</v>
      </c>
      <c r="C31" t="s">
        <v>958</v>
      </c>
      <c r="D31">
        <v>1</v>
      </c>
      <c r="E31" s="125" t="s">
        <v>267</v>
      </c>
      <c r="F31" s="13" t="s">
        <v>2302</v>
      </c>
    </row>
    <row r="32" spans="1:6" x14ac:dyDescent="0.2">
      <c r="A32" t="s">
        <v>2245</v>
      </c>
      <c r="B32" t="s">
        <v>867</v>
      </c>
      <c r="C32" t="s">
        <v>958</v>
      </c>
      <c r="D32">
        <v>1</v>
      </c>
      <c r="E32" s="125" t="s">
        <v>267</v>
      </c>
      <c r="F32" s="13" t="s">
        <v>2303</v>
      </c>
    </row>
    <row r="33" spans="1:6" x14ac:dyDescent="0.2">
      <c r="A33" t="s">
        <v>1992</v>
      </c>
      <c r="B33" t="s">
        <v>949</v>
      </c>
      <c r="C33" t="s">
        <v>946</v>
      </c>
      <c r="D33">
        <v>4</v>
      </c>
      <c r="E33" s="125" t="s">
        <v>2822</v>
      </c>
      <c r="F33" s="13" t="s">
        <v>2304</v>
      </c>
    </row>
    <row r="34" spans="1:6" x14ac:dyDescent="0.2">
      <c r="A34" t="s">
        <v>2164</v>
      </c>
      <c r="B34" t="s">
        <v>906</v>
      </c>
      <c r="C34" t="s">
        <v>935</v>
      </c>
      <c r="D34">
        <v>1</v>
      </c>
      <c r="E34" s="125" t="s">
        <v>275</v>
      </c>
      <c r="F34" s="13" t="s">
        <v>2305</v>
      </c>
    </row>
    <row r="35" spans="1:6" x14ac:dyDescent="0.2">
      <c r="A35" t="s">
        <v>2144</v>
      </c>
      <c r="B35" t="s">
        <v>855</v>
      </c>
      <c r="C35" t="s">
        <v>852</v>
      </c>
      <c r="D35">
        <v>2</v>
      </c>
      <c r="E35" s="125" t="s">
        <v>271</v>
      </c>
      <c r="F35" s="13" t="s">
        <v>2306</v>
      </c>
    </row>
    <row r="36" spans="1:6" x14ac:dyDescent="0.2">
      <c r="A36" t="s">
        <v>2033</v>
      </c>
      <c r="B36" t="s">
        <v>867</v>
      </c>
      <c r="C36" t="s">
        <v>958</v>
      </c>
      <c r="D36">
        <v>4</v>
      </c>
      <c r="E36" s="125" t="s">
        <v>2821</v>
      </c>
      <c r="F36" s="13" t="s">
        <v>2307</v>
      </c>
    </row>
    <row r="37" spans="1:6" x14ac:dyDescent="0.2">
      <c r="A37" t="s">
        <v>2236</v>
      </c>
      <c r="B37" t="s">
        <v>874</v>
      </c>
      <c r="C37" t="s">
        <v>925</v>
      </c>
      <c r="D37">
        <v>2</v>
      </c>
      <c r="E37" s="125" t="s">
        <v>267</v>
      </c>
      <c r="F37" s="13" t="s">
        <v>2308</v>
      </c>
    </row>
    <row r="38" spans="1:6" x14ac:dyDescent="0.2">
      <c r="A38" t="s">
        <v>2185</v>
      </c>
      <c r="B38" t="s">
        <v>861</v>
      </c>
      <c r="C38" t="s">
        <v>858</v>
      </c>
      <c r="D38">
        <v>1</v>
      </c>
      <c r="E38" s="125" t="s">
        <v>275</v>
      </c>
      <c r="F38" s="13" t="s">
        <v>2309</v>
      </c>
    </row>
    <row r="39" spans="1:6" x14ac:dyDescent="0.2">
      <c r="A39" t="s">
        <v>2130</v>
      </c>
      <c r="B39" t="s">
        <v>855</v>
      </c>
      <c r="C39" t="s">
        <v>852</v>
      </c>
      <c r="D39">
        <v>1</v>
      </c>
      <c r="E39" s="125" t="s">
        <v>271</v>
      </c>
      <c r="F39" s="13" t="s">
        <v>2310</v>
      </c>
    </row>
    <row r="40" spans="1:6" x14ac:dyDescent="0.2">
      <c r="A40" t="s">
        <v>2139</v>
      </c>
      <c r="B40" t="s">
        <v>943</v>
      </c>
      <c r="C40" t="s">
        <v>940</v>
      </c>
      <c r="D40">
        <v>1</v>
      </c>
      <c r="E40" s="125" t="s">
        <v>271</v>
      </c>
      <c r="F40" s="13" t="s">
        <v>2311</v>
      </c>
    </row>
    <row r="41" spans="1:6" x14ac:dyDescent="0.2">
      <c r="A41" t="s">
        <v>2078</v>
      </c>
      <c r="B41" t="s">
        <v>955</v>
      </c>
      <c r="C41" t="s">
        <v>952</v>
      </c>
      <c r="D41">
        <v>1</v>
      </c>
      <c r="E41" s="125" t="s">
        <v>206</v>
      </c>
      <c r="F41" s="13" t="s">
        <v>2312</v>
      </c>
    </row>
    <row r="42" spans="1:6" x14ac:dyDescent="0.2">
      <c r="A42" t="s">
        <v>2062</v>
      </c>
      <c r="B42" t="s">
        <v>886</v>
      </c>
      <c r="C42" t="s">
        <v>920</v>
      </c>
      <c r="D42">
        <v>2</v>
      </c>
      <c r="E42" s="125" t="s">
        <v>206</v>
      </c>
      <c r="F42" s="13" t="s">
        <v>2313</v>
      </c>
    </row>
    <row r="43" spans="1:6" x14ac:dyDescent="0.2">
      <c r="A43" t="s">
        <v>2182</v>
      </c>
      <c r="B43" t="s">
        <v>861</v>
      </c>
      <c r="C43" t="s">
        <v>858</v>
      </c>
      <c r="D43">
        <v>1</v>
      </c>
      <c r="E43" s="125" t="s">
        <v>275</v>
      </c>
      <c r="F43" s="13" t="s">
        <v>2314</v>
      </c>
    </row>
    <row r="44" spans="1:6" x14ac:dyDescent="0.2">
      <c r="A44" t="s">
        <v>2222</v>
      </c>
      <c r="B44" t="s">
        <v>943</v>
      </c>
      <c r="C44" t="s">
        <v>940</v>
      </c>
      <c r="D44">
        <v>2</v>
      </c>
      <c r="E44" s="125" t="s">
        <v>267</v>
      </c>
      <c r="F44" s="13" t="s">
        <v>2315</v>
      </c>
    </row>
    <row r="45" spans="1:6" x14ac:dyDescent="0.2">
      <c r="A45" t="s">
        <v>2022</v>
      </c>
      <c r="B45" t="s">
        <v>867</v>
      </c>
      <c r="C45" t="s">
        <v>958</v>
      </c>
      <c r="D45">
        <v>3</v>
      </c>
      <c r="E45" s="125" t="s">
        <v>2820</v>
      </c>
      <c r="F45" s="13" t="s">
        <v>2316</v>
      </c>
    </row>
    <row r="46" spans="1:6" x14ac:dyDescent="0.2">
      <c r="A46" t="s">
        <v>2067</v>
      </c>
      <c r="B46" t="s">
        <v>933</v>
      </c>
      <c r="C46" t="s">
        <v>930</v>
      </c>
      <c r="D46">
        <v>2</v>
      </c>
      <c r="E46" s="125" t="s">
        <v>206</v>
      </c>
      <c r="F46" s="13" t="s">
        <v>2317</v>
      </c>
    </row>
    <row r="47" spans="1:6" x14ac:dyDescent="0.2">
      <c r="A47" t="s">
        <v>2088</v>
      </c>
      <c r="B47" t="s">
        <v>867</v>
      </c>
      <c r="C47" t="s">
        <v>958</v>
      </c>
      <c r="D47">
        <v>1</v>
      </c>
      <c r="E47" s="125" t="s">
        <v>206</v>
      </c>
      <c r="F47" s="13" t="s">
        <v>2318</v>
      </c>
    </row>
    <row r="48" spans="1:6" x14ac:dyDescent="0.2">
      <c r="A48" t="s">
        <v>2196</v>
      </c>
      <c r="B48" t="s">
        <v>867</v>
      </c>
      <c r="C48" t="s">
        <v>958</v>
      </c>
      <c r="D48">
        <v>1</v>
      </c>
      <c r="E48" s="125" t="s">
        <v>275</v>
      </c>
      <c r="F48" s="13" t="s">
        <v>2319</v>
      </c>
    </row>
    <row r="49" spans="1:6" x14ac:dyDescent="0.2">
      <c r="A49" t="s">
        <v>2100</v>
      </c>
      <c r="B49" t="s">
        <v>933</v>
      </c>
      <c r="C49" t="s">
        <v>930</v>
      </c>
      <c r="D49">
        <v>1</v>
      </c>
      <c r="E49" s="125" t="s">
        <v>206</v>
      </c>
      <c r="F49" s="13" t="s">
        <v>2320</v>
      </c>
    </row>
    <row r="50" spans="1:6" x14ac:dyDescent="0.2">
      <c r="A50" t="s">
        <v>2133</v>
      </c>
      <c r="B50" t="s">
        <v>874</v>
      </c>
      <c r="C50" t="s">
        <v>925</v>
      </c>
      <c r="D50">
        <v>1</v>
      </c>
      <c r="E50" s="125" t="s">
        <v>271</v>
      </c>
      <c r="F50" s="13" t="s">
        <v>2321</v>
      </c>
    </row>
    <row r="51" spans="1:6" x14ac:dyDescent="0.2">
      <c r="A51" t="s">
        <v>1997</v>
      </c>
      <c r="B51" t="s">
        <v>886</v>
      </c>
      <c r="C51" t="s">
        <v>920</v>
      </c>
      <c r="D51">
        <v>1</v>
      </c>
      <c r="E51" s="125" t="s">
        <v>201</v>
      </c>
      <c r="F51" s="13" t="s">
        <v>2322</v>
      </c>
    </row>
    <row r="52" spans="1:6" x14ac:dyDescent="0.2">
      <c r="A52" t="s">
        <v>2112</v>
      </c>
      <c r="B52" t="s">
        <v>943</v>
      </c>
      <c r="C52" t="s">
        <v>940</v>
      </c>
      <c r="D52">
        <v>1</v>
      </c>
      <c r="E52" s="125" t="s">
        <v>271</v>
      </c>
      <c r="F52" s="13" t="s">
        <v>2323</v>
      </c>
    </row>
    <row r="53" spans="1:6" x14ac:dyDescent="0.2">
      <c r="A53" t="s">
        <v>2050</v>
      </c>
      <c r="B53" t="s">
        <v>933</v>
      </c>
      <c r="C53" t="s">
        <v>930</v>
      </c>
      <c r="D53">
        <v>1</v>
      </c>
      <c r="E53" s="125" t="s">
        <v>201</v>
      </c>
      <c r="F53" s="13" t="s">
        <v>2324</v>
      </c>
    </row>
    <row r="54" spans="1:6" x14ac:dyDescent="0.2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2325</v>
      </c>
    </row>
    <row r="55" spans="1:6" x14ac:dyDescent="0.2">
      <c r="A55" t="s">
        <v>2070</v>
      </c>
      <c r="B55" t="s">
        <v>874</v>
      </c>
      <c r="C55" t="s">
        <v>925</v>
      </c>
      <c r="D55">
        <v>2</v>
      </c>
      <c r="E55" s="125" t="s">
        <v>2819</v>
      </c>
      <c r="F55" s="13" t="s">
        <v>2326</v>
      </c>
    </row>
    <row r="56" spans="1:6" x14ac:dyDescent="0.2">
      <c r="A56" t="s">
        <v>2193</v>
      </c>
      <c r="B56" t="s">
        <v>906</v>
      </c>
      <c r="C56" t="s">
        <v>935</v>
      </c>
      <c r="D56">
        <v>1</v>
      </c>
      <c r="E56" s="125" t="s">
        <v>275</v>
      </c>
      <c r="F56" s="13" t="s">
        <v>2327</v>
      </c>
    </row>
    <row r="57" spans="1:6" x14ac:dyDescent="0.2">
      <c r="A57" t="s">
        <v>2179</v>
      </c>
      <c r="B57" t="s">
        <v>861</v>
      </c>
      <c r="C57" t="s">
        <v>858</v>
      </c>
      <c r="D57">
        <v>1</v>
      </c>
      <c r="E57" s="125" t="s">
        <v>275</v>
      </c>
      <c r="F57" s="13" t="s">
        <v>2328</v>
      </c>
    </row>
    <row r="58" spans="1:6" x14ac:dyDescent="0.2">
      <c r="A58" t="s">
        <v>2242</v>
      </c>
      <c r="B58" t="s">
        <v>867</v>
      </c>
      <c r="C58" t="s">
        <v>958</v>
      </c>
      <c r="D58">
        <v>1</v>
      </c>
      <c r="E58" s="125" t="s">
        <v>267</v>
      </c>
      <c r="F58" s="13" t="s">
        <v>2329</v>
      </c>
    </row>
    <row r="59" spans="1:6" x14ac:dyDescent="0.2">
      <c r="A59" t="s">
        <v>2025</v>
      </c>
      <c r="B59" t="s">
        <v>861</v>
      </c>
      <c r="C59" t="s">
        <v>858</v>
      </c>
      <c r="D59">
        <v>2</v>
      </c>
      <c r="E59" s="125" t="s">
        <v>201</v>
      </c>
      <c r="F59" s="13" t="s">
        <v>2330</v>
      </c>
    </row>
    <row r="60" spans="1:6" x14ac:dyDescent="0.2">
      <c r="A60" t="s">
        <v>2121</v>
      </c>
      <c r="B60" t="s">
        <v>867</v>
      </c>
      <c r="C60" t="s">
        <v>958</v>
      </c>
      <c r="D60">
        <v>3</v>
      </c>
      <c r="E60" s="125" t="s">
        <v>2818</v>
      </c>
      <c r="F60" s="13" t="s">
        <v>2331</v>
      </c>
    </row>
    <row r="61" spans="1:6" x14ac:dyDescent="0.2">
      <c r="A61" t="s">
        <v>2160</v>
      </c>
      <c r="B61" t="s">
        <v>874</v>
      </c>
      <c r="C61" t="s">
        <v>925</v>
      </c>
      <c r="D61">
        <v>1</v>
      </c>
      <c r="E61" s="125" t="s">
        <v>271</v>
      </c>
      <c r="F61" s="13" t="s">
        <v>2332</v>
      </c>
    </row>
    <row r="62" spans="1:6" x14ac:dyDescent="0.2">
      <c r="A62" t="s">
        <v>2204</v>
      </c>
      <c r="B62" t="s">
        <v>943</v>
      </c>
      <c r="C62" t="s">
        <v>940</v>
      </c>
      <c r="D62">
        <v>1</v>
      </c>
      <c r="E62" s="125" t="s">
        <v>275</v>
      </c>
      <c r="F62" s="13" t="s">
        <v>2333</v>
      </c>
    </row>
    <row r="63" spans="1:6" x14ac:dyDescent="0.2">
      <c r="A63" t="s">
        <v>2105</v>
      </c>
      <c r="B63" t="s">
        <v>949</v>
      </c>
      <c r="C63" t="s">
        <v>946</v>
      </c>
      <c r="D63">
        <v>1</v>
      </c>
      <c r="E63" s="125" t="s">
        <v>206</v>
      </c>
      <c r="F63" s="13" t="s">
        <v>2334</v>
      </c>
    </row>
    <row r="64" spans="1:6" x14ac:dyDescent="0.2">
      <c r="A64" t="s">
        <v>199</v>
      </c>
      <c r="B64" t="s">
        <v>855</v>
      </c>
      <c r="C64" t="s">
        <v>852</v>
      </c>
      <c r="D64">
        <v>2</v>
      </c>
      <c r="E64" s="125" t="s">
        <v>2817</v>
      </c>
      <c r="F64" s="13" t="s">
        <v>2335</v>
      </c>
    </row>
    <row r="65" spans="1:6" x14ac:dyDescent="0.2">
      <c r="A65" t="s">
        <v>2044</v>
      </c>
      <c r="B65" t="s">
        <v>867</v>
      </c>
      <c r="C65" t="s">
        <v>958</v>
      </c>
      <c r="D65">
        <v>1</v>
      </c>
      <c r="E65" s="125" t="s">
        <v>201</v>
      </c>
      <c r="F65" s="13" t="s">
        <v>2336</v>
      </c>
    </row>
    <row r="66" spans="1:6" x14ac:dyDescent="0.2">
      <c r="A66" t="s">
        <v>2041</v>
      </c>
      <c r="B66" t="s">
        <v>933</v>
      </c>
      <c r="C66" t="s">
        <v>930</v>
      </c>
      <c r="D66">
        <v>4</v>
      </c>
      <c r="E66" s="125" t="s">
        <v>2816</v>
      </c>
      <c r="F66" s="13" t="s">
        <v>2337</v>
      </c>
    </row>
    <row r="67" spans="1:6" x14ac:dyDescent="0.2">
      <c r="A67" t="s">
        <v>2010</v>
      </c>
      <c r="B67" t="s">
        <v>886</v>
      </c>
      <c r="C67" t="s">
        <v>920</v>
      </c>
      <c r="D67">
        <v>1</v>
      </c>
      <c r="E67" s="125" t="s">
        <v>201</v>
      </c>
      <c r="F67" s="13" t="s">
        <v>2338</v>
      </c>
    </row>
    <row r="68" spans="1:6" x14ac:dyDescent="0.2">
      <c r="A68" t="s">
        <v>2259</v>
      </c>
      <c r="B68" t="s">
        <v>867</v>
      </c>
      <c r="C68" t="s">
        <v>958</v>
      </c>
      <c r="D68">
        <v>1</v>
      </c>
      <c r="E68" s="125" t="s">
        <v>267</v>
      </c>
      <c r="F68" s="13" t="s">
        <v>2339</v>
      </c>
    </row>
    <row r="69" spans="1:6" x14ac:dyDescent="0.2">
      <c r="A69" t="s">
        <v>2003</v>
      </c>
      <c r="B69" t="s">
        <v>886</v>
      </c>
      <c r="C69" t="s">
        <v>920</v>
      </c>
      <c r="D69">
        <v>1</v>
      </c>
      <c r="E69" s="125" t="s">
        <v>201</v>
      </c>
      <c r="F69" s="13" t="s">
        <v>2340</v>
      </c>
    </row>
    <row r="70" spans="1:6" x14ac:dyDescent="0.2">
      <c r="A70" t="s">
        <v>2083</v>
      </c>
      <c r="B70" t="s">
        <v>949</v>
      </c>
      <c r="C70" t="s">
        <v>946</v>
      </c>
      <c r="D70">
        <v>1</v>
      </c>
      <c r="E70" s="125" t="s">
        <v>206</v>
      </c>
      <c r="F70" s="13" t="s">
        <v>2341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2026-09-22T09:35:39Z</dcterms:modified>
  <dc:language>en-US</dc:language>
</cp:coreProperties>
</file>