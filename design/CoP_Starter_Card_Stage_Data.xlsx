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  <sheet name="Flavor Text" sheetId="20" state="visible" r:id="rId20"/>
    <sheet name="Tone Guide" sheetId="21" state="visible" r:id="rId21"/>
    <sheet name="Press Questions" sheetId="22" state="visible" r:id="rId22"/>
    <sheet name="Town Hall Questions" sheetId="23" state="visible" r:id="rId23"/>
    <sheet name="Lobbyist Questions" sheetId="24" state="visible" r:id="rId24"/>
    <sheet name="Study Session Questions" sheetId="25" state="visible" r:id="rId25"/>
    <sheet name="Media Ambush Questions" sheetId="26" state="visible" r:id="rId26"/>
    <sheet name="Question Themes" sheetId="27" state="visible" r:id="rId2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3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404040"/>
      <sz val="9"/>
    </font>
    <font>
      <name val="Arial"/>
      <charset val="1"/>
      <b val="1"/>
      <sz val="12"/>
    </font>
    <font>
      <name val="Arial"/>
      <charset val="1"/>
      <i val="1"/>
      <color rgb="FF808080"/>
      <sz val="9"/>
    </font>
    <font>
      <name val="Arial"/>
      <charset val="1"/>
      <i val="1"/>
      <color rgb="FF404040"/>
      <sz val="9"/>
    </font>
  </fonts>
  <fills count="13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24" fillId="5" borderId="0" applyAlignment="1" pivotButton="0" quotePrefix="0" xfId="0">
      <alignment horizontal="center" vertical="center" wrapText="1"/>
    </xf>
    <xf numFmtId="0" fontId="24" fillId="6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7" borderId="0" applyAlignment="1" pivotButton="0" quotePrefix="0" xfId="0">
      <alignment horizontal="center" vertical="top"/>
    </xf>
    <xf numFmtId="0" fontId="25" fillId="7" borderId="0" applyAlignment="1" pivotButton="0" quotePrefix="0" xfId="0">
      <alignment horizontal="left" vertical="top"/>
    </xf>
    <xf numFmtId="0" fontId="26" fillId="7" borderId="0" applyAlignment="1" pivotButton="0" quotePrefix="0" xfId="0">
      <alignment horizontal="left" vertical="top"/>
    </xf>
    <xf numFmtId="0" fontId="26" fillId="7" borderId="0" applyAlignment="1" pivotButton="0" quotePrefix="0" xfId="0">
      <alignment horizontal="left" vertical="top" wrapText="1"/>
    </xf>
    <xf numFmtId="0" fontId="27" fillId="0" borderId="0" pivotButton="0" quotePrefix="0" xfId="0"/>
    <xf numFmtId="0" fontId="26" fillId="8" borderId="0" applyAlignment="1" pivotButton="0" quotePrefix="0" xfId="0">
      <alignment horizontal="center" vertical="top"/>
    </xf>
    <xf numFmtId="0" fontId="25" fillId="8" borderId="0" applyAlignment="1" pivotButton="0" quotePrefix="0" xfId="0">
      <alignment horizontal="left" vertical="top"/>
    </xf>
    <xf numFmtId="0" fontId="26" fillId="8" borderId="0" applyAlignment="1" pivotButton="0" quotePrefix="0" xfId="0">
      <alignment horizontal="left" vertical="top"/>
    </xf>
    <xf numFmtId="0" fontId="26" fillId="8" borderId="0" applyAlignment="1" pivotButton="0" quotePrefix="0" xfId="0">
      <alignment horizontal="left" vertical="top" wrapText="1"/>
    </xf>
    <xf numFmtId="0" fontId="26" fillId="9" borderId="0" applyAlignment="1" pivotButton="0" quotePrefix="0" xfId="0">
      <alignment horizontal="center" vertical="top"/>
    </xf>
    <xf numFmtId="0" fontId="25" fillId="9" borderId="0" applyAlignment="1" pivotButton="0" quotePrefix="0" xfId="0">
      <alignment horizontal="left" vertical="top"/>
    </xf>
    <xf numFmtId="0" fontId="26" fillId="9" borderId="0" applyAlignment="1" pivotButton="0" quotePrefix="0" xfId="0">
      <alignment horizontal="left" vertical="top"/>
    </xf>
    <xf numFmtId="0" fontId="26" fillId="9" borderId="0" applyAlignment="1" pivotButton="0" quotePrefix="0" xfId="0">
      <alignment horizontal="left" vertical="top" wrapText="1"/>
    </xf>
    <xf numFmtId="0" fontId="26" fillId="10" borderId="0" applyAlignment="1" pivotButton="0" quotePrefix="0" xfId="0">
      <alignment horizontal="center" vertical="top"/>
    </xf>
    <xf numFmtId="0" fontId="25" fillId="10" borderId="0" applyAlignment="1" pivotButton="0" quotePrefix="0" xfId="0">
      <alignment horizontal="left" vertical="top"/>
    </xf>
    <xf numFmtId="0" fontId="26" fillId="10" borderId="0" applyAlignment="1" pivotButton="0" quotePrefix="0" xfId="0">
      <alignment horizontal="left" vertical="top"/>
    </xf>
    <xf numFmtId="0" fontId="26" fillId="10" borderId="0" applyAlignment="1" pivotButton="0" quotePrefix="0" xfId="0">
      <alignment horizontal="left" vertical="top" wrapText="1"/>
    </xf>
    <xf numFmtId="0" fontId="26" fillId="11" borderId="0" applyAlignment="1" pivotButton="0" quotePrefix="0" xfId="0">
      <alignment horizontal="center" vertical="top"/>
    </xf>
    <xf numFmtId="0" fontId="25" fillId="11" borderId="0" applyAlignment="1" pivotButton="0" quotePrefix="0" xfId="0">
      <alignment horizontal="left" vertical="top"/>
    </xf>
    <xf numFmtId="0" fontId="26" fillId="11" borderId="0" applyAlignment="1" pivotButton="0" quotePrefix="0" xfId="0">
      <alignment horizontal="left" vertical="top"/>
    </xf>
    <xf numFmtId="0" fontId="26" fillId="11" borderId="0" applyAlignment="1" pivotButton="0" quotePrefix="0" xfId="0">
      <alignment horizontal="left" vertical="top" wrapText="1"/>
    </xf>
    <xf numFmtId="0" fontId="26" fillId="12" borderId="0" applyAlignment="1" pivotButton="0" quotePrefix="0" xfId="0">
      <alignment horizontal="center" vertical="top"/>
    </xf>
    <xf numFmtId="0" fontId="25" fillId="12" borderId="0" applyAlignment="1" pivotButton="0" quotePrefix="0" xfId="0">
      <alignment horizontal="left" vertical="top"/>
    </xf>
    <xf numFmtId="0" fontId="26" fillId="12" borderId="0" applyAlignment="1" pivotButton="0" quotePrefix="0" xfId="0">
      <alignment horizontal="left" vertical="top"/>
    </xf>
    <xf numFmtId="0" fontId="26" fillId="12" borderId="0" applyAlignment="1" pivotButton="0" quotePrefix="0" xfId="0">
      <alignment horizontal="left" vertical="top" wrapText="1"/>
    </xf>
    <xf numFmtId="0" fontId="28" fillId="0" borderId="0" pivotButton="0" quotePrefix="0" xfId="0"/>
    <xf numFmtId="0" fontId="29" fillId="0" borderId="0" pivotButton="0" quotePrefix="0" xfId="0"/>
    <xf numFmtId="0" fontId="24" fillId="5" borderId="0" pivotButton="0" quotePrefix="0" xfId="0"/>
    <xf numFmtId="0" fontId="25" fillId="7" borderId="0" applyAlignment="1" pivotButton="0" quotePrefix="0" xfId="0">
      <alignment vertical="top" wrapText="1"/>
    </xf>
    <xf numFmtId="0" fontId="26" fillId="7" borderId="0" applyAlignment="1" pivotButton="0" quotePrefix="0" xfId="0">
      <alignment vertical="top" wrapText="1"/>
    </xf>
    <xf numFmtId="0" fontId="25" fillId="8" borderId="0" applyAlignment="1" pivotButton="0" quotePrefix="0" xfId="0">
      <alignment vertical="top" wrapText="1"/>
    </xf>
    <xf numFmtId="0" fontId="26" fillId="8" borderId="0" applyAlignment="1" pivotButton="0" quotePrefix="0" xfId="0">
      <alignment vertical="top" wrapText="1"/>
    </xf>
    <xf numFmtId="0" fontId="25" fillId="9" borderId="0" applyAlignment="1" pivotButton="0" quotePrefix="0" xfId="0">
      <alignment vertical="top" wrapText="1"/>
    </xf>
    <xf numFmtId="0" fontId="26" fillId="9" borderId="0" applyAlignment="1" pivotButton="0" quotePrefix="0" xfId="0">
      <alignment vertical="top" wrapText="1"/>
    </xf>
    <xf numFmtId="0" fontId="25" fillId="10" borderId="0" applyAlignment="1" pivotButton="0" quotePrefix="0" xfId="0">
      <alignment vertical="top" wrapText="1"/>
    </xf>
    <xf numFmtId="0" fontId="26" fillId="10" borderId="0" applyAlignment="1" pivotButton="0" quotePrefix="0" xfId="0">
      <alignment vertical="top" wrapText="1"/>
    </xf>
    <xf numFmtId="0" fontId="25" fillId="11" borderId="0" applyAlignment="1" pivotButton="0" quotePrefix="0" xfId="0">
      <alignment vertical="top" wrapText="1"/>
    </xf>
    <xf numFmtId="0" fontId="26" fillId="11" borderId="0" applyAlignment="1" pivotButton="0" quotePrefix="0" xfId="0">
      <alignment vertical="top" wrapText="1"/>
    </xf>
    <xf numFmtId="0" fontId="25" fillId="12" borderId="0" applyAlignment="1" pivotButton="0" quotePrefix="0" xfId="0">
      <alignment vertical="top" wrapText="1"/>
    </xf>
    <xf numFmtId="0" fontId="26" fillId="12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26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center"/>
    </xf>
    <xf numFmtId="0" fontId="3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s="42" t="inlineStr">
        <is>
          <t>outcome.carried</t>
        </is>
      </c>
      <c r="B2" s="42" t="inlineStr">
        <is>
          <t>End of stage — title</t>
        </is>
      </c>
      <c r="C2" s="78" t="inlineStr">
        <is>
          <t>Carried</t>
        </is>
      </c>
      <c r="D2" s="42" t="inlineStr"/>
      <c r="E2" s="78" t="inlineStr">
        <is>
          <t>The title when you win a stage.</t>
        </is>
      </c>
    </row>
    <row r="3">
      <c r="A3" s="42" t="inlineStr">
        <is>
          <t>outcome.defeated</t>
        </is>
      </c>
      <c r="B3" s="42" t="inlineStr">
        <is>
          <t>End of stage — title</t>
        </is>
      </c>
      <c r="C3" s="78" t="inlineStr">
        <is>
          <t>Defeated</t>
        </is>
      </c>
      <c r="D3" s="42" t="inlineStr"/>
      <c r="E3" s="78" t="inlineStr">
        <is>
          <t>The title when you lose.</t>
        </is>
      </c>
    </row>
    <row r="4">
      <c r="A4" s="42" t="inlineStr">
        <is>
          <t>outcome.no_decision</t>
        </is>
      </c>
      <c r="B4" s="42" t="inlineStr">
        <is>
          <t>End of stage — title</t>
        </is>
      </c>
      <c r="C4" s="78" t="inlineStr">
        <is>
          <t>No decision</t>
        </is>
      </c>
      <c r="D4" s="42" t="inlineStr"/>
      <c r="E4" s="78" t="inlineStr">
        <is>
          <t>The title when the turn limit ran out with no result.</t>
        </is>
      </c>
    </row>
    <row r="5">
      <c r="A5" s="42" t="inlineStr">
        <is>
          <t>outcome.conference_over</t>
        </is>
      </c>
      <c r="B5" s="42" t="inlineStr">
        <is>
          <t>End of stage — title</t>
        </is>
      </c>
      <c r="C5" s="78" t="inlineStr">
        <is>
          <t>Conference over</t>
        </is>
      </c>
      <c r="D5" s="42" t="inlineStr"/>
      <c r="E5" s="78" t="inlineStr">
        <is>
          <t>Instead of Carried, where the room was a press conference and nobody was beaten.</t>
        </is>
      </c>
    </row>
    <row r="6">
      <c r="A6" s="42" t="inlineStr">
        <is>
          <t>outcome.closed</t>
        </is>
      </c>
      <c r="B6" s="42" t="inlineStr">
        <is>
          <t>End of stage — title</t>
        </is>
      </c>
      <c r="C6" s="78" t="inlineStr">
        <is>
          <t>{stage} closed</t>
        </is>
      </c>
      <c r="D6" s="42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s="42" t="inlineStr">
        <is>
          <t>outcome.closed_unnamed</t>
        </is>
      </c>
      <c r="B7" s="42" t="inlineStr">
        <is>
          <t>End of stage — title</t>
        </is>
      </c>
      <c r="C7" s="78" t="inlineStr">
        <is>
          <t>It closed</t>
        </is>
      </c>
      <c r="D7" s="42" t="inlineStr"/>
      <c r="E7" s="78" t="inlineStr">
        <is>
          <t>The same line where the stage has no name to use.</t>
        </is>
      </c>
    </row>
    <row r="8">
      <c r="A8" s="42" t="inlineStr">
        <is>
          <t>outcome.ahead</t>
        </is>
      </c>
      <c r="B8" s="42" t="inlineStr">
        <is>
          <t>End of stage — what it was worth</t>
        </is>
      </c>
      <c r="C8" s="78" t="inlineStr">
        <is>
          <t>You start {count} ahead at the floor debate.</t>
        </is>
      </c>
      <c r="D8" s="42" t="inlineStr">
        <is>
          <t>count</t>
        </is>
      </c>
      <c r="E8" s="78" t="inlineStr">
        <is>
          <t>Shown when this stage's score carries into a later one.</t>
        </is>
      </c>
    </row>
    <row r="9">
      <c r="A9" s="42" t="inlineStr">
        <is>
          <t>outcome.behind</t>
        </is>
      </c>
      <c r="B9" s="42" t="inlineStr">
        <is>
          <t>End of stage — what it was worth</t>
        </is>
      </c>
      <c r="C9" s="78" t="inlineStr">
        <is>
          <t>You start {count} behind at the floor debate.</t>
        </is>
      </c>
      <c r="D9" s="42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s="42" t="inlineStr">
        <is>
          <t>outcome.pleased</t>
        </is>
      </c>
      <c r="B10" s="42" t="inlineStr">
        <is>
          <t>End of stage — what it was worth</t>
        </is>
      </c>
      <c r="C10" s="78" t="inlineStr">
        <is>
          <t>Pleased: {names}.</t>
        </is>
      </c>
      <c r="D10" s="42" t="inlineStr">
        <is>
          <t>names</t>
        </is>
      </c>
      <c r="E10" s="78" t="inlineStr">
        <is>
          <t>Which organisations your answers pleased.</t>
        </is>
      </c>
    </row>
    <row r="11">
      <c r="A11" s="42" t="inlineStr">
        <is>
          <t>outcome.no_rewards</t>
        </is>
      </c>
      <c r="B11" s="42" t="inlineStr">
        <is>
          <t>End of stage — what it was worth</t>
        </is>
      </c>
      <c r="C11" s="78" t="inlineStr">
        <is>
          <t>This stage has no rewards set yet.</t>
        </is>
      </c>
      <c r="D11" s="42" t="inlineStr"/>
      <c r="E11" s="78" t="inlineStr">
        <is>
          <t>The truth, rather than silence that reads as a bug. Every playtest stage says this until its numbers are set.</t>
        </is>
      </c>
    </row>
    <row r="12">
      <c r="A12" s="42" t="inlineStr">
        <is>
          <t>outcome.xp</t>
        </is>
      </c>
      <c r="B12" s="42" t="inlineStr">
        <is>
          <t>End of stage — what it was worth</t>
        </is>
      </c>
      <c r="C12" s="78" t="inlineStr">
        <is>
          <t>{count} XP</t>
        </is>
      </c>
      <c r="D12" s="42" t="inlineStr">
        <is>
          <t>count</t>
        </is>
      </c>
      <c r="E12" s="78" t="inlineStr">
        <is>
          <t>Listed alongside the standings that moved.</t>
        </is>
      </c>
    </row>
    <row r="13">
      <c r="A13" s="42" t="inlineStr">
        <is>
          <t>outcome.sign_off_unwritten</t>
        </is>
      </c>
      <c r="B13" s="42" t="inlineStr">
        <is>
          <t>End of stage — last stage of a level</t>
        </is>
      </c>
      <c r="C13" s="78" t="inlineStr">
        <is>
          <t>That is the end of it.</t>
        </is>
      </c>
      <c r="D13" s="42" t="inlineStr"/>
      <c r="E13" s="78" t="inlineStr">
        <is>
          <t>Used when a level has no win_text or loss_text of its own AND no name.</t>
        </is>
      </c>
    </row>
    <row r="14">
      <c r="A14" s="42" t="inlineStr">
        <is>
          <t>outcome.sign_off_named</t>
        </is>
      </c>
      <c r="B14" s="42" t="inlineStr">
        <is>
          <t>End of stage — last stage of a level</t>
        </is>
      </c>
      <c r="C14" s="78" t="inlineStr">
        <is>
          <t>{level} is behind you.</t>
        </is>
      </c>
      <c r="D14" s="42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s="42" t="inlineStr">
        <is>
          <t>outcome.close</t>
        </is>
      </c>
      <c r="B15" s="42" t="inlineStr">
        <is>
          <t>End of stage — button</t>
        </is>
      </c>
      <c r="C15" s="78" t="inlineStr">
        <is>
          <t>Close</t>
        </is>
      </c>
      <c r="D15" s="42" t="inlineStr"/>
      <c r="E15" s="78" t="inlineStr">
        <is>
          <t>The button when you are not in a level.</t>
        </is>
      </c>
    </row>
    <row r="16">
      <c r="A16" s="42" t="inlineStr">
        <is>
          <t>outcome.back_to_office</t>
        </is>
      </c>
      <c r="B16" s="42" t="inlineStr">
        <is>
          <t>End of stage — button</t>
        </is>
      </c>
      <c r="C16" s="78" t="inlineStr">
        <is>
          <t>Back to the Office</t>
        </is>
      </c>
      <c r="D16" s="42" t="inlineStr"/>
      <c r="E16" s="78" t="inlineStr">
        <is>
          <t>The button after the last stage of a level, or after a loss.</t>
        </is>
      </c>
    </row>
    <row r="17">
      <c r="A17" s="42" t="inlineStr">
        <is>
          <t>outcome.next_stage</t>
        </is>
      </c>
      <c r="B17" s="42" t="inlineStr">
        <is>
          <t>End of stage — button</t>
        </is>
      </c>
      <c r="C17" s="78" t="inlineStr">
        <is>
          <t>On to the next stage</t>
        </is>
      </c>
      <c r="D17" s="42" t="inlineStr"/>
      <c r="E17" s="78" t="inlineStr">
        <is>
          <t>The button when the level has another room waiting.</t>
        </is>
      </c>
    </row>
    <row r="18">
      <c r="A18" s="42" t="inlineStr">
        <is>
          <t>battle.no_stage</t>
        </is>
      </c>
      <c r="B18" s="42" t="inlineStr">
        <is>
          <t>Battle — notices</t>
        </is>
      </c>
      <c r="C18" s="78" t="inlineStr">
        <is>
          <t>There is no stage to play here.</t>
        </is>
      </c>
      <c r="D18" s="42" t="inlineStr"/>
      <c r="E18" s="78" t="inlineStr">
        <is>
          <t>Shown if a stage cannot be found at all.</t>
        </is>
      </c>
    </row>
    <row r="19">
      <c r="A19" s="42" t="inlineStr">
        <is>
          <t>battle.cannot_start</t>
        </is>
      </c>
      <c r="B19" s="42" t="inlineStr">
        <is>
          <t>Battle — notices</t>
        </is>
      </c>
      <c r="C19" s="78" t="inlineStr">
        <is>
          <t>This battle could not start:
• {problems}</t>
        </is>
      </c>
      <c r="D19" s="42" t="inlineStr">
        <is>
          <t>problems</t>
        </is>
      </c>
      <c r="E19" s="78" t="inlineStr">
        <is>
          <t>{problems} is a bulleted list the game fills in.</t>
        </is>
      </c>
    </row>
    <row r="20">
      <c r="A20" s="42" t="inlineStr">
        <is>
          <t>battle.card_refused</t>
        </is>
      </c>
      <c r="B20" s="42" t="inlineStr">
        <is>
          <t>Battle — notices</t>
        </is>
      </c>
      <c r="C20" s="78" t="inlineStr">
        <is>
          <t>That card cannot be played.</t>
        </is>
      </c>
      <c r="D20" s="42" t="inlineStr"/>
      <c r="E20" s="78" t="inlineStr">
        <is>
          <t>A fallback; the engine usually gives its own reason.</t>
        </is>
      </c>
    </row>
    <row r="21">
      <c r="A21" s="42" t="inlineStr">
        <is>
          <t>battle.declined</t>
        </is>
      </c>
      <c r="B21" s="42" t="inlineStr">
        <is>
          <t>Battle — notices</t>
        </is>
      </c>
      <c r="C21" s="78" t="inlineStr">
        <is>
          <t>You let that one go. The room cools.</t>
        </is>
      </c>
      <c r="D21" s="42" t="inlineStr"/>
      <c r="E21" s="78" t="inlineStr">
        <is>
          <t>Ending a turn without answering the question in front of you.</t>
        </is>
      </c>
    </row>
    <row r="22">
      <c r="A22" s="42" t="inlineStr">
        <is>
          <t>battle.passed</t>
        </is>
      </c>
      <c r="B22" s="42" t="inlineStr">
        <is>
          <t>Battle — notices</t>
        </is>
      </c>
      <c r="C22" s="78" t="inlineStr">
        <is>
          <t>You said nothing. One less energy this turn.</t>
        </is>
      </c>
      <c r="D22" s="42" t="inlineStr"/>
      <c r="E22" s="78" t="inlineStr">
        <is>
          <t>Ending a turn having played no cards, outside a press conference.</t>
        </is>
      </c>
    </row>
    <row r="23">
      <c r="A23" s="42" t="inlineStr">
        <is>
          <t>narration.sentence</t>
        </is>
      </c>
      <c r="B23" s="42" t="inlineStr">
        <is>
          <t>Battle — what happened</t>
        </is>
      </c>
      <c r="C23" s="78" t="inlineStr">
        <is>
          <t>{who}: {clauses}.</t>
        </is>
      </c>
      <c r="D23" s="42" t="inlineStr">
        <is>
          <t>who, clauses</t>
        </is>
      </c>
      <c r="E23" s="78" t="inlineStr">
        <is>
          <t>The frame the opponent's move is reported in.</t>
        </is>
      </c>
    </row>
    <row r="24">
      <c r="A24" s="42" t="inlineStr">
        <is>
          <t>narration.they</t>
        </is>
      </c>
      <c r="B24" s="42" t="inlineStr">
        <is>
          <t>Battle — what happened</t>
        </is>
      </c>
      <c r="C24" s="78" t="inlineStr">
        <is>
          <t>They</t>
        </is>
      </c>
      <c r="D24" s="42" t="inlineStr"/>
      <c r="E24" s="78" t="inlineStr">
        <is>
          <t>Stands in for an opponent with no name.</t>
        </is>
      </c>
    </row>
    <row r="25">
      <c r="A25" s="42" t="inlineStr">
        <is>
          <t>narration.that_opponent</t>
        </is>
      </c>
      <c r="B25" s="42" t="inlineStr">
        <is>
          <t>Battle — what happened</t>
        </is>
      </c>
      <c r="C25" s="78" t="inlineStr">
        <is>
          <t>That opponent</t>
        </is>
      </c>
      <c r="D25" s="42" t="inlineStr"/>
      <c r="E25" s="78" t="inlineStr">
        <is>
          <t>Stands in for a finished opponent with no name.</t>
        </is>
      </c>
    </row>
    <row r="26">
      <c r="A26" s="42" t="inlineStr">
        <is>
          <t>narration.the_next</t>
        </is>
      </c>
      <c r="B26" s="42" t="inlineStr">
        <is>
          <t>Battle — what happened</t>
        </is>
      </c>
      <c r="C26" s="78" t="inlineStr">
        <is>
          <t>the next</t>
        </is>
      </c>
      <c r="D26" s="42" t="inlineStr"/>
      <c r="E26" s="78" t="inlineStr">
        <is>
          <t>Stands in for the next opponent up, unnamed.</t>
        </is>
      </c>
    </row>
    <row r="27">
      <c r="A27" s="42" t="inlineStr">
        <is>
          <t>narration.a_member</t>
        </is>
      </c>
      <c r="B27" s="42" t="inlineStr">
        <is>
          <t>Battle — what happened</t>
        </is>
      </c>
      <c r="C27" s="78" t="inlineStr">
        <is>
          <t>a member</t>
        </is>
      </c>
      <c r="D27" s="42" t="inlineStr"/>
      <c r="E27" s="78" t="inlineStr">
        <is>
          <t>Stands in for a committee member with no name.</t>
        </is>
      </c>
    </row>
    <row r="28">
      <c r="A28" s="42" t="inlineStr">
        <is>
          <t>narration.them_generic</t>
        </is>
      </c>
      <c r="B28" s="42" t="inlineStr">
        <is>
          <t>Battle — what happened</t>
        </is>
      </c>
      <c r="C28" s="78" t="inlineStr">
        <is>
          <t>them</t>
        </is>
      </c>
      <c r="D28" s="42" t="inlineStr"/>
      <c r="E28" s="78" t="inlineStr">
        <is>
          <t>Used where the opponent has no name.</t>
        </is>
      </c>
    </row>
    <row r="29">
      <c r="A29" s="42" t="inlineStr">
        <is>
          <t>narration.their_generic</t>
        </is>
      </c>
      <c r="B29" s="42" t="inlineStr">
        <is>
          <t>Battle — what happened</t>
        </is>
      </c>
      <c r="C29" s="78" t="inlineStr">
        <is>
          <t>their</t>
        </is>
      </c>
      <c r="D29" s="42" t="inlineStr"/>
      <c r="E29" s="78" t="inlineStr">
        <is>
          <t>Possessive, where the opponent has no name.</t>
        </is>
      </c>
    </row>
    <row r="30">
      <c r="A30" s="42" t="inlineStr">
        <is>
          <t>narration.their_named</t>
        </is>
      </c>
      <c r="B30" s="42" t="inlineStr">
        <is>
          <t>Battle — what happened</t>
        </is>
      </c>
      <c r="C30" s="78" t="inlineStr">
        <is>
          <t>{name}'s</t>
        </is>
      </c>
      <c r="D30" s="42" t="inlineStr">
        <is>
          <t>name</t>
        </is>
      </c>
      <c r="E30" s="78" t="inlineStr">
        <is>
          <t>Possessive, where they do have a name.</t>
        </is>
      </c>
    </row>
    <row r="31">
      <c r="A31" s="42" t="inlineStr">
        <is>
          <t>narration.guard_stopped</t>
        </is>
      </c>
      <c r="B31" s="42" t="inlineStr">
        <is>
          <t>Battle — your card</t>
        </is>
      </c>
      <c r="C31" s="78" t="inlineStr">
        <is>
          <t>{who} guard stopped {count}</t>
        </is>
      </c>
      <c r="D31" s="42" t="inlineStr">
        <is>
          <t>who, count</t>
        </is>
      </c>
      <c r="E31" s="78" t="inlineStr">
        <is>
          <t>{who} is already possessive: "Ito's" or "their".</t>
        </is>
      </c>
    </row>
    <row r="32">
      <c r="A32" s="42" t="inlineStr">
        <is>
          <t>narration.argued_away</t>
        </is>
      </c>
      <c r="B32" s="42" t="inlineStr">
        <is>
          <t>Battle — your card</t>
        </is>
      </c>
      <c r="C32" s="78" t="inlineStr">
        <is>
          <t>{amount} argued away from {whom}</t>
        </is>
      </c>
      <c r="D32" s="42" t="inlineStr">
        <is>
          <t>amount, whom</t>
        </is>
      </c>
      <c r="E32" s="78" t="inlineStr">
        <is>
          <t>{amount} already carries its unit: "3 seats", "5%".</t>
        </is>
      </c>
    </row>
    <row r="33">
      <c r="A33" s="42" t="inlineStr">
        <is>
          <t>narration.gaffe.one</t>
        </is>
      </c>
      <c r="B33" s="42" t="inlineStr">
        <is>
          <t>Battle — your card</t>
        </is>
      </c>
      <c r="C33" s="78" t="inlineStr">
        <is>
          <t>{count} gaffe on your record</t>
        </is>
      </c>
      <c r="D33" s="42" t="inlineStr">
        <is>
          <t>count</t>
        </is>
      </c>
      <c r="E33" s="78" t="inlineStr"/>
    </row>
    <row r="34">
      <c r="A34" s="42" t="inlineStr">
        <is>
          <t>narration.gaffe.other</t>
        </is>
      </c>
      <c r="B34" s="42" t="inlineStr">
        <is>
          <t>Battle — your card</t>
        </is>
      </c>
      <c r="C34" s="78" t="inlineStr">
        <is>
          <t>{count} gaffes on your record</t>
        </is>
      </c>
      <c r="D34" s="42" t="inlineStr">
        <is>
          <t>count</t>
        </is>
      </c>
      <c r="E34" s="78" t="inlineStr"/>
    </row>
    <row r="35">
      <c r="A35" s="42" t="inlineStr">
        <is>
          <t>narration.won_over</t>
        </is>
      </c>
      <c r="B35" s="42" t="inlineStr">
        <is>
          <t>Battle — your card</t>
        </is>
      </c>
      <c r="C35" s="78" t="inlineStr">
        <is>
          <t>{amount} won over</t>
        </is>
      </c>
      <c r="D35" s="42" t="inlineStr">
        <is>
          <t>amount</t>
        </is>
      </c>
      <c r="E35" s="78" t="inlineStr"/>
    </row>
    <row r="36">
      <c r="A36" s="42" t="inlineStr">
        <is>
          <t>narration.won_over_detail</t>
        </is>
      </c>
      <c r="B36" s="42" t="inlineStr">
        <is>
          <t>Battle — your card</t>
        </is>
      </c>
      <c r="C36" s="78" t="inlineStr">
        <is>
          <t>{clause} — {detail}</t>
        </is>
      </c>
      <c r="D36" s="42" t="inlineStr">
        <is>
          <t>clause, detail</t>
        </is>
      </c>
      <c r="E36" s="78" t="inlineStr">
        <is>
          <t>Joins the win to who those people were.</t>
        </is>
      </c>
    </row>
    <row r="37">
      <c r="A37" s="42" t="inlineStr">
        <is>
          <t>narration.raised</t>
        </is>
      </c>
      <c r="B37" s="42" t="inlineStr">
        <is>
          <t>Battle — your card</t>
        </is>
      </c>
      <c r="C37" s="78" t="inlineStr">
        <is>
          <t>{unit} raised by {count}</t>
        </is>
      </c>
      <c r="D37" s="42" t="inlineStr">
        <is>
          <t>unit, count</t>
        </is>
      </c>
      <c r="E37" s="78" t="inlineStr">
        <is>
          <t>For a room with a mood rather than people: press tone.</t>
        </is>
      </c>
    </row>
    <row r="38">
      <c r="A38" s="42" t="inlineStr">
        <is>
          <t>narration.unmoved</t>
        </is>
      </c>
      <c r="B38" s="42" t="inlineStr">
        <is>
          <t>Battle — your card</t>
        </is>
      </c>
      <c r="C38" s="78" t="inlineStr">
        <is>
          <t>{unit} did not move</t>
        </is>
      </c>
      <c r="D38" s="42" t="inlineStr">
        <is>
          <t>unit</t>
        </is>
      </c>
      <c r="E38" s="78" t="inlineStr"/>
    </row>
    <row r="39">
      <c r="A39" s="42" t="inlineStr">
        <is>
          <t>narration.short.one</t>
        </is>
      </c>
      <c r="B39" s="42" t="inlineStr">
        <is>
          <t>Battle — your card</t>
        </is>
      </c>
      <c r="C39" s="78" t="inlineStr">
        <is>
          <t>, {count} point short of the next</t>
        </is>
      </c>
      <c r="D39" s="42" t="inlineStr">
        <is>
          <t>count</t>
        </is>
      </c>
      <c r="E39" s="78" t="inlineStr">
        <is>
          <t>Points that cannot pay for the next person are lost.</t>
        </is>
      </c>
    </row>
    <row r="40">
      <c r="A40" s="42" t="inlineStr">
        <is>
          <t>narration.short.other</t>
        </is>
      </c>
      <c r="B40" s="42" t="inlineStr">
        <is>
          <t>Battle — your card</t>
        </is>
      </c>
      <c r="C40" s="78" t="inlineStr">
        <is>
          <t>, {count} points short of the next</t>
        </is>
      </c>
      <c r="D40" s="42" t="inlineStr">
        <is>
          <t>count</t>
        </is>
      </c>
      <c r="E40" s="78" t="inlineStr"/>
    </row>
    <row r="41">
      <c r="A41" s="42" t="inlineStr">
        <is>
          <t>narration.all_off</t>
        </is>
      </c>
      <c r="B41" s="42" t="inlineStr">
        <is>
          <t>Battle — your card</t>
        </is>
      </c>
      <c r="C41" s="78" t="inlineStr">
        <is>
          <t>all of them off {whom}</t>
        </is>
      </c>
      <c r="D41" s="42" t="inlineStr">
        <is>
          <t>whom</t>
        </is>
      </c>
      <c r="E41" s="78" t="inlineStr"/>
    </row>
    <row r="42">
      <c r="A42" s="42" t="inlineStr">
        <is>
          <t>narration.split</t>
        </is>
      </c>
      <c r="B42" s="42" t="inlineStr">
        <is>
          <t>Battle — your card</t>
        </is>
      </c>
      <c r="C42" s="78" t="inlineStr">
        <is>
          <t>{undecided} from the undecided, {count} off {whom}</t>
        </is>
      </c>
      <c r="D42" s="42" t="inlineStr">
        <is>
          <t>undecided, count, whom</t>
        </is>
      </c>
      <c r="E42" s="78" t="inlineStr"/>
    </row>
    <row r="43">
      <c r="A43" s="42" t="inlineStr">
        <is>
          <t>narration.bout_finished</t>
        </is>
      </c>
      <c r="B43" s="42" t="inlineStr">
        <is>
          <t>Battle — your card</t>
        </is>
      </c>
      <c r="C43" s="78" t="inlineStr">
        <is>
          <t>{who} is finished</t>
        </is>
      </c>
      <c r="D43" s="42" t="inlineStr">
        <is>
          <t>who</t>
        </is>
      </c>
      <c r="E43" s="78" t="inlineStr">
        <is>
          <t>The last opponent in the room.</t>
        </is>
      </c>
    </row>
    <row r="44">
      <c r="A44" s="42" t="inlineStr">
        <is>
          <t>narration.bout_finished_next</t>
        </is>
      </c>
      <c r="B44" s="42" t="inlineStr">
        <is>
          <t>Battle — your card</t>
        </is>
      </c>
      <c r="C44" s="78" t="inlineStr">
        <is>
          <t>{who} is finished — {next} rises</t>
        </is>
      </c>
      <c r="D44" s="42" t="inlineStr">
        <is>
          <t>who, next</t>
        </is>
      </c>
      <c r="E44" s="78" t="inlineStr"/>
    </row>
    <row r="45">
      <c r="A45" s="42" t="inlineStr">
        <is>
          <t>narration.absorbed</t>
        </is>
      </c>
      <c r="B45" s="42" t="inlineStr">
        <is>
          <t>Battle — their move</t>
        </is>
      </c>
      <c r="C45" s="78" t="inlineStr">
        <is>
          <t>your guard absorbed {count}</t>
        </is>
      </c>
      <c r="D45" s="42" t="inlineStr">
        <is>
          <t>count</t>
        </is>
      </c>
      <c r="E45" s="78" t="inlineStr"/>
    </row>
    <row r="46">
      <c r="A46" s="42" t="inlineStr">
        <is>
          <t>narration.taken</t>
        </is>
      </c>
      <c r="B46" s="42" t="inlineStr">
        <is>
          <t>Battle — their move</t>
        </is>
      </c>
      <c r="C46" s="78" t="inlineStr">
        <is>
          <t>{amount} taken from you</t>
        </is>
      </c>
      <c r="D46" s="42" t="inlineStr">
        <is>
          <t>amount</t>
        </is>
      </c>
      <c r="E46" s="78" t="inlineStr"/>
    </row>
    <row r="47">
      <c r="A47" s="42" t="inlineStr">
        <is>
          <t>narration.nothing_through</t>
        </is>
      </c>
      <c r="B47" s="42" t="inlineStr">
        <is>
          <t>Battle — their move</t>
        </is>
      </c>
      <c r="C47" s="78" t="inlineStr">
        <is>
          <t>nothing got through</t>
        </is>
      </c>
      <c r="D47" s="42" t="inlineStr"/>
      <c r="E47" s="78" t="inlineStr">
        <is>
          <t>Their attack was entirely absorbed by your guard.</t>
        </is>
      </c>
    </row>
    <row r="48">
      <c r="A48" s="42" t="inlineStr">
        <is>
          <t>narration.nothing_to_take</t>
        </is>
      </c>
      <c r="B48" s="42" t="inlineStr">
        <is>
          <t>Battle — their move</t>
        </is>
      </c>
      <c r="C48" s="78" t="inlineStr">
        <is>
          <t>the attack found nothing to take</t>
        </is>
      </c>
      <c r="D48" s="42" t="inlineStr"/>
      <c r="E48" s="78" t="inlineStr">
        <is>
          <t>They attacked and you had nothing left to lose.</t>
        </is>
      </c>
    </row>
    <row r="49">
      <c r="A49" s="42" t="inlineStr">
        <is>
          <t>narration.gain_none</t>
        </is>
      </c>
      <c r="B49" s="42" t="inlineStr">
        <is>
          <t>Battle — their move</t>
        </is>
      </c>
      <c r="C49" s="78" t="inlineStr">
        <is>
          <t>{who} pressed the case and won nobody over.</t>
        </is>
      </c>
      <c r="D49" s="42" t="inlineStr">
        <is>
          <t>who</t>
        </is>
      </c>
      <c r="E49" s="78" t="inlineStr"/>
    </row>
    <row r="50">
      <c r="A50" s="42" t="inlineStr">
        <is>
          <t>narration.guard_built</t>
        </is>
      </c>
      <c r="B50" s="42" t="inlineStr">
        <is>
          <t>Battle — their move</t>
        </is>
      </c>
      <c r="C50" s="78" t="inlineStr">
        <is>
          <t>developed {count} guard</t>
        </is>
      </c>
      <c r="D50" s="42" t="inlineStr">
        <is>
          <t>count</t>
        </is>
      </c>
      <c r="E50" s="78" t="inlineStr"/>
    </row>
    <row r="51">
      <c r="A51" s="42" t="inlineStr">
        <is>
          <t>narration.block_none</t>
        </is>
      </c>
      <c r="B51" s="42" t="inlineStr">
        <is>
          <t>Battle — their move</t>
        </is>
      </c>
      <c r="C51" s="78" t="inlineStr">
        <is>
          <t>{who} could not guard any further.</t>
        </is>
      </c>
      <c r="D51" s="42" t="inlineStr">
        <is>
          <t>who</t>
        </is>
      </c>
      <c r="E51" s="78" t="inlineStr">
        <is>
          <t>Their guard is already at the ceiling.</t>
        </is>
      </c>
    </row>
    <row r="52">
      <c r="A52" s="42" t="inlineStr">
        <is>
          <t>narration.leaned</t>
        </is>
      </c>
      <c r="B52" s="42" t="inlineStr">
        <is>
          <t>Battle — their move</t>
        </is>
      </c>
      <c r="C52" s="78" t="inlineStr">
        <is>
          <t>leaned on {member}, {count} against you</t>
        </is>
      </c>
      <c r="D52" s="42" t="inlineStr">
        <is>
          <t>member, count</t>
        </is>
      </c>
      <c r="E52" s="78" t="inlineStr">
        <is>
          <t>A committee chair pushing one member away from you.</t>
        </is>
      </c>
    </row>
    <row r="53">
      <c r="A53" s="42" t="inlineStr">
        <is>
          <t>narration.lean_none</t>
        </is>
      </c>
      <c r="B53" s="42" t="inlineStr">
        <is>
          <t>Battle — their move</t>
        </is>
      </c>
      <c r="C53" s="78" t="inlineStr">
        <is>
          <t>{who} leaned on the panel and moved nobody.</t>
        </is>
      </c>
      <c r="D53" s="42" t="inlineStr">
        <is>
          <t>who</t>
        </is>
      </c>
      <c r="E53" s="78" t="inlineStr"/>
    </row>
    <row r="54">
      <c r="A54" s="42" t="inlineStr">
        <is>
          <t>narration.waited</t>
        </is>
      </c>
      <c r="B54" s="42" t="inlineStr">
        <is>
          <t>Battle — their move</t>
        </is>
      </c>
      <c r="C54" s="78" t="inlineStr">
        <is>
          <t>{who} waited.</t>
        </is>
      </c>
      <c r="D54" s="42" t="inlineStr">
        <is>
          <t>who</t>
        </is>
      </c>
      <c r="E54" s="78" t="inlineStr">
        <is>
          <t>Their move was worth nothing, so they did nothing.</t>
        </is>
      </c>
    </row>
    <row r="55">
      <c r="A55" s="42" t="inlineStr">
        <is>
          <t>narration.won_over_them</t>
        </is>
      </c>
      <c r="B55" s="42" t="inlineStr">
        <is>
          <t>Battle — their move</t>
        </is>
      </c>
      <c r="C55" s="78" t="inlineStr">
        <is>
          <t>won over {amount}</t>
        </is>
      </c>
      <c r="D55" s="42" t="inlineStr">
        <is>
          <t>amount</t>
        </is>
      </c>
      <c r="E55" s="78" t="inlineStr">
        <is>
          <t>The OPPONENT winning people over. The player's version is narration.won_over, which puts the number first.</t>
        </is>
      </c>
    </row>
    <row r="56">
      <c r="A56" s="42" t="inlineStr">
        <is>
          <t>brief.heading</t>
        </is>
      </c>
      <c r="B56" s="42" t="inlineStr">
        <is>
          <t>Details — how this room works</t>
        </is>
      </c>
      <c r="C56" s="78" t="inlineStr">
        <is>
          <t>How this room works</t>
        </is>
      </c>
      <c r="D56" s="42" t="inlineStr"/>
      <c r="E56" s="78" t="inlineStr"/>
    </row>
    <row r="57">
      <c r="A57" s="42" t="inlineStr">
        <is>
          <t>brief.bullet</t>
        </is>
      </c>
      <c r="B57" s="42" t="inlineStr">
        <is>
          <t>Details — how this room works</t>
        </is>
      </c>
      <c r="C57" s="78" t="inlineStr">
        <is>
          <t>• {label} — {detail}</t>
        </is>
      </c>
      <c r="D57" s="42" t="inlineStr">
        <is>
          <t>label, detail</t>
        </is>
      </c>
      <c r="E57" s="78" t="inlineStr">
        <is>
          <t>The shape of every line in the list.</t>
        </is>
      </c>
    </row>
    <row r="58">
      <c r="A58" s="42" t="inlineStr">
        <is>
          <t>brief.label.turns</t>
        </is>
      </c>
      <c r="B58" s="42" t="inlineStr">
        <is>
          <t>Details — how this room works</t>
        </is>
      </c>
      <c r="C58" s="78" t="inlineStr">
        <is>
          <t>Turns</t>
        </is>
      </c>
      <c r="D58" s="42" t="inlineStr"/>
      <c r="E58" s="78" t="inlineStr"/>
    </row>
    <row r="59">
      <c r="A59" s="42" t="inlineStr">
        <is>
          <t>brief.label.energy</t>
        </is>
      </c>
      <c r="B59" s="42" t="inlineStr">
        <is>
          <t>Details — how this room works</t>
        </is>
      </c>
      <c r="C59" s="78" t="inlineStr">
        <is>
          <t>Energy</t>
        </is>
      </c>
      <c r="D59" s="42" t="inlineStr"/>
      <c r="E59" s="78" t="inlineStr"/>
    </row>
    <row r="60">
      <c r="A60" s="42" t="inlineStr">
        <is>
          <t>brief.label.questions</t>
        </is>
      </c>
      <c r="B60" s="42" t="inlineStr">
        <is>
          <t>Details — how this room works</t>
        </is>
      </c>
      <c r="C60" s="78" t="inlineStr">
        <is>
          <t>Questions</t>
        </is>
      </c>
      <c r="D60" s="42" t="inlineStr"/>
      <c r="E60" s="78" t="inlineStr"/>
    </row>
    <row r="61">
      <c r="A61" s="42" t="inlineStr">
        <is>
          <t>brief.label.gaffes</t>
        </is>
      </c>
      <c r="B61" s="42" t="inlineStr">
        <is>
          <t>Details — how this room works</t>
        </is>
      </c>
      <c r="C61" s="78" t="inlineStr">
        <is>
          <t>Gaffes</t>
        </is>
      </c>
      <c r="D61" s="42" t="inlineStr"/>
      <c r="E61" s="78" t="inlineStr"/>
    </row>
    <row r="62">
      <c r="A62" s="42" t="inlineStr">
        <is>
          <t>brief.label.guard</t>
        </is>
      </c>
      <c r="B62" s="42" t="inlineStr">
        <is>
          <t>Details — how this room works</t>
        </is>
      </c>
      <c r="C62" s="78" t="inlineStr">
        <is>
          <t>Guard</t>
        </is>
      </c>
      <c r="D62" s="42" t="inlineStr"/>
      <c r="E62" s="78" t="inlineStr"/>
    </row>
    <row r="63">
      <c r="A63" s="42" t="inlineStr">
        <is>
          <t>brief.label.hand</t>
        </is>
      </c>
      <c r="B63" s="42" t="inlineStr">
        <is>
          <t>Details — how this room works</t>
        </is>
      </c>
      <c r="C63" s="78" t="inlineStr">
        <is>
          <t>Your hand</t>
        </is>
      </c>
      <c r="D63" s="42" t="inlineStr"/>
      <c r="E63" s="78" t="inlineStr"/>
    </row>
    <row r="64">
      <c r="A64" s="42" t="inlineStr">
        <is>
          <t>brief.label.winning</t>
        </is>
      </c>
      <c r="B64" s="42" t="inlineStr">
        <is>
          <t>Details — how this room works</t>
        </is>
      </c>
      <c r="C64" s="78" t="inlineStr">
        <is>
          <t>Winning</t>
        </is>
      </c>
      <c r="D64" s="42" t="inlineStr"/>
      <c r="E64" s="78" t="inlineStr"/>
    </row>
    <row r="65">
      <c r="A65" s="42" t="inlineStr">
        <is>
          <t>brief.label.decay</t>
        </is>
      </c>
      <c r="B65" s="42" t="inlineStr">
        <is>
          <t>Details — how this room works</t>
        </is>
      </c>
      <c r="C65" s="78" t="inlineStr">
        <is>
          <t>Every turn costs you</t>
        </is>
      </c>
      <c r="D65" s="42" t="inlineStr"/>
      <c r="E65" s="78" t="inlineStr"/>
    </row>
    <row r="66">
      <c r="A66" s="42" t="inlineStr">
        <is>
          <t>brief.turns.none</t>
        </is>
      </c>
      <c r="B66" s="42" t="inlineStr">
        <is>
          <t>Details — how this room works</t>
        </is>
      </c>
      <c r="C66" s="78" t="inlineStr">
        <is>
          <t>no limit. It ends when the questions run out.</t>
        </is>
      </c>
      <c r="D66" s="42" t="inlineStr"/>
      <c r="E66" s="78" t="inlineStr"/>
    </row>
    <row r="67">
      <c r="A67" s="42" t="inlineStr">
        <is>
          <t>brief.turns.limit</t>
        </is>
      </c>
      <c r="B67" s="42" t="inlineStr">
        <is>
          <t>Details — how this room works</t>
        </is>
      </c>
      <c r="C67" s="78" t="inlineStr">
        <is>
          <t>{count}. Running out of them is a loss.</t>
        </is>
      </c>
      <c r="D67" s="42" t="inlineStr">
        <is>
          <t>count</t>
        </is>
      </c>
      <c r="E67" s="78" t="inlineStr"/>
    </row>
    <row r="68">
      <c r="A68" s="42" t="inlineStr">
        <is>
          <t>brief.energy.pool</t>
        </is>
      </c>
      <c r="B68" s="42" t="inlineStr">
        <is>
          <t>Details — how this room works</t>
        </is>
      </c>
      <c r="C68" s="78" t="inlineStr">
        <is>
          <t>{count} for the whole thing. They do NOT come back at the start of a turn — spend them as a budget.{left}</t>
        </is>
      </c>
      <c r="D68" s="42" t="inlineStr">
        <is>
          <t>count, left</t>
        </is>
      </c>
      <c r="E68" s="78" t="inlineStr">
        <is>
          <t>{left} is "  3 left." during a battle and empty on the briefing screen.</t>
        </is>
      </c>
    </row>
    <row r="69">
      <c r="A69" s="42" t="inlineStr">
        <is>
          <t>brief.energy.left</t>
        </is>
      </c>
      <c r="B69" s="42" t="inlineStr">
        <is>
          <t>Details — how this room works</t>
        </is>
      </c>
      <c r="C69" s="78" t="inlineStr">
        <is>
          <t xml:space="preserve">  {count} left.</t>
        </is>
      </c>
      <c r="D69" s="42" t="inlineStr">
        <is>
          <t>count</t>
        </is>
      </c>
      <c r="E69" s="78" t="inlineStr">
        <is>
          <t>Appended to the line above once a battle is running.</t>
        </is>
      </c>
    </row>
    <row r="70">
      <c r="A70" s="42" t="inlineStr">
        <is>
          <t>brief.energy.per_turn</t>
        </is>
      </c>
      <c r="B70" s="42" t="inlineStr">
        <is>
          <t>Details — how this room works</t>
        </is>
      </c>
      <c r="C70" s="78" t="inlineStr">
        <is>
          <t>{count} a turn, back in full when you end the turn.</t>
        </is>
      </c>
      <c r="D70" s="42" t="inlineStr">
        <is>
          <t>count</t>
        </is>
      </c>
      <c r="E70" s="78" t="inlineStr">
        <is>
          <t>A playtest could not see WHEN energy came back. That is why this line exists.</t>
        </is>
      </c>
    </row>
    <row r="71">
      <c r="A71" s="42" t="inlineStr">
        <is>
          <t>brief.questions.one_a_turn</t>
        </is>
      </c>
      <c r="B71" s="42" t="inlineStr">
        <is>
          <t>Details — how this room works</t>
        </is>
      </c>
      <c r="C71" s="78" t="inlineStr">
        <is>
          <t xml:space="preserve">one a turn, {total} in all. </t>
        </is>
      </c>
      <c r="D71" s="42" t="inlineStr">
        <is>
          <t>total</t>
        </is>
      </c>
      <c r="E71" s="78" t="inlineStr">
        <is>
          <t>Note the trailing space: the sentence continues.</t>
        </is>
      </c>
    </row>
    <row r="72">
      <c r="A72" s="42" t="inlineStr">
        <is>
          <t>brief.questions.several</t>
        </is>
      </c>
      <c r="B72" s="42" t="inlineStr">
        <is>
          <t>Details — how this room works</t>
        </is>
      </c>
      <c r="C72" s="78" t="inlineStr">
        <is>
          <t xml:space="preserve">{per_turn} a turn, {total} in all. A further card still plays, but nobody is waiting for it. </t>
        </is>
      </c>
      <c r="D72" s="42" t="inlineStr">
        <is>
          <t>per_turn, total</t>
        </is>
      </c>
      <c r="E72" s="78" t="inlineStr">
        <is>
          <t>Trailing space: the sentence continues.</t>
        </is>
      </c>
    </row>
    <row r="73">
      <c r="A73" s="42" t="inlineStr">
        <is>
          <t>brief.questions.decline</t>
        </is>
      </c>
      <c r="B73" s="42" t="inlineStr">
        <is>
          <t>Details — how this room works</t>
        </is>
      </c>
      <c r="C73" s="78" t="inlineStr">
        <is>
          <t>Leave one unanswered when the turn ends and you have declined it</t>
        </is>
      </c>
      <c r="D73" s="42" t="inlineStr"/>
      <c r="E73" s="78" t="inlineStr">
        <is>
          <t>Joined to whichever ending below applies.</t>
        </is>
      </c>
    </row>
    <row r="74">
      <c r="A74" s="42" t="inlineStr">
        <is>
          <t>brief.questions.ends_stage</t>
        </is>
      </c>
      <c r="B74" s="42" t="inlineStr">
        <is>
          <t>Details — how this room works</t>
        </is>
      </c>
      <c r="C74" s="78" t="inlineStr">
        <is>
          <t>, and here that ends the stage.</t>
        </is>
      </c>
      <c r="D74" s="42" t="inlineStr"/>
      <c r="E74" s="78" t="inlineStr"/>
    </row>
    <row r="75">
      <c r="A75" s="42" t="inlineStr">
        <is>
          <t>brief.questions.costs</t>
        </is>
      </c>
      <c r="B75" s="42" t="inlineStr">
        <is>
          <t>Details — how this room works</t>
        </is>
      </c>
      <c r="C75" s="78" t="inlineStr">
        <is>
          <t>, which costs {count} and pleases nobody.</t>
        </is>
      </c>
      <c r="D75" s="42" t="inlineStr">
        <is>
          <t>count</t>
        </is>
      </c>
      <c r="E75" s="78" t="inlineStr"/>
    </row>
    <row r="76">
      <c r="A76" s="42" t="inlineStr">
        <is>
          <t>brief.questions.free</t>
        </is>
      </c>
      <c r="B76" s="42" t="inlineStr">
        <is>
          <t>Details — how this room works</t>
        </is>
      </c>
      <c r="C76" s="78" t="inlineStr">
        <is>
          <t>.</t>
        </is>
      </c>
      <c r="D76" s="42" t="inlineStr"/>
      <c r="E76" s="78" t="inlineStr">
        <is>
          <t>Where declining costs nothing at all.</t>
        </is>
      </c>
    </row>
    <row r="77">
      <c r="A77" s="42" t="inlineStr">
        <is>
          <t>brief.gaffes.plain</t>
        </is>
      </c>
      <c r="B77" s="42" t="inlineStr">
        <is>
          <t>Details — how this room works</t>
        </is>
      </c>
      <c r="C77" s="78" t="inlineStr">
        <is>
          <t>{count} ends the stage at once.</t>
        </is>
      </c>
      <c r="D77" s="42" t="inlineStr">
        <is>
          <t>count</t>
        </is>
      </c>
      <c r="E77" s="78" t="inlineStr"/>
    </row>
    <row r="78">
      <c r="A78" s="42" t="inlineStr">
        <is>
          <t>brief.gaffes.multiplied</t>
        </is>
      </c>
      <c r="B78" s="42" t="inlineStr">
        <is>
          <t>Details — how this room works</t>
        </is>
      </c>
      <c r="C78" s="78" t="inlineStr">
        <is>
          <t>{count} ends the stage at once — and every slip here counts {multiplier} times.</t>
        </is>
      </c>
      <c r="D78" s="42" t="inlineStr">
        <is>
          <t>count, multiplier</t>
        </is>
      </c>
      <c r="E78" s="78" t="inlineStr"/>
    </row>
    <row r="79">
      <c r="A79" s="42" t="inlineStr">
        <is>
          <t>brief.guard</t>
        </is>
      </c>
      <c r="B79" s="42" t="inlineStr">
        <is>
          <t>Details — how this room works</t>
        </is>
      </c>
      <c r="C79" s="78" t="inlineStr">
        <is>
          <t>it banks up to {count} and carries between turns. Only an attack takes it, and it is spent stopping one.</t>
        </is>
      </c>
      <c r="D79" s="42" t="inlineStr">
        <is>
          <t>count</t>
        </is>
      </c>
      <c r="E79" s="78" t="inlineStr"/>
    </row>
    <row r="80">
      <c r="A80" s="42" t="inlineStr">
        <is>
          <t>brief.hand.none</t>
        </is>
      </c>
      <c r="B80" s="42" t="inlineStr">
        <is>
          <t>Details — how this room works</t>
        </is>
      </c>
      <c r="C80" s="78" t="inlineStr">
        <is>
          <t>{count} cards, and you draw no more. Run out and there is nothing left to say.</t>
        </is>
      </c>
      <c r="D80" s="42" t="inlineStr">
        <is>
          <t>count</t>
        </is>
      </c>
      <c r="E80" s="78" t="inlineStr"/>
    </row>
    <row r="81">
      <c r="A81" s="42" t="inlineStr">
        <is>
          <t>brief.hand.refill</t>
        </is>
      </c>
      <c r="B81" s="42" t="inlineStr">
        <is>
          <t>Details — how this room works</t>
        </is>
      </c>
      <c r="C81" s="78" t="inlineStr">
        <is>
          <t>drawn back up to {count} at the end of every turn.</t>
        </is>
      </c>
      <c r="D81" s="42" t="inlineStr">
        <is>
          <t>count</t>
        </is>
      </c>
      <c r="E81" s="78" t="inlineStr"/>
    </row>
    <row r="82">
      <c r="A82" s="42" t="inlineStr">
        <is>
          <t>brief.winning.score</t>
        </is>
      </c>
      <c r="B82" s="42" t="inlineStr">
        <is>
          <t>Details — how this room works</t>
        </is>
      </c>
      <c r="C82" s="78" t="inlineStr">
        <is>
          <t>there is nothing to reach. However high the support gets by the end is the result, and later stages draw on it.</t>
        </is>
      </c>
      <c r="D82" s="42" t="inlineStr"/>
      <c r="E82" s="78" t="inlineStr"/>
    </row>
    <row r="83">
      <c r="A83" s="42" t="inlineStr">
        <is>
          <t>brief.winning.hold</t>
        </is>
      </c>
      <c r="B83" s="42" t="inlineStr">
        <is>
          <t>Details — how this room works</t>
        </is>
      </c>
      <c r="C83" s="78" t="inlineStr">
        <is>
          <t>hold the room until the questions run out.</t>
        </is>
      </c>
      <c r="D83" s="42" t="inlineStr"/>
      <c r="E83" s="78" t="inlineStr"/>
    </row>
    <row r="84">
      <c r="A84" s="42" t="inlineStr">
        <is>
          <t>brief.winning.reset</t>
        </is>
      </c>
      <c r="B84" s="42" t="inlineStr">
        <is>
          <t>Details — how this room works</t>
        </is>
      </c>
      <c r="C84" s="78" t="inlineStr">
        <is>
          <t>{count} {unit} wins the argument in front of you. The next one starts again from nothing, gaffes included.</t>
        </is>
      </c>
      <c r="D84" s="42" t="inlineStr">
        <is>
          <t>count, unit</t>
        </is>
      </c>
      <c r="E84" s="78" t="inlineStr"/>
    </row>
    <row r="85">
      <c r="A85" s="42" t="inlineStr">
        <is>
          <t>brief.winning.continuous</t>
        </is>
      </c>
      <c r="B85" s="42" t="inlineStr">
        <is>
          <t>Details — how this room works</t>
        </is>
      </c>
      <c r="C85" s="78" t="inlineStr">
        <is>
          <t>{count} {unit} finishes the one in front of you, not the stage. Your record, your hand and the clock carry across all of them.</t>
        </is>
      </c>
      <c r="D85" s="42" t="inlineStr">
        <is>
          <t>count, unit</t>
        </is>
      </c>
      <c r="E85" s="78" t="inlineStr"/>
    </row>
    <row r="86">
      <c r="A86" s="42" t="inlineStr">
        <is>
          <t>brief.winning.stream</t>
        </is>
      </c>
      <c r="B86" s="42" t="inlineStr">
        <is>
          <t>Details — how this room works</t>
        </is>
      </c>
      <c r="C86" s="78" t="inlineStr">
        <is>
          <t>{count} {unit} moves the queue along. The clock and your record carry; each new face is fresh energy.</t>
        </is>
      </c>
      <c r="D86" s="42" t="inlineStr">
        <is>
          <t>count, unit</t>
        </is>
      </c>
      <c r="E86" s="78" t="inlineStr"/>
    </row>
    <row r="87">
      <c r="A87" s="42" t="inlineStr">
        <is>
          <t>brief.winning.single</t>
        </is>
      </c>
      <c r="B87" s="42" t="inlineStr">
        <is>
          <t>Details — how this room works</t>
        </is>
      </c>
      <c r="C87" s="78" t="inlineStr">
        <is>
          <t>{count} {unit}.</t>
        </is>
      </c>
      <c r="D87" s="42" t="inlineStr">
        <is>
          <t>count, unit</t>
        </is>
      </c>
      <c r="E87" s="78" t="inlineStr"/>
    </row>
    <row r="88">
      <c r="A88" s="42" t="inlineStr">
        <is>
          <t>brief.decay</t>
        </is>
      </c>
      <c r="B88" s="42" t="inlineStr">
        <is>
          <t>Details — how this room works</t>
        </is>
      </c>
      <c r="C88" s="78" t="inlineStr">
        <is>
          <t>their interest cools by {count}, whatever you say.</t>
        </is>
      </c>
      <c r="D88" s="42" t="inlineStr">
        <is>
          <t>count</t>
        </is>
      </c>
      <c r="E88" s="78" t="inlineStr"/>
    </row>
    <row r="89">
      <c r="A89" s="42" t="inlineStr">
        <is>
          <t>office.title</t>
        </is>
      </c>
      <c r="B89" s="42" t="inlineStr">
        <is>
          <t>Office</t>
        </is>
      </c>
      <c r="C89" s="78" t="inlineStr">
        <is>
          <t>The Office</t>
        </is>
      </c>
      <c r="D89" s="42" t="inlineStr"/>
      <c r="E89" s="78" t="inlineStr"/>
    </row>
    <row r="90">
      <c r="A90" s="42" t="inlineStr">
        <is>
          <t>office.choose_level</t>
        </is>
      </c>
      <c r="B90" s="42" t="inlineStr">
        <is>
          <t>Office — buttons</t>
        </is>
      </c>
      <c r="C90" s="78" t="inlineStr">
        <is>
          <t>Choose a level</t>
        </is>
      </c>
      <c r="D90" s="42" t="inlineStr"/>
      <c r="E90" s="78" t="inlineStr"/>
    </row>
    <row r="91">
      <c r="A91" s="42" t="inlineStr">
        <is>
          <t>office.management</t>
        </is>
      </c>
      <c r="B91" s="42" t="inlineStr">
        <is>
          <t>Office — buttons</t>
        </is>
      </c>
      <c r="C91" s="78" t="inlineStr">
        <is>
          <t>Office Management</t>
        </is>
      </c>
      <c r="D91" s="42" t="inlineStr"/>
      <c r="E91" s="78" t="inlineStr">
        <is>
          <t>One door for everything you can spend.</t>
        </is>
      </c>
    </row>
    <row r="92">
      <c r="A92" s="42" t="inlineStr">
        <is>
          <t>office.organisations</t>
        </is>
      </c>
      <c r="B92" s="42" t="inlineStr">
        <is>
          <t>Office — buttons</t>
        </is>
      </c>
      <c r="C92" s="78" t="inlineStr">
        <is>
          <t>The organisations</t>
        </is>
      </c>
      <c r="D92" s="42" t="inlineStr"/>
      <c r="E92" s="78" t="inlineStr"/>
    </row>
    <row r="93">
      <c r="A93" s="42" t="inlineStr">
        <is>
          <t>office.in_order</t>
        </is>
      </c>
      <c r="B93" s="42" t="inlineStr">
        <is>
          <t>Office</t>
        </is>
      </c>
      <c r="C93" s="78" t="inlineStr">
        <is>
          <t>The office is in order.</t>
        </is>
      </c>
      <c r="D93" s="42" t="inlineStr"/>
      <c r="E93" s="78" t="inlineStr">
        <is>
          <t>Shown when your deck is legal and there is nothing to fix.</t>
        </is>
      </c>
    </row>
    <row r="94">
      <c r="A94" s="42" t="inlineStr">
        <is>
          <t>office.deck_warning</t>
        </is>
      </c>
      <c r="B94" s="42" t="inlineStr">
        <is>
          <t>Office</t>
        </is>
      </c>
      <c r="C94" s="78" t="inlineStr">
        <is>
          <t>Your deck: {reason}  —  see Office Management.</t>
        </is>
      </c>
      <c r="D94" s="42" t="inlineStr">
        <is>
          <t>reason</t>
        </is>
      </c>
      <c r="E94" s="78" t="inlineStr"/>
    </row>
    <row r="95">
      <c r="A95" s="42" t="inlineStr">
        <is>
          <t>office.report.none</t>
        </is>
      </c>
      <c r="B95" s="42" t="inlineStr">
        <is>
          <t>Office</t>
        </is>
      </c>
      <c r="C95" s="78" t="inlineStr">
        <is>
          <t>Nothing on today. The House sits shortly.</t>
        </is>
      </c>
      <c r="D95" s="42" t="inlineStr"/>
      <c r="E95" s="78" t="inlineStr">
        <is>
          <t>Before your first level.</t>
        </is>
      </c>
    </row>
    <row r="96">
      <c r="A96" s="42" t="inlineStr">
        <is>
          <t>office.report.won</t>
        </is>
      </c>
      <c r="B96" s="42" t="inlineStr">
        <is>
          <t>Office</t>
        </is>
      </c>
      <c r="C96" s="78" t="inlineStr">
        <is>
          <t>The bill carried. Word has got round.</t>
        </is>
      </c>
      <c r="D96" s="42" t="inlineStr"/>
      <c r="E96" s="78" t="inlineStr"/>
    </row>
    <row r="97">
      <c r="A97" s="42" t="inlineStr">
        <is>
          <t>office.report.lost</t>
        </is>
      </c>
      <c r="B97" s="42" t="inlineStr">
        <is>
          <t>Office</t>
        </is>
      </c>
      <c r="C97" s="78" t="inlineStr">
        <is>
          <t>The bill failed. There will be questions.</t>
        </is>
      </c>
      <c r="D97" s="42" t="inlineStr"/>
      <c r="E97" s="78" t="inlineStr"/>
    </row>
    <row r="98">
      <c r="A98" s="42" t="inlineStr">
        <is>
          <t>office.xp</t>
        </is>
      </c>
      <c r="B98" s="42" t="inlineStr">
        <is>
          <t>Office — management</t>
        </is>
      </c>
      <c r="C98" s="78" t="inlineStr">
        <is>
          <t>XP {count}</t>
        </is>
      </c>
      <c r="D98" s="42" t="inlineStr">
        <is>
          <t>count</t>
        </is>
      </c>
      <c r="E98" s="78" t="inlineStr"/>
    </row>
    <row r="99">
      <c r="A99" s="42" t="inlineStr">
        <is>
          <t>office.xp_buys</t>
        </is>
      </c>
      <c r="B99" s="42" t="inlineStr">
        <is>
          <t>Office — management</t>
        </is>
      </c>
      <c r="C99" s="78" t="inlineStr">
        <is>
          <t>Earned by winning stages. Buys new cards.</t>
        </is>
      </c>
      <c r="D99" s="42" t="inlineStr"/>
      <c r="E99" s="78" t="inlineStr"/>
    </row>
    <row r="100">
      <c r="A100" s="42" t="inlineStr">
        <is>
          <t>office.funds</t>
        </is>
      </c>
      <c r="B100" s="42" t="inlineStr">
        <is>
          <t>Office — management</t>
        </is>
      </c>
      <c r="C100" s="78" t="inlineStr">
        <is>
          <t>Funds {count}</t>
        </is>
      </c>
      <c r="D100" s="42" t="inlineStr">
        <is>
          <t>count</t>
        </is>
      </c>
      <c r="E100" s="78" t="inlineStr"/>
    </row>
    <row r="101">
      <c r="A101" s="42" t="inlineStr">
        <is>
          <t>office.funds_buys</t>
        </is>
      </c>
      <c r="B101" s="42" t="inlineStr">
        <is>
          <t>Office — management</t>
        </is>
      </c>
      <c r="C101" s="78" t="inlineStr">
        <is>
          <t>From donors and backers. Buys the organisations' backing.</t>
        </is>
      </c>
      <c r="D101" s="42" t="inlineStr"/>
      <c r="E101" s="78" t="inlineStr"/>
    </row>
    <row r="102">
      <c r="A102" s="42" t="inlineStr">
        <is>
          <t>office.deck_count</t>
        </is>
      </c>
      <c r="B102" s="42" t="inlineStr">
        <is>
          <t>Office — management</t>
        </is>
      </c>
      <c r="C102" s="78" t="inlineStr">
        <is>
          <t>Deck {count} of {size}</t>
        </is>
      </c>
      <c r="D102" s="42" t="inlineStr">
        <is>
          <t>count, size</t>
        </is>
      </c>
      <c r="E102" s="78" t="inlineStr"/>
    </row>
    <row r="103">
      <c r="A103" s="42" t="inlineStr">
        <is>
          <t>office.deck_ready</t>
        </is>
      </c>
      <c r="B103" s="42" t="inlineStr">
        <is>
          <t>Office — management</t>
        </is>
      </c>
      <c r="C103" s="78" t="inlineStr">
        <is>
          <t>Ready to go in.</t>
        </is>
      </c>
      <c r="D103" s="42" t="inlineStr"/>
      <c r="E103" s="78" t="inlineStr"/>
    </row>
    <row r="104">
      <c r="A104" s="42" t="inlineStr">
        <is>
          <t>office.new_cards</t>
        </is>
      </c>
      <c r="B104" s="42" t="inlineStr">
        <is>
          <t>Office — cards</t>
        </is>
      </c>
      <c r="C104" s="78" t="inlineStr">
        <is>
          <t>New cards</t>
        </is>
      </c>
      <c r="D104" s="42" t="inlineStr"/>
      <c r="E104" s="78" t="inlineStr">
        <is>
          <t>Panel title and button.</t>
        </is>
      </c>
    </row>
    <row r="105">
      <c r="A105" s="42" t="inlineStr">
        <is>
          <t>office.your_deck</t>
        </is>
      </c>
      <c r="B105" s="42" t="inlineStr">
        <is>
          <t>Office — deck</t>
        </is>
      </c>
      <c r="C105" s="78" t="inlineStr">
        <is>
          <t>Your deck</t>
        </is>
      </c>
      <c r="D105" s="42" t="inlineStr"/>
      <c r="E105" s="78" t="inlineStr">
        <is>
          <t>Panel title and button.</t>
        </is>
      </c>
    </row>
    <row r="106">
      <c r="A106" s="42" t="inlineStr">
        <is>
          <t>office.backing</t>
        </is>
      </c>
      <c r="B106" s="42" t="inlineStr">
        <is>
          <t>Office — backing</t>
        </is>
      </c>
      <c r="C106" s="78" t="inlineStr">
        <is>
          <t>Backing</t>
        </is>
      </c>
      <c r="D106" s="42" t="inlineStr"/>
      <c r="E106" s="78" t="inlineStr">
        <is>
          <t>Button into the backing shop.</t>
        </is>
      </c>
    </row>
    <row r="107">
      <c r="A107" s="42" t="inlineStr">
        <is>
          <t>office.cards_blurb</t>
        </is>
      </c>
      <c r="B107" s="42" t="inlineStr">
        <is>
          <t>Office — cards</t>
        </is>
      </c>
      <c r="C107" s="78" t="inlineStr">
        <is>
          <t>Cards you unlock join your collection. What you actually take into a debate is chosen on the deck screen.</t>
        </is>
      </c>
      <c r="D107" s="42" t="inlineStr"/>
      <c r="E107" s="78" t="inlineStr"/>
    </row>
    <row r="108">
      <c r="A108" s="42" t="inlineStr">
        <is>
          <t>office.cards_unlocked.one</t>
        </is>
      </c>
      <c r="B108" s="42" t="inlineStr">
        <is>
          <t>Office — cards</t>
        </is>
      </c>
      <c r="C108" s="78" t="inlineStr">
        <is>
          <t>{count} card unlocked so far.</t>
        </is>
      </c>
      <c r="D108" s="42" t="inlineStr">
        <is>
          <t>count</t>
        </is>
      </c>
      <c r="E108" s="78" t="inlineStr"/>
    </row>
    <row r="109">
      <c r="A109" s="42" t="inlineStr">
        <is>
          <t>office.cards_unlocked.other</t>
        </is>
      </c>
      <c r="B109" s="42" t="inlineStr">
        <is>
          <t>Office — cards</t>
        </is>
      </c>
      <c r="C109" s="78" t="inlineStr">
        <is>
          <t>{count} cards unlocked so far.</t>
        </is>
      </c>
      <c r="D109" s="42" t="inlineStr">
        <is>
          <t>count</t>
        </is>
      </c>
      <c r="E109" s="78" t="inlineStr"/>
    </row>
    <row r="110">
      <c r="A110" s="42" t="inlineStr">
        <is>
          <t>office.unlock</t>
        </is>
      </c>
      <c r="B110" s="42" t="inlineStr">
        <is>
          <t>Office — cards</t>
        </is>
      </c>
      <c r="C110" s="78" t="inlineStr">
        <is>
          <t>Unlock</t>
        </is>
      </c>
      <c r="D110" s="42" t="inlineStr"/>
      <c r="E110" s="78" t="inlineStr">
        <is>
          <t>The button on a card you can afford.</t>
        </is>
      </c>
    </row>
    <row r="111">
      <c r="A111" s="42" t="inlineStr">
        <is>
          <t>office.card_line</t>
        </is>
      </c>
      <c r="B111" s="42" t="inlineStr">
        <is>
          <t>Office — cards</t>
        </is>
      </c>
      <c r="C111" s="78" t="inlineStr">
        <is>
          <t>{suit} · {effect}</t>
        </is>
      </c>
      <c r="D111" s="42" t="inlineStr">
        <is>
          <t>suit, effect</t>
        </is>
      </c>
      <c r="E111" s="78" t="inlineStr"/>
    </row>
    <row r="112">
      <c r="A112" s="42" t="inlineStr">
        <is>
          <t>office.deck_chosen</t>
        </is>
      </c>
      <c r="B112" s="42" t="inlineStr">
        <is>
          <t>Office — deck</t>
        </is>
      </c>
      <c r="C112" s="78" t="inlineStr">
        <is>
          <t>{count} of {size} chosen{warning}</t>
        </is>
      </c>
      <c r="D112" s="42" t="inlineStr">
        <is>
          <t>count, size, warning</t>
        </is>
      </c>
      <c r="E112" s="78" t="inlineStr">
        <is>
          <t>{warning} is empty when the deck is legal.</t>
        </is>
      </c>
    </row>
    <row r="113">
      <c r="A113" s="42" t="inlineStr">
        <is>
          <t>office.deck_warning_suffix</t>
        </is>
      </c>
      <c r="B113" s="42" t="inlineStr">
        <is>
          <t>Office — deck</t>
        </is>
      </c>
      <c r="C113" s="78" t="inlineStr">
        <is>
          <t xml:space="preserve">  —  {reason}</t>
        </is>
      </c>
      <c r="D113" s="42" t="inlineStr">
        <is>
          <t>reason</t>
        </is>
      </c>
      <c r="E113" s="78" t="inlineStr"/>
    </row>
    <row r="114">
      <c r="A114" s="42" t="inlineStr">
        <is>
          <t>office.deck_tap</t>
        </is>
      </c>
      <c r="B114" s="42" t="inlineStr">
        <is>
          <t>Office — deck</t>
        </is>
      </c>
      <c r="C114" s="78" t="inlineStr">
        <is>
          <t>Tap a card to take it in or leave it out.</t>
        </is>
      </c>
      <c r="D114" s="42" t="inlineStr"/>
      <c r="E114" s="78" t="inlineStr"/>
    </row>
    <row r="115">
      <c r="A115" s="42" t="inlineStr">
        <is>
          <t>office.deck_confirm</t>
        </is>
      </c>
      <c r="B115" s="42" t="inlineStr">
        <is>
          <t>Office — deck</t>
        </is>
      </c>
      <c r="C115" s="78" t="inlineStr">
        <is>
          <t>Take these in</t>
        </is>
      </c>
      <c r="D115" s="42" t="inlineStr"/>
      <c r="E115" s="78" t="inlineStr">
        <is>
          <t>Only offered when the deck is legal.</t>
        </is>
      </c>
    </row>
    <row r="116">
      <c r="A116" s="42" t="inlineStr">
        <is>
          <t>office.orgs_blurb</t>
        </is>
      </c>
      <c r="B116" s="42" t="inlineStr">
        <is>
          <t>Office — organisations</t>
        </is>
      </c>
      <c r="C116" s="78" t="inlineStr">
        <is>
          <t>Answering a reporter in the suit their question invites pleases the organisation behind it, and that standing is carried between levels.</t>
        </is>
      </c>
      <c r="D116" s="42" t="inlineStr"/>
      <c r="E116" s="78" t="inlineStr"/>
    </row>
    <row r="117">
      <c r="A117" s="42" t="inlineStr">
        <is>
          <t>office.backing_blurb</t>
        </is>
      </c>
      <c r="B117" s="42" t="inlineStr">
        <is>
          <t>Office — backing</t>
        </is>
      </c>
      <c r="C117" s="78" t="inlineStr">
        <is>
          <t>An organisation backs you once your standing with it is high enough. Answering a reporter in the suit their question invites is what raises it.</t>
        </is>
      </c>
      <c r="D117" s="42" t="inlineStr"/>
      <c r="E117" s="78" t="inlineStr"/>
    </row>
    <row r="118">
      <c r="A118" s="42" t="inlineStr">
        <is>
          <t>office.nothing_for_sale</t>
        </is>
      </c>
      <c r="B118" s="42" t="inlineStr">
        <is>
          <t>Office — backing</t>
        </is>
      </c>
      <c r="C118" s="78" t="inlineStr">
        <is>
          <t>Nothing is for sale.</t>
        </is>
      </c>
      <c r="D118" s="42" t="inlineStr"/>
      <c r="E118" s="78" t="inlineStr"/>
    </row>
    <row r="119">
      <c r="A119" s="42" t="inlineStr">
        <is>
          <t>office.take_backing</t>
        </is>
      </c>
      <c r="B119" s="42" t="inlineStr">
        <is>
          <t>Office — backing</t>
        </is>
      </c>
      <c r="C119" s="78" t="inlineStr">
        <is>
          <t>Take their backing</t>
        </is>
      </c>
      <c r="D119" s="42" t="inlineStr"/>
      <c r="E119" s="78" t="inlineStr"/>
    </row>
    <row r="120">
      <c r="A120" s="42" t="inlineStr">
        <is>
          <t>office.no_effect_yet</t>
        </is>
      </c>
      <c r="B120" s="42" t="inlineStr">
        <is>
          <t>Office — backing</t>
        </is>
      </c>
      <c r="C120" s="78" t="inlineStr">
        <is>
          <t>No effect yet — your record always opens clean, so there is nothing here to take off.</t>
        </is>
      </c>
      <c r="D120" s="42" t="inlineStr"/>
      <c r="E120" s="78" t="inlineStr"/>
    </row>
    <row r="121">
      <c r="A121" s="42" t="inlineStr">
        <is>
          <t>office.not_active_yet</t>
        </is>
      </c>
      <c r="B121" s="42" t="inlineStr">
        <is>
          <t>Office — backing</t>
        </is>
      </c>
      <c r="C121" s="78" t="inlineStr">
        <is>
          <t>Not active yet — this effect is still to be built.</t>
        </is>
      </c>
      <c r="D121" s="42" t="inlineStr"/>
      <c r="E121" s="78" t="inlineStr">
        <is>
          <t>Six of the fifteen organisations' effects need machinery that is not built.</t>
        </is>
      </c>
    </row>
    <row r="122">
      <c r="A122" s="42" t="inlineStr">
        <is>
          <t>shop.card_no_id</t>
        </is>
      </c>
      <c r="B122" s="42" t="inlineStr">
        <is>
          <t>Shop — refusals</t>
        </is>
      </c>
      <c r="C122" s="78" t="inlineStr">
        <is>
          <t>This card has no ID.</t>
        </is>
      </c>
      <c r="D122" s="42" t="inlineStr"/>
      <c r="E122" s="78" t="inlineStr">
        <is>
          <t>Should never be seen; it means the data is broken.</t>
        </is>
      </c>
    </row>
    <row r="123">
      <c r="A123" s="42" t="inlineStr">
        <is>
          <t>shop.already_yours</t>
        </is>
      </c>
      <c r="B123" s="42" t="inlineStr">
        <is>
          <t>Shop — refusals</t>
        </is>
      </c>
      <c r="C123" s="78" t="inlineStr">
        <is>
          <t>Already yours.</t>
        </is>
      </c>
      <c r="D123" s="42" t="inlineStr"/>
      <c r="E123" s="78" t="inlineStr"/>
    </row>
    <row r="124">
      <c r="A124" s="42" t="inlineStr">
        <is>
          <t>shop.xp_short</t>
        </is>
      </c>
      <c r="B124" s="42" t="inlineStr">
        <is>
          <t>Shop — refusals</t>
        </is>
      </c>
      <c r="C124" s="78" t="inlineStr">
        <is>
          <t>{count} XP short.</t>
        </is>
      </c>
      <c r="D124" s="42" t="inlineStr">
        <is>
          <t>count</t>
        </is>
      </c>
      <c r="E124" s="78" t="inlineStr"/>
    </row>
    <row r="125">
      <c r="A125" s="42" t="inlineStr">
        <is>
          <t>shop.mod_no_id</t>
        </is>
      </c>
      <c r="B125" s="42" t="inlineStr">
        <is>
          <t>Shop — refusals</t>
        </is>
      </c>
      <c r="C125" s="78" t="inlineStr">
        <is>
          <t>This modifier has no ID.</t>
        </is>
      </c>
      <c r="D125" s="42" t="inlineStr"/>
      <c r="E125" s="78" t="inlineStr"/>
    </row>
    <row r="126">
      <c r="A126" s="42" t="inlineStr">
        <is>
          <t>shop.not_for_sale</t>
        </is>
      </c>
      <c r="B126" s="42" t="inlineStr">
        <is>
          <t>Shop — refusals</t>
        </is>
      </c>
      <c r="C126" s="78" t="inlineStr">
        <is>
          <t>Not for sale.</t>
        </is>
      </c>
      <c r="D126" s="42" t="inlineStr"/>
      <c r="E126" s="78" t="inlineStr"/>
    </row>
    <row r="127">
      <c r="A127" s="42" t="inlineStr">
        <is>
          <t>shop.standing_needed</t>
        </is>
      </c>
      <c r="B127" s="42" t="inlineStr">
        <is>
          <t>Shop — refusals</t>
        </is>
      </c>
      <c r="C127" s="78" t="inlineStr">
        <is>
          <t>Standing {have} of {needed} needed.</t>
        </is>
      </c>
      <c r="D127" s="42" t="inlineStr">
        <is>
          <t>have, needed</t>
        </is>
      </c>
      <c r="E127" s="78" t="inlineStr"/>
    </row>
    <row r="128">
      <c r="A128" s="42" t="inlineStr">
        <is>
          <t>shop.funds_short</t>
        </is>
      </c>
      <c r="B128" s="42" t="inlineStr">
        <is>
          <t>Shop — refusals</t>
        </is>
      </c>
      <c r="C128" s="78" t="inlineStr">
        <is>
          <t>{count} short.</t>
        </is>
      </c>
      <c r="D128" s="42" t="inlineStr">
        <is>
          <t>count</t>
        </is>
      </c>
      <c r="E128" s="78" t="inlineStr">
        <is>
          <t>Funds, not XP — the sentence sits under a Funds heading.</t>
        </is>
      </c>
    </row>
    <row r="129">
      <c r="A129" s="42" t="inlineStr">
        <is>
          <t>shop.not_yours</t>
        </is>
      </c>
      <c r="B129" s="42" t="inlineStr">
        <is>
          <t>Shop — refusals</t>
        </is>
      </c>
      <c r="C129" s="78" t="inlineStr">
        <is>
          <t>{card} is not yours.</t>
        </is>
      </c>
      <c r="D129" s="42" t="inlineStr">
        <is>
          <t>card</t>
        </is>
      </c>
      <c r="E129" s="78" t="inlineStr"/>
    </row>
    <row r="130">
      <c r="A130" s="42" t="inlineStr">
        <is>
          <t>shop.in_twice</t>
        </is>
      </c>
      <c r="B130" s="42" t="inlineStr">
        <is>
          <t>Shop — refusals</t>
        </is>
      </c>
      <c r="C130" s="78" t="inlineStr">
        <is>
          <t>{card} is in twice.</t>
        </is>
      </c>
      <c r="D130" s="42" t="inlineStr">
        <is>
          <t>card</t>
        </is>
      </c>
      <c r="E130" s="78" t="inlineStr"/>
    </row>
    <row r="131">
      <c r="A131" s="42" t="inlineStr">
        <is>
          <t>shop.more_to_choose</t>
        </is>
      </c>
      <c r="B131" s="42" t="inlineStr">
        <is>
          <t>Shop — refusals</t>
        </is>
      </c>
      <c r="C131" s="78" t="inlineStr">
        <is>
          <t>{count} more to choose.</t>
        </is>
      </c>
      <c r="D131" s="42" t="inlineStr">
        <is>
          <t>count</t>
        </is>
      </c>
      <c r="E131" s="78" t="inlineStr"/>
    </row>
    <row r="132">
      <c r="A132" s="42" t="inlineStr">
        <is>
          <t>shop.too_many</t>
        </is>
      </c>
      <c r="B132" s="42" t="inlineStr">
        <is>
          <t>Shop — refusals</t>
        </is>
      </c>
      <c r="C132" s="78" t="inlineStr">
        <is>
          <t>{count} too many.</t>
        </is>
      </c>
      <c r="D132" s="42" t="inlineStr">
        <is>
          <t>count</t>
        </is>
      </c>
      <c r="E132" s="78" t="inlineStr"/>
    </row>
    <row r="133">
      <c r="A133" s="42" t="inlineStr">
        <is>
          <t>office.card_title</t>
        </is>
      </c>
      <c r="B133" s="42" t="inlineStr">
        <is>
          <t>Office — cards</t>
        </is>
      </c>
      <c r="C133" s="78" t="inlineStr">
        <is>
          <t>{name} {name_jp}  —  {cost} XP</t>
        </is>
      </c>
      <c r="D133" s="42" t="inlineStr">
        <is>
          <t>name, name_jp, cost</t>
        </is>
      </c>
      <c r="E133" s="78" t="inlineStr"/>
    </row>
    <row r="134">
      <c r="A134" s="42" t="inlineStr">
        <is>
          <t>office.where_you_stand</t>
        </is>
      </c>
      <c r="B134" s="42" t="inlineStr">
        <is>
          <t>Office</t>
        </is>
      </c>
      <c r="C134" s="78" t="inlineStr">
        <is>
          <t>Where you stand</t>
        </is>
      </c>
      <c r="D134" s="42" t="inlineStr"/>
      <c r="E134" s="78" t="inlineStr">
        <is>
          <t>Heading above your four standings. Browser build only so far; the Godot Office shows them without a heading.</t>
        </is>
      </c>
    </row>
    <row r="135">
      <c r="A135" s="42" t="inlineStr">
        <is>
          <t>outcome.reason.walked_away</t>
        </is>
      </c>
      <c r="B135" s="42" t="inlineStr">
        <is>
          <t>End of stage — why</t>
        </is>
      </c>
      <c r="C135" s="78" t="inlineStr">
        <is>
          <t>You walked away from the question. That is the story now.</t>
        </is>
      </c>
      <c r="D135" s="42" t="inlineStr"/>
      <c r="E135" s="78" t="inlineStr">
        <is>
          <t>Declining a question in a room where that ends it.</t>
        </is>
      </c>
    </row>
    <row r="136">
      <c r="A136" s="42" t="inlineStr">
        <is>
          <t>outcome.reason.gaffe_limit</t>
        </is>
      </c>
      <c r="B136" s="42" t="inlineStr">
        <is>
          <t>End of stage — why</t>
        </is>
      </c>
      <c r="C136" s="78" t="inlineStr">
        <is>
          <t>The gaffe meter filled.</t>
        </is>
      </c>
      <c r="D136" s="42" t="inlineStr"/>
      <c r="E136" s="78" t="inlineStr"/>
    </row>
    <row r="137">
      <c r="A137" s="42" t="inlineStr">
        <is>
          <t>outcome.reason.committee_for</t>
        </is>
      </c>
      <c r="B137" s="42" t="inlineStr">
        <is>
          <t>End of stage — why</t>
        </is>
      </c>
      <c r="C137" s="78" t="inlineStr">
        <is>
          <t>A majority of the committee locked in favour.</t>
        </is>
      </c>
      <c r="D137" s="42" t="inlineStr"/>
      <c r="E137" s="78" t="inlineStr"/>
    </row>
    <row r="138">
      <c r="A138" s="42" t="inlineStr">
        <is>
          <t>outcome.reason.committee_against</t>
        </is>
      </c>
      <c r="B138" s="42" t="inlineStr">
        <is>
          <t>End of stage — why</t>
        </is>
      </c>
      <c r="C138" s="78" t="inlineStr">
        <is>
          <t>Too many members locked against — a majority is no longer possible.</t>
        </is>
      </c>
      <c r="D138" s="42" t="inlineStr"/>
      <c r="E138" s="78" t="inlineStr"/>
    </row>
    <row r="139">
      <c r="A139" s="42" t="inlineStr">
        <is>
          <t>outcome.reason.all_argued_out</t>
        </is>
      </c>
      <c r="B139" s="42" t="inlineStr">
        <is>
          <t>End of stage — why</t>
        </is>
      </c>
      <c r="C139" s="78" t="inlineStr">
        <is>
          <t>Every opponent has been argued out of the chamber.</t>
        </is>
      </c>
      <c r="D139" s="42" t="inlineStr"/>
      <c r="E139" s="78" t="inlineStr"/>
    </row>
    <row r="140">
      <c r="A140" s="42" t="inlineStr">
        <is>
          <t>outcome.reason.opponent_first</t>
        </is>
      </c>
      <c r="B140" s="42" t="inlineStr">
        <is>
          <t>End of stage — why</t>
        </is>
      </c>
      <c r="C140" s="78" t="inlineStr">
        <is>
          <t>The opponent reached the threshold first.</t>
        </is>
      </c>
      <c r="D140" s="42" t="inlineStr"/>
      <c r="E140" s="78" t="inlineStr"/>
    </row>
    <row r="141">
      <c r="A141" s="42" t="inlineStr">
        <is>
          <t>outcome.reason.fell_below</t>
        </is>
      </c>
      <c r="B141" s="42" t="inlineStr">
        <is>
          <t>End of stage — why</t>
        </is>
      </c>
      <c r="C141" s="78" t="inlineStr">
        <is>
          <t>Support fell below the line during the debate.</t>
        </is>
      </c>
      <c r="D141" s="42" t="inlineStr"/>
      <c r="E141" s="78" t="inlineStr">
        <is>
          <t>A TV debate, where you must stay above the line every turn.</t>
        </is>
      </c>
    </row>
    <row r="142">
      <c r="A142" s="42" t="inlineStr">
        <is>
          <t>outcome.reason.survived</t>
        </is>
      </c>
      <c r="B142" s="42" t="inlineStr">
        <is>
          <t>End of stage — why</t>
        </is>
      </c>
      <c r="C142" s="78" t="inlineStr">
        <is>
          <t>Survived the whole debate above the line.</t>
        </is>
      </c>
      <c r="D142" s="42" t="inlineStr"/>
      <c r="E142" s="78" t="inlineStr"/>
    </row>
    <row r="143">
      <c r="A143" s="42" t="inlineStr">
        <is>
          <t>outcome.reason.all_argued_down</t>
        </is>
      </c>
      <c r="B143" s="42" t="inlineStr">
        <is>
          <t>End of stage — why</t>
        </is>
      </c>
      <c r="C143" s="78" t="inlineStr">
        <is>
          <t>All {count} were argued down.</t>
        </is>
      </c>
      <c r="D143" s="42" t="inlineStr">
        <is>
          <t>count</t>
        </is>
      </c>
      <c r="E143" s="78" t="inlineStr"/>
    </row>
    <row r="144">
      <c r="A144" s="42" t="inlineStr">
        <is>
          <t>outcome.reason.threshold</t>
        </is>
      </c>
      <c r="B144" s="42" t="inlineStr">
        <is>
          <t>End of stage — why</t>
        </is>
      </c>
      <c r="C144" s="78" t="inlineStr">
        <is>
          <t>The support threshold was reached.</t>
        </is>
      </c>
      <c r="D144" s="42" t="inlineStr"/>
      <c r="E144" s="78" t="inlineStr"/>
    </row>
    <row r="145">
      <c r="A145" s="42" t="inlineStr">
        <is>
          <t>outcome.reason.closed_on</t>
        </is>
      </c>
      <c r="B145" s="42" t="inlineStr">
        <is>
          <t>End of stage — why</t>
        </is>
      </c>
      <c r="C145" s="78" t="inlineStr">
        <is>
          <t>{stage} closed on {closing}.</t>
        </is>
      </c>
      <c r="D145" s="42" t="inlineStr">
        <is>
          <t>stage, closing</t>
        </is>
      </c>
      <c r="E145" s="78" t="inlineStr">
        <is>
          <t>{closing} is "46% of the room" or "46 support".</t>
        </is>
      </c>
    </row>
    <row r="146">
      <c r="A146" s="42" t="inlineStr">
        <is>
          <t>outcome.reason.closed_on_unnamed</t>
        </is>
      </c>
      <c r="B146" s="42" t="inlineStr">
        <is>
          <t>End of stage — why</t>
        </is>
      </c>
      <c r="C146" s="78" t="inlineStr">
        <is>
          <t>It closed on {closing}.</t>
        </is>
      </c>
      <c r="D146" s="42" t="inlineStr">
        <is>
          <t>closing</t>
        </is>
      </c>
      <c r="E146" s="78" t="inlineStr"/>
    </row>
    <row r="147">
      <c r="A147" s="42" t="inlineStr">
        <is>
          <t>outcome.reason.percent_of_room</t>
        </is>
      </c>
      <c r="B147" s="42" t="inlineStr">
        <is>
          <t>End of stage — why</t>
        </is>
      </c>
      <c r="C147" s="78" t="inlineStr">
        <is>
          <t>{count}% of the room</t>
        </is>
      </c>
      <c r="D147" s="42" t="inlineStr">
        <is>
          <t>count</t>
        </is>
      </c>
      <c r="E147" s="78" t="inlineStr">
        <is>
          <t>Slots into the line above.</t>
        </is>
      </c>
    </row>
    <row r="148">
      <c r="A148" s="42" t="inlineStr">
        <is>
          <t>outcome.reason.amount_of_unit</t>
        </is>
      </c>
      <c r="B148" s="42" t="inlineStr">
        <is>
          <t>End of stage — why</t>
        </is>
      </c>
      <c r="C148" s="78" t="inlineStr">
        <is>
          <t>{count} {unit}</t>
        </is>
      </c>
      <c r="D148" s="42" t="inlineStr">
        <is>
          <t>count, unit</t>
        </is>
      </c>
      <c r="E148" s="78" t="inlineStr">
        <is>
          <t>Slots into the line above.</t>
        </is>
      </c>
    </row>
    <row r="149">
      <c r="A149" s="42" t="inlineStr">
        <is>
          <t>outcome.reason.time_ahead</t>
        </is>
      </c>
      <c r="B149" s="42" t="inlineStr">
        <is>
          <t>End of stage — why</t>
        </is>
      </c>
      <c r="C149" s="78" t="inlineStr">
        <is>
          <t>Time ran out with the player ahead.</t>
        </is>
      </c>
      <c r="D149" s="42" t="inlineStr"/>
      <c r="E149" s="78" t="inlineStr"/>
    </row>
    <row r="150">
      <c r="A150" s="42" t="inlineStr">
        <is>
          <t>outcome.reason.time_behind</t>
        </is>
      </c>
      <c r="B150" s="42" t="inlineStr">
        <is>
          <t>End of stage — why</t>
        </is>
      </c>
      <c r="C150" s="78" t="inlineStr">
        <is>
          <t>Time ran out with the player behind.</t>
        </is>
      </c>
      <c r="D150" s="42" t="inlineStr"/>
      <c r="E150" s="78" t="inlineStr"/>
    </row>
    <row r="151">
      <c r="A151" s="42" t="inlineStr">
        <is>
          <t>outcome.reason.time_no_decision</t>
        </is>
      </c>
      <c r="B151" s="42" t="inlineStr">
        <is>
          <t>End of stage — why</t>
        </is>
      </c>
      <c r="C151" s="78" t="inlineStr">
        <is>
          <t>Time ran out with no decision. The stage restarts.</t>
        </is>
      </c>
      <c r="D151" s="42" t="inlineStr"/>
      <c r="E151" s="78" t="inlineStr"/>
    </row>
    <row r="152">
      <c r="A152" s="42" t="inlineStr">
        <is>
          <t>outcome.reason.time_short</t>
        </is>
      </c>
      <c r="B152" s="42" t="inlineStr">
        <is>
          <t>End of stage — why</t>
        </is>
      </c>
      <c r="C152" s="78" t="inlineStr">
        <is>
          <t>Time ran out before the threshold was reached.</t>
        </is>
      </c>
      <c r="D152" s="42" t="inlineStr"/>
      <c r="E152" s="78" t="inlineStr"/>
    </row>
    <row r="153">
      <c r="A153" s="42" t="inlineStr">
        <is>
          <t>outcome.reason.concludes</t>
        </is>
      </c>
      <c r="B153" s="42" t="inlineStr">
        <is>
          <t>End of stage — why</t>
        </is>
      </c>
      <c r="C153" s="78" t="inlineStr">
        <is>
          <t>{stage} concludes.</t>
        </is>
      </c>
      <c r="D153" s="42" t="inlineStr">
        <is>
          <t>stage</t>
        </is>
      </c>
      <c r="E153" s="78" t="inlineStr"/>
    </row>
    <row r="154">
      <c r="A154" s="42" t="inlineStr">
        <is>
          <t>outcome.reason.concludes_unnamed</t>
        </is>
      </c>
      <c r="B154" s="42" t="inlineStr">
        <is>
          <t>End of stage — why</t>
        </is>
      </c>
      <c r="C154" s="78" t="inlineStr">
        <is>
          <t>It concludes.</t>
        </is>
      </c>
      <c r="D154" s="42" t="inlineStr"/>
      <c r="E154" s="78" t="inlineStr"/>
    </row>
    <row r="155">
      <c r="A155" s="42" t="inlineStr">
        <is>
          <t>outcome.reason.nothing_left</t>
        </is>
      </c>
      <c r="B155" s="42" t="inlineStr">
        <is>
          <t>End of stage — why</t>
        </is>
      </c>
      <c r="C155" s="78" t="inlineStr">
        <is>
          <t>The questions ran on, but there was nothing left to say.</t>
        </is>
      </c>
      <c r="D155" s="42" t="inlineStr"/>
      <c r="E155" s="78" t="inlineStr"/>
    </row>
    <row r="156">
      <c r="A156" s="42" t="inlineStr">
        <is>
          <t>outcome.reason.unanswered.one</t>
        </is>
      </c>
      <c r="B156" s="42" t="inlineStr">
        <is>
          <t>End of stage — why</t>
        </is>
      </c>
      <c r="C156" s="78" t="inlineStr">
        <is>
          <t>One question went unanswered.</t>
        </is>
      </c>
      <c r="D156" s="42" t="inlineStr">
        <is>
          <t>count</t>
        </is>
      </c>
      <c r="E156" s="78" t="inlineStr"/>
    </row>
    <row r="157">
      <c r="A157" s="42" t="inlineStr">
        <is>
          <t>outcome.reason.unanswered.other</t>
        </is>
      </c>
      <c r="B157" s="42" t="inlineStr">
        <is>
          <t>End of stage — why</t>
        </is>
      </c>
      <c r="C157" s="78" t="inlineStr">
        <is>
          <t>{count} questions went unanswered.</t>
        </is>
      </c>
      <c r="D157" s="42" t="inlineStr">
        <is>
          <t>count</t>
        </is>
      </c>
      <c r="E157" s="78" t="inlineStr"/>
    </row>
    <row r="158">
      <c r="A158" s="42" t="inlineStr">
        <is>
          <t>caption.turn</t>
        </is>
      </c>
      <c r="B158" s="42" t="inlineStr">
        <is>
          <t>Battle — header</t>
        </is>
      </c>
      <c r="C158" s="78" t="inlineStr">
        <is>
          <t>Turn {turn} of {total}</t>
        </is>
      </c>
      <c r="D158" s="42" t="inlineStr">
        <is>
          <t>turn, total</t>
        </is>
      </c>
      <c r="E158" s="78" t="inlineStr"/>
    </row>
    <row r="159">
      <c r="A159" s="42" t="inlineStr">
        <is>
          <t>caption.question</t>
        </is>
      </c>
      <c r="B159" s="42" t="inlineStr">
        <is>
          <t>Battle — header</t>
        </is>
      </c>
      <c r="C159" s="78" t="inlineStr">
        <is>
          <t>Question {number} of {total}</t>
        </is>
      </c>
      <c r="D159" s="42" t="inlineStr">
        <is>
          <t>number, total</t>
        </is>
      </c>
      <c r="E159" s="78" t="inlineStr"/>
    </row>
    <row r="160">
      <c r="A160" s="42" t="inlineStr">
        <is>
          <t>caption.opponent</t>
        </is>
      </c>
      <c r="B160" s="42" t="inlineStr">
        <is>
          <t>Battle — header</t>
        </is>
      </c>
      <c r="C160" s="78" t="inlineStr">
        <is>
          <t>{number} of {total}</t>
        </is>
      </c>
      <c r="D160" s="42" t="inlineStr">
        <is>
          <t>number, total</t>
        </is>
      </c>
      <c r="E160" s="78" t="inlineStr">
        <is>
          <t>Beside the opponent's name in a room with several.</t>
        </is>
      </c>
    </row>
    <row r="161">
      <c r="A161" s="42" t="inlineStr">
        <is>
          <t>caption.stage</t>
        </is>
      </c>
      <c r="B161" s="42" t="inlineStr">
        <is>
          <t>Briefing</t>
        </is>
      </c>
      <c r="C161" s="78" t="inlineStr">
        <is>
          <t>Stage {number} of {total}</t>
        </is>
      </c>
      <c r="D161" s="42" t="inlineStr">
        <is>
          <t>number, total</t>
        </is>
      </c>
      <c r="E161" s="78" t="inlineStr"/>
    </row>
    <row r="162">
      <c r="A162" s="42" t="inlineStr">
        <is>
          <t>intent.waiting</t>
        </is>
      </c>
      <c r="B162" s="42" t="inlineStr">
        <is>
          <t>Battle — their intent</t>
        </is>
      </c>
      <c r="C162" s="78" t="inlineStr">
        <is>
          <t>Waiting</t>
        </is>
      </c>
      <c r="D162" s="42" t="inlineStr"/>
      <c r="E162" s="78" t="inlineStr">
        <is>
          <t>They have no move, or none worth making.</t>
        </is>
      </c>
    </row>
    <row r="163">
      <c r="A163" s="42" t="inlineStr">
        <is>
          <t>intent.attacking</t>
        </is>
      </c>
      <c r="B163" s="42" t="inlineStr">
        <is>
          <t>Battle — their intent</t>
        </is>
      </c>
      <c r="C163" s="78" t="inlineStr">
        <is>
          <t>Attacking · {amount}</t>
        </is>
      </c>
      <c r="D163" s="42" t="inlineStr">
        <is>
          <t>amount</t>
        </is>
      </c>
      <c r="E163" s="78" t="inlineStr">
        <is>
          <t>{amount} is "−6" or "−1 to −6".</t>
        </is>
      </c>
    </row>
    <row r="164">
      <c r="A164" s="42" t="inlineStr">
        <is>
          <t>intent.gaining</t>
        </is>
      </c>
      <c r="B164" s="42" t="inlineStr">
        <is>
          <t>Battle — their intent</t>
        </is>
      </c>
      <c r="C164" s="78" t="inlineStr">
        <is>
          <t>Gaining · {amount}</t>
        </is>
      </c>
      <c r="D164" s="42" t="inlineStr">
        <is>
          <t>amount</t>
        </is>
      </c>
      <c r="E164" s="78" t="inlineStr"/>
    </row>
    <row r="165">
      <c r="A165" s="42" t="inlineStr">
        <is>
          <t>intent.guarding</t>
        </is>
      </c>
      <c r="B165" s="42" t="inlineStr">
        <is>
          <t>Battle — their intent</t>
        </is>
      </c>
      <c r="C165" s="78" t="inlineStr">
        <is>
          <t>Guarding · {amount}</t>
        </is>
      </c>
      <c r="D165" s="42" t="inlineStr">
        <is>
          <t>amount</t>
        </is>
      </c>
      <c r="E165" s="78" t="inlineStr"/>
    </row>
    <row r="166">
      <c r="A166" s="42" t="inlineStr">
        <is>
          <t>intent.pressuring</t>
        </is>
      </c>
      <c r="B166" s="42" t="inlineStr">
        <is>
          <t>Battle — their intent</t>
        </is>
      </c>
      <c r="C166" s="78" t="inlineStr">
        <is>
          <t>Pressuring · {amount}</t>
        </is>
      </c>
      <c r="D166" s="42" t="inlineStr">
        <is>
          <t>amount</t>
        </is>
      </c>
      <c r="E166" s="78" t="inlineStr">
        <is>
          <t>A committee chair leaning on a member.</t>
        </is>
      </c>
    </row>
    <row r="167">
      <c r="A167" s="42" t="inlineStr">
        <is>
          <t>intent.range</t>
        </is>
      </c>
      <c r="B167" s="42" t="inlineStr">
        <is>
          <t>Battle · opponent intent</t>
        </is>
      </c>
      <c r="C167" s="42" t="inlineStr">
        <is>
          <t>{low} to {high}</t>
        </is>
      </c>
      <c r="D167" s="42" t="inlineStr">
        <is>
          <t>low, high</t>
        </is>
      </c>
      <c r="E167" s="42" t="inlineStr">
        <is>
          <t>Joins the two ends of a move that could be anything in a range.</t>
        </is>
      </c>
    </row>
    <row r="168">
      <c r="A168" s="42" t="inlineStr">
        <is>
          <t>carried.went_well</t>
        </is>
      </c>
      <c r="B168" s="42" t="inlineStr">
        <is>
          <t>Battle · details panel</t>
        </is>
      </c>
      <c r="C168" s="42" t="inlineStr">
        <is>
          <t>{name} went well: you start {count} ahead.</t>
        </is>
      </c>
      <c r="D168" s="42" t="inlineStr">
        <is>
          <t>name, count</t>
        </is>
      </c>
      <c r="E168" s="42" t="inlineStr"/>
    </row>
    <row r="169">
      <c r="A169" s="42" t="inlineStr">
        <is>
          <t>carried.went_badly</t>
        </is>
      </c>
      <c r="B169" s="42" t="inlineStr">
        <is>
          <t>Battle · details panel</t>
        </is>
      </c>
      <c r="C169" s="42" t="inlineStr">
        <is>
          <t>{name} went badly: you start {count} behind.</t>
        </is>
      </c>
      <c r="D169" s="42" t="inlineStr">
        <is>
          <t>name, count</t>
        </is>
      </c>
      <c r="E169" s="42" t="inlineStr"/>
    </row>
    <row r="170">
      <c r="A170" s="42" t="inlineStr">
        <is>
          <t>carried.pleased</t>
        </is>
      </c>
      <c r="B170" s="42" t="inlineStr">
        <is>
          <t>Battle · details panel</t>
        </is>
      </c>
      <c r="C170" s="42" t="inlineStr">
        <is>
          <t>Pleased at the press conference: {names}.</t>
        </is>
      </c>
      <c r="D170" s="42" t="inlineStr">
        <is>
          <t>names</t>
        </is>
      </c>
      <c r="E170" s="42" t="inlineStr"/>
    </row>
    <row r="171">
      <c r="A171" s="42" t="inlineStr">
        <is>
          <t>carried.nothing</t>
        </is>
      </c>
      <c r="B171" s="42" t="inlineStr">
        <is>
          <t>Battle · details panel</t>
        </is>
      </c>
      <c r="C171" s="42" t="inlineStr">
        <is>
          <t>Nothing carried over from the earlier stages.</t>
        </is>
      </c>
      <c r="D171" s="42" t="inlineStr">
        <is>
          <t>None</t>
        </is>
      </c>
      <c r="E171" s="42" t="inlineStr">
        <is>
          <t>Shown when nothing carried. Reword freely — the screen no longer reads this sentence to decide anything.</t>
        </is>
      </c>
    </row>
    <row r="172">
      <c r="A172" s="42" t="inlineStr">
        <is>
          <t>reward.by_finish</t>
        </is>
      </c>
      <c r="B172" s="42" t="inlineStr">
        <is>
          <t>Office · level briefing</t>
        </is>
      </c>
      <c r="C172" s="42" t="inlineStr">
        <is>
          <t>{name}, by how far above {baseline} you finish (1 per {per})</t>
        </is>
      </c>
      <c r="D172" s="42" t="inlineStr">
        <is>
          <t>name, baseline, per</t>
        </is>
      </c>
      <c r="E172" s="42" t="inlineStr">
        <is>
          <t>{name} is one of the four standing names — see the warning on those rows.</t>
        </is>
      </c>
    </row>
    <row r="173">
      <c r="A173" s="42" t="inlineStr">
        <is>
          <t>reward.head_start</t>
        </is>
      </c>
      <c r="B173" s="42" t="inlineStr">
        <is>
          <t>Office · level briefing</t>
        </is>
      </c>
      <c r="C173" s="42" t="inlineStr">
        <is>
          <t>A head start later in the level, 1 per {per} above {baseline}</t>
        </is>
      </c>
      <c r="D173" s="42" t="inlineStr">
        <is>
          <t>per, baseline</t>
        </is>
      </c>
      <c r="E173" s="42" t="inlineStr"/>
    </row>
    <row r="174">
      <c r="A174" s="42" t="inlineStr">
        <is>
          <t>reward.standing</t>
        </is>
      </c>
      <c r="B174" s="42" t="inlineStr">
        <is>
          <t>Office · level briefing</t>
        </is>
      </c>
      <c r="C174" s="42" t="inlineStr">
        <is>
          <t>Standing with whichever organisations your answers please</t>
        </is>
      </c>
      <c r="D174" s="42" t="inlineStr">
        <is>
          <t>None</t>
        </is>
      </c>
      <c r="E174" s="42" t="inlineStr"/>
    </row>
    <row r="175">
      <c r="A175" s="42" t="inlineStr">
        <is>
          <t>reward.delta</t>
        </is>
      </c>
      <c r="B175" s="42" t="inlineStr">
        <is>
          <t>Office · level briefing</t>
        </is>
      </c>
      <c r="C175" s="42" t="inlineStr">
        <is>
          <t>{name} {amount}</t>
        </is>
      </c>
      <c r="D175" s="42" t="inlineStr">
        <is>
          <t>name, amount</t>
        </is>
      </c>
      <c r="E175" s="42" t="inlineStr">
        <is>
          <t>{amount} already carries its + or −.</t>
        </is>
      </c>
    </row>
    <row r="176">
      <c r="A176" s="42" t="inlineStr">
        <is>
          <t>reward.nothing_set</t>
        </is>
      </c>
      <c r="B176" s="42" t="inlineStr">
        <is>
          <t>Office · level briefing</t>
        </is>
      </c>
      <c r="C176" s="42" t="inlineStr">
        <is>
          <t>Nothing in this level pays out yet. The slots are in the data waiting for numbers, and the moment they have any, they will land here and on your standing.</t>
        </is>
      </c>
      <c r="D176" s="42" t="inlineStr">
        <is>
          <t>None</t>
        </is>
      </c>
      <c r="E176" s="42" t="inlineStr"/>
    </row>
    <row r="177">
      <c r="A177" s="42" t="inlineStr">
        <is>
          <t>modifier.player_start_support</t>
        </is>
      </c>
      <c r="B177" s="42" t="inlineStr">
        <is>
          <t>Office · backing shop</t>
        </is>
      </c>
      <c r="C177" s="42" t="inlineStr">
        <is>
          <t>Start {count} ahead.</t>
        </is>
      </c>
      <c r="D177" s="42" t="inlineStr">
        <is>
          <t>count</t>
        </is>
      </c>
      <c r="E177" s="42" t="inlineStr"/>
    </row>
    <row r="178">
      <c r="A178" s="42" t="inlineStr">
        <is>
          <t>modifier.starting_gaffe</t>
        </is>
      </c>
      <c r="B178" s="42" t="inlineStr">
        <is>
          <t>Office · backing shop</t>
        </is>
      </c>
      <c r="C178" s="42" t="inlineStr">
        <is>
          <t>Start with {count} less on the gaffe meter.</t>
        </is>
      </c>
      <c r="D178" s="42" t="inlineStr">
        <is>
          <t>count</t>
        </is>
      </c>
      <c r="E178" s="42" t="inlineStr"/>
    </row>
    <row r="179">
      <c r="A179" s="42" t="inlineStr">
        <is>
          <t>modifier.kaban_per_stage_win</t>
        </is>
      </c>
      <c r="B179" s="42" t="inlineStr">
        <is>
          <t>Office · backing shop</t>
        </is>
      </c>
      <c r="C179" s="42" t="inlineStr">
        <is>
          <t>+{count} funds for every stage won.</t>
        </is>
      </c>
      <c r="D179" s="42" t="inlineStr">
        <is>
          <t>count</t>
        </is>
      </c>
      <c r="E179" s="42" t="inlineStr"/>
    </row>
    <row r="180">
      <c r="A180" s="42" t="inlineStr">
        <is>
          <t>battle.one_at_a_time</t>
        </is>
      </c>
      <c r="B180" s="42" t="inlineStr">
        <is>
          <t>Battle · details panel</t>
        </is>
      </c>
      <c r="C180" s="42" t="inlineStr">
        <is>
          <t>{count} of them, one at a time. You are on {number}.</t>
        </is>
      </c>
      <c r="D180" s="42" t="inlineStr">
        <is>
          <t>count, number</t>
        </is>
      </c>
      <c r="E180" s="42" t="inlineStr"/>
    </row>
    <row r="181">
      <c r="A181" s="42" t="inlineStr">
        <is>
          <t>battle.default_pattern</t>
        </is>
      </c>
      <c r="B181" s="42" t="inlineStr">
        <is>
          <t>Battle · details panel</t>
        </is>
      </c>
      <c r="C181" s="42" t="inlineStr">
        <is>
          <t>This opponent has no move pattern of their own yet, so they are using the shared default from rules.json and playing generically.</t>
        </is>
      </c>
      <c r="D181" s="42" t="inlineStr">
        <is>
          <t>None</t>
        </is>
      </c>
      <c r="E181" s="42" t="inlineStr"/>
    </row>
    <row r="182">
      <c r="A182" s="42" t="inlineStr">
        <is>
          <t>battle.last_question</t>
        </is>
      </c>
      <c r="B182" s="42" t="inlineStr">
        <is>
          <t>Battle · press conference</t>
        </is>
      </c>
      <c r="C182" s="42" t="inlineStr">
        <is>
          <t>That was the last question.</t>
        </is>
      </c>
      <c r="D182" s="42" t="inlineStr">
        <is>
          <t>None</t>
        </is>
      </c>
      <c r="E182" s="42" t="inlineStr"/>
    </row>
    <row r="183">
      <c r="A183" s="42" t="inlineStr">
        <is>
          <t>battle.who_and_caption</t>
        </is>
      </c>
      <c r="B183" s="42" t="inlineStr">
        <is>
          <t>Battle · speaker row</t>
        </is>
      </c>
      <c r="C183" s="42" t="inlineStr">
        <is>
          <t>{who}  ·  {caption}</t>
        </is>
      </c>
      <c r="D183" s="42" t="inlineStr">
        <is>
          <t>who, caption</t>
        </is>
      </c>
      <c r="E183" s="42" t="inlineStr"/>
    </row>
    <row r="184">
      <c r="A184" s="42" t="inlineStr">
        <is>
          <t>battle.your_guard</t>
        </is>
      </c>
      <c r="B184" s="42" t="inlineStr">
        <is>
          <t>Battle · status row</t>
        </is>
      </c>
      <c r="C184" s="42" t="inlineStr">
        <is>
          <t>Guard {count} / {cap}</t>
        </is>
      </c>
      <c r="D184" s="42" t="inlineStr">
        <is>
          <t>count, cap</t>
        </is>
      </c>
      <c r="E184" s="42" t="inlineStr"/>
    </row>
    <row r="185">
      <c r="A185" s="42" t="inlineStr">
        <is>
          <t>battle.their_guard</t>
        </is>
      </c>
      <c r="B185" s="42" t="inlineStr">
        <is>
          <t>Battle · status row</t>
        </is>
      </c>
      <c r="C185" s="42" t="inlineStr">
        <is>
          <t>They guard {count} / {cap}</t>
        </is>
      </c>
      <c r="D185" s="42" t="inlineStr">
        <is>
          <t>count, cap</t>
        </is>
      </c>
      <c r="E185" s="42" t="inlineStr"/>
    </row>
    <row r="186">
      <c r="A186" s="42" t="inlineStr">
        <is>
          <t>bar.to_win</t>
        </is>
      </c>
      <c r="B186" s="42" t="inlineStr">
        <is>
          <t>Battle · support bar</t>
        </is>
      </c>
      <c r="C186" s="42" t="inlineStr">
        <is>
          <t>{amount} to win</t>
        </is>
      </c>
      <c r="D186" s="42" t="inlineStr">
        <is>
          <t>amount</t>
        </is>
      </c>
      <c r="E186" s="42" t="inlineStr"/>
    </row>
    <row r="187">
      <c r="A187" s="42" t="inlineStr">
        <is>
          <t>bar.to_advance</t>
        </is>
      </c>
      <c r="B187" s="42" t="inlineStr">
        <is>
          <t>Battle · support bar</t>
        </is>
      </c>
      <c r="C187" s="42" t="inlineStr">
        <is>
          <t>{amount} to advance</t>
        </is>
      </c>
      <c r="D187" s="42" t="inlineStr">
        <is>
          <t>amount</t>
        </is>
      </c>
      <c r="E187" s="42" t="inlineStr">
        <is>
          <t>Shown on the floor, where the threshold ends one debater rather than the stage.</t>
        </is>
      </c>
    </row>
    <row r="188">
      <c r="A188" s="42" t="inlineStr">
        <is>
          <t>bar.take_the_room</t>
        </is>
      </c>
      <c r="B188" s="42" t="inlineStr">
        <is>
          <t>Battle · support bar</t>
        </is>
      </c>
      <c r="C188" s="42" t="inlineStr">
        <is>
          <t>Take as much of the room as you can</t>
        </is>
      </c>
      <c r="D188" s="42" t="inlineStr">
        <is>
          <t>None</t>
        </is>
      </c>
      <c r="E188" s="42" t="inlineStr"/>
    </row>
    <row r="189">
      <c r="A189" s="42" t="inlineStr">
        <is>
          <t>bar.raise_as_high</t>
        </is>
      </c>
      <c r="B189" s="42" t="inlineStr">
        <is>
          <t>Battle · support bar</t>
        </is>
      </c>
      <c r="C189" s="42" t="inlineStr">
        <is>
          <t>Raise {unit} as high as you can</t>
        </is>
      </c>
      <c r="D189" s="42" t="inlineStr">
        <is>
          <t>unit</t>
        </is>
      </c>
      <c r="E189" s="42" t="inlineStr"/>
    </row>
    <row r="190">
      <c r="A190" s="42" t="inlineStr">
        <is>
          <t>bar.one_sided</t>
        </is>
      </c>
      <c r="B190" s="42" t="inlineStr">
        <is>
          <t>Battle · support bar</t>
        </is>
      </c>
      <c r="C190" s="42" t="inlineStr">
        <is>
          <t>{unit} {count} of {total}</t>
        </is>
      </c>
      <c r="D190" s="42" t="inlineStr">
        <is>
          <t>unit, count, total</t>
        </is>
      </c>
      <c r="E190" s="42" t="inlineStr"/>
    </row>
    <row r="191">
      <c r="A191" s="42" t="inlineStr">
        <is>
          <t>bar.two_sided</t>
        </is>
      </c>
      <c r="B191" s="42" t="inlineStr">
        <is>
          <t>Battle · support bar</t>
        </is>
      </c>
      <c r="C191" s="42" t="inlineStr">
        <is>
          <t>You {you} · Undecided {undecided} · {them} {theirs}</t>
        </is>
      </c>
      <c r="D191" s="42" t="inlineStr">
        <is>
          <t>you, undecided, them, theirs</t>
        </is>
      </c>
      <c r="E191" s="42" t="inlineStr"/>
    </row>
    <row r="192">
      <c r="A192" s="42" t="inlineStr">
        <is>
          <t>bar.them</t>
        </is>
      </c>
      <c r="B192" s="42" t="inlineStr">
        <is>
          <t>Battle · support bar</t>
        </is>
      </c>
      <c r="C192" s="42" t="inlineStr">
        <is>
          <t>Them</t>
        </is>
      </c>
      <c r="D192" s="42" t="inlineStr">
        <is>
          <t>None</t>
        </is>
      </c>
      <c r="E192" s="42" t="inlineStr">
        <is>
          <t>Stands in for an opponent with no name, or one too long for the row.</t>
        </is>
      </c>
    </row>
    <row r="193">
      <c r="A193" s="42" t="inlineStr">
        <is>
          <t>card.gain</t>
        </is>
      </c>
      <c r="B193" s="42" t="inlineStr">
        <is>
          <t>Card · effect line</t>
        </is>
      </c>
      <c r="C193" s="42" t="inlineStr">
        <is>
          <t>Gain {count}.</t>
        </is>
      </c>
      <c r="D193" s="42" t="inlineStr">
        <is>
          <t>count</t>
        </is>
      </c>
      <c r="E193" s="42" t="inlineStr"/>
    </row>
    <row r="194">
      <c r="A194" s="42" t="inlineStr">
        <is>
          <t>card.opponent</t>
        </is>
      </c>
      <c r="B194" s="42" t="inlineStr">
        <is>
          <t>Card · effect line</t>
        </is>
      </c>
      <c r="C194" s="42" t="inlineStr">
        <is>
          <t>Opponent −{count}.</t>
        </is>
      </c>
      <c r="D194" s="42" t="inlineStr">
        <is>
          <t>count</t>
        </is>
      </c>
      <c r="E194" s="42" t="inlineStr"/>
    </row>
    <row r="195">
      <c r="A195" s="42" t="inlineStr">
        <is>
          <t>card.guard</t>
        </is>
      </c>
      <c r="B195" s="42" t="inlineStr">
        <is>
          <t>Card · effect line</t>
        </is>
      </c>
      <c r="C195" s="42" t="inlineStr">
        <is>
          <t>Guard {count}.</t>
        </is>
      </c>
      <c r="D195" s="42" t="inlineStr">
        <is>
          <t>count</t>
        </is>
      </c>
      <c r="E195" s="42" t="inlineStr"/>
    </row>
    <row r="196">
      <c r="A196" s="42" t="inlineStr">
        <is>
          <t>card.draw</t>
        </is>
      </c>
      <c r="B196" s="42" t="inlineStr">
        <is>
          <t>Card · effect line</t>
        </is>
      </c>
      <c r="C196" s="42" t="inlineStr">
        <is>
          <t>Draw {count}.</t>
        </is>
      </c>
      <c r="D196" s="42" t="inlineStr">
        <is>
          <t>count</t>
        </is>
      </c>
      <c r="E196" s="42" t="inlineStr"/>
    </row>
    <row r="197">
      <c r="A197" s="42" t="inlineStr">
        <is>
          <t>card.gaffe</t>
        </is>
      </c>
      <c r="B197" s="42" t="inlineStr">
        <is>
          <t>Card · effect line</t>
        </is>
      </c>
      <c r="C197" s="42" t="inlineStr">
        <is>
          <t>Gaffe {amount}.</t>
        </is>
      </c>
      <c r="D197" s="42" t="inlineStr">
        <is>
          <t>amount</t>
        </is>
      </c>
      <c r="E197" s="42" t="inlineStr">
        <is>
          <t>{amount} already carries its + or −.</t>
        </is>
      </c>
    </row>
    <row r="198">
      <c r="A198" s="42" t="inlineStr">
        <is>
          <t>card.does_nothing</t>
        </is>
      </c>
      <c r="B198" s="42" t="inlineStr">
        <is>
          <t>Card · effect line</t>
        </is>
      </c>
      <c r="C198" s="42" t="inlineStr">
        <is>
          <t>Nothing this card does counts in this room.</t>
        </is>
      </c>
      <c r="D198" s="42" t="inlineStr">
        <is>
          <t>None</t>
        </is>
      </c>
      <c r="E198" s="42" t="inlineStr"/>
    </row>
    <row r="199">
      <c r="A199" s="42" t="inlineStr">
        <is>
          <t>card.answers_question</t>
        </is>
      </c>
      <c r="B199" s="42" t="inlineStr">
        <is>
          <t>Card · effect line</t>
        </is>
      </c>
      <c r="C199" s="42" t="inlineStr">
        <is>
          <t>Answers this question.</t>
        </is>
      </c>
      <c r="D199" s="42" t="inlineStr">
        <is>
          <t>None</t>
        </is>
      </c>
      <c r="E199" s="42" t="inlineStr"/>
    </row>
    <row r="200">
      <c r="A200" s="42" t="inlineStr">
        <is>
          <t>card.line</t>
        </is>
      </c>
      <c r="B200" s="42" t="inlineStr">
        <is>
          <t>Card · opened card</t>
        </is>
      </c>
      <c r="C200" s="42" t="inlineStr">
        <is>
          <t>{suit} · {type} · costs {cost}</t>
        </is>
      </c>
      <c r="D200" s="42" t="inlineStr">
        <is>
          <t>suit, type, cost</t>
        </is>
      </c>
      <c r="E200" s="42" t="inlineStr"/>
    </row>
    <row r="201">
      <c r="A201" s="42" t="inlineStr">
        <is>
          <t>card.in_this_room</t>
        </is>
      </c>
      <c r="B201" s="42" t="inlineStr">
        <is>
          <t>Card · opened card</t>
        </is>
      </c>
      <c r="C201" s="42" t="inlineStr">
        <is>
          <t>In this room: {effect}</t>
        </is>
      </c>
      <c r="D201" s="42" t="inlineStr">
        <is>
          <t>effect</t>
        </is>
      </c>
      <c r="E201" s="42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.93359375" customWidth="1" style="43" min="1" max="1"/>
    <col width="27.98046875" customWidth="1" style="43" min="2" max="2"/>
    <col width="11.97265625" customWidth="1" style="43" min="3" max="3"/>
    <col width="34.03125" customWidth="1" style="43" min="4" max="4"/>
    <col width="4.9765625" customWidth="1" style="43" min="9" max="9"/>
    <col width="7.93359375" customWidth="1" style="43" min="14" max="14"/>
    <col width="18.0234375" customWidth="1" style="43" min="16" max="16"/>
    <col width="7.93359375" customWidth="1" style="43" min="17" max="17"/>
  </cols>
  <sheetData>
    <row r="1">
      <c r="A1" s="79" t="inlineStr">
        <is>
          <t>Card ID</t>
        </is>
      </c>
      <c r="B1" s="79" t="inlineStr">
        <is>
          <t>Name (EN)</t>
        </is>
      </c>
      <c r="C1" s="79" t="inlineStr">
        <is>
          <t>Suit</t>
        </is>
      </c>
      <c r="D1" s="79" t="inlineStr">
        <is>
          <t>Cue 1</t>
        </is>
      </c>
      <c r="E1" s="79" t="inlineStr">
        <is>
          <t>Cue 2</t>
        </is>
      </c>
      <c r="F1" s="79" t="inlineStr">
        <is>
          <t>Cue 3</t>
        </is>
      </c>
      <c r="G1" s="79" t="inlineStr">
        <is>
          <t>Cue 4</t>
        </is>
      </c>
      <c r="H1" s="79" t="inlineStr">
        <is>
          <t>Cue 5</t>
        </is>
      </c>
      <c r="I1" s="80" t="inlineStr">
        <is>
          <t>W1</t>
        </is>
      </c>
      <c r="J1" s="80" t="inlineStr">
        <is>
          <t>W2</t>
        </is>
      </c>
      <c r="K1" s="80" t="inlineStr">
        <is>
          <t>W3</t>
        </is>
      </c>
      <c r="L1" s="80" t="inlineStr">
        <is>
          <t>W4</t>
        </is>
      </c>
      <c r="M1" s="80" t="inlineStr">
        <is>
          <t>W5</t>
        </is>
      </c>
      <c r="N1" s="80" t="inlineStr">
        <is>
          <t>Max words</t>
        </is>
      </c>
      <c r="P1" s="81" t="inlineStr">
        <is>
          <t>Word limit</t>
        </is>
      </c>
    </row>
    <row r="2">
      <c r="A2" s="82" t="inlineStr">
        <is>
          <t>C01</t>
        </is>
      </c>
      <c r="B2" s="83" t="inlineStr">
        <is>
          <t>Record of Service</t>
        </is>
      </c>
      <c r="C2" s="84" t="inlineStr">
        <is>
          <t>Earnest</t>
        </is>
      </c>
      <c r="D2" s="85" t="inlineStr">
        <is>
          <t>Judge me by my record.</t>
        </is>
      </c>
      <c r="E2" s="85" t="inlineStr">
        <is>
          <t>My record speaks louder than my speeches.</t>
        </is>
      </c>
      <c r="F2" s="85" t="inlineStr">
        <is>
          <t>Results matter more than rhetoric.</t>
        </is>
      </c>
      <c r="G2" s="85" t="inlineStr">
        <is>
          <t>Look at the work, not the words.</t>
        </is>
      </c>
      <c r="H2" s="85" t="inlineStr">
        <is>
          <t>I let my results do the talking.</t>
        </is>
      </c>
      <c r="I2" s="82">
        <f>IF(LEN(TRIM(D2))=0,0,LEN(TRIM(D2))-LEN(SUBSTITUTE(TRIM(D2)," ",""))+1)</f>
        <v/>
      </c>
      <c r="J2" s="82">
        <f>IF(LEN(TRIM(E2))=0,0,LEN(TRIM(E2))-LEN(SUBSTITUTE(TRIM(E2)," ",""))+1)</f>
        <v/>
      </c>
      <c r="K2" s="82">
        <f>IF(LEN(TRIM(F2))=0,0,LEN(TRIM(F2))-LEN(SUBSTITUTE(TRIM(F2)," ",""))+1)</f>
        <v/>
      </c>
      <c r="L2" s="82">
        <f>IF(LEN(TRIM(G2))=0,0,LEN(TRIM(G2))-LEN(SUBSTITUTE(TRIM(G2)," ",""))+1)</f>
        <v/>
      </c>
      <c r="M2" s="82">
        <f>IF(LEN(TRIM(H2))=0,0,LEN(TRIM(H2))-LEN(SUBSTITUTE(TRIM(H2)," ",""))+1)</f>
        <v/>
      </c>
      <c r="N2" s="82">
        <f>MAX(I2:M2)</f>
        <v/>
      </c>
      <c r="P2" s="86" t="inlineStr">
        <is>
          <t>Cues must be under 10 words. Any count of 10+ turns red.</t>
        </is>
      </c>
    </row>
    <row r="3">
      <c r="A3" s="82" t="inlineStr">
        <is>
          <t>C02</t>
        </is>
      </c>
      <c r="B3" s="83" t="inlineStr">
        <is>
          <t>Sincere Answer</t>
        </is>
      </c>
      <c r="C3" s="84" t="inlineStr">
        <is>
          <t>Earnest</t>
        </is>
      </c>
      <c r="D3" s="85" t="inlineStr">
        <is>
          <t>Fair question. Here's my honest answer.</t>
        </is>
      </c>
      <c r="E3" s="85" t="inlineStr">
        <is>
          <t>I won't dodge this one.</t>
        </is>
      </c>
      <c r="F3" s="85" t="inlineStr">
        <is>
          <t>Let me answer you directly.</t>
        </is>
      </c>
      <c r="G3" s="85" t="inlineStr">
        <is>
          <t>You deserve a straight reply.</t>
        </is>
      </c>
      <c r="H3" s="85" t="inlineStr">
        <is>
          <t>No spin. Just the truth as I see it.</t>
        </is>
      </c>
      <c r="I3" s="82">
        <f>IF(LEN(TRIM(D3))=0,0,LEN(TRIM(D3))-LEN(SUBSTITUTE(TRIM(D3)," ",""))+1)</f>
        <v/>
      </c>
      <c r="J3" s="82">
        <f>IF(LEN(TRIM(E3))=0,0,LEN(TRIM(E3))-LEN(SUBSTITUTE(TRIM(E3)," ",""))+1)</f>
        <v/>
      </c>
      <c r="K3" s="82">
        <f>IF(LEN(TRIM(F3))=0,0,LEN(TRIM(F3))-LEN(SUBSTITUTE(TRIM(F3)," ",""))+1)</f>
        <v/>
      </c>
      <c r="L3" s="82">
        <f>IF(LEN(TRIM(G3))=0,0,LEN(TRIM(G3))-LEN(SUBSTITUTE(TRIM(G3)," ",""))+1)</f>
        <v/>
      </c>
      <c r="M3" s="82">
        <f>IF(LEN(TRIM(H3))=0,0,LEN(TRIM(H3))-LEN(SUBSTITUTE(TRIM(H3)," ",""))+1)</f>
        <v/>
      </c>
      <c r="N3" s="82">
        <f>MAX(I3:M3)</f>
        <v/>
      </c>
    </row>
    <row r="4">
      <c r="A4" s="82" t="inlineStr">
        <is>
          <t>C03</t>
        </is>
      </c>
      <c r="B4" s="83" t="inlineStr">
        <is>
          <t>Formal Apology</t>
        </is>
      </c>
      <c r="C4" s="84" t="inlineStr">
        <is>
          <t>Earnest</t>
        </is>
      </c>
      <c r="D4" s="85" t="inlineStr">
        <is>
          <t>I sincerely apologize.</t>
        </is>
      </c>
      <c r="E4" s="85" t="inlineStr">
        <is>
          <t>I take full responsibility, and I'm sorry.</t>
        </is>
      </c>
      <c r="F4" s="85" t="inlineStr">
        <is>
          <t>There is no excuse. Please forgive me.</t>
        </is>
      </c>
      <c r="G4" s="85" t="inlineStr">
        <is>
          <t>I bow my head and ask your forgiveness.</t>
        </is>
      </c>
      <c r="H4" s="85" t="inlineStr">
        <is>
          <t>I owe you an apology, and I offer it.</t>
        </is>
      </c>
      <c r="I4" s="82">
        <f>IF(LEN(TRIM(D4))=0,0,LEN(TRIM(D4))-LEN(SUBSTITUTE(TRIM(D4)," ",""))+1)</f>
        <v/>
      </c>
      <c r="J4" s="82">
        <f>IF(LEN(TRIM(E4))=0,0,LEN(TRIM(E4))-LEN(SUBSTITUTE(TRIM(E4)," ",""))+1)</f>
        <v/>
      </c>
      <c r="K4" s="82">
        <f>IF(LEN(TRIM(F4))=0,0,LEN(TRIM(F4))-LEN(SUBSTITUTE(TRIM(F4)," ",""))+1)</f>
        <v/>
      </c>
      <c r="L4" s="82">
        <f>IF(LEN(TRIM(G4))=0,0,LEN(TRIM(G4))-LEN(SUBSTITUTE(TRIM(G4)," ",""))+1)</f>
        <v/>
      </c>
      <c r="M4" s="82">
        <f>IF(LEN(TRIM(H4))=0,0,LEN(TRIM(H4))-LEN(SUBSTITUTE(TRIM(H4)," ",""))+1)</f>
        <v/>
      </c>
      <c r="N4" s="82">
        <f>MAX(I4:M4)</f>
        <v/>
      </c>
      <c r="P4" s="81" t="inlineStr">
        <is>
          <t>Cues over limit</t>
        </is>
      </c>
      <c r="Q4" s="81">
        <f>COUNTIF(I2:M55,"&gt;=10")</f>
        <v/>
      </c>
    </row>
    <row r="5">
      <c r="A5" s="82" t="inlineStr">
        <is>
          <t>C04</t>
        </is>
      </c>
      <c r="B5" s="83" t="inlineStr">
        <is>
          <t>Return to First Principles</t>
        </is>
      </c>
      <c r="C5" s="84" t="inlineStr">
        <is>
          <t>Earnest</t>
        </is>
      </c>
      <c r="D5" s="85" t="inlineStr">
        <is>
          <t>Let me remind you why I serve.</t>
        </is>
      </c>
      <c r="E5" s="85" t="inlineStr">
        <is>
          <t>I'm here to serve, not to climb.</t>
        </is>
      </c>
      <c r="F5" s="85" t="inlineStr">
        <is>
          <t>Back to basics: who are we here for?</t>
        </is>
      </c>
      <c r="G5" s="85" t="inlineStr">
        <is>
          <t>I know exactly who I work for.</t>
        </is>
      </c>
      <c r="H5" s="85" t="inlineStr">
        <is>
          <t>Strip away the noise. This is what matters.</t>
        </is>
      </c>
      <c r="I5" s="82">
        <f>IF(LEN(TRIM(D5))=0,0,LEN(TRIM(D5))-LEN(SUBSTITUTE(TRIM(D5)," ",""))+1)</f>
        <v/>
      </c>
      <c r="J5" s="82">
        <f>IF(LEN(TRIM(E5))=0,0,LEN(TRIM(E5))-LEN(SUBSTITUTE(TRIM(E5)," ",""))+1)</f>
        <v/>
      </c>
      <c r="K5" s="82">
        <f>IF(LEN(TRIM(F5))=0,0,LEN(TRIM(F5))-LEN(SUBSTITUTE(TRIM(F5)," ",""))+1)</f>
        <v/>
      </c>
      <c r="L5" s="82">
        <f>IF(LEN(TRIM(G5))=0,0,LEN(TRIM(G5))-LEN(SUBSTITUTE(TRIM(G5)," ",""))+1)</f>
        <v/>
      </c>
      <c r="M5" s="82">
        <f>IF(LEN(TRIM(H5))=0,0,LEN(TRIM(H5))-LEN(SUBSTITUTE(TRIM(H5)," ",""))+1)</f>
        <v/>
      </c>
      <c r="N5" s="82">
        <f>MAX(I5:M5)</f>
        <v/>
      </c>
      <c r="P5" s="81" t="inlineStr">
        <is>
          <t>Total cues</t>
        </is>
      </c>
      <c r="Q5" s="81">
        <f>COUNTA(D2:H55)</f>
        <v/>
      </c>
    </row>
    <row r="6">
      <c r="A6" s="82" t="inlineStr">
        <is>
          <t>C25</t>
        </is>
      </c>
      <c r="B6" s="83" t="inlineStr">
        <is>
          <t>Point to the Promise Kept</t>
        </is>
      </c>
      <c r="C6" s="84" t="inlineStr">
        <is>
          <t>Earnest</t>
        </is>
      </c>
      <c r="D6" s="85" t="inlineStr">
        <is>
          <t>When I make a promise, I keep it.</t>
        </is>
      </c>
      <c r="E6" s="85" t="inlineStr">
        <is>
          <t>My word is my bond.</t>
        </is>
      </c>
      <c r="F6" s="85" t="inlineStr">
        <is>
          <t>Check my promises against my results.</t>
        </is>
      </c>
      <c r="G6" s="85" t="inlineStr">
        <is>
          <t>Every commitment I make, I honor.</t>
        </is>
      </c>
      <c r="H6" s="85" t="inlineStr">
        <is>
          <t>I give my word, and it holds.</t>
        </is>
      </c>
      <c r="I6" s="82">
        <f>IF(LEN(TRIM(D6))=0,0,LEN(TRIM(D6))-LEN(SUBSTITUTE(TRIM(D6)," ",""))+1)</f>
        <v/>
      </c>
      <c r="J6" s="82">
        <f>IF(LEN(TRIM(E6))=0,0,LEN(TRIM(E6))-LEN(SUBSTITUTE(TRIM(E6)," ",""))+1)</f>
        <v/>
      </c>
      <c r="K6" s="82">
        <f>IF(LEN(TRIM(F6))=0,0,LEN(TRIM(F6))-LEN(SUBSTITUTE(TRIM(F6)," ",""))+1)</f>
        <v/>
      </c>
      <c r="L6" s="82">
        <f>IF(LEN(TRIM(G6))=0,0,LEN(TRIM(G6))-LEN(SUBSTITUTE(TRIM(G6)," ",""))+1)</f>
        <v/>
      </c>
      <c r="M6" s="82">
        <f>IF(LEN(TRIM(H6))=0,0,LEN(TRIM(H6))-LEN(SUBSTITUTE(TRIM(H6)," ",""))+1)</f>
        <v/>
      </c>
      <c r="N6" s="82">
        <f>MAX(I6:M6)</f>
        <v/>
      </c>
    </row>
    <row r="7">
      <c r="A7" s="82" t="inlineStr">
        <is>
          <t>C26</t>
        </is>
      </c>
      <c r="B7" s="83" t="inlineStr">
        <is>
          <t>Own the Mistake</t>
        </is>
      </c>
      <c r="C7" s="84" t="inlineStr">
        <is>
          <t>Earnest</t>
        </is>
      </c>
      <c r="D7" s="85" t="inlineStr">
        <is>
          <t>When I'm wrong, I say so.</t>
        </is>
      </c>
      <c r="E7" s="85" t="inlineStr">
        <is>
          <t>I own my mistakes, fully and publicly.</t>
        </is>
      </c>
      <c r="F7" s="85" t="inlineStr">
        <is>
          <t>No excuses. Accountability starts with me.</t>
        </is>
      </c>
      <c r="G7" s="85" t="inlineStr">
        <is>
          <t>I'd rather admit fault than hide it.</t>
        </is>
      </c>
      <c r="H7" s="85" t="inlineStr">
        <is>
          <t>Mistakes are human. Hiding them isn't.</t>
        </is>
      </c>
      <c r="I7" s="82">
        <f>IF(LEN(TRIM(D7))=0,0,LEN(TRIM(D7))-LEN(SUBSTITUTE(TRIM(D7)," ",""))+1)</f>
        <v/>
      </c>
      <c r="J7" s="82">
        <f>IF(LEN(TRIM(E7))=0,0,LEN(TRIM(E7))-LEN(SUBSTITUTE(TRIM(E7)," ",""))+1)</f>
        <v/>
      </c>
      <c r="K7" s="82">
        <f>IF(LEN(TRIM(F7))=0,0,LEN(TRIM(F7))-LEN(SUBSTITUTE(TRIM(F7)," ",""))+1)</f>
        <v/>
      </c>
      <c r="L7" s="82">
        <f>IF(LEN(TRIM(G7))=0,0,LEN(TRIM(G7))-LEN(SUBSTITUTE(TRIM(G7)," ",""))+1)</f>
        <v/>
      </c>
      <c r="M7" s="82">
        <f>IF(LEN(TRIM(H7))=0,0,LEN(TRIM(H7))-LEN(SUBSTITUTE(TRIM(H7)," ",""))+1)</f>
        <v/>
      </c>
      <c r="N7" s="82">
        <f>MAX(I7:M7)</f>
        <v/>
      </c>
    </row>
    <row r="8">
      <c r="A8" s="82" t="inlineStr">
        <is>
          <t>C27</t>
        </is>
      </c>
      <c r="B8" s="83" t="inlineStr">
        <is>
          <t>Appeal Across the Aisle</t>
        </is>
      </c>
      <c r="C8" s="84" t="inlineStr">
        <is>
          <t>Earnest</t>
        </is>
      </c>
      <c r="D8" s="85" t="inlineStr">
        <is>
          <t>This isn't about party. It's about people.</t>
        </is>
      </c>
      <c r="E8" s="85" t="inlineStr">
        <is>
          <t>My door is open to the other side.</t>
        </is>
      </c>
      <c r="F8" s="85" t="inlineStr">
        <is>
          <t>Let's set party aside and solve this together.</t>
        </is>
      </c>
      <c r="G8" s="85" t="inlineStr">
        <is>
          <t>Good ideas don't belong to one party.</t>
        </is>
      </c>
      <c r="H8" s="85" t="inlineStr">
        <is>
          <t>I'll work with anyone who wants results.</t>
        </is>
      </c>
      <c r="I8" s="82">
        <f>IF(LEN(TRIM(D8))=0,0,LEN(TRIM(D8))-LEN(SUBSTITUTE(TRIM(D8)," ",""))+1)</f>
        <v/>
      </c>
      <c r="J8" s="82">
        <f>IF(LEN(TRIM(E8))=0,0,LEN(TRIM(E8))-LEN(SUBSTITUTE(TRIM(E8)," ",""))+1)</f>
        <v/>
      </c>
      <c r="K8" s="82">
        <f>IF(LEN(TRIM(F8))=0,0,LEN(TRIM(F8))-LEN(SUBSTITUTE(TRIM(F8)," ",""))+1)</f>
        <v/>
      </c>
      <c r="L8" s="82">
        <f>IF(LEN(TRIM(G8))=0,0,LEN(TRIM(G8))-LEN(SUBSTITUTE(TRIM(G8)," ",""))+1)</f>
        <v/>
      </c>
      <c r="M8" s="82">
        <f>IF(LEN(TRIM(H8))=0,0,LEN(TRIM(H8))-LEN(SUBSTITUTE(TRIM(H8)," ",""))+1)</f>
        <v/>
      </c>
      <c r="N8" s="82">
        <f>MAX(I8:M8)</f>
        <v/>
      </c>
    </row>
    <row r="9">
      <c r="A9" s="82" t="inlineStr">
        <is>
          <t>C28</t>
        </is>
      </c>
      <c r="B9" s="83" t="inlineStr">
        <is>
          <t>Read the Letters Aloud</t>
        </is>
      </c>
      <c r="C9" s="84" t="inlineStr">
        <is>
          <t>Earnest</t>
        </is>
      </c>
      <c r="D9" s="85" t="inlineStr">
        <is>
          <t>This letter comes from a mother in my district.</t>
        </is>
      </c>
      <c r="E9" s="85" t="inlineStr">
        <is>
          <t>Let me read you a farmer's words.</t>
        </is>
      </c>
      <c r="F9" s="85" t="inlineStr">
        <is>
          <t>These letters are why I'm standing here.</t>
        </is>
      </c>
      <c r="G9" s="85" t="inlineStr">
        <is>
          <t>One student asks a simple question. Listen.</t>
        </is>
      </c>
      <c r="H9" s="85" t="inlineStr">
        <is>
          <t>Hundreds of letters. Listen to their words.</t>
        </is>
      </c>
      <c r="I9" s="82">
        <f>IF(LEN(TRIM(D9))=0,0,LEN(TRIM(D9))-LEN(SUBSTITUTE(TRIM(D9)," ",""))+1)</f>
        <v/>
      </c>
      <c r="J9" s="82">
        <f>IF(LEN(TRIM(E9))=0,0,LEN(TRIM(E9))-LEN(SUBSTITUTE(TRIM(E9)," ",""))+1)</f>
        <v/>
      </c>
      <c r="K9" s="82">
        <f>IF(LEN(TRIM(F9))=0,0,LEN(TRIM(F9))-LEN(SUBSTITUTE(TRIM(F9)," ",""))+1)</f>
        <v/>
      </c>
      <c r="L9" s="82">
        <f>IF(LEN(TRIM(G9))=0,0,LEN(TRIM(G9))-LEN(SUBSTITUTE(TRIM(G9)," ",""))+1)</f>
        <v/>
      </c>
      <c r="M9" s="82">
        <f>IF(LEN(TRIM(H9))=0,0,LEN(TRIM(H9))-LEN(SUBSTITUTE(TRIM(H9)," ",""))+1)</f>
        <v/>
      </c>
      <c r="N9" s="82">
        <f>MAX(I9:M9)</f>
        <v/>
      </c>
    </row>
    <row r="10">
      <c r="A10" s="82" t="inlineStr">
        <is>
          <t>C29</t>
        </is>
      </c>
      <c r="B10" s="83" t="inlineStr">
        <is>
          <t>Appeal to Conscience</t>
        </is>
      </c>
      <c r="C10" s="84" t="inlineStr">
        <is>
          <t>Earnest</t>
        </is>
      </c>
      <c r="D10" s="85" t="inlineStr">
        <is>
          <t>Let your conscience decide.</t>
        </is>
      </c>
      <c r="E10" s="85" t="inlineStr">
        <is>
          <t>You know in your heart this is right.</t>
        </is>
      </c>
      <c r="F10" s="85" t="inlineStr">
        <is>
          <t>History will judge what we do here.</t>
        </is>
      </c>
      <c r="G10" s="85" t="inlineStr">
        <is>
          <t>Vote as if your children were watching.</t>
        </is>
      </c>
      <c r="H10" s="85" t="inlineStr">
        <is>
          <t>Set aside the party line. Do what's right.</t>
        </is>
      </c>
      <c r="I10" s="82">
        <f>IF(LEN(TRIM(D10))=0,0,LEN(TRIM(D10))-LEN(SUBSTITUTE(TRIM(D10)," ",""))+1)</f>
        <v/>
      </c>
      <c r="J10" s="82">
        <f>IF(LEN(TRIM(E10))=0,0,LEN(TRIM(E10))-LEN(SUBSTITUTE(TRIM(E10)," ",""))+1)</f>
        <v/>
      </c>
      <c r="K10" s="82">
        <f>IF(LEN(TRIM(F10))=0,0,LEN(TRIM(F10))-LEN(SUBSTITUTE(TRIM(F10)," ",""))+1)</f>
        <v/>
      </c>
      <c r="L10" s="82">
        <f>IF(LEN(TRIM(G10))=0,0,LEN(TRIM(G10))-LEN(SUBSTITUTE(TRIM(G10)," ",""))+1)</f>
        <v/>
      </c>
      <c r="M10" s="82">
        <f>IF(LEN(TRIM(H10))=0,0,LEN(TRIM(H10))-LEN(SUBSTITUTE(TRIM(H10)," ",""))+1)</f>
        <v/>
      </c>
      <c r="N10" s="82">
        <f>MAX(I10:M10)</f>
        <v/>
      </c>
    </row>
    <row r="11">
      <c r="A11" s="87" t="inlineStr">
        <is>
          <t>C05</t>
        </is>
      </c>
      <c r="B11" s="88" t="inlineStr">
        <is>
          <t>Impassioned Speech</t>
        </is>
      </c>
      <c r="C11" s="89" t="inlineStr">
        <is>
          <t>Emotional</t>
        </is>
      </c>
      <c r="D11" s="90" t="inlineStr">
        <is>
          <t>I will not stand by while families suffer!</t>
        </is>
      </c>
      <c r="E11" s="90" t="inlineStr">
        <is>
          <t>This is the fight that defines us!</t>
        </is>
      </c>
      <c r="F11" s="90" t="inlineStr">
        <is>
          <t>Enough talk. Our people need action!</t>
        </is>
      </c>
      <c r="G11" s="90" t="inlineStr">
        <is>
          <t>I'll fight for this with everything I have!</t>
        </is>
      </c>
      <c r="H11" s="90" t="inlineStr">
        <is>
          <t>Our towns deserve better than this!</t>
        </is>
      </c>
      <c r="I11" s="87">
        <f>IF(LEN(TRIM(D11))=0,0,LEN(TRIM(D11))-LEN(SUBSTITUTE(TRIM(D11)," ",""))+1)</f>
        <v/>
      </c>
      <c r="J11" s="87">
        <f>IF(LEN(TRIM(E11))=0,0,LEN(TRIM(E11))-LEN(SUBSTITUTE(TRIM(E11)," ",""))+1)</f>
        <v/>
      </c>
      <c r="K11" s="87">
        <f>IF(LEN(TRIM(F11))=0,0,LEN(TRIM(F11))-LEN(SUBSTITUTE(TRIM(F11)," ",""))+1)</f>
        <v/>
      </c>
      <c r="L11" s="87">
        <f>IF(LEN(TRIM(G11))=0,0,LEN(TRIM(G11))-LEN(SUBSTITUTE(TRIM(G11)," ",""))+1)</f>
        <v/>
      </c>
      <c r="M11" s="87">
        <f>IF(LEN(TRIM(H11))=0,0,LEN(TRIM(H11))-LEN(SUBSTITUTE(TRIM(H11)," ",""))+1)</f>
        <v/>
      </c>
      <c r="N11" s="87">
        <f>MAX(I11:M11)</f>
        <v/>
      </c>
    </row>
    <row r="12">
      <c r="A12" s="87" t="inlineStr">
        <is>
          <t>C06</t>
        </is>
      </c>
      <c r="B12" s="88" t="inlineStr">
        <is>
          <t>Tearful Appeal</t>
        </is>
      </c>
      <c r="C12" s="89" t="inlineStr">
        <is>
          <t>Emotional</t>
        </is>
      </c>
      <c r="D12" s="90" t="inlineStr">
        <is>
          <t>Forgive me. This one is personal.</t>
        </is>
      </c>
      <c r="E12" s="90" t="inlineStr">
        <is>
          <t>They're not statistics. They're our neighbors.</t>
        </is>
      </c>
      <c r="F12" s="90" t="inlineStr">
        <is>
          <t>Every family has a story like this.</t>
        </is>
      </c>
      <c r="G12" s="90" t="inlineStr">
        <is>
          <t>I carry their faces with me.</t>
        </is>
      </c>
      <c r="H12" s="90" t="inlineStr">
        <is>
          <t>Think of your own mother, your own child.</t>
        </is>
      </c>
      <c r="I12" s="87">
        <f>IF(LEN(TRIM(D12))=0,0,LEN(TRIM(D12))-LEN(SUBSTITUTE(TRIM(D12)," ",""))+1)</f>
        <v/>
      </c>
      <c r="J12" s="87">
        <f>IF(LEN(TRIM(E12))=0,0,LEN(TRIM(E12))-LEN(SUBSTITUTE(TRIM(E12)," ",""))+1)</f>
        <v/>
      </c>
      <c r="K12" s="87">
        <f>IF(LEN(TRIM(F12))=0,0,LEN(TRIM(F12))-LEN(SUBSTITUTE(TRIM(F12)," ",""))+1)</f>
        <v/>
      </c>
      <c r="L12" s="87">
        <f>IF(LEN(TRIM(G12))=0,0,LEN(TRIM(G12))-LEN(SUBSTITUTE(TRIM(G12)," ",""))+1)</f>
        <v/>
      </c>
      <c r="M12" s="87">
        <f>IF(LEN(TRIM(H12))=0,0,LEN(TRIM(H12))-LEN(SUBSTITUTE(TRIM(H12)," ",""))+1)</f>
        <v/>
      </c>
      <c r="N12" s="87">
        <f>MAX(I12:M12)</f>
        <v/>
      </c>
    </row>
    <row r="13">
      <c r="A13" s="87" t="inlineStr">
        <is>
          <t>C07</t>
        </is>
      </c>
      <c r="B13" s="88" t="inlineStr">
        <is>
          <t>Rousing Applause</t>
        </is>
      </c>
      <c r="C13" s="89" t="inlineStr">
        <is>
          <t>Emotional</t>
        </is>
      </c>
      <c r="D13" s="90" t="inlineStr">
        <is>
          <t>Say it with me: enough is enough!</t>
        </is>
      </c>
      <c r="E13" s="90" t="inlineStr">
        <is>
          <t>You feel that? That's momentum!</t>
        </is>
      </c>
      <c r="F13" s="90" t="inlineStr">
        <is>
          <t>That's the sound of a movement!</t>
        </is>
      </c>
      <c r="G13" s="90" t="inlineStr">
        <is>
          <t>Let them know where you stand!</t>
        </is>
      </c>
      <c r="H13" s="90" t="inlineStr">
        <is>
          <t>Louder, so everyone can hear!</t>
        </is>
      </c>
      <c r="I13" s="87">
        <f>IF(LEN(TRIM(D13))=0,0,LEN(TRIM(D13))-LEN(SUBSTITUTE(TRIM(D13)," ",""))+1)</f>
        <v/>
      </c>
      <c r="J13" s="87">
        <f>IF(LEN(TRIM(E13))=0,0,LEN(TRIM(E13))-LEN(SUBSTITUTE(TRIM(E13)," ",""))+1)</f>
        <v/>
      </c>
      <c r="K13" s="87">
        <f>IF(LEN(TRIM(F13))=0,0,LEN(TRIM(F13))-LEN(SUBSTITUTE(TRIM(F13)," ",""))+1)</f>
        <v/>
      </c>
      <c r="L13" s="87">
        <f>IF(LEN(TRIM(G13))=0,0,LEN(TRIM(G13))-LEN(SUBSTITUTE(TRIM(G13)," ",""))+1)</f>
        <v/>
      </c>
      <c r="M13" s="87">
        <f>IF(LEN(TRIM(H13))=0,0,LEN(TRIM(H13))-LEN(SUBSTITUTE(TRIM(H13)," ",""))+1)</f>
        <v/>
      </c>
      <c r="N13" s="87">
        <f>MAX(I13:M13)</f>
        <v/>
      </c>
    </row>
    <row r="14">
      <c r="A14" s="87" t="inlineStr">
        <is>
          <t>C08</t>
        </is>
      </c>
      <c r="B14" s="88" t="inlineStr">
        <is>
          <t>Speech from the Soul</t>
        </is>
      </c>
      <c r="C14" s="89" t="inlineStr">
        <is>
          <t>Emotional</t>
        </is>
      </c>
      <c r="D14" s="90" t="inlineStr">
        <is>
          <t>I'm going to speak from the heart.</t>
        </is>
      </c>
      <c r="E14" s="90" t="inlineStr">
        <is>
          <t>Put the notes away. Here's what I believe.</t>
        </is>
      </c>
      <c r="F14" s="90" t="inlineStr">
        <is>
          <t>Everything I am, I owe to this land.</t>
        </is>
      </c>
      <c r="G14" s="90" t="inlineStr">
        <is>
          <t>I refuse to whisper when it matters.</t>
        </is>
      </c>
      <c r="H14" s="90" t="inlineStr">
        <is>
          <t>This is the speech I live for.</t>
        </is>
      </c>
      <c r="I14" s="87">
        <f>IF(LEN(TRIM(D14))=0,0,LEN(TRIM(D14))-LEN(SUBSTITUTE(TRIM(D14)," ",""))+1)</f>
        <v/>
      </c>
      <c r="J14" s="87">
        <f>IF(LEN(TRIM(E14))=0,0,LEN(TRIM(E14))-LEN(SUBSTITUTE(TRIM(E14)," ",""))+1)</f>
        <v/>
      </c>
      <c r="K14" s="87">
        <f>IF(LEN(TRIM(F14))=0,0,LEN(TRIM(F14))-LEN(SUBSTITUTE(TRIM(F14)," ",""))+1)</f>
        <v/>
      </c>
      <c r="L14" s="87">
        <f>IF(LEN(TRIM(G14))=0,0,LEN(TRIM(G14))-LEN(SUBSTITUTE(TRIM(G14)," ",""))+1)</f>
        <v/>
      </c>
      <c r="M14" s="87">
        <f>IF(LEN(TRIM(H14))=0,0,LEN(TRIM(H14))-LEN(SUBSTITUTE(TRIM(H14)," ",""))+1)</f>
        <v/>
      </c>
      <c r="N14" s="87">
        <f>MAX(I14:M14)</f>
        <v/>
      </c>
    </row>
    <row r="15">
      <c r="A15" s="87" t="inlineStr">
        <is>
          <t>C30</t>
        </is>
      </c>
      <c r="B15" s="88" t="inlineStr">
        <is>
          <t>Rally the Faithful</t>
        </is>
      </c>
      <c r="C15" s="89" t="inlineStr">
        <is>
          <t>Emotional</t>
        </is>
      </c>
      <c r="D15" s="90" t="inlineStr">
        <is>
          <t>Who's ready to win this thing?!</t>
        </is>
      </c>
      <c r="E15" s="90" t="inlineStr">
        <is>
          <t>Loyal hearts, one more push!</t>
        </is>
      </c>
      <c r="F15" s="90" t="inlineStr">
        <is>
          <t>You are the reason I keep fighting!</t>
        </is>
      </c>
      <c r="G15" s="90" t="inlineStr">
        <is>
          <t>You are the heart of this movement!</t>
        </is>
      </c>
      <c r="H15" s="90" t="inlineStr">
        <is>
          <t>Stand firm, friends. We can win this!</t>
        </is>
      </c>
      <c r="I15" s="87">
        <f>IF(LEN(TRIM(D15))=0,0,LEN(TRIM(D15))-LEN(SUBSTITUTE(TRIM(D15)," ",""))+1)</f>
        <v/>
      </c>
      <c r="J15" s="87">
        <f>IF(LEN(TRIM(E15))=0,0,LEN(TRIM(E15))-LEN(SUBSTITUTE(TRIM(E15)," ",""))+1)</f>
        <v/>
      </c>
      <c r="K15" s="87">
        <f>IF(LEN(TRIM(F15))=0,0,LEN(TRIM(F15))-LEN(SUBSTITUTE(TRIM(F15)," ",""))+1)</f>
        <v/>
      </c>
      <c r="L15" s="87">
        <f>IF(LEN(TRIM(G15))=0,0,LEN(TRIM(G15))-LEN(SUBSTITUTE(TRIM(G15)," ",""))+1)</f>
        <v/>
      </c>
      <c r="M15" s="87">
        <f>IF(LEN(TRIM(H15))=0,0,LEN(TRIM(H15))-LEN(SUBSTITUTE(TRIM(H15)," ",""))+1)</f>
        <v/>
      </c>
      <c r="N15" s="87">
        <f>MAX(I15:M15)</f>
        <v/>
      </c>
    </row>
    <row r="16">
      <c r="A16" s="87" t="inlineStr">
        <is>
          <t>C31</t>
        </is>
      </c>
      <c r="B16" s="88" t="inlineStr">
        <is>
          <t>Righteous Anger</t>
        </is>
      </c>
      <c r="C16" s="89" t="inlineStr">
        <is>
          <t>Emotional</t>
        </is>
      </c>
      <c r="D16" s="90" t="inlineStr">
        <is>
          <t>How dare anyone treat families this way!</t>
        </is>
      </c>
      <c r="E16" s="90" t="inlineStr">
        <is>
          <t>This is an outrage, and you know it!</t>
        </is>
      </c>
      <c r="F16" s="90" t="inlineStr">
        <is>
          <t>Shame on anyone who defends this!</t>
        </is>
      </c>
      <c r="G16" s="90" t="inlineStr">
        <is>
          <t>I am furious, and so are they!</t>
        </is>
      </c>
      <c r="H16" s="90" t="inlineStr">
        <is>
          <t>You should be ashamed of yourself!</t>
        </is>
      </c>
      <c r="I16" s="87">
        <f>IF(LEN(TRIM(D16))=0,0,LEN(TRIM(D16))-LEN(SUBSTITUTE(TRIM(D16)," ",""))+1)</f>
        <v/>
      </c>
      <c r="J16" s="87">
        <f>IF(LEN(TRIM(E16))=0,0,LEN(TRIM(E16))-LEN(SUBSTITUTE(TRIM(E16)," ",""))+1)</f>
        <v/>
      </c>
      <c r="K16" s="87">
        <f>IF(LEN(TRIM(F16))=0,0,LEN(TRIM(F16))-LEN(SUBSTITUTE(TRIM(F16)," ",""))+1)</f>
        <v/>
      </c>
      <c r="L16" s="87">
        <f>IF(LEN(TRIM(G16))=0,0,LEN(TRIM(G16))-LEN(SUBSTITUTE(TRIM(G16)," ",""))+1)</f>
        <v/>
      </c>
      <c r="M16" s="87">
        <f>IF(LEN(TRIM(H16))=0,0,LEN(TRIM(H16))-LEN(SUBSTITUTE(TRIM(H16)," ",""))+1)</f>
        <v/>
      </c>
      <c r="N16" s="87">
        <f>MAX(I16:M16)</f>
        <v/>
      </c>
    </row>
    <row r="17">
      <c r="A17" s="87" t="inlineStr">
        <is>
          <t>C32</t>
        </is>
      </c>
      <c r="B17" s="88" t="inlineStr">
        <is>
          <t>Raise Your Voice</t>
        </is>
      </c>
      <c r="C17" s="89" t="inlineStr">
        <is>
          <t>Emotional</t>
        </is>
      </c>
      <c r="D17" s="90" t="inlineStr">
        <is>
          <t>No, you will hear me out!</t>
        </is>
      </c>
      <c r="E17" s="90" t="inlineStr">
        <is>
          <t>I will not be shouted down!</t>
        </is>
      </c>
      <c r="F17" s="90" t="inlineStr">
        <is>
          <t>Let me finish! Let me finish!</t>
        </is>
      </c>
      <c r="G17" s="90" t="inlineStr">
        <is>
          <t>I'm raising my voice because they can't!</t>
        </is>
      </c>
      <c r="H17" s="90" t="inlineStr">
        <is>
          <t>Go on, try to silence me.</t>
        </is>
      </c>
      <c r="I17" s="87">
        <f>IF(LEN(TRIM(D17))=0,0,LEN(TRIM(D17))-LEN(SUBSTITUTE(TRIM(D17)," ",""))+1)</f>
        <v/>
      </c>
      <c r="J17" s="87">
        <f>IF(LEN(TRIM(E17))=0,0,LEN(TRIM(E17))-LEN(SUBSTITUTE(TRIM(E17)," ",""))+1)</f>
        <v/>
      </c>
      <c r="K17" s="87">
        <f>IF(LEN(TRIM(F17))=0,0,LEN(TRIM(F17))-LEN(SUBSTITUTE(TRIM(F17)," ",""))+1)</f>
        <v/>
      </c>
      <c r="L17" s="87">
        <f>IF(LEN(TRIM(G17))=0,0,LEN(TRIM(G17))-LEN(SUBSTITUTE(TRIM(G17)," ",""))+1)</f>
        <v/>
      </c>
      <c r="M17" s="87">
        <f>IF(LEN(TRIM(H17))=0,0,LEN(TRIM(H17))-LEN(SUBSTITUTE(TRIM(H17)," ",""))+1)</f>
        <v/>
      </c>
      <c r="N17" s="87">
        <f>MAX(I17:M17)</f>
        <v/>
      </c>
    </row>
    <row r="18">
      <c r="A18" s="87" t="inlineStr">
        <is>
          <t>C33</t>
        </is>
      </c>
      <c r="B18" s="88" t="inlineStr">
        <is>
          <t>Refuse to Yield</t>
        </is>
      </c>
      <c r="C18" s="89" t="inlineStr">
        <is>
          <t>Emotional</t>
        </is>
      </c>
      <c r="D18" s="90" t="inlineStr">
        <is>
          <t>I will not yield. Full stop.</t>
        </is>
      </c>
      <c r="E18" s="90" t="inlineStr">
        <is>
          <t>Knock me down. I'll get back up.</t>
        </is>
      </c>
      <c r="F18" s="90" t="inlineStr">
        <is>
          <t>Count me out at your peril.</t>
        </is>
      </c>
      <c r="G18" s="90" t="inlineStr">
        <is>
          <t>Underestimate me. See what happens.</t>
        </is>
      </c>
      <c r="H18" s="90" t="inlineStr">
        <is>
          <t>Not one step back. Not one inch.</t>
        </is>
      </c>
      <c r="I18" s="87">
        <f>IF(LEN(TRIM(D18))=0,0,LEN(TRIM(D18))-LEN(SUBSTITUTE(TRIM(D18)," ",""))+1)</f>
        <v/>
      </c>
      <c r="J18" s="87">
        <f>IF(LEN(TRIM(E18))=0,0,LEN(TRIM(E18))-LEN(SUBSTITUTE(TRIM(E18)," ",""))+1)</f>
        <v/>
      </c>
      <c r="K18" s="87">
        <f>IF(LEN(TRIM(F18))=0,0,LEN(TRIM(F18))-LEN(SUBSTITUTE(TRIM(F18)," ",""))+1)</f>
        <v/>
      </c>
      <c r="L18" s="87">
        <f>IF(LEN(TRIM(G18))=0,0,LEN(TRIM(G18))-LEN(SUBSTITUTE(TRIM(G18)," ",""))+1)</f>
        <v/>
      </c>
      <c r="M18" s="87">
        <f>IF(LEN(TRIM(H18))=0,0,LEN(TRIM(H18))-LEN(SUBSTITUTE(TRIM(H18)," ",""))+1)</f>
        <v/>
      </c>
      <c r="N18" s="87">
        <f>MAX(I18:M18)</f>
        <v/>
      </c>
    </row>
    <row r="19">
      <c r="A19" s="87" t="inlineStr">
        <is>
          <t>C34</t>
        </is>
      </c>
      <c r="B19" s="88" t="inlineStr">
        <is>
          <t>Bring the Room to Its Feet</t>
        </is>
      </c>
      <c r="C19" s="89" t="inlineStr">
        <is>
          <t>Emotional</t>
        </is>
      </c>
      <c r="D19" s="90" t="inlineStr">
        <is>
          <t>Rise with me, and let's finish this!</t>
        </is>
      </c>
      <c r="E19" s="90" t="inlineStr">
        <is>
          <t>This is our chance! Take it!</t>
        </is>
      </c>
      <c r="F19" s="90" t="inlineStr">
        <is>
          <t>Together, nothing can stop us!</t>
        </is>
      </c>
      <c r="G19" s="90" t="inlineStr">
        <is>
          <t>Tell them who we are!</t>
        </is>
      </c>
      <c r="H19" s="90" t="inlineStr">
        <is>
          <t>The whole country is watching. Show them!</t>
        </is>
      </c>
      <c r="I19" s="87">
        <f>IF(LEN(TRIM(D19))=0,0,LEN(TRIM(D19))-LEN(SUBSTITUTE(TRIM(D19)," ",""))+1)</f>
        <v/>
      </c>
      <c r="J19" s="87">
        <f>IF(LEN(TRIM(E19))=0,0,LEN(TRIM(E19))-LEN(SUBSTITUTE(TRIM(E19)," ",""))+1)</f>
        <v/>
      </c>
      <c r="K19" s="87">
        <f>IF(LEN(TRIM(F19))=0,0,LEN(TRIM(F19))-LEN(SUBSTITUTE(TRIM(F19)," ",""))+1)</f>
        <v/>
      </c>
      <c r="L19" s="87">
        <f>IF(LEN(TRIM(G19))=0,0,LEN(TRIM(G19))-LEN(SUBSTITUTE(TRIM(G19)," ",""))+1)</f>
        <v/>
      </c>
      <c r="M19" s="87">
        <f>IF(LEN(TRIM(H19))=0,0,LEN(TRIM(H19))-LEN(SUBSTITUTE(TRIM(H19)," ",""))+1)</f>
        <v/>
      </c>
      <c r="N19" s="87">
        <f>MAX(I19:M19)</f>
        <v/>
      </c>
    </row>
    <row r="20">
      <c r="A20" s="91" t="inlineStr">
        <is>
          <t>C09</t>
        </is>
      </c>
      <c r="B20" s="92" t="inlineStr">
        <is>
          <t>Call for Unity</t>
        </is>
      </c>
      <c r="C20" s="93" t="inlineStr">
        <is>
          <t>Appeal</t>
        </is>
      </c>
      <c r="D20" s="94" t="inlineStr">
        <is>
          <t>We are stronger standing together.</t>
        </is>
      </c>
      <c r="E20" s="94" t="inlineStr">
        <is>
          <t>Let's leave the infighting to others.</t>
        </is>
      </c>
      <c r="F20" s="94" t="inlineStr">
        <is>
          <t>One purpose, one voice, one people.</t>
        </is>
      </c>
      <c r="G20" s="94" t="inlineStr">
        <is>
          <t>Whatever divides us, this unites us.</t>
        </is>
      </c>
      <c r="H20" s="94" t="inlineStr">
        <is>
          <t>Stand with me, and stand with each other.</t>
        </is>
      </c>
      <c r="I20" s="91">
        <f>IF(LEN(TRIM(D20))=0,0,LEN(TRIM(D20))-LEN(SUBSTITUTE(TRIM(D20)," ",""))+1)</f>
        <v/>
      </c>
      <c r="J20" s="91">
        <f>IF(LEN(TRIM(E20))=0,0,LEN(TRIM(E20))-LEN(SUBSTITUTE(TRIM(E20)," ",""))+1)</f>
        <v/>
      </c>
      <c r="K20" s="91">
        <f>IF(LEN(TRIM(F20))=0,0,LEN(TRIM(F20))-LEN(SUBSTITUTE(TRIM(F20)," ",""))+1)</f>
        <v/>
      </c>
      <c r="L20" s="91">
        <f>IF(LEN(TRIM(G20))=0,0,LEN(TRIM(G20))-LEN(SUBSTITUTE(TRIM(G20)," ",""))+1)</f>
        <v/>
      </c>
      <c r="M20" s="91">
        <f>IF(LEN(TRIM(H20))=0,0,LEN(TRIM(H20))-LEN(SUBSTITUTE(TRIM(H20)," ",""))+1)</f>
        <v/>
      </c>
      <c r="N20" s="91">
        <f>MAX(I20:M20)</f>
        <v/>
      </c>
    </row>
    <row r="21">
      <c r="A21" s="91" t="inlineStr">
        <is>
          <t>C10</t>
        </is>
      </c>
      <c r="B21" s="92" t="inlineStr">
        <is>
          <t>Voice of the Hometown</t>
        </is>
      </c>
      <c r="C21" s="93" t="inlineStr">
        <is>
          <t>Appeal</t>
        </is>
      </c>
      <c r="D21" s="94" t="inlineStr">
        <is>
          <t>Where I'm from, neighbors look out for each other.</t>
        </is>
      </c>
      <c r="E21" s="94" t="inlineStr">
        <is>
          <t>My hometown's values guide every decision.</t>
        </is>
      </c>
      <c r="F21" s="94" t="inlineStr">
        <is>
          <t>Ask anyone on Main Street. They'll tell you.</t>
        </is>
      </c>
      <c r="G21" s="94" t="inlineStr">
        <is>
          <t>I speak for the people of my district.</t>
        </is>
      </c>
      <c r="H21" s="94" t="inlineStr">
        <is>
          <t>Small towns are this country's backbone.</t>
        </is>
      </c>
      <c r="I21" s="91">
        <f>IF(LEN(TRIM(D21))=0,0,LEN(TRIM(D21))-LEN(SUBSTITUTE(TRIM(D21)," ",""))+1)</f>
        <v/>
      </c>
      <c r="J21" s="91">
        <f>IF(LEN(TRIM(E21))=0,0,LEN(TRIM(E21))-LEN(SUBSTITUTE(TRIM(E21)," ",""))+1)</f>
        <v/>
      </c>
      <c r="K21" s="91">
        <f>IF(LEN(TRIM(F21))=0,0,LEN(TRIM(F21))-LEN(SUBSTITUTE(TRIM(F21)," ",""))+1)</f>
        <v/>
      </c>
      <c r="L21" s="91">
        <f>IF(LEN(TRIM(G21))=0,0,LEN(TRIM(G21))-LEN(SUBSTITUTE(TRIM(G21)," ",""))+1)</f>
        <v/>
      </c>
      <c r="M21" s="91">
        <f>IF(LEN(TRIM(H21))=0,0,LEN(TRIM(H21))-LEN(SUBSTITUTE(TRIM(H21)," ",""))+1)</f>
        <v/>
      </c>
      <c r="N21" s="91">
        <f>MAX(I21:M21)</f>
        <v/>
      </c>
    </row>
    <row r="22">
      <c r="A22" s="91" t="inlineStr">
        <is>
          <t>C11</t>
        </is>
      </c>
      <c r="B22" s="92" t="inlineStr">
        <is>
          <t>Work the Room First</t>
        </is>
      </c>
      <c r="C22" s="93" t="inlineStr">
        <is>
          <t>Appeal</t>
        </is>
      </c>
      <c r="D22" s="94" t="inlineStr">
        <is>
          <t>I believe we understand each other.</t>
        </is>
      </c>
      <c r="E22" s="94" t="inlineStr">
        <is>
          <t>We're more agreed than it appears.</t>
        </is>
      </c>
      <c r="F22" s="94" t="inlineStr">
        <is>
          <t>Let's not pretend we're far apart.</t>
        </is>
      </c>
      <c r="G22" s="94" t="inlineStr">
        <is>
          <t>You know where I stand, and why.</t>
        </is>
      </c>
      <c r="H22" s="94" t="inlineStr">
        <is>
          <t>Everyone here wants the same outcome.</t>
        </is>
      </c>
      <c r="I22" s="91">
        <f>IF(LEN(TRIM(D22))=0,0,LEN(TRIM(D22))-LEN(SUBSTITUTE(TRIM(D22)," ",""))+1)</f>
        <v/>
      </c>
      <c r="J22" s="91">
        <f>IF(LEN(TRIM(E22))=0,0,LEN(TRIM(E22))-LEN(SUBSTITUTE(TRIM(E22)," ",""))+1)</f>
        <v/>
      </c>
      <c r="K22" s="91">
        <f>IF(LEN(TRIM(F22))=0,0,LEN(TRIM(F22))-LEN(SUBSTITUTE(TRIM(F22)," ",""))+1)</f>
        <v/>
      </c>
      <c r="L22" s="91">
        <f>IF(LEN(TRIM(G22))=0,0,LEN(TRIM(G22))-LEN(SUBSTITUTE(TRIM(G22)," ",""))+1)</f>
        <v/>
      </c>
      <c r="M22" s="91">
        <f>IF(LEN(TRIM(H22))=0,0,LEN(TRIM(H22))-LEN(SUBSTITUTE(TRIM(H22)," ",""))+1)</f>
        <v/>
      </c>
      <c r="N22" s="91">
        <f>MAX(I22:M22)</f>
        <v/>
      </c>
    </row>
    <row r="23">
      <c r="A23" s="91" t="inlineStr">
        <is>
          <t>C12</t>
        </is>
      </c>
      <c r="B23" s="92" t="inlineStr">
        <is>
          <t>Ask Who's With You</t>
        </is>
      </c>
      <c r="C23" s="93" t="inlineStr">
        <is>
          <t>Appeal</t>
        </is>
      </c>
      <c r="D23" s="94" t="inlineStr">
        <is>
          <t>So tell me. Who's with me?</t>
        </is>
      </c>
      <c r="E23" s="94" t="inlineStr">
        <is>
          <t>Let's see where everyone stands.</t>
        </is>
      </c>
      <c r="F23" s="94" t="inlineStr">
        <is>
          <t>I need to know who I can count on.</t>
        </is>
      </c>
      <c r="G23" s="94" t="inlineStr">
        <is>
          <t>Tell me honestly: are you in?</t>
        </is>
      </c>
      <c r="H23" s="94" t="inlineStr">
        <is>
          <t>Let's take the temperature of the room.</t>
        </is>
      </c>
      <c r="I23" s="91">
        <f>IF(LEN(TRIM(D23))=0,0,LEN(TRIM(D23))-LEN(SUBSTITUTE(TRIM(D23)," ",""))+1)</f>
        <v/>
      </c>
      <c r="J23" s="91">
        <f>IF(LEN(TRIM(E23))=0,0,LEN(TRIM(E23))-LEN(SUBSTITUTE(TRIM(E23)," ",""))+1)</f>
        <v/>
      </c>
      <c r="K23" s="91">
        <f>IF(LEN(TRIM(F23))=0,0,LEN(TRIM(F23))-LEN(SUBSTITUTE(TRIM(F23)," ",""))+1)</f>
        <v/>
      </c>
      <c r="L23" s="91">
        <f>IF(LEN(TRIM(G23))=0,0,LEN(TRIM(G23))-LEN(SUBSTITUTE(TRIM(G23)," ",""))+1)</f>
        <v/>
      </c>
      <c r="M23" s="91">
        <f>IF(LEN(TRIM(H23))=0,0,LEN(TRIM(H23))-LEN(SUBSTITUTE(TRIM(H23)," ",""))+1)</f>
        <v/>
      </c>
      <c r="N23" s="91">
        <f>MAX(I23:M23)</f>
        <v/>
      </c>
    </row>
    <row r="24">
      <c r="A24" s="91" t="inlineStr">
        <is>
          <t>C35</t>
        </is>
      </c>
      <c r="B24" s="92" t="inlineStr">
        <is>
          <t>Invoke Party Discipline</t>
        </is>
      </c>
      <c r="C24" s="93" t="inlineStr">
        <is>
          <t>Appeal</t>
        </is>
      </c>
      <c r="D24" s="94" t="inlineStr">
        <is>
          <t>Our party speaks with one voice on this.</t>
        </is>
      </c>
      <c r="E24" s="94" t="inlineStr">
        <is>
          <t>Remember whose banner you stand under.</t>
        </is>
      </c>
      <c r="F24" s="94" t="inlineStr">
        <is>
          <t>Unity isn't optional on this one.</t>
        </is>
      </c>
      <c r="G24" s="94" t="inlineStr">
        <is>
          <t>Break ranks, and it will be remembered.</t>
        </is>
      </c>
      <c r="H24" s="94" t="inlineStr">
        <is>
          <t>The party's position is settled. We stand together.</t>
        </is>
      </c>
      <c r="I24" s="91">
        <f>IF(LEN(TRIM(D24))=0,0,LEN(TRIM(D24))-LEN(SUBSTITUTE(TRIM(D24)," ",""))+1)</f>
        <v/>
      </c>
      <c r="J24" s="91">
        <f>IF(LEN(TRIM(E24))=0,0,LEN(TRIM(E24))-LEN(SUBSTITUTE(TRIM(E24)," ",""))+1)</f>
        <v/>
      </c>
      <c r="K24" s="91">
        <f>IF(LEN(TRIM(F24))=0,0,LEN(TRIM(F24))-LEN(SUBSTITUTE(TRIM(F24)," ",""))+1)</f>
        <v/>
      </c>
      <c r="L24" s="91">
        <f>IF(LEN(TRIM(G24))=0,0,LEN(TRIM(G24))-LEN(SUBSTITUTE(TRIM(G24)," ",""))+1)</f>
        <v/>
      </c>
      <c r="M24" s="91">
        <f>IF(LEN(TRIM(H24))=0,0,LEN(TRIM(H24))-LEN(SUBSTITUTE(TRIM(H24)," ",""))+1)</f>
        <v/>
      </c>
      <c r="N24" s="91">
        <f>MAX(I24:M24)</f>
        <v/>
      </c>
    </row>
    <row r="25">
      <c r="A25" s="91" t="inlineStr">
        <is>
          <t>C36</t>
        </is>
      </c>
      <c r="B25" s="92" t="inlineStr">
        <is>
          <t>Offer a Private Word</t>
        </is>
      </c>
      <c r="C25" s="93" t="inlineStr">
        <is>
          <t>Appeal</t>
        </is>
      </c>
      <c r="D25" s="94" t="inlineStr">
        <is>
          <t>Walk with me, just the two of us.</t>
        </is>
      </c>
      <c r="E25" s="94" t="inlineStr">
        <is>
          <t>Between us, I think we can work something out.</t>
        </is>
      </c>
      <c r="F25" s="94" t="inlineStr">
        <is>
          <t>Lean in. This is just for you.</t>
        </is>
      </c>
      <c r="G25" s="94" t="inlineStr">
        <is>
          <t>Let's keep this conversation private.</t>
        </is>
      </c>
      <c r="H25" s="94" t="inlineStr">
        <is>
          <t>Do me a favor. Hear me out.</t>
        </is>
      </c>
      <c r="I25" s="91">
        <f>IF(LEN(TRIM(D25))=0,0,LEN(TRIM(D25))-LEN(SUBSTITUTE(TRIM(D25)," ",""))+1)</f>
        <v/>
      </c>
      <c r="J25" s="91">
        <f>IF(LEN(TRIM(E25))=0,0,LEN(TRIM(E25))-LEN(SUBSTITUTE(TRIM(E25)," ",""))+1)</f>
        <v/>
      </c>
      <c r="K25" s="91">
        <f>IF(LEN(TRIM(F25))=0,0,LEN(TRIM(F25))-LEN(SUBSTITUTE(TRIM(F25)," ",""))+1)</f>
        <v/>
      </c>
      <c r="L25" s="91">
        <f>IF(LEN(TRIM(G25))=0,0,LEN(TRIM(G25))-LEN(SUBSTITUTE(TRIM(G25)," ",""))+1)</f>
        <v/>
      </c>
      <c r="M25" s="91">
        <f>IF(LEN(TRIM(H25))=0,0,LEN(TRIM(H25))-LEN(SUBSTITUTE(TRIM(H25)," ",""))+1)</f>
        <v/>
      </c>
      <c r="N25" s="91">
        <f>MAX(I25:M25)</f>
        <v/>
      </c>
    </row>
    <row r="26">
      <c r="A26" s="91" t="inlineStr">
        <is>
          <t>C37</t>
        </is>
      </c>
      <c r="B26" s="92" t="inlineStr">
        <is>
          <t>Call for Common Cause</t>
        </is>
      </c>
      <c r="C26" s="93" t="inlineStr">
        <is>
          <t>Appeal</t>
        </is>
      </c>
      <c r="D26" s="94" t="inlineStr">
        <is>
          <t>Our goals are closer than you think.</t>
        </is>
      </c>
      <c r="E26" s="94" t="inlineStr">
        <is>
          <t>Let's build something neither of us could alone.</t>
        </is>
      </c>
      <c r="F26" s="94" t="inlineStr">
        <is>
          <t>Join us, and we all come out ahead.</t>
        </is>
      </c>
      <c r="G26" s="94" t="inlineStr">
        <is>
          <t>Different paths, same destination. Walk with us.</t>
        </is>
      </c>
      <c r="H26" s="94" t="inlineStr">
        <is>
          <t>There's room at this table for everyone.</t>
        </is>
      </c>
      <c r="I26" s="91">
        <f>IF(LEN(TRIM(D26))=0,0,LEN(TRIM(D26))-LEN(SUBSTITUTE(TRIM(D26)," ",""))+1)</f>
        <v/>
      </c>
      <c r="J26" s="91">
        <f>IF(LEN(TRIM(E26))=0,0,LEN(TRIM(E26))-LEN(SUBSTITUTE(TRIM(E26)," ",""))+1)</f>
        <v/>
      </c>
      <c r="K26" s="91">
        <f>IF(LEN(TRIM(F26))=0,0,LEN(TRIM(F26))-LEN(SUBSTITUTE(TRIM(F26)," ",""))+1)</f>
        <v/>
      </c>
      <c r="L26" s="91">
        <f>IF(LEN(TRIM(G26))=0,0,LEN(TRIM(G26))-LEN(SUBSTITUTE(TRIM(G26)," ",""))+1)</f>
        <v/>
      </c>
      <c r="M26" s="91">
        <f>IF(LEN(TRIM(H26))=0,0,LEN(TRIM(H26))-LEN(SUBSTITUTE(TRIM(H26)," ",""))+1)</f>
        <v/>
      </c>
      <c r="N26" s="91">
        <f>MAX(I26:M26)</f>
        <v/>
      </c>
    </row>
    <row r="27">
      <c r="A27" s="91" t="inlineStr">
        <is>
          <t>C38</t>
        </is>
      </c>
      <c r="B27" s="92" t="inlineStr">
        <is>
          <t>Call In a Favor</t>
        </is>
      </c>
      <c r="C27" s="93" t="inlineStr">
        <is>
          <t>Appeal</t>
        </is>
      </c>
      <c r="D27" s="94" t="inlineStr">
        <is>
          <t>One good turn deserves another.</t>
        </is>
      </c>
      <c r="E27" s="94" t="inlineStr">
        <is>
          <t>Friends stand by friends. Stand by me.</t>
        </is>
      </c>
      <c r="F27" s="94" t="inlineStr">
        <is>
          <t>This is where loyalty counts.</t>
        </is>
      </c>
      <c r="G27" s="94" t="inlineStr">
        <is>
          <t>I'm asking you, as a friend.</t>
        </is>
      </c>
      <c r="H27" s="94" t="inlineStr">
        <is>
          <t>You know what our friendship is worth.</t>
        </is>
      </c>
      <c r="I27" s="91">
        <f>IF(LEN(TRIM(D27))=0,0,LEN(TRIM(D27))-LEN(SUBSTITUTE(TRIM(D27)," ",""))+1)</f>
        <v/>
      </c>
      <c r="J27" s="91">
        <f>IF(LEN(TRIM(E27))=0,0,LEN(TRIM(E27))-LEN(SUBSTITUTE(TRIM(E27)," ",""))+1)</f>
        <v/>
      </c>
      <c r="K27" s="91">
        <f>IF(LEN(TRIM(F27))=0,0,LEN(TRIM(F27))-LEN(SUBSTITUTE(TRIM(F27)," ",""))+1)</f>
        <v/>
      </c>
      <c r="L27" s="91">
        <f>IF(LEN(TRIM(G27))=0,0,LEN(TRIM(G27))-LEN(SUBSTITUTE(TRIM(G27)," ",""))+1)</f>
        <v/>
      </c>
      <c r="M27" s="91">
        <f>IF(LEN(TRIM(H27))=0,0,LEN(TRIM(H27))-LEN(SUBSTITUTE(TRIM(H27)," ",""))+1)</f>
        <v/>
      </c>
      <c r="N27" s="91">
        <f>MAX(I27:M27)</f>
        <v/>
      </c>
    </row>
    <row r="28">
      <c r="A28" s="91" t="inlineStr">
        <is>
          <t>C39</t>
        </is>
      </c>
      <c r="B28" s="92" t="inlineStr">
        <is>
          <t>We Have the Votes</t>
        </is>
      </c>
      <c r="C28" s="93" t="inlineStr">
        <is>
          <t>Appeal</t>
        </is>
      </c>
      <c r="D28" s="94" t="inlineStr">
        <is>
          <t>Count them yourself. We have the votes.</t>
        </is>
      </c>
      <c r="E28" s="94" t="inlineStr">
        <is>
          <t>The numbers are on our side.</t>
        </is>
      </c>
      <c r="F28" s="94" t="inlineStr">
        <is>
          <t>The outcome is decided. You can join us.</t>
        </is>
      </c>
      <c r="G28" s="94" t="inlineStr">
        <is>
          <t>We don't need your vote. We'd like it.</t>
        </is>
      </c>
      <c r="H28" s="94" t="inlineStr">
        <is>
          <t>The majority stands with us.</t>
        </is>
      </c>
      <c r="I28" s="91">
        <f>IF(LEN(TRIM(D28))=0,0,LEN(TRIM(D28))-LEN(SUBSTITUTE(TRIM(D28)," ",""))+1)</f>
        <v/>
      </c>
      <c r="J28" s="91">
        <f>IF(LEN(TRIM(E28))=0,0,LEN(TRIM(E28))-LEN(SUBSTITUTE(TRIM(E28)," ",""))+1)</f>
        <v/>
      </c>
      <c r="K28" s="91">
        <f>IF(LEN(TRIM(F28))=0,0,LEN(TRIM(F28))-LEN(SUBSTITUTE(TRIM(F28)," ",""))+1)</f>
        <v/>
      </c>
      <c r="L28" s="91">
        <f>IF(LEN(TRIM(G28))=0,0,LEN(TRIM(G28))-LEN(SUBSTITUTE(TRIM(G28)," ",""))+1)</f>
        <v/>
      </c>
      <c r="M28" s="91">
        <f>IF(LEN(TRIM(H28))=0,0,LEN(TRIM(H28))-LEN(SUBSTITUTE(TRIM(H28)," ",""))+1)</f>
        <v/>
      </c>
      <c r="N28" s="91">
        <f>MAX(I28:M28)</f>
        <v/>
      </c>
    </row>
    <row r="29">
      <c r="A29" s="95" t="inlineStr">
        <is>
          <t>C13</t>
        </is>
      </c>
      <c r="B29" s="96" t="inlineStr">
        <is>
          <t>Present the Stats</t>
        </is>
      </c>
      <c r="C29" s="97" t="inlineStr">
        <is>
          <t>Data Driven</t>
        </is>
      </c>
      <c r="D29" s="98" t="inlineStr">
        <is>
          <t>Let's look at the actual numbers.</t>
        </is>
      </c>
      <c r="E29" s="98" t="inlineStr">
        <is>
          <t>The data tells a different story.</t>
        </is>
      </c>
      <c r="F29" s="98" t="inlineStr">
        <is>
          <t>Here's the chart. Explain this line.</t>
        </is>
      </c>
      <c r="G29" s="98" t="inlineStr">
        <is>
          <t>Facts don't care about talking points.</t>
        </is>
      </c>
      <c r="H29" s="98" t="inlineStr">
        <is>
          <t>The statistics speak for themselves.</t>
        </is>
      </c>
      <c r="I29" s="95">
        <f>IF(LEN(TRIM(D29))=0,0,LEN(TRIM(D29))-LEN(SUBSTITUTE(TRIM(D29)," ",""))+1)</f>
        <v/>
      </c>
      <c r="J29" s="95">
        <f>IF(LEN(TRIM(E29))=0,0,LEN(TRIM(E29))-LEN(SUBSTITUTE(TRIM(E29)," ",""))+1)</f>
        <v/>
      </c>
      <c r="K29" s="95">
        <f>IF(LEN(TRIM(F29))=0,0,LEN(TRIM(F29))-LEN(SUBSTITUTE(TRIM(F29)," ",""))+1)</f>
        <v/>
      </c>
      <c r="L29" s="95">
        <f>IF(LEN(TRIM(G29))=0,0,LEN(TRIM(G29))-LEN(SUBSTITUTE(TRIM(G29)," ",""))+1)</f>
        <v/>
      </c>
      <c r="M29" s="95">
        <f>IF(LEN(TRIM(H29))=0,0,LEN(TRIM(H29))-LEN(SUBSTITUTE(TRIM(H29)," ",""))+1)</f>
        <v/>
      </c>
      <c r="N29" s="95">
        <f>MAX(I29:M29)</f>
        <v/>
      </c>
    </row>
    <row r="30">
      <c r="A30" s="95" t="inlineStr">
        <is>
          <t>C14</t>
        </is>
      </c>
      <c r="B30" s="96" t="inlineStr">
        <is>
          <t>Document Request</t>
        </is>
      </c>
      <c r="C30" s="97" t="inlineStr">
        <is>
          <t>Data Driven</t>
        </is>
      </c>
      <c r="D30" s="98" t="inlineStr">
        <is>
          <t>I'd like the full report on the record.</t>
        </is>
      </c>
      <c r="E30" s="98" t="inlineStr">
        <is>
          <t>Please submit the original documents.</t>
        </is>
      </c>
      <c r="F30" s="98" t="inlineStr">
        <is>
          <t>Show us the paperwork, please.</t>
        </is>
      </c>
      <c r="G30" s="98" t="inlineStr">
        <is>
          <t>We request all related correspondence.</t>
        </is>
      </c>
      <c r="H30" s="98" t="inlineStr">
        <is>
          <t>Produce the receipts, please.</t>
        </is>
      </c>
      <c r="I30" s="95">
        <f>IF(LEN(TRIM(D30))=0,0,LEN(TRIM(D30))-LEN(SUBSTITUTE(TRIM(D30)," ",""))+1)</f>
        <v/>
      </c>
      <c r="J30" s="95">
        <f>IF(LEN(TRIM(E30))=0,0,LEN(TRIM(E30))-LEN(SUBSTITUTE(TRIM(E30)," ",""))+1)</f>
        <v/>
      </c>
      <c r="K30" s="95">
        <f>IF(LEN(TRIM(F30))=0,0,LEN(TRIM(F30))-LEN(SUBSTITUTE(TRIM(F30)," ",""))+1)</f>
        <v/>
      </c>
      <c r="L30" s="95">
        <f>IF(LEN(TRIM(G30))=0,0,LEN(TRIM(G30))-LEN(SUBSTITUTE(TRIM(G30)," ",""))+1)</f>
        <v/>
      </c>
      <c r="M30" s="95">
        <f>IF(LEN(TRIM(H30))=0,0,LEN(TRIM(H30))-LEN(SUBSTITUTE(TRIM(H30)," ",""))+1)</f>
        <v/>
      </c>
      <c r="N30" s="95">
        <f>MAX(I30:M30)</f>
        <v/>
      </c>
    </row>
    <row r="31">
      <c r="A31" s="95" t="inlineStr">
        <is>
          <t>C15</t>
        </is>
      </c>
      <c r="B31" s="96" t="inlineStr">
        <is>
          <t>Pursue the Contradiction</t>
        </is>
      </c>
      <c r="C31" s="97" t="inlineStr">
        <is>
          <t>Data Driven</t>
        </is>
      </c>
      <c r="D31" s="98" t="inlineStr">
        <is>
          <t>Which is it? You can't have both.</t>
        </is>
      </c>
      <c r="E31" s="98" t="inlineStr">
        <is>
          <t>Your position contradicts itself.</t>
        </is>
      </c>
      <c r="F31" s="98" t="inlineStr">
        <is>
          <t>You're arguing both sides of this.</t>
        </is>
      </c>
      <c r="G31" s="98" t="inlineStr">
        <is>
          <t>Your words and your plan don't match.</t>
        </is>
      </c>
      <c r="H31" s="98" t="inlineStr">
        <is>
          <t>Pick one position and defend it.</t>
        </is>
      </c>
      <c r="I31" s="95">
        <f>IF(LEN(TRIM(D31))=0,0,LEN(TRIM(D31))-LEN(SUBSTITUTE(TRIM(D31)," ",""))+1)</f>
        <v/>
      </c>
      <c r="J31" s="95">
        <f>IF(LEN(TRIM(E31))=0,0,LEN(TRIM(E31))-LEN(SUBSTITUTE(TRIM(E31)," ",""))+1)</f>
        <v/>
      </c>
      <c r="K31" s="95">
        <f>IF(LEN(TRIM(F31))=0,0,LEN(TRIM(F31))-LEN(SUBSTITUTE(TRIM(F31)," ",""))+1)</f>
        <v/>
      </c>
      <c r="L31" s="95">
        <f>IF(LEN(TRIM(G31))=0,0,LEN(TRIM(G31))-LEN(SUBSTITUTE(TRIM(G31)," ",""))+1)</f>
        <v/>
      </c>
      <c r="M31" s="95">
        <f>IF(LEN(TRIM(H31))=0,0,LEN(TRIM(H31))-LEN(SUBSTITUTE(TRIM(H31)," ",""))+1)</f>
        <v/>
      </c>
      <c r="N31" s="95">
        <f>MAX(I31:M31)</f>
        <v/>
      </c>
    </row>
    <row r="32">
      <c r="A32" s="95" t="inlineStr">
        <is>
          <t>C16</t>
        </is>
      </c>
      <c r="B32" s="96" t="inlineStr">
        <is>
          <t>Table the White Paper</t>
        </is>
      </c>
      <c r="C32" s="97" t="inlineStr">
        <is>
          <t>Data Driven</t>
        </is>
      </c>
      <c r="D32" s="98" t="inlineStr">
        <is>
          <t>Two hundred pages of evidence. Read them.</t>
        </is>
      </c>
      <c r="E32" s="98" t="inlineStr">
        <is>
          <t>Our findings are published. Refute them.</t>
        </is>
      </c>
      <c r="F32" s="98" t="inlineStr">
        <is>
          <t>Every claim here is sourced and verified.</t>
        </is>
      </c>
      <c r="G32" s="98" t="inlineStr">
        <is>
          <t>This white paper answers your question.</t>
        </is>
      </c>
      <c r="H32" s="98" t="inlineStr">
        <is>
          <t>The research is thorough. The case is closed.</t>
        </is>
      </c>
      <c r="I32" s="95">
        <f>IF(LEN(TRIM(D32))=0,0,LEN(TRIM(D32))-LEN(SUBSTITUTE(TRIM(D32)," ",""))+1)</f>
        <v/>
      </c>
      <c r="J32" s="95">
        <f>IF(LEN(TRIM(E32))=0,0,LEN(TRIM(E32))-LEN(SUBSTITUTE(TRIM(E32)," ",""))+1)</f>
        <v/>
      </c>
      <c r="K32" s="95">
        <f>IF(LEN(TRIM(F32))=0,0,LEN(TRIM(F32))-LEN(SUBSTITUTE(TRIM(F32)," ",""))+1)</f>
        <v/>
      </c>
      <c r="L32" s="95">
        <f>IF(LEN(TRIM(G32))=0,0,LEN(TRIM(G32))-LEN(SUBSTITUTE(TRIM(G32)," ",""))+1)</f>
        <v/>
      </c>
      <c r="M32" s="95">
        <f>IF(LEN(TRIM(H32))=0,0,LEN(TRIM(H32))-LEN(SUBSTITUTE(TRIM(H32)," ",""))+1)</f>
        <v/>
      </c>
      <c r="N32" s="95">
        <f>MAX(I32:M32)</f>
        <v/>
      </c>
    </row>
    <row r="33">
      <c r="A33" s="95" t="inlineStr">
        <is>
          <t>C40</t>
        </is>
      </c>
      <c r="B33" s="96" t="inlineStr">
        <is>
          <t>Question the Funding</t>
        </is>
      </c>
      <c r="C33" s="97" t="inlineStr">
        <is>
          <t>Data Driven</t>
        </is>
      </c>
      <c r="D33" s="98" t="inlineStr">
        <is>
          <t>Who pays for this proposal?</t>
        </is>
      </c>
      <c r="E33" s="98" t="inlineStr">
        <is>
          <t>Follow the donations, and it all makes sense.</t>
        </is>
      </c>
      <c r="F33" s="98" t="inlineStr">
        <is>
          <t>Where does this money actually come from?</t>
        </is>
      </c>
      <c r="G33" s="98" t="inlineStr">
        <is>
          <t>Who benefits most? Follow that thread.</t>
        </is>
      </c>
      <c r="H33" s="98" t="inlineStr">
        <is>
          <t>Disclose the funding, and we'll talk.</t>
        </is>
      </c>
      <c r="I33" s="95">
        <f>IF(LEN(TRIM(D33))=0,0,LEN(TRIM(D33))-LEN(SUBSTITUTE(TRIM(D33)," ",""))+1)</f>
        <v/>
      </c>
      <c r="J33" s="95">
        <f>IF(LEN(TRIM(E33))=0,0,LEN(TRIM(E33))-LEN(SUBSTITUTE(TRIM(E33)," ",""))+1)</f>
        <v/>
      </c>
      <c r="K33" s="95">
        <f>IF(LEN(TRIM(F33))=0,0,LEN(TRIM(F33))-LEN(SUBSTITUTE(TRIM(F33)," ",""))+1)</f>
        <v/>
      </c>
      <c r="L33" s="95">
        <f>IF(LEN(TRIM(G33))=0,0,LEN(TRIM(G33))-LEN(SUBSTITUTE(TRIM(G33)," ",""))+1)</f>
        <v/>
      </c>
      <c r="M33" s="95">
        <f>IF(LEN(TRIM(H33))=0,0,LEN(TRIM(H33))-LEN(SUBSTITUTE(TRIM(H33)," ",""))+1)</f>
        <v/>
      </c>
      <c r="N33" s="95">
        <f>MAX(I33:M33)</f>
        <v/>
      </c>
    </row>
    <row r="34">
      <c r="A34" s="95" t="inlineStr">
        <is>
          <t>C41</t>
        </is>
      </c>
      <c r="B34" s="96" t="inlineStr">
        <is>
          <t>Set the Record Straight</t>
        </is>
      </c>
      <c r="C34" s="97" t="inlineStr">
        <is>
          <t>Data Driven</t>
        </is>
      </c>
      <c r="D34" s="98" t="inlineStr">
        <is>
          <t>Allow me to correct the record.</t>
        </is>
      </c>
      <c r="E34" s="98" t="inlineStr">
        <is>
          <t>For accuracy, here are the real figures.</t>
        </is>
      </c>
      <c r="F34" s="98" t="inlineStr">
        <is>
          <t>Let's clear up a misunderstanding.</t>
        </is>
      </c>
      <c r="G34" s="98" t="inlineStr">
        <is>
          <t>The facts, plainly stated, are these.</t>
        </is>
      </c>
      <c r="H34" s="98" t="inlineStr">
        <is>
          <t>Precision matters. Here's the accurate version.</t>
        </is>
      </c>
      <c r="I34" s="95">
        <f>IF(LEN(TRIM(D34))=0,0,LEN(TRIM(D34))-LEN(SUBSTITUTE(TRIM(D34)," ",""))+1)</f>
        <v/>
      </c>
      <c r="J34" s="95">
        <f>IF(LEN(TRIM(E34))=0,0,LEN(TRIM(E34))-LEN(SUBSTITUTE(TRIM(E34)," ",""))+1)</f>
        <v/>
      </c>
      <c r="K34" s="95">
        <f>IF(LEN(TRIM(F34))=0,0,LEN(TRIM(F34))-LEN(SUBSTITUTE(TRIM(F34)," ",""))+1)</f>
        <v/>
      </c>
      <c r="L34" s="95">
        <f>IF(LEN(TRIM(G34))=0,0,LEN(TRIM(G34))-LEN(SUBSTITUTE(TRIM(G34)," ",""))+1)</f>
        <v/>
      </c>
      <c r="M34" s="95">
        <f>IF(LEN(TRIM(H34))=0,0,LEN(TRIM(H34))-LEN(SUBSTITUTE(TRIM(H34)," ",""))+1)</f>
        <v/>
      </c>
      <c r="N34" s="95">
        <f>MAX(I34:M34)</f>
        <v/>
      </c>
    </row>
    <row r="35">
      <c r="A35" s="95" t="inlineStr">
        <is>
          <t>C42</t>
        </is>
      </c>
      <c r="B35" s="96" t="inlineStr">
        <is>
          <t>Press for a Straight Answer</t>
        </is>
      </c>
      <c r="C35" s="97" t="inlineStr">
        <is>
          <t>Data Driven</t>
        </is>
      </c>
      <c r="D35" s="98" t="inlineStr">
        <is>
          <t>Yes or no? It's a simple question.</t>
        </is>
      </c>
      <c r="E35" s="98" t="inlineStr">
        <is>
          <t>Answer the question, please.</t>
        </is>
      </c>
      <c r="F35" s="98" t="inlineStr">
        <is>
          <t>A simple question: will you commit?</t>
        </is>
      </c>
      <c r="G35" s="98" t="inlineStr">
        <is>
          <t>Lots of words. No answer.</t>
        </is>
      </c>
      <c r="H35" s="98" t="inlineStr">
        <is>
          <t>Stop dodging and answer plainly.</t>
        </is>
      </c>
      <c r="I35" s="95">
        <f>IF(LEN(TRIM(D35))=0,0,LEN(TRIM(D35))-LEN(SUBSTITUTE(TRIM(D35)," ",""))+1)</f>
        <v/>
      </c>
      <c r="J35" s="95">
        <f>IF(LEN(TRIM(E35))=0,0,LEN(TRIM(E35))-LEN(SUBSTITUTE(TRIM(E35)," ",""))+1)</f>
        <v/>
      </c>
      <c r="K35" s="95">
        <f>IF(LEN(TRIM(F35))=0,0,LEN(TRIM(F35))-LEN(SUBSTITUTE(TRIM(F35)," ",""))+1)</f>
        <v/>
      </c>
      <c r="L35" s="95">
        <f>IF(LEN(TRIM(G35))=0,0,LEN(TRIM(G35))-LEN(SUBSTITUTE(TRIM(G35)," ",""))+1)</f>
        <v/>
      </c>
      <c r="M35" s="95">
        <f>IF(LEN(TRIM(H35))=0,0,LEN(TRIM(H35))-LEN(SUBSTITUTE(TRIM(H35)," ",""))+1)</f>
        <v/>
      </c>
      <c r="N35" s="95">
        <f>MAX(I35:M35)</f>
        <v/>
      </c>
    </row>
    <row r="36">
      <c r="A36" s="95" t="inlineStr">
        <is>
          <t>C43</t>
        </is>
      </c>
      <c r="B36" s="96" t="inlineStr">
        <is>
          <t>Check Their Facts</t>
        </is>
      </c>
      <c r="C36" s="97" t="inlineStr">
        <is>
          <t>Data Driven</t>
        </is>
      </c>
      <c r="D36" s="98" t="inlineStr">
        <is>
          <t>Source, please?</t>
        </is>
      </c>
      <c r="E36" s="98" t="inlineStr">
        <is>
          <t>Where's your evidence?</t>
        </is>
      </c>
      <c r="F36" s="98" t="inlineStr">
        <is>
          <t>Speak with facts, not guesses.</t>
        </is>
      </c>
      <c r="G36" s="98" t="inlineStr">
        <is>
          <t>Facts, not feelings, please.</t>
        </is>
      </c>
      <c r="H36" s="98" t="inlineStr">
        <is>
          <t>Let's verify that, shall we?</t>
        </is>
      </c>
      <c r="I36" s="95">
        <f>IF(LEN(TRIM(D36))=0,0,LEN(TRIM(D36))-LEN(SUBSTITUTE(TRIM(D36)," ",""))+1)</f>
        <v/>
      </c>
      <c r="J36" s="95">
        <f>IF(LEN(TRIM(E36))=0,0,LEN(TRIM(E36))-LEN(SUBSTITUTE(TRIM(E36)," ",""))+1)</f>
        <v/>
      </c>
      <c r="K36" s="95">
        <f>IF(LEN(TRIM(F36))=0,0,LEN(TRIM(F36))-LEN(SUBSTITUTE(TRIM(F36)," ",""))+1)</f>
        <v/>
      </c>
      <c r="L36" s="95">
        <f>IF(LEN(TRIM(G36))=0,0,LEN(TRIM(G36))-LEN(SUBSTITUTE(TRIM(G36)," ",""))+1)</f>
        <v/>
      </c>
      <c r="M36" s="95">
        <f>IF(LEN(TRIM(H36))=0,0,LEN(TRIM(H36))-LEN(SUBSTITUTE(TRIM(H36)," ",""))+1)</f>
        <v/>
      </c>
      <c r="N36" s="95">
        <f>MAX(I36:M36)</f>
        <v/>
      </c>
    </row>
    <row r="37">
      <c r="A37" s="95" t="inlineStr">
        <is>
          <t>C44</t>
        </is>
      </c>
      <c r="B37" s="96" t="inlineStr">
        <is>
          <t>Demand an Outside Review</t>
        </is>
      </c>
      <c r="C37" s="97" t="inlineStr">
        <is>
          <t>Data Driven</t>
        </is>
      </c>
      <c r="D37" s="98" t="inlineStr">
        <is>
          <t>Let an independent panel decide.</t>
        </is>
      </c>
      <c r="E37" s="98" t="inlineStr">
        <is>
          <t>If you're innocent, welcome the inquiry.</t>
        </is>
      </c>
      <c r="F37" s="98" t="inlineStr">
        <is>
          <t>Bring in outside eyes on this.</t>
        </is>
      </c>
      <c r="G37" s="98" t="inlineStr">
        <is>
          <t>Why fear an audit if nothing's wrong?</t>
        </is>
      </c>
      <c r="H37" s="98" t="inlineStr">
        <is>
          <t>Only an impartial investigator can settle this.</t>
        </is>
      </c>
      <c r="I37" s="95">
        <f>IF(LEN(TRIM(D37))=0,0,LEN(TRIM(D37))-LEN(SUBSTITUTE(TRIM(D37)," ",""))+1)</f>
        <v/>
      </c>
      <c r="J37" s="95">
        <f>IF(LEN(TRIM(E37))=0,0,LEN(TRIM(E37))-LEN(SUBSTITUTE(TRIM(E37)," ",""))+1)</f>
        <v/>
      </c>
      <c r="K37" s="95">
        <f>IF(LEN(TRIM(F37))=0,0,LEN(TRIM(F37))-LEN(SUBSTITUTE(TRIM(F37)," ",""))+1)</f>
        <v/>
      </c>
      <c r="L37" s="95">
        <f>IF(LEN(TRIM(G37))=0,0,LEN(TRIM(G37))-LEN(SUBSTITUTE(TRIM(G37)," ",""))+1)</f>
        <v/>
      </c>
      <c r="M37" s="95">
        <f>IF(LEN(TRIM(H37))=0,0,LEN(TRIM(H37))-LEN(SUBSTITUTE(TRIM(H37)," ",""))+1)</f>
        <v/>
      </c>
      <c r="N37" s="95">
        <f>MAX(I37:M37)</f>
        <v/>
      </c>
    </row>
    <row r="38">
      <c r="A38" s="99" t="inlineStr">
        <is>
          <t>C17</t>
        </is>
      </c>
      <c r="B38" s="100" t="inlineStr">
        <is>
          <t>Labeling</t>
        </is>
      </c>
      <c r="C38" s="101" t="inlineStr">
        <is>
          <t>Divisive</t>
        </is>
      </c>
      <c r="D38" s="102" t="inlineStr">
        <is>
          <t>You are a shill for special interests!</t>
        </is>
      </c>
      <c r="E38" s="102" t="inlineStr">
        <is>
          <t>Typical out-of-touch elitist.</t>
        </is>
      </c>
      <c r="F38" s="102" t="inlineStr">
        <is>
          <t>A true radical, through and through.</t>
        </is>
      </c>
      <c r="G38" s="102" t="inlineStr">
        <is>
          <t>The establishment's favorite puppet.</t>
        </is>
      </c>
      <c r="H38" s="102" t="inlineStr">
        <is>
          <t>Another career politician, protecting their own.</t>
        </is>
      </c>
      <c r="I38" s="99">
        <f>IF(LEN(TRIM(D38))=0,0,LEN(TRIM(D38))-LEN(SUBSTITUTE(TRIM(D38)," ",""))+1)</f>
        <v/>
      </c>
      <c r="J38" s="99">
        <f>IF(LEN(TRIM(E38))=0,0,LEN(TRIM(E38))-LEN(SUBSTITUTE(TRIM(E38)," ",""))+1)</f>
        <v/>
      </c>
      <c r="K38" s="99">
        <f>IF(LEN(TRIM(F38))=0,0,LEN(TRIM(F38))-LEN(SUBSTITUTE(TRIM(F38)," ",""))+1)</f>
        <v/>
      </c>
      <c r="L38" s="99">
        <f>IF(LEN(TRIM(G38))=0,0,LEN(TRIM(G38))-LEN(SUBSTITUTE(TRIM(G38)," ",""))+1)</f>
        <v/>
      </c>
      <c r="M38" s="99">
        <f>IF(LEN(TRIM(H38))=0,0,LEN(TRIM(H38))-LEN(SUBSTITUTE(TRIM(H38)," ",""))+1)</f>
        <v/>
      </c>
      <c r="N38" s="99">
        <f>MAX(I38:M38)</f>
        <v/>
      </c>
    </row>
    <row r="39">
      <c r="A39" s="99" t="inlineStr">
        <is>
          <t>C18</t>
        </is>
      </c>
      <c r="B39" s="100" t="inlineStr">
        <is>
          <t>Drawing Battle Lines</t>
        </is>
      </c>
      <c r="C39" s="101" t="inlineStr">
        <is>
          <t>Divisive</t>
        </is>
      </c>
      <c r="D39" s="102" t="inlineStr">
        <is>
          <t>There are two sides here. Pick one.</t>
        </is>
      </c>
      <c r="E39" s="102" t="inlineStr">
        <is>
          <t>They stand for themselves. We stand for you.</t>
        </is>
      </c>
      <c r="F39" s="102" t="inlineStr">
        <is>
          <t>It's us against them, plain and simple.</t>
        </is>
      </c>
      <c r="G39" s="102" t="inlineStr">
        <is>
          <t>You're either with the people or against them.</t>
        </is>
      </c>
      <c r="H39" s="102" t="inlineStr">
        <is>
          <t>On one side, workers. On the other, them.</t>
        </is>
      </c>
      <c r="I39" s="99">
        <f>IF(LEN(TRIM(D39))=0,0,LEN(TRIM(D39))-LEN(SUBSTITUTE(TRIM(D39)," ",""))+1)</f>
        <v/>
      </c>
      <c r="J39" s="99">
        <f>IF(LEN(TRIM(E39))=0,0,LEN(TRIM(E39))-LEN(SUBSTITUTE(TRIM(E39)," ",""))+1)</f>
        <v/>
      </c>
      <c r="K39" s="99">
        <f>IF(LEN(TRIM(F39))=0,0,LEN(TRIM(F39))-LEN(SUBSTITUTE(TRIM(F39)," ",""))+1)</f>
        <v/>
      </c>
      <c r="L39" s="99">
        <f>IF(LEN(TRIM(G39))=0,0,LEN(TRIM(G39))-LEN(SUBSTITUTE(TRIM(G39)," ",""))+1)</f>
        <v/>
      </c>
      <c r="M39" s="99">
        <f>IF(LEN(TRIM(H39))=0,0,LEN(TRIM(H39))-LEN(SUBSTITUTE(TRIM(H39)," ",""))+1)</f>
        <v/>
      </c>
      <c r="N39" s="99">
        <f>MAX(I39:M39)</f>
        <v/>
      </c>
    </row>
    <row r="40">
      <c r="A40" s="99" t="inlineStr">
        <is>
          <t>C19</t>
        </is>
      </c>
      <c r="B40" s="100" t="inlineStr">
        <is>
          <t>Agitation</t>
        </is>
      </c>
      <c r="C40" s="101" t="inlineStr">
        <is>
          <t>Divisive</t>
        </is>
      </c>
      <c r="D40" s="102" t="inlineStr">
        <is>
          <t>They're taking what's yours. Will you let them?</t>
        </is>
      </c>
      <c r="E40" s="102" t="inlineStr">
        <is>
          <t>Wake up! They're laughing at you!</t>
        </is>
      </c>
      <c r="F40" s="102" t="inlineStr">
        <is>
          <t>They think you won't fight back.</t>
        </is>
      </c>
      <c r="G40" s="102" t="inlineStr">
        <is>
          <t>Your jobs, your homes. They want it all.</t>
        </is>
      </c>
      <c r="H40" s="102" t="inlineStr">
        <is>
          <t>Will you let them walk all over you?</t>
        </is>
      </c>
      <c r="I40" s="99">
        <f>IF(LEN(TRIM(D40))=0,0,LEN(TRIM(D40))-LEN(SUBSTITUTE(TRIM(D40)," ",""))+1)</f>
        <v/>
      </c>
      <c r="J40" s="99">
        <f>IF(LEN(TRIM(E40))=0,0,LEN(TRIM(E40))-LEN(SUBSTITUTE(TRIM(E40)," ",""))+1)</f>
        <v/>
      </c>
      <c r="K40" s="99">
        <f>IF(LEN(TRIM(F40))=0,0,LEN(TRIM(F40))-LEN(SUBSTITUTE(TRIM(F40)," ",""))+1)</f>
        <v/>
      </c>
      <c r="L40" s="99">
        <f>IF(LEN(TRIM(G40))=0,0,LEN(TRIM(G40))-LEN(SUBSTITUTE(TRIM(G40)," ",""))+1)</f>
        <v/>
      </c>
      <c r="M40" s="99">
        <f>IF(LEN(TRIM(H40))=0,0,LEN(TRIM(H40))-LEN(SUBSTITUTE(TRIM(H40)," ",""))+1)</f>
        <v/>
      </c>
      <c r="N40" s="99">
        <f>MAX(I40:M40)</f>
        <v/>
      </c>
    </row>
    <row r="41">
      <c r="A41" s="99" t="inlineStr">
        <is>
          <t>C20</t>
        </is>
      </c>
      <c r="B41" s="100" t="inlineStr">
        <is>
          <t>Loyalty Test</t>
        </is>
      </c>
      <c r="C41" s="101" t="inlineStr">
        <is>
          <t>Divisive</t>
        </is>
      </c>
      <c r="D41" s="102" t="inlineStr">
        <is>
          <t>Oppose this, and you're not one of us.</t>
        </is>
      </c>
      <c r="E41" s="102" t="inlineStr">
        <is>
          <t>Prove whose side you're really on.</t>
        </is>
      </c>
      <c r="F41" s="102" t="inlineStr">
        <is>
          <t>Step forward, or step aside.</t>
        </is>
      </c>
      <c r="G41" s="102" t="inlineStr">
        <is>
          <t>Your choice here shows your true colors.</t>
        </is>
      </c>
      <c r="H41" s="102" t="inlineStr">
        <is>
          <t>No fence-sitting. Choose.</t>
        </is>
      </c>
      <c r="I41" s="99">
        <f>IF(LEN(TRIM(D41))=0,0,LEN(TRIM(D41))-LEN(SUBSTITUTE(TRIM(D41)," ",""))+1)</f>
        <v/>
      </c>
      <c r="J41" s="99">
        <f>IF(LEN(TRIM(E41))=0,0,LEN(TRIM(E41))-LEN(SUBSTITUTE(TRIM(E41)," ",""))+1)</f>
        <v/>
      </c>
      <c r="K41" s="99">
        <f>IF(LEN(TRIM(F41))=0,0,LEN(TRIM(F41))-LEN(SUBSTITUTE(TRIM(F41)," ",""))+1)</f>
        <v/>
      </c>
      <c r="L41" s="99">
        <f>IF(LEN(TRIM(G41))=0,0,LEN(TRIM(G41))-LEN(SUBSTITUTE(TRIM(G41)," ",""))+1)</f>
        <v/>
      </c>
      <c r="M41" s="99">
        <f>IF(LEN(TRIM(H41))=0,0,LEN(TRIM(H41))-LEN(SUBSTITUTE(TRIM(H41)," ",""))+1)</f>
        <v/>
      </c>
      <c r="N41" s="99">
        <f>MAX(I41:M41)</f>
        <v/>
      </c>
    </row>
    <row r="42">
      <c r="A42" s="99" t="inlineStr">
        <is>
          <t>C45</t>
        </is>
      </c>
      <c r="B42" s="100" t="inlineStr">
        <is>
          <t>Name and Shame</t>
        </is>
      </c>
      <c r="C42" s="101" t="inlineStr">
        <is>
          <t>Divisive</t>
        </is>
      </c>
      <c r="D42" s="102" t="inlineStr">
        <is>
          <t>Everyone here should know your name.</t>
        </is>
      </c>
      <c r="E42" s="102" t="inlineStr">
        <is>
          <t>I'll say your name so people remember.</t>
        </is>
      </c>
      <c r="F42" s="102" t="inlineStr">
        <is>
          <t>Let the public judge what you stand for.</t>
        </is>
      </c>
      <c r="G42" s="102" t="inlineStr">
        <is>
          <t>Remember this face. Remember this name.</t>
        </is>
      </c>
      <c r="H42" s="102" t="inlineStr">
        <is>
          <t>Shame on you, and everyone should know it.</t>
        </is>
      </c>
      <c r="I42" s="99">
        <f>IF(LEN(TRIM(D42))=0,0,LEN(TRIM(D42))-LEN(SUBSTITUTE(TRIM(D42)," ",""))+1)</f>
        <v/>
      </c>
      <c r="J42" s="99">
        <f>IF(LEN(TRIM(E42))=0,0,LEN(TRIM(E42))-LEN(SUBSTITUTE(TRIM(E42)," ",""))+1)</f>
        <v/>
      </c>
      <c r="K42" s="99">
        <f>IF(LEN(TRIM(F42))=0,0,LEN(TRIM(F42))-LEN(SUBSTITUTE(TRIM(F42)," ",""))+1)</f>
        <v/>
      </c>
      <c r="L42" s="99">
        <f>IF(LEN(TRIM(G42))=0,0,LEN(TRIM(G42))-LEN(SUBSTITUTE(TRIM(G42)," ",""))+1)</f>
        <v/>
      </c>
      <c r="M42" s="99">
        <f>IF(LEN(TRIM(H42))=0,0,LEN(TRIM(H42))-LEN(SUBSTITUTE(TRIM(H42)," ",""))+1)</f>
        <v/>
      </c>
      <c r="N42" s="99">
        <f>MAX(I42:M42)</f>
        <v/>
      </c>
    </row>
    <row r="43">
      <c r="A43" s="99" t="inlineStr">
        <is>
          <t>C46</t>
        </is>
      </c>
      <c r="B43" s="100" t="inlineStr">
        <is>
          <t>Force the Choice</t>
        </is>
      </c>
      <c r="C43" s="101" t="inlineStr">
        <is>
          <t>Divisive</t>
        </is>
      </c>
      <c r="D43" s="102" t="inlineStr">
        <is>
          <t>Farmers or foreign interests. Choose.</t>
        </is>
      </c>
      <c r="E43" s="102" t="inlineStr">
        <is>
          <t>Yes or no. There is no middle.</t>
        </is>
      </c>
      <c r="F43" s="102" t="inlineStr">
        <is>
          <t>Either you back our workers, or you don't.</t>
        </is>
      </c>
      <c r="G43" s="102" t="inlineStr">
        <is>
          <t>You can't serve two masters. Choose one.</t>
        </is>
      </c>
      <c r="H43" s="102" t="inlineStr">
        <is>
          <t>Pick a side. The voters are watching.</t>
        </is>
      </c>
      <c r="I43" s="99">
        <f>IF(LEN(TRIM(D43))=0,0,LEN(TRIM(D43))-LEN(SUBSTITUTE(TRIM(D43)," ",""))+1)</f>
        <v/>
      </c>
      <c r="J43" s="99">
        <f>IF(LEN(TRIM(E43))=0,0,LEN(TRIM(E43))-LEN(SUBSTITUTE(TRIM(E43)," ",""))+1)</f>
        <v/>
      </c>
      <c r="K43" s="99">
        <f>IF(LEN(TRIM(F43))=0,0,LEN(TRIM(F43))-LEN(SUBSTITUTE(TRIM(F43)," ",""))+1)</f>
        <v/>
      </c>
      <c r="L43" s="99">
        <f>IF(LEN(TRIM(G43))=0,0,LEN(TRIM(G43))-LEN(SUBSTITUTE(TRIM(G43)," ",""))+1)</f>
        <v/>
      </c>
      <c r="M43" s="99">
        <f>IF(LEN(TRIM(H43))=0,0,LEN(TRIM(H43))-LEN(SUBSTITUTE(TRIM(H43)," ",""))+1)</f>
        <v/>
      </c>
      <c r="N43" s="99">
        <f>MAX(I43:M43)</f>
        <v/>
      </c>
    </row>
    <row r="44">
      <c r="A44" s="99" t="inlineStr">
        <is>
          <t>C47</t>
        </is>
      </c>
      <c r="B44" s="100" t="inlineStr">
        <is>
          <t>Question Their Loyalty</t>
        </is>
      </c>
      <c r="C44" s="101" t="inlineStr">
        <is>
          <t>Divisive</t>
        </is>
      </c>
      <c r="D44" s="102" t="inlineStr">
        <is>
          <t>Who do you really answer to?</t>
        </is>
      </c>
      <c r="E44" s="102" t="inlineStr">
        <is>
          <t>You sound more like them than us.</t>
        </is>
      </c>
      <c r="F44" s="102" t="inlineStr">
        <is>
          <t>Are you truly one of us?</t>
        </is>
      </c>
      <c r="G44" s="102" t="inlineStr">
        <is>
          <t>Some here forget who they serve.</t>
        </is>
      </c>
      <c r="H44" s="102" t="inlineStr">
        <is>
          <t>I wonder who's really writing your speeches.</t>
        </is>
      </c>
      <c r="I44" s="99">
        <f>IF(LEN(TRIM(D44))=0,0,LEN(TRIM(D44))-LEN(SUBSTITUTE(TRIM(D44)," ",""))+1)</f>
        <v/>
      </c>
      <c r="J44" s="99">
        <f>IF(LEN(TRIM(E44))=0,0,LEN(TRIM(E44))-LEN(SUBSTITUTE(TRIM(E44)," ",""))+1)</f>
        <v/>
      </c>
      <c r="K44" s="99">
        <f>IF(LEN(TRIM(F44))=0,0,LEN(TRIM(F44))-LEN(SUBSTITUTE(TRIM(F44)," ",""))+1)</f>
        <v/>
      </c>
      <c r="L44" s="99">
        <f>IF(LEN(TRIM(G44))=0,0,LEN(TRIM(G44))-LEN(SUBSTITUTE(TRIM(G44)," ",""))+1)</f>
        <v/>
      </c>
      <c r="M44" s="99">
        <f>IF(LEN(TRIM(H44))=0,0,LEN(TRIM(H44))-LEN(SUBSTITUTE(TRIM(H44)," ",""))+1)</f>
        <v/>
      </c>
      <c r="N44" s="99">
        <f>MAX(I44:M44)</f>
        <v/>
      </c>
    </row>
    <row r="45">
      <c r="A45" s="99" t="inlineStr">
        <is>
          <t>C48</t>
        </is>
      </c>
      <c r="B45" s="100" t="inlineStr">
        <is>
          <t>Media Appeal</t>
        </is>
      </c>
      <c r="C45" s="101" t="inlineStr">
        <is>
          <t>Divisive</t>
        </is>
      </c>
      <c r="D45" s="102" t="inlineStr">
        <is>
          <t>Let the whole country hear this.</t>
        </is>
      </c>
      <c r="E45" s="102" t="inlineStr">
        <is>
          <t>The public deserves to know this.</t>
        </is>
      </c>
      <c r="F45" s="102" t="inlineStr">
        <is>
          <t>Everyone should hear what they're hiding.</t>
        </is>
      </c>
      <c r="G45" s="102" t="inlineStr">
        <is>
          <t>Spread the word: they can't be trusted.</t>
        </is>
      </c>
      <c r="H45" s="102" t="inlineStr">
        <is>
          <t>Repeat this everywhere. Let people decide.</t>
        </is>
      </c>
      <c r="I45" s="99">
        <f>IF(LEN(TRIM(D45))=0,0,LEN(TRIM(D45))-LEN(SUBSTITUTE(TRIM(D45)," ",""))+1)</f>
        <v/>
      </c>
      <c r="J45" s="99">
        <f>IF(LEN(TRIM(E45))=0,0,LEN(TRIM(E45))-LEN(SUBSTITUTE(TRIM(E45)," ",""))+1)</f>
        <v/>
      </c>
      <c r="K45" s="99">
        <f>IF(LEN(TRIM(F45))=0,0,LEN(TRIM(F45))-LEN(SUBSTITUTE(TRIM(F45)," ",""))+1)</f>
        <v/>
      </c>
      <c r="L45" s="99">
        <f>IF(LEN(TRIM(G45))=0,0,LEN(TRIM(G45))-LEN(SUBSTITUTE(TRIM(G45)," ",""))+1)</f>
        <v/>
      </c>
      <c r="M45" s="99">
        <f>IF(LEN(TRIM(H45))=0,0,LEN(TRIM(H45))-LEN(SUBSTITUTE(TRIM(H45)," ",""))+1)</f>
        <v/>
      </c>
      <c r="N45" s="99">
        <f>MAX(I45:M45)</f>
        <v/>
      </c>
    </row>
    <row r="46">
      <c r="A46" s="99" t="inlineStr">
        <is>
          <t>C49</t>
        </is>
      </c>
      <c r="B46" s="100" t="inlineStr">
        <is>
          <t>Declare Them Unfit</t>
        </is>
      </c>
      <c r="C46" s="101" t="inlineStr">
        <is>
          <t>Divisive</t>
        </is>
      </c>
      <c r="D46" s="102" t="inlineStr">
        <is>
          <t>You are unfit to hold this office.</t>
        </is>
      </c>
      <c r="E46" s="102" t="inlineStr">
        <is>
          <t>You don't have the nation's confidence.</t>
        </is>
      </c>
      <c r="F46" s="102" t="inlineStr">
        <is>
          <t>Step aside for someone who can lead.</t>
        </is>
      </c>
      <c r="G46" s="102" t="inlineStr">
        <is>
          <t>You are failing the people you serve.</t>
        </is>
      </c>
      <c r="H46" s="102" t="inlineStr">
        <is>
          <t>Resign, and spare the country the shame.</t>
        </is>
      </c>
      <c r="I46" s="99">
        <f>IF(LEN(TRIM(D46))=0,0,LEN(TRIM(D46))-LEN(SUBSTITUTE(TRIM(D46)," ",""))+1)</f>
        <v/>
      </c>
      <c r="J46" s="99">
        <f>IF(LEN(TRIM(E46))=0,0,LEN(TRIM(E46))-LEN(SUBSTITUTE(TRIM(E46)," ",""))+1)</f>
        <v/>
      </c>
      <c r="K46" s="99">
        <f>IF(LEN(TRIM(F46))=0,0,LEN(TRIM(F46))-LEN(SUBSTITUTE(TRIM(F46)," ",""))+1)</f>
        <v/>
      </c>
      <c r="L46" s="99">
        <f>IF(LEN(TRIM(G46))=0,0,LEN(TRIM(G46))-LEN(SUBSTITUTE(TRIM(G46)," ",""))+1)</f>
        <v/>
      </c>
      <c r="M46" s="99">
        <f>IF(LEN(TRIM(H46))=0,0,LEN(TRIM(H46))-LEN(SUBSTITUTE(TRIM(H46)," ",""))+1)</f>
        <v/>
      </c>
      <c r="N46" s="99">
        <f>MAX(I46:M46)</f>
        <v/>
      </c>
    </row>
    <row r="47">
      <c r="A47" s="103" t="inlineStr">
        <is>
          <t>C21</t>
        </is>
      </c>
      <c r="B47" s="104" t="inlineStr">
        <is>
          <t>Iridescent Answer</t>
        </is>
      </c>
      <c r="C47" s="105" t="inlineStr">
        <is>
          <t>Duplicitous</t>
        </is>
      </c>
      <c r="D47" s="106" t="inlineStr">
        <is>
          <t>There's truth on every side of this.</t>
        </is>
      </c>
      <c r="E47" s="106" t="inlineStr">
        <is>
          <t>I support the spirit of both positions.</t>
        </is>
      </c>
      <c r="F47" s="106" t="inlineStr">
        <is>
          <t>It's complicated, and I respect all views.</t>
        </is>
      </c>
      <c r="G47" s="106" t="inlineStr">
        <is>
          <t>We'll find a balance that pleases everyone.</t>
        </is>
      </c>
      <c r="H47" s="106" t="inlineStr">
        <is>
          <t>I'm for progress, and also for caution.</t>
        </is>
      </c>
      <c r="I47" s="103">
        <f>IF(LEN(TRIM(D47))=0,0,LEN(TRIM(D47))-LEN(SUBSTITUTE(TRIM(D47)," ",""))+1)</f>
        <v/>
      </c>
      <c r="J47" s="103">
        <f>IF(LEN(TRIM(E47))=0,0,LEN(TRIM(E47))-LEN(SUBSTITUTE(TRIM(E47)," ",""))+1)</f>
        <v/>
      </c>
      <c r="K47" s="103">
        <f>IF(LEN(TRIM(F47))=0,0,LEN(TRIM(F47))-LEN(SUBSTITUTE(TRIM(F47)," ",""))+1)</f>
        <v/>
      </c>
      <c r="L47" s="103">
        <f>IF(LEN(TRIM(G47))=0,0,LEN(TRIM(G47))-LEN(SUBSTITUTE(TRIM(G47)," ",""))+1)</f>
        <v/>
      </c>
      <c r="M47" s="103">
        <f>IF(LEN(TRIM(H47))=0,0,LEN(TRIM(H47))-LEN(SUBSTITUTE(TRIM(H47)," ",""))+1)</f>
        <v/>
      </c>
      <c r="N47" s="103">
        <f>MAX(I47:M47)</f>
        <v/>
      </c>
    </row>
    <row r="48">
      <c r="A48" s="103" t="inlineStr">
        <is>
          <t>C22</t>
        </is>
      </c>
      <c r="B48" s="104" t="inlineStr">
        <is>
          <t>"I Have No Recollection"</t>
        </is>
      </c>
      <c r="C48" s="105" t="inlineStr">
        <is>
          <t>Duplicitous</t>
        </is>
      </c>
      <c r="D48" s="106" t="inlineStr">
        <is>
          <t>I have no recollection of that.</t>
        </is>
      </c>
      <c r="E48" s="106" t="inlineStr">
        <is>
          <t>I don't recall any such thing.</t>
        </is>
      </c>
      <c r="F48" s="106" t="inlineStr">
        <is>
          <t>That doesn't ring a bell.</t>
        </is>
      </c>
      <c r="G48" s="106" t="inlineStr">
        <is>
          <t>I can neither confirm nor deny that.</t>
        </is>
      </c>
      <c r="H48" s="106" t="inlineStr">
        <is>
          <t>I'd have to check my calendar.</t>
        </is>
      </c>
      <c r="I48" s="103">
        <f>IF(LEN(TRIM(D48))=0,0,LEN(TRIM(D48))-LEN(SUBSTITUTE(TRIM(D48)," ",""))+1)</f>
        <v/>
      </c>
      <c r="J48" s="103">
        <f>IF(LEN(TRIM(E48))=0,0,LEN(TRIM(E48))-LEN(SUBSTITUTE(TRIM(E48)," ",""))+1)</f>
        <v/>
      </c>
      <c r="K48" s="103">
        <f>IF(LEN(TRIM(F48))=0,0,LEN(TRIM(F48))-LEN(SUBSTITUTE(TRIM(F48)," ",""))+1)</f>
        <v/>
      </c>
      <c r="L48" s="103">
        <f>IF(LEN(TRIM(G48))=0,0,LEN(TRIM(G48))-LEN(SUBSTITUTE(TRIM(G48)," ",""))+1)</f>
        <v/>
      </c>
      <c r="M48" s="103">
        <f>IF(LEN(TRIM(H48))=0,0,LEN(TRIM(H48))-LEN(SUBSTITUTE(TRIM(H48)," ",""))+1)</f>
        <v/>
      </c>
      <c r="N48" s="103">
        <f>MAX(I48:M48)</f>
        <v/>
      </c>
    </row>
    <row r="49">
      <c r="A49" s="103" t="inlineStr">
        <is>
          <t>C23</t>
        </is>
      </c>
      <c r="B49" s="104" t="inlineStr">
        <is>
          <t>Shifting the Issue</t>
        </is>
      </c>
      <c r="C49" s="105" t="inlineStr">
        <is>
          <t>Duplicitous</t>
        </is>
      </c>
      <c r="D49" s="106" t="inlineStr">
        <is>
          <t>The real question is why you're asking.</t>
        </is>
      </c>
      <c r="E49" s="106" t="inlineStr">
        <is>
          <t>Let's talk about what really matters.</t>
        </is>
      </c>
      <c r="F49" s="106" t="inlineStr">
        <is>
          <t>That's a distraction from the actual issue.</t>
        </is>
      </c>
      <c r="G49" s="106" t="inlineStr">
        <is>
          <t>Interesting, but consider the bigger picture.</t>
        </is>
      </c>
      <c r="H49" s="106" t="inlineStr">
        <is>
          <t>Why not ask them the same question?</t>
        </is>
      </c>
      <c r="I49" s="103">
        <f>IF(LEN(TRIM(D49))=0,0,LEN(TRIM(D49))-LEN(SUBSTITUTE(TRIM(D49)," ",""))+1)</f>
        <v/>
      </c>
      <c r="J49" s="103">
        <f>IF(LEN(TRIM(E49))=0,0,LEN(TRIM(E49))-LEN(SUBSTITUTE(TRIM(E49)," ",""))+1)</f>
        <v/>
      </c>
      <c r="K49" s="103">
        <f>IF(LEN(TRIM(F49))=0,0,LEN(TRIM(F49))-LEN(SUBSTITUTE(TRIM(F49)," ",""))+1)</f>
        <v/>
      </c>
      <c r="L49" s="103">
        <f>IF(LEN(TRIM(G49))=0,0,LEN(TRIM(G49))-LEN(SUBSTITUTE(TRIM(G49)," ",""))+1)</f>
        <v/>
      </c>
      <c r="M49" s="103">
        <f>IF(LEN(TRIM(H49))=0,0,LEN(TRIM(H49))-LEN(SUBSTITUTE(TRIM(H49)," ",""))+1)</f>
        <v/>
      </c>
      <c r="N49" s="103">
        <f>MAX(I49:M49)</f>
        <v/>
      </c>
    </row>
    <row r="50">
      <c r="A50" s="103" t="inlineStr">
        <is>
          <t>C24</t>
        </is>
      </c>
      <c r="B50" s="104" t="inlineStr">
        <is>
          <t>Offer a Quiet Assurance</t>
        </is>
      </c>
      <c r="C50" s="105" t="inlineStr">
        <is>
          <t>Duplicitous</t>
        </is>
      </c>
      <c r="D50" s="106" t="inlineStr">
        <is>
          <t>Rest assured, you'll be taken care of.</t>
        </is>
      </c>
      <c r="E50" s="106" t="inlineStr">
        <is>
          <t>Nothing in writing, but consider it done.</t>
        </is>
      </c>
      <c r="F50" s="106" t="inlineStr">
        <is>
          <t>Let's just say your concerns are understood.</t>
        </is>
      </c>
      <c r="G50" s="106" t="inlineStr">
        <is>
          <t>Support me, and I'll remember it.</t>
        </is>
      </c>
      <c r="H50" s="106" t="inlineStr">
        <is>
          <t>My friends are well looked after.</t>
        </is>
      </c>
      <c r="I50" s="103">
        <f>IF(LEN(TRIM(D50))=0,0,LEN(TRIM(D50))-LEN(SUBSTITUTE(TRIM(D50)," ",""))+1)</f>
        <v/>
      </c>
      <c r="J50" s="103">
        <f>IF(LEN(TRIM(E50))=0,0,LEN(TRIM(E50))-LEN(SUBSTITUTE(TRIM(E50)," ",""))+1)</f>
        <v/>
      </c>
      <c r="K50" s="103">
        <f>IF(LEN(TRIM(F50))=0,0,LEN(TRIM(F50))-LEN(SUBSTITUTE(TRIM(F50)," ",""))+1)</f>
        <v/>
      </c>
      <c r="L50" s="103">
        <f>IF(LEN(TRIM(G50))=0,0,LEN(TRIM(G50))-LEN(SUBSTITUTE(TRIM(G50)," ",""))+1)</f>
        <v/>
      </c>
      <c r="M50" s="103">
        <f>IF(LEN(TRIM(H50))=0,0,LEN(TRIM(H50))-LEN(SUBSTITUTE(TRIM(H50)," ",""))+1)</f>
        <v/>
      </c>
      <c r="N50" s="103">
        <f>MAX(I50:M50)</f>
        <v/>
      </c>
    </row>
    <row r="51">
      <c r="A51" s="103" t="inlineStr">
        <is>
          <t>C50</t>
        </is>
      </c>
      <c r="B51" s="104" t="inlineStr">
        <is>
          <t>Take It Under Advisement</t>
        </is>
      </c>
      <c r="C51" s="105" t="inlineStr">
        <is>
          <t>Duplicitous</t>
        </is>
      </c>
      <c r="D51" s="106" t="inlineStr">
        <is>
          <t>We will consider that positively.</t>
        </is>
      </c>
      <c r="E51" s="106" t="inlineStr">
        <is>
          <t>I'll take it under advisement.</t>
        </is>
      </c>
      <c r="F51" s="106" t="inlineStr">
        <is>
          <t>That matter is under review.</t>
        </is>
      </c>
      <c r="G51" s="106" t="inlineStr">
        <is>
          <t>We're studying all options carefully.</t>
        </is>
      </c>
      <c r="H51" s="106" t="inlineStr">
        <is>
          <t>A committee will look into it.</t>
        </is>
      </c>
      <c r="I51" s="103">
        <f>IF(LEN(TRIM(D51))=0,0,LEN(TRIM(D51))-LEN(SUBSTITUTE(TRIM(D51)," ",""))+1)</f>
        <v/>
      </c>
      <c r="J51" s="103">
        <f>IF(LEN(TRIM(E51))=0,0,LEN(TRIM(E51))-LEN(SUBSTITUTE(TRIM(E51)," ",""))+1)</f>
        <v/>
      </c>
      <c r="K51" s="103">
        <f>IF(LEN(TRIM(F51))=0,0,LEN(TRIM(F51))-LEN(SUBSTITUTE(TRIM(F51)," ",""))+1)</f>
        <v/>
      </c>
      <c r="L51" s="103">
        <f>IF(LEN(TRIM(G51))=0,0,LEN(TRIM(G51))-LEN(SUBSTITUTE(TRIM(G51)," ",""))+1)</f>
        <v/>
      </c>
      <c r="M51" s="103">
        <f>IF(LEN(TRIM(H51))=0,0,LEN(TRIM(H51))-LEN(SUBSTITUTE(TRIM(H51)," ",""))+1)</f>
        <v/>
      </c>
      <c r="N51" s="103">
        <f>MAX(I51:M51)</f>
        <v/>
      </c>
    </row>
    <row r="52">
      <c r="A52" s="103" t="inlineStr">
        <is>
          <t>C51</t>
        </is>
      </c>
      <c r="B52" s="104" t="inlineStr">
        <is>
          <t>Feed the Press a Line</t>
        </is>
      </c>
      <c r="C52" s="105" t="inlineStr">
        <is>
          <t>Duplicitous</t>
        </is>
      </c>
      <c r="D52" s="106" t="inlineStr">
        <is>
          <t>Look closer at their expenses. Trust me.</t>
        </is>
      </c>
      <c r="E52" s="106" t="inlineStr">
        <is>
          <t>You didn't hear it from me, but...</t>
        </is>
      </c>
      <c r="F52" s="106" t="inlineStr">
        <is>
          <t>Ask them about their friends in business.</t>
        </is>
      </c>
      <c r="G52" s="106" t="inlineStr">
        <is>
          <t>There's more to this story. Keep digging.</t>
        </is>
      </c>
      <c r="H52" s="106" t="inlineStr">
        <is>
          <t>I'd look into that, if I were you.</t>
        </is>
      </c>
      <c r="I52" s="103">
        <f>IF(LEN(TRIM(D52))=0,0,LEN(TRIM(D52))-LEN(SUBSTITUTE(TRIM(D52)," ",""))+1)</f>
        <v/>
      </c>
      <c r="J52" s="103">
        <f>IF(LEN(TRIM(E52))=0,0,LEN(TRIM(E52))-LEN(SUBSTITUTE(TRIM(E52)," ",""))+1)</f>
        <v/>
      </c>
      <c r="K52" s="103">
        <f>IF(LEN(TRIM(F52))=0,0,LEN(TRIM(F52))-LEN(SUBSTITUTE(TRIM(F52)," ",""))+1)</f>
        <v/>
      </c>
      <c r="L52" s="103">
        <f>IF(LEN(TRIM(G52))=0,0,LEN(TRIM(G52))-LEN(SUBSTITUTE(TRIM(G52)," ",""))+1)</f>
        <v/>
      </c>
      <c r="M52" s="103">
        <f>IF(LEN(TRIM(H52))=0,0,LEN(TRIM(H52))-LEN(SUBSTITUTE(TRIM(H52)," ",""))+1)</f>
        <v/>
      </c>
      <c r="N52" s="103">
        <f>MAX(I52:M52)</f>
        <v/>
      </c>
    </row>
    <row r="53">
      <c r="A53" s="103" t="inlineStr">
        <is>
          <t>C52</t>
        </is>
      </c>
      <c r="B53" s="104" t="inlineStr">
        <is>
          <t>Drown Them in Detail</t>
        </is>
      </c>
      <c r="C53" s="105" t="inlineStr">
        <is>
          <t>Duplicitous</t>
        </is>
      </c>
      <c r="D53" s="106" t="inlineStr">
        <is>
          <t>Per subsection four, paragraph two, clause B...</t>
        </is>
      </c>
      <c r="E53" s="106" t="inlineStr">
        <is>
          <t>As outlined in appendix nine, footnote thirty...</t>
        </is>
      </c>
      <c r="F53" s="106" t="inlineStr">
        <is>
          <t>It depends on seventeen interlocking variables.</t>
        </is>
      </c>
      <c r="G53" s="106" t="inlineStr">
        <is>
          <t>The technical framework is quite involved, actually.</t>
        </is>
      </c>
      <c r="H53" s="106" t="inlineStr">
        <is>
          <t>Let me walk you through all forty provisions.</t>
        </is>
      </c>
      <c r="I53" s="103">
        <f>IF(LEN(TRIM(D53))=0,0,LEN(TRIM(D53))-LEN(SUBSTITUTE(TRIM(D53)," ",""))+1)</f>
        <v/>
      </c>
      <c r="J53" s="103">
        <f>IF(LEN(TRIM(E53))=0,0,LEN(TRIM(E53))-LEN(SUBSTITUTE(TRIM(E53)," ",""))+1)</f>
        <v/>
      </c>
      <c r="K53" s="103">
        <f>IF(LEN(TRIM(F53))=0,0,LEN(TRIM(F53))-LEN(SUBSTITUTE(TRIM(F53)," ",""))+1)</f>
        <v/>
      </c>
      <c r="L53" s="103">
        <f>IF(LEN(TRIM(G53))=0,0,LEN(TRIM(G53))-LEN(SUBSTITUTE(TRIM(G53)," ",""))+1)</f>
        <v/>
      </c>
      <c r="M53" s="103">
        <f>IF(LEN(TRIM(H53))=0,0,LEN(TRIM(H53))-LEN(SUBSTITUTE(TRIM(H53)," ",""))+1)</f>
        <v/>
      </c>
      <c r="N53" s="103">
        <f>MAX(I53:M53)</f>
        <v/>
      </c>
    </row>
    <row r="54">
      <c r="A54" s="103" t="inlineStr">
        <is>
          <t>C53</t>
        </is>
      </c>
      <c r="B54" s="104" t="inlineStr">
        <is>
          <t>Tell the Room What It Wants</t>
        </is>
      </c>
      <c r="C54" s="105" t="inlineStr">
        <is>
          <t>Duplicitous</t>
        </is>
      </c>
      <c r="D54" s="106" t="inlineStr">
        <is>
          <t>Of course I'm with you on this.</t>
        </is>
      </c>
      <c r="E54" s="106" t="inlineStr">
        <is>
          <t>You and I see this exactly the same.</t>
        </is>
      </c>
      <c r="F54" s="106" t="inlineStr">
        <is>
          <t>I champion your cause, wholeheartedly.</t>
        </is>
      </c>
      <c r="G54" s="106" t="inlineStr">
        <is>
          <t>Your concerns are my top priority.</t>
        </is>
      </c>
      <c r="H54" s="106" t="inlineStr">
        <is>
          <t>Nobody fights harder for people like you.</t>
        </is>
      </c>
      <c r="I54" s="103">
        <f>IF(LEN(TRIM(D54))=0,0,LEN(TRIM(D54))-LEN(SUBSTITUTE(TRIM(D54)," ",""))+1)</f>
        <v/>
      </c>
      <c r="J54" s="103">
        <f>IF(LEN(TRIM(E54))=0,0,LEN(TRIM(E54))-LEN(SUBSTITUTE(TRIM(E54)," ",""))+1)</f>
        <v/>
      </c>
      <c r="K54" s="103">
        <f>IF(LEN(TRIM(F54))=0,0,LEN(TRIM(F54))-LEN(SUBSTITUTE(TRIM(F54)," ",""))+1)</f>
        <v/>
      </c>
      <c r="L54" s="103">
        <f>IF(LEN(TRIM(G54))=0,0,LEN(TRIM(G54))-LEN(SUBSTITUTE(TRIM(G54)," ",""))+1)</f>
        <v/>
      </c>
      <c r="M54" s="103">
        <f>IF(LEN(TRIM(H54))=0,0,LEN(TRIM(H54))-LEN(SUBSTITUTE(TRIM(H54)," ",""))+1)</f>
        <v/>
      </c>
      <c r="N54" s="103">
        <f>MAX(I54:M54)</f>
        <v/>
      </c>
    </row>
    <row r="55">
      <c r="A55" s="103" t="inlineStr">
        <is>
          <t>C54</t>
        </is>
      </c>
      <c r="B55" s="104" t="inlineStr">
        <is>
          <t>Off the Record</t>
        </is>
      </c>
      <c r="C55" s="105" t="inlineStr">
        <is>
          <t>Duplicitous</t>
        </is>
      </c>
      <c r="D55" s="106" t="inlineStr">
        <is>
          <t>Between us, here's how it really is.</t>
        </is>
      </c>
      <c r="E55" s="106" t="inlineStr">
        <is>
          <t>Don't repeat this, but...</t>
        </is>
      </c>
      <c r="F55" s="106" t="inlineStr">
        <is>
          <t>No names, no notes. Understood?</t>
        </is>
      </c>
      <c r="G55" s="106" t="inlineStr">
        <is>
          <t>This stays in the room.</t>
        </is>
      </c>
      <c r="H55" s="106" t="inlineStr">
        <is>
          <t>You can't quote me, but here's the truth.</t>
        </is>
      </c>
      <c r="I55" s="103">
        <f>IF(LEN(TRIM(D55))=0,0,LEN(TRIM(D55))-LEN(SUBSTITUTE(TRIM(D55)," ",""))+1)</f>
        <v/>
      </c>
      <c r="J55" s="103">
        <f>IF(LEN(TRIM(E55))=0,0,LEN(TRIM(E55))-LEN(SUBSTITUTE(TRIM(E55)," ",""))+1)</f>
        <v/>
      </c>
      <c r="K55" s="103">
        <f>IF(LEN(TRIM(F55))=0,0,LEN(TRIM(F55))-LEN(SUBSTITUTE(TRIM(F55)," ",""))+1)</f>
        <v/>
      </c>
      <c r="L55" s="103">
        <f>IF(LEN(TRIM(G55))=0,0,LEN(TRIM(G55))-LEN(SUBSTITUTE(TRIM(G55)," ",""))+1)</f>
        <v/>
      </c>
      <c r="M55" s="103">
        <f>IF(LEN(TRIM(H55))=0,0,LEN(TRIM(H55))-LEN(SUBSTITUTE(TRIM(H55)," ",""))+1)</f>
        <v/>
      </c>
      <c r="N55" s="103">
        <f>MAX(I55:M55)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.046875" customWidth="1" style="43" min="1" max="1"/>
    <col width="43.98828125" customWidth="1" style="43" min="2" max="2"/>
    <col width="39.953125" customWidth="1" style="43" min="4" max="4"/>
    <col width="36.05078125" customWidth="1" style="43" min="5" max="5"/>
  </cols>
  <sheetData>
    <row r="1">
      <c r="A1" s="107" t="inlineStr">
        <is>
          <t>Flavor text tone by suit</t>
        </is>
      </c>
    </row>
    <row r="2">
      <c r="A2" s="108" t="inlineStr">
        <is>
          <t>Every cue is a spoken line that must sit naturally in a town hall, a press conference, or a parliamentary debate.</t>
        </is>
      </c>
    </row>
    <row r="4">
      <c r="A4" s="109" t="inlineStr">
        <is>
          <t>Suit</t>
        </is>
      </c>
      <c r="B4" s="109" t="inlineStr">
        <is>
          <t>Register</t>
        </is>
      </c>
      <c r="C4" s="109" t="inlineStr">
        <is>
          <t>Voice</t>
        </is>
      </c>
      <c r="D4" s="109" t="inlineStr">
        <is>
          <t>Signature moves</t>
        </is>
      </c>
      <c r="E4" s="109" t="inlineStr">
        <is>
          <t>Example</t>
        </is>
      </c>
    </row>
    <row r="5">
      <c r="A5" s="110" t="inlineStr">
        <is>
          <t>Earnest</t>
        </is>
      </c>
      <c r="B5" s="111" t="inlineStr">
        <is>
          <t>Plain, accountable, steady</t>
        </is>
      </c>
      <c r="C5" s="111" t="inlineStr">
        <is>
          <t>First person singular. Short declaratives.</t>
        </is>
      </c>
      <c r="D5" s="111" t="inlineStr">
        <is>
          <t>Owning results and mistakes; no adjectives doing the work</t>
        </is>
      </c>
      <c r="E5" s="111" t="inlineStr">
        <is>
          <t>Judge me by my record.</t>
        </is>
      </c>
    </row>
    <row r="6">
      <c r="A6" s="112" t="inlineStr">
        <is>
          <t>Emotional</t>
        </is>
      </c>
      <c r="B6" s="113" t="inlineStr">
        <is>
          <t>Raw, exclamatory, heartfelt</t>
        </is>
      </c>
      <c r="C6" s="113" t="inlineStr">
        <is>
          <t>Exclamation marks, personal stakes.</t>
        </is>
      </c>
      <c r="D6" s="113" t="inlineStr">
        <is>
          <t>Faces, families, fighting; the crowd as participant</t>
        </is>
      </c>
      <c r="E6" s="113" t="inlineStr">
        <is>
          <t>I will not be shouted down!</t>
        </is>
      </c>
    </row>
    <row r="7">
      <c r="A7" s="114" t="inlineStr">
        <is>
          <t>Appeal</t>
        </is>
      </c>
      <c r="B7" s="115" t="inlineStr">
        <is>
          <t>Warm, inclusive, collegial</t>
        </is>
      </c>
      <c r="C7" s="115" t="inlineStr">
        <is>
          <t>We / us / together; second person as ally.</t>
        </is>
      </c>
      <c r="D7" s="115" t="inlineStr">
        <is>
          <t>Unity, loyalty, favors owed, the room already agreed</t>
        </is>
      </c>
      <c r="E7" s="115" t="inlineStr">
        <is>
          <t>One good turn deserves another.</t>
        </is>
      </c>
    </row>
    <row r="8">
      <c r="A8" s="116" t="inlineStr">
        <is>
          <t>Data Driven</t>
        </is>
      </c>
      <c r="B8" s="117" t="inlineStr">
        <is>
          <t>Cool, precise, evidentiary</t>
        </is>
      </c>
      <c r="C8" s="117" t="inlineStr">
        <is>
          <t>Questions and numbers. No exclamations.</t>
        </is>
      </c>
      <c r="D8" s="117" t="inlineStr">
        <is>
          <t>Dates, figures, documents, yes-or-no demands</t>
        </is>
      </c>
      <c r="E8" s="117" t="inlineStr">
        <is>
          <t>Which is it? You can't have both.</t>
        </is>
      </c>
    </row>
    <row r="9">
      <c r="A9" s="118" t="inlineStr">
        <is>
          <t>Divisive</t>
        </is>
      </c>
      <c r="B9" s="119" t="inlineStr">
        <is>
          <t>Cutting, accusatory, separating</t>
        </is>
      </c>
      <c r="C9" s="119" t="inlineStr">
        <is>
          <t>Us versus them; pointed second person.</t>
        </is>
      </c>
      <c r="D9" s="119" t="inlineStr">
        <is>
          <t>Labels, sides, binary choices, loyalty doubts</t>
        </is>
      </c>
      <c r="E9" s="119" t="inlineStr">
        <is>
          <t>Pick a side. The voters are watching.</t>
        </is>
      </c>
    </row>
    <row r="10">
      <c r="A10" s="120" t="inlineStr">
        <is>
          <t>Duplicitous</t>
        </is>
      </c>
      <c r="B10" s="121" t="inlineStr">
        <is>
          <t>Slippery, noncommittal, winking</t>
        </is>
      </c>
      <c r="C10" s="121" t="inlineStr">
        <is>
          <t>Passive voice, hedges, trailing ellipses.</t>
        </is>
      </c>
      <c r="D10" s="121" t="inlineStr">
        <is>
          <t>Deferral, deflection, implied deals, fake memory loss</t>
        </is>
      </c>
      <c r="E10" s="121" t="inlineStr">
        <is>
          <t>We will consider that positively.</t>
        </is>
      </c>
    </row>
    <row r="13">
      <c r="A13" s="107" t="inlineStr">
        <is>
          <t>Writing rules</t>
        </is>
      </c>
    </row>
    <row r="14">
      <c r="A14" s="109" t="inlineStr">
        <is>
          <t>Rule</t>
        </is>
      </c>
      <c r="B14" s="109" t="inlineStr">
        <is>
          <t>Requirement</t>
        </is>
      </c>
      <c r="C14" s="109" t="inlineStr">
        <is>
          <t>Fails</t>
        </is>
      </c>
      <c r="D14" s="109" t="inlineStr">
        <is>
          <t>Passes</t>
        </is>
      </c>
    </row>
    <row r="15">
      <c r="A15" s="122" t="inlineStr">
        <is>
          <t>1. Under 10 words</t>
        </is>
      </c>
      <c r="B15" s="123" t="inlineStr">
        <is>
          <t>Nine words maximum.</t>
        </is>
      </c>
      <c r="C15" s="123" t="inlineStr">
        <is>
          <t>—</t>
        </is>
      </c>
      <c r="D15" s="123" t="inlineStr">
        <is>
          <t>Pick a side. The voters are watching.</t>
        </is>
      </c>
    </row>
    <row r="16">
      <c r="A16" s="122" t="inlineStr">
        <is>
          <t>2. Universal setting</t>
        </is>
      </c>
      <c r="B16" s="123" t="inlineStr">
        <is>
          <t>Must sit naturally at a town hall, a press conference, and a parliamentary debate. No venue- or audience-specific address.</t>
        </is>
      </c>
      <c r="C16" s="123" t="inlineStr">
        <is>
          <t>Yes or no, Minister? · Put this on the evening news. · I will not yield the floor.</t>
        </is>
      </c>
      <c r="D16" s="123" t="inlineStr">
        <is>
          <t>Yes or no? It's a simple question.</t>
        </is>
      </c>
    </row>
    <row r="17">
      <c r="A17" s="122" t="inlineStr">
        <is>
          <t>3. No time references</t>
        </is>
      </c>
      <c r="B17" s="123" t="inlineStr">
        <is>
          <t>No days, months, years, durations, or words like now, today, again, already, still, before, always, never.</t>
        </is>
      </c>
      <c r="C17" s="123" t="inlineStr">
        <is>
          <t>That's not what you said in March. · Not today.</t>
        </is>
      </c>
      <c r="D17" s="123" t="inlineStr">
        <is>
          <t>Your position contradicts itself.</t>
        </is>
      </c>
    </row>
    <row r="18">
      <c r="A18" s="122" t="inlineStr">
        <is>
          <t>4. No invented history</t>
        </is>
      </c>
      <c r="B18" s="123" t="inlineStr">
        <is>
          <t>No claim that a specific prior event happened: votes, statements, favors, meetings, failures. Present-tense or general truths only.</t>
        </is>
      </c>
      <c r="C18" s="123" t="inlineStr">
        <is>
          <t>You voted against this twice. · Remember that bill I helped you pass?</t>
        </is>
      </c>
      <c r="D18" s="123" t="inlineStr">
        <is>
          <t>One good turn deserves another.</t>
        </is>
      </c>
    </row>
    <row r="19">
      <c r="A19" s="122" t="inlineStr">
        <is>
          <t>5. Not a reply</t>
        </is>
      </c>
      <c r="B19" s="123" t="inlineStr">
        <is>
          <t>Must not depend on what the opponent just did, since they may have taken no action.</t>
        </is>
      </c>
      <c r="C19" s="123" t="inlineStr">
        <is>
          <t>You should be ashamed to say that! · That claim is simply false.</t>
        </is>
      </c>
      <c r="D19" s="123" t="inlineStr">
        <is>
          <t>You should be ashamed of yourself!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05078125" customWidth="1" style="43" min="1" max="1"/>
    <col width="39.953125" customWidth="1" style="43" min="2" max="2"/>
    <col width="13.046875" customWidth="1" style="43" min="3" max="3"/>
    <col width="9.01171875" customWidth="1" style="43" min="4" max="4"/>
    <col width="9.953125" customWidth="1" style="43" min="5" max="5"/>
    <col width="9.01171875" customWidth="1" style="43" min="6" max="6"/>
    <col width="9.953125" customWidth="1" style="43" min="7" max="7"/>
    <col width="9.01171875" customWidth="1" style="43" min="8" max="8"/>
    <col width="11.02734375" customWidth="1" style="43" min="9" max="9"/>
    <col width="7.93359375" customWidth="1" style="43" min="10" max="10"/>
    <col width="6.9921875" customWidth="1" style="43" min="11" max="11"/>
    <col width="43.98828125" customWidth="1" style="43" min="12" max="12"/>
  </cols>
  <sheetData>
    <row r="1">
      <c r="A1" s="79" t="inlineStr">
        <is>
          <t>Q ID</t>
        </is>
      </c>
      <c r="B1" s="79" t="inlineStr">
        <is>
          <t>Question</t>
        </is>
      </c>
      <c r="C1" s="79" t="inlineStr">
        <is>
          <t>Theme</t>
        </is>
      </c>
      <c r="D1" s="79" t="inlineStr">
        <is>
          <t>Earnest</t>
        </is>
      </c>
      <c r="E1" s="79" t="inlineStr">
        <is>
          <t>Emotional</t>
        </is>
      </c>
      <c r="F1" s="79" t="inlineStr">
        <is>
          <t>Appeal</t>
        </is>
      </c>
      <c r="G1" s="79" t="inlineStr">
        <is>
          <t>Data Driven</t>
        </is>
      </c>
      <c r="H1" s="79" t="inlineStr">
        <is>
          <t>Divisive</t>
        </is>
      </c>
      <c r="I1" s="79" t="inlineStr">
        <is>
          <t>Duplicitous</t>
        </is>
      </c>
      <c r="J1" s="80" t="inlineStr">
        <is>
          <t>Strong suits</t>
        </is>
      </c>
      <c r="K1" s="80" t="inlineStr">
        <is>
          <t>Words</t>
        </is>
      </c>
      <c r="L1" s="79" t="inlineStr">
        <is>
          <t>Sample answer 1</t>
        </is>
      </c>
      <c r="M1" s="79" t="inlineStr">
        <is>
          <t>Sample answer 2</t>
        </is>
      </c>
      <c r="N1" s="79" t="inlineStr">
        <is>
          <t>Sample answer 3</t>
        </is>
      </c>
    </row>
    <row r="2">
      <c r="A2" s="124" t="inlineStr">
        <is>
          <t>Q01</t>
        </is>
      </c>
      <c r="B2" s="125" t="inlineStr">
        <is>
          <t>What will this legislation mean for ordinary families?</t>
        </is>
      </c>
      <c r="C2" s="126" t="inlineStr">
        <is>
          <t>Impact</t>
        </is>
      </c>
      <c r="D2" s="124" t="inlineStr">
        <is>
          <t>S</t>
        </is>
      </c>
      <c r="E2" s="124" t="inlineStr">
        <is>
          <t>S</t>
        </is>
      </c>
      <c r="F2" s="124" t="inlineStr">
        <is>
          <t>S</t>
        </is>
      </c>
      <c r="G2" s="124" t="inlineStr">
        <is>
          <t>M</t>
        </is>
      </c>
      <c r="H2" s="124" t="inlineStr">
        <is>
          <t>M</t>
        </is>
      </c>
      <c r="I2" s="124" t="inlineStr">
        <is>
          <t>M</t>
        </is>
      </c>
      <c r="J2" s="124">
        <f>COUNTIF(D2:I2,"S")</f>
        <v/>
      </c>
      <c r="K2" s="124">
        <f>LEN(TRIM(B2))-LEN(SUBSTITUTE(TRIM(B2)," ",""))+1</f>
        <v/>
      </c>
      <c r="L2" s="127">
        <f>INDEX(Cards!$B$2:$B$55,MATCH("C06",Cards!$A$2:$A$55,0))&amp;" (C06): They're not statistics. They're our neighbors."</f>
        <v/>
      </c>
      <c r="M2" s="127">
        <f>INDEX(Cards!$B$2:$B$55,MATCH("C13",Cards!$A$2:$A$55,0))&amp;" (C13): Let's look at the actual numbers."</f>
        <v/>
      </c>
      <c r="N2" s="127">
        <f>INDEX(Cards!$B$2:$B$55,MATCH("C21",Cards!$A$2:$A$55,0))&amp;" (C21): We'll find a balance that pleases everyone."</f>
        <v/>
      </c>
    </row>
    <row r="3">
      <c r="A3" s="124" t="inlineStr">
        <is>
          <t>Q02</t>
        </is>
      </c>
      <c r="B3" s="125" t="inlineStr">
        <is>
          <t>Where exactly do you stand on this bill?</t>
        </is>
      </c>
      <c r="C3" s="126" t="inlineStr">
        <is>
          <t>Position</t>
        </is>
      </c>
      <c r="D3" s="124" t="inlineStr">
        <is>
          <t>S</t>
        </is>
      </c>
      <c r="E3" s="124" t="inlineStr">
        <is>
          <t>M</t>
        </is>
      </c>
      <c r="F3" s="124" t="inlineStr">
        <is>
          <t>M</t>
        </is>
      </c>
      <c r="G3" s="124" t="inlineStr">
        <is>
          <t>M</t>
        </is>
      </c>
      <c r="H3" s="124" t="inlineStr">
        <is>
          <t>S</t>
        </is>
      </c>
      <c r="I3" s="124" t="inlineStr">
        <is>
          <t>S</t>
        </is>
      </c>
      <c r="J3" s="124">
        <f>COUNTIF(D3:I3,"S")</f>
        <v/>
      </c>
      <c r="K3" s="124">
        <f>LEN(TRIM(B3))-LEN(SUBSTITUTE(TRIM(B3)," ",""))+1</f>
        <v/>
      </c>
      <c r="L3" s="127">
        <f>INDEX(Cards!$B$2:$B$55,MATCH("C02",Cards!$A$2:$A$55,0))&amp;" (C02): Let me answer you directly."</f>
        <v/>
      </c>
      <c r="M3" s="127">
        <f>INDEX(Cards!$B$2:$B$55,MATCH("C21",Cards!$A$2:$A$55,0))&amp;" (C21): There's truth on every side of this."</f>
        <v/>
      </c>
      <c r="N3" s="127">
        <f>INDEX(Cards!$B$2:$B$55,MATCH("C18",Cards!$A$2:$A$55,0))&amp;" (C18): It's us against them, plain and simple."</f>
        <v/>
      </c>
    </row>
    <row r="4">
      <c r="A4" s="124" t="inlineStr">
        <is>
          <t>Q03</t>
        </is>
      </c>
      <c r="B4" s="125" t="inlineStr">
        <is>
          <t>Some call this bill reckless. How do you respond?</t>
        </is>
      </c>
      <c r="C4" s="126" t="inlineStr">
        <is>
          <t>Criticism</t>
        </is>
      </c>
      <c r="D4" s="124" t="inlineStr">
        <is>
          <t>M</t>
        </is>
      </c>
      <c r="E4" s="124" t="inlineStr">
        <is>
          <t>S</t>
        </is>
      </c>
      <c r="F4" s="124" t="inlineStr">
        <is>
          <t>M</t>
        </is>
      </c>
      <c r="G4" s="124" t="inlineStr">
        <is>
          <t>S</t>
        </is>
      </c>
      <c r="H4" s="124" t="inlineStr">
        <is>
          <t>S</t>
        </is>
      </c>
      <c r="I4" s="124" t="inlineStr">
        <is>
          <t>M</t>
        </is>
      </c>
      <c r="J4" s="124">
        <f>COUNTIF(D4:I4,"S")</f>
        <v/>
      </c>
      <c r="K4" s="124">
        <f>LEN(TRIM(B4))-LEN(SUBSTITUTE(TRIM(B4)," ",""))+1</f>
        <v/>
      </c>
      <c r="L4" s="127">
        <f>INDEX(Cards!$B$2:$B$55,MATCH("C13",Cards!$A$2:$A$55,0))&amp;" (C13): Facts don't care about talking points."</f>
        <v/>
      </c>
      <c r="M4" s="127">
        <f>INDEX(Cards!$B$2:$B$55,MATCH("C17",Cards!$A$2:$A$55,0))&amp;" (C17): Typical out-of-touch elitist."</f>
        <v/>
      </c>
      <c r="N4" s="127">
        <f>INDEX(Cards!$B$2:$B$55,MATCH("C23",Cards!$A$2:$A$55,0))&amp;" (C23): The real question is why you're asking."</f>
        <v/>
      </c>
    </row>
    <row r="5">
      <c r="A5" s="124" t="inlineStr">
        <is>
          <t>Q04</t>
        </is>
      </c>
      <c r="B5" s="125" t="inlineStr">
        <is>
          <t>Do you have the votes to pass this?</t>
        </is>
      </c>
      <c r="C5" s="126" t="inlineStr">
        <is>
          <t>Votes</t>
        </is>
      </c>
      <c r="D5" s="124" t="inlineStr">
        <is>
          <t>W</t>
        </is>
      </c>
      <c r="E5" s="124" t="inlineStr">
        <is>
          <t>M</t>
        </is>
      </c>
      <c r="F5" s="124" t="inlineStr">
        <is>
          <t>S</t>
        </is>
      </c>
      <c r="G5" s="124" t="inlineStr">
        <is>
          <t>M</t>
        </is>
      </c>
      <c r="H5" s="124" t="inlineStr">
        <is>
          <t>S</t>
        </is>
      </c>
      <c r="I5" s="124" t="inlineStr">
        <is>
          <t>M</t>
        </is>
      </c>
      <c r="J5" s="124">
        <f>COUNTIF(D5:I5,"S")</f>
        <v/>
      </c>
      <c r="K5" s="124">
        <f>LEN(TRIM(B5))-LEN(SUBSTITUTE(TRIM(B5)," ",""))+1</f>
        <v/>
      </c>
      <c r="L5" s="127">
        <f>INDEX(Cards!$B$2:$B$55,MATCH("C39",Cards!$A$2:$A$55,0))&amp;" (C39): Count them yourself. We have the votes."</f>
        <v/>
      </c>
      <c r="M5" s="127">
        <f>INDEX(Cards!$B$2:$B$55,MATCH("C20",Cards!$A$2:$A$55,0))&amp;" (C20): Oppose this, and you're not one of us."</f>
        <v/>
      </c>
      <c r="N5" s="127">
        <f>INDEX(Cards!$B$2:$B$55,MATCH("C24",Cards!$A$2:$A$55,0))&amp;" (C24): Rest assured, you'll be taken care of."</f>
        <v/>
      </c>
    </row>
    <row r="6">
      <c r="A6" s="124" t="inlineStr">
        <is>
          <t>Q05</t>
        </is>
      </c>
      <c r="B6" s="125" t="inlineStr">
        <is>
          <t>Who really benefits from this legislation?</t>
        </is>
      </c>
      <c r="C6" s="126" t="inlineStr">
        <is>
          <t>Beneficiaries</t>
        </is>
      </c>
      <c r="D6" s="124" t="inlineStr">
        <is>
          <t>M</t>
        </is>
      </c>
      <c r="E6" s="124" t="inlineStr">
        <is>
          <t>S</t>
        </is>
      </c>
      <c r="F6" s="124" t="inlineStr">
        <is>
          <t>M</t>
        </is>
      </c>
      <c r="G6" s="124" t="inlineStr">
        <is>
          <t>S</t>
        </is>
      </c>
      <c r="H6" s="124" t="inlineStr">
        <is>
          <t>S</t>
        </is>
      </c>
      <c r="I6" s="124" t="inlineStr">
        <is>
          <t>M</t>
        </is>
      </c>
      <c r="J6" s="124">
        <f>COUNTIF(D6:I6,"S")</f>
        <v/>
      </c>
      <c r="K6" s="124">
        <f>LEN(TRIM(B6))-LEN(SUBSTITUTE(TRIM(B6)," ",""))+1</f>
        <v/>
      </c>
      <c r="L6" s="127">
        <f>INDEX(Cards!$B$2:$B$55,MATCH("C40",Cards!$A$2:$A$55,0))&amp;" (C40): Follow the donations, and it all makes sense."</f>
        <v/>
      </c>
      <c r="M6" s="127">
        <f>INDEX(Cards!$B$2:$B$55,MATCH("C18",Cards!$A$2:$A$55,0))&amp;" (C18): They stand for themselves. We stand for you."</f>
        <v/>
      </c>
      <c r="N6" s="127">
        <f>INDEX(Cards!$B$2:$B$55,MATCH("C53",Cards!$A$2:$A$55,0))&amp;" (C53): Nobody fights harder for people like you."</f>
        <v/>
      </c>
    </row>
    <row r="7">
      <c r="A7" s="124" t="inlineStr">
        <is>
          <t>Q06</t>
        </is>
      </c>
      <c r="B7" s="125" t="inlineStr">
        <is>
          <t>Is your party truly united behind this?</t>
        </is>
      </c>
      <c r="C7" s="126" t="inlineStr">
        <is>
          <t>Unity</t>
        </is>
      </c>
      <c r="D7" s="124" t="inlineStr">
        <is>
          <t>M</t>
        </is>
      </c>
      <c r="E7" s="124" t="inlineStr">
        <is>
          <t>M</t>
        </is>
      </c>
      <c r="F7" s="124" t="inlineStr">
        <is>
          <t>S</t>
        </is>
      </c>
      <c r="G7" s="124" t="inlineStr">
        <is>
          <t>W</t>
        </is>
      </c>
      <c r="H7" s="124" t="inlineStr">
        <is>
          <t>S</t>
        </is>
      </c>
      <c r="I7" s="124" t="inlineStr">
        <is>
          <t>M</t>
        </is>
      </c>
      <c r="J7" s="124">
        <f>COUNTIF(D7:I7,"S")</f>
        <v/>
      </c>
      <c r="K7" s="124">
        <f>LEN(TRIM(B7))-LEN(SUBSTITUTE(TRIM(B7)," ",""))+1</f>
        <v/>
      </c>
      <c r="L7" s="127">
        <f>INDEX(Cards!$B$2:$B$55,MATCH("C35",Cards!$A$2:$A$55,0))&amp;" (C35): Our party speaks with one voice on this."</f>
        <v/>
      </c>
      <c r="M7" s="127">
        <f>INDEX(Cards!$B$2:$B$55,MATCH("C47",Cards!$A$2:$A$55,0))&amp;" (C47): Some here forget who they serve."</f>
        <v/>
      </c>
      <c r="N7" s="127">
        <f>INDEX(Cards!$B$2:$B$55,MATCH("C11",Cards!$A$2:$A$55,0))&amp;" (C11): I believe we understand each other."</f>
        <v/>
      </c>
    </row>
    <row r="8">
      <c r="A8" s="124" t="inlineStr">
        <is>
          <t>Q07</t>
        </is>
      </c>
      <c r="B8" s="125" t="inlineStr">
        <is>
          <t>How do you plan to pay for it?</t>
        </is>
      </c>
      <c r="C8" s="126" t="inlineStr">
        <is>
          <t>Cost</t>
        </is>
      </c>
      <c r="D8" s="124" t="inlineStr">
        <is>
          <t>M</t>
        </is>
      </c>
      <c r="E8" s="124" t="inlineStr">
        <is>
          <t>W</t>
        </is>
      </c>
      <c r="F8" s="124" t="inlineStr">
        <is>
          <t>W</t>
        </is>
      </c>
      <c r="G8" s="124" t="inlineStr">
        <is>
          <t>S</t>
        </is>
      </c>
      <c r="H8" s="124" t="inlineStr">
        <is>
          <t>M</t>
        </is>
      </c>
      <c r="I8" s="124" t="inlineStr">
        <is>
          <t>S</t>
        </is>
      </c>
      <c r="J8" s="124">
        <f>COUNTIF(D8:I8,"S")</f>
        <v/>
      </c>
      <c r="K8" s="124">
        <f>LEN(TRIM(B8))-LEN(SUBSTITUTE(TRIM(B8)," ",""))+1</f>
        <v/>
      </c>
      <c r="L8" s="127">
        <f>INDEX(Cards!$B$2:$B$55,MATCH("C16",Cards!$A$2:$A$55,0))&amp;" (C16): Two hundred pages of evidence. Read them."</f>
        <v/>
      </c>
      <c r="M8" s="127">
        <f>INDEX(Cards!$B$2:$B$55,MATCH("C52",Cards!$A$2:$A$55,0))&amp;" (C52): Let me walk you through all forty provisions."</f>
        <v/>
      </c>
      <c r="N8" s="127">
        <f>INDEX(Cards!$B$2:$B$55,MATCH("C01",Cards!$A$2:$A$55,0))&amp;" (C01): Judge me by my record."</f>
        <v/>
      </c>
    </row>
    <row r="9">
      <c r="A9" s="124" t="inlineStr">
        <is>
          <t>Q08</t>
        </is>
      </c>
      <c r="B9" s="125" t="inlineStr">
        <is>
          <t>What evidence supports this approach?</t>
        </is>
      </c>
      <c r="C9" s="126" t="inlineStr">
        <is>
          <t>Evidence</t>
        </is>
      </c>
      <c r="D9" s="124" t="inlineStr">
        <is>
          <t>M</t>
        </is>
      </c>
      <c r="E9" s="124" t="inlineStr">
        <is>
          <t>M</t>
        </is>
      </c>
      <c r="F9" s="124" t="inlineStr">
        <is>
          <t>W</t>
        </is>
      </c>
      <c r="G9" s="124" t="inlineStr">
        <is>
          <t>S</t>
        </is>
      </c>
      <c r="H9" s="124" t="inlineStr">
        <is>
          <t>W</t>
        </is>
      </c>
      <c r="I9" s="124" t="inlineStr">
        <is>
          <t>S</t>
        </is>
      </c>
      <c r="J9" s="124">
        <f>COUNTIF(D9:I9,"S")</f>
        <v/>
      </c>
      <c r="K9" s="124">
        <f>LEN(TRIM(B9))-LEN(SUBSTITUTE(TRIM(B9)," ",""))+1</f>
        <v/>
      </c>
      <c r="L9" s="127">
        <f>INDEX(Cards!$B$2:$B$55,MATCH("C16",Cards!$A$2:$A$55,0))&amp;" (C16): Our findings are published. Refute them."</f>
        <v/>
      </c>
      <c r="M9" s="127">
        <f>INDEX(Cards!$B$2:$B$55,MATCH("C52",Cards!$A$2:$A$55,0))&amp;" (C52): It depends on seventeen interlocking variables."</f>
        <v/>
      </c>
      <c r="N9" s="127">
        <f>INDEX(Cards!$B$2:$B$55,MATCH("C28",Cards!$A$2:$A$55,0))&amp;" (C28): These letters are why I'm standing here."</f>
        <v/>
      </c>
    </row>
    <row r="10">
      <c r="A10" s="124" t="inlineStr">
        <is>
          <t>Q09</t>
        </is>
      </c>
      <c r="B10" s="125" t="inlineStr">
        <is>
          <t>Yes or no: will you see this through?</t>
        </is>
      </c>
      <c r="C10" s="126" t="inlineStr">
        <is>
          <t>Commitment</t>
        </is>
      </c>
      <c r="D10" s="124" t="inlineStr">
        <is>
          <t>S</t>
        </is>
      </c>
      <c r="E10" s="124" t="inlineStr">
        <is>
          <t>S</t>
        </is>
      </c>
      <c r="F10" s="124" t="inlineStr">
        <is>
          <t>M</t>
        </is>
      </c>
      <c r="G10" s="124" t="inlineStr">
        <is>
          <t>M</t>
        </is>
      </c>
      <c r="H10" s="124" t="inlineStr">
        <is>
          <t>M</t>
        </is>
      </c>
      <c r="I10" s="124" t="inlineStr">
        <is>
          <t>S</t>
        </is>
      </c>
      <c r="J10" s="124">
        <f>COUNTIF(D10:I10,"S")</f>
        <v/>
      </c>
      <c r="K10" s="124">
        <f>LEN(TRIM(B10))-LEN(SUBSTITUTE(TRIM(B10)," ",""))+1</f>
        <v/>
      </c>
      <c r="L10" s="127">
        <f>INDEX(Cards!$B$2:$B$55,MATCH("C25",Cards!$A$2:$A$55,0))&amp;" (C25): When I make a promise, I keep it."</f>
        <v/>
      </c>
      <c r="M10" s="127">
        <f>INDEX(Cards!$B$2:$B$55,MATCH("C33",Cards!$A$2:$A$55,0))&amp;" (C33): I will not yield. Full stop."</f>
        <v/>
      </c>
      <c r="N10" s="127">
        <f>INDEX(Cards!$B$2:$B$55,MATCH("C50",Cards!$A$2:$A$55,0))&amp;" (C50): We will consider that positively."</f>
        <v/>
      </c>
    </row>
    <row r="11">
      <c r="A11" s="124" t="inlineStr">
        <is>
          <t>Q10</t>
        </is>
      </c>
      <c r="B11" s="125" t="inlineStr">
        <is>
          <t>Is this about the public, or about politics?</t>
        </is>
      </c>
      <c r="C11" s="126" t="inlineStr">
        <is>
          <t>Motive</t>
        </is>
      </c>
      <c r="D11" s="124" t="inlineStr">
        <is>
          <t>S</t>
        </is>
      </c>
      <c r="E11" s="124" t="inlineStr">
        <is>
          <t>S</t>
        </is>
      </c>
      <c r="F11" s="124" t="inlineStr">
        <is>
          <t>M</t>
        </is>
      </c>
      <c r="G11" s="124" t="inlineStr">
        <is>
          <t>M</t>
        </is>
      </c>
      <c r="H11" s="124" t="inlineStr">
        <is>
          <t>S</t>
        </is>
      </c>
      <c r="I11" s="124" t="inlineStr">
        <is>
          <t>M</t>
        </is>
      </c>
      <c r="J11" s="124">
        <f>COUNTIF(D11:I11,"S")</f>
        <v/>
      </c>
      <c r="K11" s="124">
        <f>LEN(TRIM(B11))-LEN(SUBSTITUTE(TRIM(B11)," ",""))+1</f>
        <v/>
      </c>
      <c r="L11" s="127">
        <f>INDEX(Cards!$B$2:$B$55,MATCH("C27",Cards!$A$2:$A$55,0))&amp;" (C27): This isn't about party. It's about people."</f>
        <v/>
      </c>
      <c r="M11" s="127">
        <f>INDEX(Cards!$B$2:$B$55,MATCH("C18",Cards!$A$2:$A$55,0))&amp;" (C18): You're either with the people or against them."</f>
        <v/>
      </c>
      <c r="N11" s="127">
        <f>INDEX(Cards!$B$2:$B$55,MATCH("C04",Cards!$A$2:$A$55,0))&amp;" (C04): I'm here to serve, not to climb."</f>
        <v/>
      </c>
    </row>
    <row r="12">
      <c r="A12" s="124" t="inlineStr">
        <is>
          <t>Q11</t>
        </is>
      </c>
      <c r="B12" s="125" t="inlineStr">
        <is>
          <t>Some say this goes too far. Your answer?</t>
        </is>
      </c>
      <c r="C12" s="126" t="inlineStr">
        <is>
          <t>Scope</t>
        </is>
      </c>
      <c r="D12" s="124" t="inlineStr">
        <is>
          <t>M</t>
        </is>
      </c>
      <c r="E12" s="124" t="inlineStr">
        <is>
          <t>S</t>
        </is>
      </c>
      <c r="F12" s="124" t="inlineStr">
        <is>
          <t>M</t>
        </is>
      </c>
      <c r="G12" s="124" t="inlineStr">
        <is>
          <t>S</t>
        </is>
      </c>
      <c r="H12" s="124" t="inlineStr">
        <is>
          <t>M</t>
        </is>
      </c>
      <c r="I12" s="124" t="inlineStr">
        <is>
          <t>S</t>
        </is>
      </c>
      <c r="J12" s="124">
        <f>COUNTIF(D12:I12,"S")</f>
        <v/>
      </c>
      <c r="K12" s="124">
        <f>LEN(TRIM(B12))-LEN(SUBSTITUTE(TRIM(B12)," ",""))+1</f>
        <v/>
      </c>
      <c r="L12" s="127">
        <f>INDEX(Cards!$B$2:$B$55,MATCH("C05",Cards!$A$2:$A$55,0))&amp;" (C05): I will not stand by while families suffer!"</f>
        <v/>
      </c>
      <c r="M12" s="127">
        <f>INDEX(Cards!$B$2:$B$55,MATCH("C21",Cards!$A$2:$A$55,0))&amp;" (C21): I'm for progress, and also for caution."</f>
        <v/>
      </c>
      <c r="N12" s="127">
        <f>INDEX(Cards!$B$2:$B$55,MATCH("C13",Cards!$A$2:$A$55,0))&amp;" (C13): The data tells a different story."</f>
        <v/>
      </c>
    </row>
    <row r="13">
      <c r="A13" s="124" t="inlineStr">
        <is>
          <t>Q12</t>
        </is>
      </c>
      <c r="B13" s="125" t="inlineStr">
        <is>
          <t>Some say this is too timid. Your answer?</t>
        </is>
      </c>
      <c r="C13" s="126" t="inlineStr">
        <is>
          <t>Scope</t>
        </is>
      </c>
      <c r="D13" s="124" t="inlineStr">
        <is>
          <t>M</t>
        </is>
      </c>
      <c r="E13" s="124" t="inlineStr">
        <is>
          <t>S</t>
        </is>
      </c>
      <c r="F13" s="124" t="inlineStr">
        <is>
          <t>S</t>
        </is>
      </c>
      <c r="G13" s="124" t="inlineStr">
        <is>
          <t>M</t>
        </is>
      </c>
      <c r="H13" s="124" t="inlineStr">
        <is>
          <t>M</t>
        </is>
      </c>
      <c r="I13" s="124" t="inlineStr">
        <is>
          <t>M</t>
        </is>
      </c>
      <c r="J13" s="124">
        <f>COUNTIF(D13:I13,"S")</f>
        <v/>
      </c>
      <c r="K13" s="124">
        <f>LEN(TRIM(B13))-LEN(SUBSTITUTE(TRIM(B13)," ",""))+1</f>
        <v/>
      </c>
      <c r="L13" s="127">
        <f>INDEX(Cards!$B$2:$B$55,MATCH("C05",Cards!$A$2:$A$55,0))&amp;" (C05): Enough talk. Our people need action!"</f>
        <v/>
      </c>
      <c r="M13" s="127">
        <f>INDEX(Cards!$B$2:$B$55,MATCH("C09",Cards!$A$2:$A$55,0))&amp;" (C09): Whatever divides us, this unites us."</f>
        <v/>
      </c>
      <c r="N13" s="127">
        <f>INDEX(Cards!$B$2:$B$55,MATCH("C37",Cards!$A$2:$A$55,0))&amp;" (C37): Different paths, same destination. Walk with us."</f>
        <v/>
      </c>
    </row>
    <row r="14">
      <c r="A14" s="124" t="inlineStr">
        <is>
          <t>Q13</t>
        </is>
      </c>
      <c r="B14" s="125" t="inlineStr">
        <is>
          <t>Will you work with the opposition on this?</t>
        </is>
      </c>
      <c r="C14" s="126" t="inlineStr">
        <is>
          <t>Cooperation</t>
        </is>
      </c>
      <c r="D14" s="124" t="inlineStr">
        <is>
          <t>S</t>
        </is>
      </c>
      <c r="E14" s="124" t="inlineStr">
        <is>
          <t>M</t>
        </is>
      </c>
      <c r="F14" s="124" t="inlineStr">
        <is>
          <t>S</t>
        </is>
      </c>
      <c r="G14" s="124" t="inlineStr">
        <is>
          <t>W</t>
        </is>
      </c>
      <c r="H14" s="124" t="inlineStr">
        <is>
          <t>S</t>
        </is>
      </c>
      <c r="I14" s="124" t="inlineStr">
        <is>
          <t>M</t>
        </is>
      </c>
      <c r="J14" s="124">
        <f>COUNTIF(D14:I14,"S")</f>
        <v/>
      </c>
      <c r="K14" s="124">
        <f>LEN(TRIM(B14))-LEN(SUBSTITUTE(TRIM(B14)," ",""))+1</f>
        <v/>
      </c>
      <c r="L14" s="127">
        <f>INDEX(Cards!$B$2:$B$55,MATCH("C27",Cards!$A$2:$A$55,0))&amp;" (C27): My door is open to the other side."</f>
        <v/>
      </c>
      <c r="M14" s="127">
        <f>INDEX(Cards!$B$2:$B$55,MATCH("C37",Cards!$A$2:$A$55,0))&amp;" (C37): There's room at this table for everyone."</f>
        <v/>
      </c>
      <c r="N14" s="127">
        <f>INDEX(Cards!$B$2:$B$55,MATCH("C18",Cards!$A$2:$A$55,0))&amp;" (C18): There are two sides here. Pick one."</f>
        <v/>
      </c>
    </row>
    <row r="15">
      <c r="A15" s="124" t="inlineStr">
        <is>
          <t>Q14</t>
        </is>
      </c>
      <c r="B15" s="125" t="inlineStr">
        <is>
          <t>Are special interests shaping this legislation?</t>
        </is>
      </c>
      <c r="C15" s="126" t="inlineStr">
        <is>
          <t>Influence</t>
        </is>
      </c>
      <c r="D15" s="124" t="inlineStr">
        <is>
          <t>S</t>
        </is>
      </c>
      <c r="E15" s="124" t="inlineStr">
        <is>
          <t>M</t>
        </is>
      </c>
      <c r="F15" s="124" t="inlineStr">
        <is>
          <t>W</t>
        </is>
      </c>
      <c r="G15" s="124" t="inlineStr">
        <is>
          <t>S</t>
        </is>
      </c>
      <c r="H15" s="124" t="inlineStr">
        <is>
          <t>S</t>
        </is>
      </c>
      <c r="I15" s="124" t="inlineStr">
        <is>
          <t>M</t>
        </is>
      </c>
      <c r="J15" s="124">
        <f>COUNTIF(D15:I15,"S")</f>
        <v/>
      </c>
      <c r="K15" s="124">
        <f>LEN(TRIM(B15))-LEN(SUBSTITUTE(TRIM(B15)," ",""))+1</f>
        <v/>
      </c>
      <c r="L15" s="127">
        <f>INDEX(Cards!$B$2:$B$55,MATCH("C01",Cards!$A$2:$A$55,0))&amp;" (C01): Look at the work, not the words."</f>
        <v/>
      </c>
      <c r="M15" s="127">
        <f>INDEX(Cards!$B$2:$B$55,MATCH("C22",Cards!$A$2:$A$55,0))&amp;" (C22): I can neither confirm nor deny that."</f>
        <v/>
      </c>
      <c r="N15" s="127">
        <f>INDEX(Cards!$B$2:$B$55,MATCH("C17",Cards!$A$2:$A$55,0))&amp;" (C17): Another career politician, protecting their own."</f>
        <v/>
      </c>
    </row>
    <row r="16">
      <c r="A16" s="124" t="inlineStr">
        <is>
          <t>Q15</t>
        </is>
      </c>
      <c r="B16" s="125" t="inlineStr">
        <is>
          <t>What do you say to people who feel left behind?</t>
        </is>
      </c>
      <c r="C16" s="126" t="inlineStr">
        <is>
          <t>Constituents</t>
        </is>
      </c>
      <c r="D16" s="124" t="inlineStr">
        <is>
          <t>S</t>
        </is>
      </c>
      <c r="E16" s="124" t="inlineStr">
        <is>
          <t>S</t>
        </is>
      </c>
      <c r="F16" s="124" t="inlineStr">
        <is>
          <t>S</t>
        </is>
      </c>
      <c r="G16" s="124" t="inlineStr">
        <is>
          <t>W</t>
        </is>
      </c>
      <c r="H16" s="124" t="inlineStr">
        <is>
          <t>S</t>
        </is>
      </c>
      <c r="I16" s="124" t="inlineStr">
        <is>
          <t>M</t>
        </is>
      </c>
      <c r="J16" s="124">
        <f>COUNTIF(D16:I16,"S")</f>
        <v/>
      </c>
      <c r="K16" s="124">
        <f>LEN(TRIM(B16))-LEN(SUBSTITUTE(TRIM(B16)," ",""))+1</f>
        <v/>
      </c>
      <c r="L16" s="127">
        <f>INDEX(Cards!$B$2:$B$55,MATCH("C10",Cards!$A$2:$A$55,0))&amp;" (C10): Where I'm from, neighbors look out for each other."</f>
        <v/>
      </c>
      <c r="M16" s="127">
        <f>INDEX(Cards!$B$2:$B$55,MATCH("C19",Cards!$A$2:$A$55,0))&amp;" (C19): Wake up! They're laughing at you!"</f>
        <v/>
      </c>
      <c r="N16" s="127">
        <f>INDEX(Cards!$B$2:$B$55,MATCH("C53",Cards!$A$2:$A$55,0))&amp;" (C53): Your concerns are my top priority."</f>
        <v/>
      </c>
    </row>
    <row r="17">
      <c r="A17" s="124" t="inlineStr">
        <is>
          <t>Q16</t>
        </is>
      </c>
      <c r="B17" s="125" t="inlineStr">
        <is>
          <t>Will you take responsibility if this fails?</t>
        </is>
      </c>
      <c r="C17" s="126" t="inlineStr">
        <is>
          <t>Accountability</t>
        </is>
      </c>
      <c r="D17" s="124" t="inlineStr">
        <is>
          <t>S</t>
        </is>
      </c>
      <c r="E17" s="124" t="inlineStr">
        <is>
          <t>M</t>
        </is>
      </c>
      <c r="F17" s="124" t="inlineStr">
        <is>
          <t>M</t>
        </is>
      </c>
      <c r="G17" s="124" t="inlineStr">
        <is>
          <t>S</t>
        </is>
      </c>
      <c r="H17" s="124" t="inlineStr">
        <is>
          <t>W</t>
        </is>
      </c>
      <c r="I17" s="124" t="inlineStr">
        <is>
          <t>S</t>
        </is>
      </c>
      <c r="J17" s="124">
        <f>COUNTIF(D17:I17,"S")</f>
        <v/>
      </c>
      <c r="K17" s="124">
        <f>LEN(TRIM(B17))-LEN(SUBSTITUTE(TRIM(B17)," ",""))+1</f>
        <v/>
      </c>
      <c r="L17" s="127">
        <f>INDEX(Cards!$B$2:$B$55,MATCH("C26",Cards!$A$2:$A$55,0))&amp;" (C26): When I'm wrong, I say so."</f>
        <v/>
      </c>
      <c r="M17" s="127">
        <f>INDEX(Cards!$B$2:$B$55,MATCH("C50",Cards!$A$2:$A$55,0))&amp;" (C50): A committee will look into it."</f>
        <v/>
      </c>
      <c r="N17" s="127">
        <f>INDEX(Cards!$B$2:$B$55,MATCH("C44",Cards!$A$2:$A$55,0))&amp;" (C44): Let an independent panel decide."</f>
        <v/>
      </c>
    </row>
    <row r="18">
      <c r="A18" s="124" t="inlineStr">
        <is>
          <t>Q17</t>
        </is>
      </c>
      <c r="B18" s="125" t="inlineStr">
        <is>
          <t>Why should anyone trust you on this?</t>
        </is>
      </c>
      <c r="C18" s="126" t="inlineStr">
        <is>
          <t>Trust</t>
        </is>
      </c>
      <c r="D18" s="124" t="inlineStr">
        <is>
          <t>S</t>
        </is>
      </c>
      <c r="E18" s="124" t="inlineStr">
        <is>
          <t>M</t>
        </is>
      </c>
      <c r="F18" s="124" t="inlineStr">
        <is>
          <t>M</t>
        </is>
      </c>
      <c r="G18" s="124" t="inlineStr">
        <is>
          <t>S</t>
        </is>
      </c>
      <c r="H18" s="124" t="inlineStr">
        <is>
          <t>M</t>
        </is>
      </c>
      <c r="I18" s="124" t="inlineStr">
        <is>
          <t>S</t>
        </is>
      </c>
      <c r="J18" s="124">
        <f>COUNTIF(D18:I18,"S")</f>
        <v/>
      </c>
      <c r="K18" s="124">
        <f>LEN(TRIM(B18))-LEN(SUBSTITUTE(TRIM(B18)," ",""))+1</f>
        <v/>
      </c>
      <c r="L18" s="127">
        <f>INDEX(Cards!$B$2:$B$55,MATCH("C01",Cards!$A$2:$A$55,0))&amp;" (C01): I let my results do the talking."</f>
        <v/>
      </c>
      <c r="M18" s="127">
        <f>INDEX(Cards!$B$2:$B$55,MATCH("C53",Cards!$A$2:$A$55,0))&amp;" (C53): You and I see this exactly the same."</f>
        <v/>
      </c>
      <c r="N18" s="127">
        <f>INDEX(Cards!$B$2:$B$55,MATCH("C16",Cards!$A$2:$A$55,0))&amp;" (C16): Every claim here is sourced and verified."</f>
        <v/>
      </c>
    </row>
    <row r="19">
      <c r="A19" s="124" t="inlineStr">
        <is>
          <t>Q18</t>
        </is>
      </c>
      <c r="B19" s="125" t="inlineStr">
        <is>
          <t>Is there something in this bill you're not telling us?</t>
        </is>
      </c>
      <c r="C19" s="126" t="inlineStr">
        <is>
          <t>Transparency</t>
        </is>
      </c>
      <c r="D19" s="124" t="inlineStr">
        <is>
          <t>S</t>
        </is>
      </c>
      <c r="E19" s="124" t="inlineStr">
        <is>
          <t>M</t>
        </is>
      </c>
      <c r="F19" s="124" t="inlineStr">
        <is>
          <t>W</t>
        </is>
      </c>
      <c r="G19" s="124" t="inlineStr">
        <is>
          <t>M</t>
        </is>
      </c>
      <c r="H19" s="124" t="inlineStr">
        <is>
          <t>S</t>
        </is>
      </c>
      <c r="I19" s="124" t="inlineStr">
        <is>
          <t>S</t>
        </is>
      </c>
      <c r="J19" s="124">
        <f>COUNTIF(D19:I19,"S")</f>
        <v/>
      </c>
      <c r="K19" s="124">
        <f>LEN(TRIM(B19))-LEN(SUBSTITUTE(TRIM(B19)," ",""))+1</f>
        <v/>
      </c>
      <c r="L19" s="127">
        <f>INDEX(Cards!$B$2:$B$55,MATCH("C02",Cards!$A$2:$A$55,0))&amp;" (C02): No spin. Just the truth as I see it."</f>
        <v/>
      </c>
      <c r="M19" s="127">
        <f>INDEX(Cards!$B$2:$B$55,MATCH("C22",Cards!$A$2:$A$55,0))&amp;" (C22): That doesn't ring a bell."</f>
        <v/>
      </c>
      <c r="N19" s="127">
        <f>INDEX(Cards!$B$2:$B$55,MATCH("C48",Cards!$A$2:$A$55,0))&amp;" (C48): Everyone should hear what they're hiding."</f>
        <v/>
      </c>
    </row>
    <row r="20">
      <c r="A20" s="124" t="inlineStr">
        <is>
          <t>Q19</t>
        </is>
      </c>
      <c r="B20" s="125" t="inlineStr">
        <is>
          <t>What happens if members of your party break ranks?</t>
        </is>
      </c>
      <c r="C20" s="126" t="inlineStr">
        <is>
          <t>Discipline</t>
        </is>
      </c>
      <c r="D20" s="124" t="inlineStr">
        <is>
          <t>M</t>
        </is>
      </c>
      <c r="E20" s="124" t="inlineStr">
        <is>
          <t>M</t>
        </is>
      </c>
      <c r="F20" s="124" t="inlineStr">
        <is>
          <t>S</t>
        </is>
      </c>
      <c r="G20" s="124" t="inlineStr">
        <is>
          <t>W</t>
        </is>
      </c>
      <c r="H20" s="124" t="inlineStr">
        <is>
          <t>S</t>
        </is>
      </c>
      <c r="I20" s="124" t="inlineStr">
        <is>
          <t>M</t>
        </is>
      </c>
      <c r="J20" s="124">
        <f>COUNTIF(D20:I20,"S")</f>
        <v/>
      </c>
      <c r="K20" s="124">
        <f>LEN(TRIM(B20))-LEN(SUBSTITUTE(TRIM(B20)," ",""))+1</f>
        <v/>
      </c>
      <c r="L20" s="127">
        <f>INDEX(Cards!$B$2:$B$55,MATCH("C35",Cards!$A$2:$A$55,0))&amp;" (C35): Break ranks, and it will be remembered."</f>
        <v/>
      </c>
      <c r="M20" s="127">
        <f>INDEX(Cards!$B$2:$B$55,MATCH("C20",Cards!$A$2:$A$55,0))&amp;" (C20): Prove whose side you're really on."</f>
        <v/>
      </c>
      <c r="N20" s="127">
        <f>INDEX(Cards!$B$2:$B$55,MATCH("C38",Cards!$A$2:$A$55,0))&amp;" (C38): Friends stand by friends. Stand by me."</f>
        <v/>
      </c>
    </row>
    <row r="21">
      <c r="A21" s="124" t="inlineStr">
        <is>
          <t>Q20</t>
        </is>
      </c>
      <c r="B21" s="125" t="inlineStr">
        <is>
          <t>Is this really the right priority for the country?</t>
        </is>
      </c>
      <c r="C21" s="126" t="inlineStr">
        <is>
          <t>Priority</t>
        </is>
      </c>
      <c r="D21" s="124" t="inlineStr">
        <is>
          <t>S</t>
        </is>
      </c>
      <c r="E21" s="124" t="inlineStr">
        <is>
          <t>S</t>
        </is>
      </c>
      <c r="F21" s="124" t="inlineStr">
        <is>
          <t>M</t>
        </is>
      </c>
      <c r="G21" s="124" t="inlineStr">
        <is>
          <t>S</t>
        </is>
      </c>
      <c r="H21" s="124" t="inlineStr">
        <is>
          <t>M</t>
        </is>
      </c>
      <c r="I21" s="124" t="inlineStr">
        <is>
          <t>M</t>
        </is>
      </c>
      <c r="J21" s="124">
        <f>COUNTIF(D21:I21,"S")</f>
        <v/>
      </c>
      <c r="K21" s="124">
        <f>LEN(TRIM(B21))-LEN(SUBSTITUTE(TRIM(B21)," ",""))+1</f>
        <v/>
      </c>
      <c r="L21" s="127">
        <f>INDEX(Cards!$B$2:$B$55,MATCH("C05",Cards!$A$2:$A$55,0))&amp;" (C05): This is the fight that defines us!"</f>
        <v/>
      </c>
      <c r="M21" s="127">
        <f>INDEX(Cards!$B$2:$B$55,MATCH("C13",Cards!$A$2:$A$55,0))&amp;" (C13): The statistics speak for themselves."</f>
        <v/>
      </c>
      <c r="N21" s="127">
        <f>INDEX(Cards!$B$2:$B$55,MATCH("C04",Cards!$A$2:$A$55,0))&amp;" (C04): Back to basics: who are we here for?"</f>
        <v/>
      </c>
    </row>
    <row r="22">
      <c r="C22" s="81" t="inlineStr">
        <is>
          <t>Strong total</t>
        </is>
      </c>
      <c r="D22" s="128">
        <f>COUNTIF(D2:D21,"S")</f>
        <v/>
      </c>
      <c r="E22" s="128">
        <f>COUNTIF(E2:E21,"S")</f>
        <v/>
      </c>
      <c r="F22" s="128">
        <f>COUNTIF(F2:F21,"S")</f>
        <v/>
      </c>
      <c r="G22" s="128">
        <f>COUNTIF(G2:G21,"S")</f>
        <v/>
      </c>
      <c r="H22" s="128">
        <f>COUNTIF(H2:H21,"S")</f>
        <v/>
      </c>
      <c r="I22" s="128">
        <f>COUNTIF(I2:I21,"S")</f>
        <v/>
      </c>
    </row>
    <row r="24">
      <c r="B24" s="129" t="inlineStr">
        <is>
          <t>Fit key (writing check, not a game mechanic): S = at least one of that suit's cues reads as a natural answer · M = workable · W = awkward.</t>
        </is>
      </c>
    </row>
    <row r="25">
      <c r="B25" s="129" t="inlineStr">
        <is>
          <t>Questions follow the flavor-text rules: no time references, no assumed past events, no specific policy.</t>
        </is>
      </c>
    </row>
    <row r="26">
      <c r="B26" s="129" t="inlineStr">
        <is>
          <t>Broad questions (3+ strong suits) suit any hand; themed questions (2 strong suits) lean toward particular suits.</t>
        </is>
      </c>
    </row>
    <row r="27">
      <c r="B27" s="129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05078125" customWidth="1" style="43" min="1" max="1"/>
    <col width="41.96875" customWidth="1" style="43" min="2" max="2"/>
    <col width="13.98828125" customWidth="1" style="43" min="3" max="3"/>
    <col width="9.01171875" customWidth="1" style="43" min="4" max="4"/>
    <col width="9.953125" customWidth="1" style="43" min="5" max="5"/>
    <col width="9.01171875" customWidth="1" style="43" min="6" max="6"/>
    <col width="9.953125" customWidth="1" style="43" min="7" max="7"/>
    <col width="9.01171875" customWidth="1" style="43" min="8" max="8"/>
    <col width="11.02734375" customWidth="1" style="43" min="9" max="9"/>
    <col width="7.93359375" customWidth="1" style="43" min="10" max="10"/>
    <col width="6.9921875" customWidth="1" style="43" min="11" max="11"/>
    <col width="43.98828125" customWidth="1" style="43" min="12" max="12"/>
  </cols>
  <sheetData>
    <row r="1">
      <c r="A1" s="79" t="inlineStr">
        <is>
          <t>Q ID</t>
        </is>
      </c>
      <c r="B1" s="79" t="inlineStr">
        <is>
          <t>Question</t>
        </is>
      </c>
      <c r="C1" s="79" t="inlineStr">
        <is>
          <t>Theme</t>
        </is>
      </c>
      <c r="D1" s="79" t="inlineStr">
        <is>
          <t>Earnest</t>
        </is>
      </c>
      <c r="E1" s="79" t="inlineStr">
        <is>
          <t>Emotional</t>
        </is>
      </c>
      <c r="F1" s="79" t="inlineStr">
        <is>
          <t>Appeal</t>
        </is>
      </c>
      <c r="G1" s="79" t="inlineStr">
        <is>
          <t>Data Driven</t>
        </is>
      </c>
      <c r="H1" s="79" t="inlineStr">
        <is>
          <t>Divisive</t>
        </is>
      </c>
      <c r="I1" s="79" t="inlineStr">
        <is>
          <t>Duplicitous</t>
        </is>
      </c>
      <c r="J1" s="80" t="inlineStr">
        <is>
          <t>Strong suits</t>
        </is>
      </c>
      <c r="K1" s="80" t="inlineStr">
        <is>
          <t>Words</t>
        </is>
      </c>
      <c r="L1" s="79" t="inlineStr">
        <is>
          <t>Sample answer 1</t>
        </is>
      </c>
      <c r="M1" s="79" t="inlineStr">
        <is>
          <t>Sample answer 2</t>
        </is>
      </c>
      <c r="N1" s="79" t="inlineStr">
        <is>
          <t>Sample answer 3</t>
        </is>
      </c>
    </row>
    <row r="2">
      <c r="A2" s="124" t="inlineStr">
        <is>
          <t>T01</t>
        </is>
      </c>
      <c r="B2" s="125" t="inlineStr">
        <is>
          <t>How does this bill help my family?</t>
        </is>
      </c>
      <c r="C2" s="126" t="inlineStr">
        <is>
          <t>Impact</t>
        </is>
      </c>
      <c r="D2" s="124" t="inlineStr">
        <is>
          <t>S</t>
        </is>
      </c>
      <c r="E2" s="124" t="inlineStr">
        <is>
          <t>S</t>
        </is>
      </c>
      <c r="F2" s="124" t="inlineStr">
        <is>
          <t>S</t>
        </is>
      </c>
      <c r="G2" s="124" t="inlineStr">
        <is>
          <t>M</t>
        </is>
      </c>
      <c r="H2" s="124" t="inlineStr">
        <is>
          <t>M</t>
        </is>
      </c>
      <c r="I2" s="124" t="inlineStr">
        <is>
          <t>M</t>
        </is>
      </c>
      <c r="J2" s="124">
        <f>COUNTIF(D2:I2,"S")</f>
        <v/>
      </c>
      <c r="K2" s="124">
        <f>LEN(TRIM(B2))-LEN(SUBSTITUTE(TRIM(B2)," ",""))+1</f>
        <v/>
      </c>
      <c r="L2" s="127">
        <f>INDEX(Cards!$B$2:$B$55,MATCH("C06",Cards!$A$2:$A$55,0))&amp;" (C06): They're not statistics. They're our neighbors."</f>
        <v/>
      </c>
      <c r="M2" s="127">
        <f>INDEX(Cards!$B$2:$B$55,MATCH("C10",Cards!$A$2:$A$55,0))&amp;" (C10): Where I'm from, neighbors look out for each other."</f>
        <v/>
      </c>
      <c r="N2" s="127">
        <f>INDEX(Cards!$B$2:$B$55,MATCH("C53",Cards!$A$2:$A$55,0))&amp;" (C53): Your concerns are my top priority."</f>
        <v/>
      </c>
    </row>
    <row r="3">
      <c r="A3" s="124" t="inlineStr">
        <is>
          <t>T02</t>
        </is>
      </c>
      <c r="B3" s="125" t="inlineStr">
        <is>
          <t>Why should working people believe you?</t>
        </is>
      </c>
      <c r="C3" s="126" t="inlineStr">
        <is>
          <t>Trust</t>
        </is>
      </c>
      <c r="D3" s="124" t="inlineStr">
        <is>
          <t>S</t>
        </is>
      </c>
      <c r="E3" s="124" t="inlineStr">
        <is>
          <t>M</t>
        </is>
      </c>
      <c r="F3" s="124" t="inlineStr">
        <is>
          <t>M</t>
        </is>
      </c>
      <c r="G3" s="124" t="inlineStr">
        <is>
          <t>M</t>
        </is>
      </c>
      <c r="H3" s="124" t="inlineStr">
        <is>
          <t>S</t>
        </is>
      </c>
      <c r="I3" s="124" t="inlineStr">
        <is>
          <t>S</t>
        </is>
      </c>
      <c r="J3" s="124">
        <f>COUNTIF(D3:I3,"S")</f>
        <v/>
      </c>
      <c r="K3" s="124">
        <f>LEN(TRIM(B3))-LEN(SUBSTITUTE(TRIM(B3)," ",""))+1</f>
        <v/>
      </c>
      <c r="L3" s="127">
        <f>INDEX(Cards!$B$2:$B$55,MATCH("C01",Cards!$A$2:$A$55,0))&amp;" (C01): I let my results do the talking."</f>
        <v/>
      </c>
      <c r="M3" s="127">
        <f>INDEX(Cards!$B$2:$B$55,MATCH("C18",Cards!$A$2:$A$55,0))&amp;" (C18): They stand for themselves. We stand for you."</f>
        <v/>
      </c>
      <c r="N3" s="127">
        <f>INDEX(Cards!$B$2:$B$55,MATCH("C53",Cards!$A$2:$A$55,0))&amp;" (C53): Nobody fights harder for people like you."</f>
        <v/>
      </c>
    </row>
    <row r="4">
      <c r="A4" s="124" t="inlineStr">
        <is>
          <t>T03</t>
        </is>
      </c>
      <c r="B4" s="125" t="inlineStr">
        <is>
          <t>Who are you really listening to?</t>
        </is>
      </c>
      <c r="C4" s="126" t="inlineStr">
        <is>
          <t>Loyalty</t>
        </is>
      </c>
      <c r="D4" s="124" t="inlineStr">
        <is>
          <t>S</t>
        </is>
      </c>
      <c r="E4" s="124" t="inlineStr">
        <is>
          <t>M</t>
        </is>
      </c>
      <c r="F4" s="124" t="inlineStr">
        <is>
          <t>S</t>
        </is>
      </c>
      <c r="G4" s="124" t="inlineStr">
        <is>
          <t>M</t>
        </is>
      </c>
      <c r="H4" s="124" t="inlineStr">
        <is>
          <t>S</t>
        </is>
      </c>
      <c r="I4" s="124" t="inlineStr">
        <is>
          <t>M</t>
        </is>
      </c>
      <c r="J4" s="124">
        <f>COUNTIF(D4:I4,"S")</f>
        <v/>
      </c>
      <c r="K4" s="124">
        <f>LEN(TRIM(B4))-LEN(SUBSTITUTE(TRIM(B4)," ",""))+1</f>
        <v/>
      </c>
      <c r="L4" s="127">
        <f>INDEX(Cards!$B$2:$B$55,MATCH("C04",Cards!$A$2:$A$55,0))&amp;" (C04): I know exactly who I work for."</f>
        <v/>
      </c>
      <c r="M4" s="127">
        <f>INDEX(Cards!$B$2:$B$55,MATCH("C10",Cards!$A$2:$A$55,0))&amp;" (C10): I speak for the people of my district."</f>
        <v/>
      </c>
      <c r="N4" s="127">
        <f>INDEX(Cards!$B$2:$B$55,MATCH("C18",Cards!$A$2:$A$55,0))&amp;" (C18): They stand for themselves. We stand for you."</f>
        <v/>
      </c>
    </row>
    <row r="5">
      <c r="A5" s="124" t="inlineStr">
        <is>
          <t>T04</t>
        </is>
      </c>
      <c r="B5" s="125" t="inlineStr">
        <is>
          <t>What will this cost people like me?</t>
        </is>
      </c>
      <c r="C5" s="126" t="inlineStr">
        <is>
          <t>Cost</t>
        </is>
      </c>
      <c r="D5" s="124" t="inlineStr">
        <is>
          <t>M</t>
        </is>
      </c>
      <c r="E5" s="124" t="inlineStr">
        <is>
          <t>M</t>
        </is>
      </c>
      <c r="F5" s="124" t="inlineStr">
        <is>
          <t>M</t>
        </is>
      </c>
      <c r="G5" s="124" t="inlineStr">
        <is>
          <t>S</t>
        </is>
      </c>
      <c r="H5" s="124" t="inlineStr">
        <is>
          <t>M</t>
        </is>
      </c>
      <c r="I5" s="124" t="inlineStr">
        <is>
          <t>S</t>
        </is>
      </c>
      <c r="J5" s="124">
        <f>COUNTIF(D5:I5,"S")</f>
        <v/>
      </c>
      <c r="K5" s="124">
        <f>LEN(TRIM(B5))-LEN(SUBSTITUTE(TRIM(B5)," ",""))+1</f>
        <v/>
      </c>
      <c r="L5" s="127">
        <f>INDEX(Cards!$B$2:$B$55,MATCH("C13",Cards!$A$2:$A$55,0))&amp;" (C13): Let's look at the actual numbers."</f>
        <v/>
      </c>
      <c r="M5" s="127">
        <f>INDEX(Cards!$B$2:$B$55,MATCH("C52",Cards!$A$2:$A$55,0))&amp;" (C52): It depends on seventeen interlocking variables."</f>
        <v/>
      </c>
      <c r="N5" s="127">
        <f>INDEX(Cards!$B$2:$B$55,MATCH("C01",Cards!$A$2:$A$55,0))&amp;" (C01): Results matter more than rhetoric."</f>
        <v/>
      </c>
    </row>
    <row r="6">
      <c r="A6" s="124" t="inlineStr">
        <is>
          <t>T05</t>
        </is>
      </c>
      <c r="B6" s="125" t="inlineStr">
        <is>
          <t>Does our town matter to you at all?</t>
        </is>
      </c>
      <c r="C6" s="126" t="inlineStr">
        <is>
          <t>Neglect</t>
        </is>
      </c>
      <c r="D6" s="124" t="inlineStr">
        <is>
          <t>S</t>
        </is>
      </c>
      <c r="E6" s="124" t="inlineStr">
        <is>
          <t>S</t>
        </is>
      </c>
      <c r="F6" s="124" t="inlineStr">
        <is>
          <t>S</t>
        </is>
      </c>
      <c r="G6" s="124" t="inlineStr">
        <is>
          <t>W</t>
        </is>
      </c>
      <c r="H6" s="124" t="inlineStr">
        <is>
          <t>S</t>
        </is>
      </c>
      <c r="I6" s="124" t="inlineStr">
        <is>
          <t>M</t>
        </is>
      </c>
      <c r="J6" s="124">
        <f>COUNTIF(D6:I6,"S")</f>
        <v/>
      </c>
      <c r="K6" s="124">
        <f>LEN(TRIM(B6))-LEN(SUBSTITUTE(TRIM(B6)," ",""))+1</f>
        <v/>
      </c>
      <c r="L6" s="127">
        <f>INDEX(Cards!$B$2:$B$55,MATCH("C10",Cards!$A$2:$A$55,0))&amp;" (C10): Small towns are this country's backbone."</f>
        <v/>
      </c>
      <c r="M6" s="127">
        <f>INDEX(Cards!$B$2:$B$55,MATCH("C05",Cards!$A$2:$A$55,0))&amp;" (C05): Our towns deserve better than this!"</f>
        <v/>
      </c>
      <c r="N6" s="127">
        <f>INDEX(Cards!$B$2:$B$55,MATCH("C18",Cards!$A$2:$A$55,0))&amp;" (C18): They stand for themselves. We stand for you."</f>
        <v/>
      </c>
    </row>
    <row r="7">
      <c r="A7" s="124" t="inlineStr">
        <is>
          <t>T06</t>
        </is>
      </c>
      <c r="B7" s="125" t="inlineStr">
        <is>
          <t>Are you going to fight for us?</t>
        </is>
      </c>
      <c r="C7" s="126" t="inlineStr">
        <is>
          <t>Resolve</t>
        </is>
      </c>
      <c r="D7" s="124" t="inlineStr">
        <is>
          <t>M</t>
        </is>
      </c>
      <c r="E7" s="124" t="inlineStr">
        <is>
          <t>S</t>
        </is>
      </c>
      <c r="F7" s="124" t="inlineStr">
        <is>
          <t>S</t>
        </is>
      </c>
      <c r="G7" s="124" t="inlineStr">
        <is>
          <t>W</t>
        </is>
      </c>
      <c r="H7" s="124" t="inlineStr">
        <is>
          <t>S</t>
        </is>
      </c>
      <c r="I7" s="124" t="inlineStr">
        <is>
          <t>S</t>
        </is>
      </c>
      <c r="J7" s="124">
        <f>COUNTIF(D7:I7,"S")</f>
        <v/>
      </c>
      <c r="K7" s="124">
        <f>LEN(TRIM(B7))-LEN(SUBSTITUTE(TRIM(B7)," ",""))+1</f>
        <v/>
      </c>
      <c r="L7" s="127">
        <f>INDEX(Cards!$B$2:$B$55,MATCH("C33",Cards!$A$2:$A$55,0))&amp;" (C33): Not one step back. Not one inch."</f>
        <v/>
      </c>
      <c r="M7" s="127">
        <f>INDEX(Cards!$B$2:$B$55,MATCH("C30",Cards!$A$2:$A$55,0))&amp;" (C30): You are the reason I keep fighting!"</f>
        <v/>
      </c>
      <c r="N7" s="127">
        <f>INDEX(Cards!$B$2:$B$55,MATCH("C53",Cards!$A$2:$A$55,0))&amp;" (C53): Nobody fights harder for people like you."</f>
        <v/>
      </c>
    </row>
    <row r="8">
      <c r="A8" s="124" t="inlineStr">
        <is>
          <t>T07</t>
        </is>
      </c>
      <c r="B8" s="125" t="inlineStr">
        <is>
          <t>Can you explain this bill in plain words?</t>
        </is>
      </c>
      <c r="C8" s="126" t="inlineStr">
        <is>
          <t>Clarity</t>
        </is>
      </c>
      <c r="D8" s="124" t="inlineStr">
        <is>
          <t>S</t>
        </is>
      </c>
      <c r="E8" s="124" t="inlineStr">
        <is>
          <t>M</t>
        </is>
      </c>
      <c r="F8" s="124" t="inlineStr">
        <is>
          <t>M</t>
        </is>
      </c>
      <c r="G8" s="124" t="inlineStr">
        <is>
          <t>S</t>
        </is>
      </c>
      <c r="H8" s="124" t="inlineStr">
        <is>
          <t>W</t>
        </is>
      </c>
      <c r="I8" s="124" t="inlineStr">
        <is>
          <t>S</t>
        </is>
      </c>
      <c r="J8" s="124">
        <f>COUNTIF(D8:I8,"S")</f>
        <v/>
      </c>
      <c r="K8" s="124">
        <f>LEN(TRIM(B8))-LEN(SUBSTITUTE(TRIM(B8)," ",""))+1</f>
        <v/>
      </c>
      <c r="L8" s="127">
        <f>INDEX(Cards!$B$2:$B$55,MATCH("C04",Cards!$A$2:$A$55,0))&amp;" (C04): Strip away the noise. This is what matters."</f>
        <v/>
      </c>
      <c r="M8" s="127">
        <f>INDEX(Cards!$B$2:$B$55,MATCH("C13",Cards!$A$2:$A$55,0))&amp;" (C13): Let's look at the actual numbers."</f>
        <v/>
      </c>
      <c r="N8" s="127">
        <f>INDEX(Cards!$B$2:$B$55,MATCH("C52",Cards!$A$2:$A$55,0))&amp;" (C52): The technical framework is quite involved, actually."</f>
        <v/>
      </c>
    </row>
    <row r="9">
      <c r="A9" s="124" t="inlineStr">
        <is>
          <t>T08</t>
        </is>
      </c>
      <c r="B9" s="125" t="inlineStr">
        <is>
          <t>Why does it feel like nobody hears us?</t>
        </is>
      </c>
      <c r="C9" s="126" t="inlineStr">
        <is>
          <t>Neglect</t>
        </is>
      </c>
      <c r="D9" s="124" t="inlineStr">
        <is>
          <t>S</t>
        </is>
      </c>
      <c r="E9" s="124" t="inlineStr">
        <is>
          <t>S</t>
        </is>
      </c>
      <c r="F9" s="124" t="inlineStr">
        <is>
          <t>S</t>
        </is>
      </c>
      <c r="G9" s="124" t="inlineStr">
        <is>
          <t>W</t>
        </is>
      </c>
      <c r="H9" s="124" t="inlineStr">
        <is>
          <t>S</t>
        </is>
      </c>
      <c r="I9" s="124" t="inlineStr">
        <is>
          <t>M</t>
        </is>
      </c>
      <c r="J9" s="124">
        <f>COUNTIF(D9:I9,"S")</f>
        <v/>
      </c>
      <c r="K9" s="124">
        <f>LEN(TRIM(B9))-LEN(SUBSTITUTE(TRIM(B9)," ",""))+1</f>
        <v/>
      </c>
      <c r="L9" s="127">
        <f>INDEX(Cards!$B$2:$B$55,MATCH("C06",Cards!$A$2:$A$55,0))&amp;" (C06): They're not statistics. They're our neighbors."</f>
        <v/>
      </c>
      <c r="M9" s="127">
        <f>INDEX(Cards!$B$2:$B$55,MATCH("C10",Cards!$A$2:$A$55,0))&amp;" (C10): I speak for the people of my district."</f>
        <v/>
      </c>
      <c r="N9" s="127">
        <f>INDEX(Cards!$B$2:$B$55,MATCH("C19",Cards!$A$2:$A$55,0))&amp;" (C19): Wake up! They're laughing at you!"</f>
        <v/>
      </c>
    </row>
    <row r="10">
      <c r="A10" s="124" t="inlineStr">
        <is>
          <t>T09</t>
        </is>
      </c>
      <c r="B10" s="125" t="inlineStr">
        <is>
          <t>Will this bill protect jobs in our area?</t>
        </is>
      </c>
      <c r="C10" s="126" t="inlineStr">
        <is>
          <t>Livelihood</t>
        </is>
      </c>
      <c r="D10" s="124" t="inlineStr">
        <is>
          <t>M</t>
        </is>
      </c>
      <c r="E10" s="124" t="inlineStr">
        <is>
          <t>S</t>
        </is>
      </c>
      <c r="F10" s="124" t="inlineStr">
        <is>
          <t>S</t>
        </is>
      </c>
      <c r="G10" s="124" t="inlineStr">
        <is>
          <t>M</t>
        </is>
      </c>
      <c r="H10" s="124" t="inlineStr">
        <is>
          <t>S</t>
        </is>
      </c>
      <c r="I10" s="124" t="inlineStr">
        <is>
          <t>M</t>
        </is>
      </c>
      <c r="J10" s="124">
        <f>COUNTIF(D10:I10,"S")</f>
        <v/>
      </c>
      <c r="K10" s="124">
        <f>LEN(TRIM(B10))-LEN(SUBSTITUTE(TRIM(B10)," ",""))+1</f>
        <v/>
      </c>
      <c r="L10" s="127">
        <f>INDEX(Cards!$B$2:$B$55,MATCH("C19",Cards!$A$2:$A$55,0))&amp;" (C19): Your jobs, your homes. They want it all."</f>
        <v/>
      </c>
      <c r="M10" s="127">
        <f>INDEX(Cards!$B$2:$B$55,MATCH("C13",Cards!$A$2:$A$55,0))&amp;" (C13): The statistics speak for themselves."</f>
        <v/>
      </c>
      <c r="N10" s="127">
        <f>INDEX(Cards!$B$2:$B$55,MATCH("C10",Cards!$A$2:$A$55,0))&amp;" (C10): Ask anyone on Main Street. They'll tell you."</f>
        <v/>
      </c>
    </row>
    <row r="11">
      <c r="A11" s="124" t="inlineStr">
        <is>
          <t>T10</t>
        </is>
      </c>
      <c r="B11" s="125" t="inlineStr">
        <is>
          <t>Is this bill for us, or for big business?</t>
        </is>
      </c>
      <c r="C11" s="126" t="inlineStr">
        <is>
          <t>Motive</t>
        </is>
      </c>
      <c r="D11" s="124" t="inlineStr">
        <is>
          <t>S</t>
        </is>
      </c>
      <c r="E11" s="124" t="inlineStr">
        <is>
          <t>S</t>
        </is>
      </c>
      <c r="F11" s="124" t="inlineStr">
        <is>
          <t>M</t>
        </is>
      </c>
      <c r="G11" s="124" t="inlineStr">
        <is>
          <t>M</t>
        </is>
      </c>
      <c r="H11" s="124" t="inlineStr">
        <is>
          <t>S</t>
        </is>
      </c>
      <c r="I11" s="124" t="inlineStr">
        <is>
          <t>M</t>
        </is>
      </c>
      <c r="J11" s="124">
        <f>COUNTIF(D11:I11,"S")</f>
        <v/>
      </c>
      <c r="K11" s="124">
        <f>LEN(TRIM(B11))-LEN(SUBSTITUTE(TRIM(B11)," ",""))+1</f>
        <v/>
      </c>
      <c r="L11" s="127">
        <f>INDEX(Cards!$B$2:$B$55,MATCH("C27",Cards!$A$2:$A$55,0))&amp;" (C27): This isn't about party. It's about people."</f>
        <v/>
      </c>
      <c r="M11" s="127">
        <f>INDEX(Cards!$B$2:$B$55,MATCH("C18",Cards!$A$2:$A$55,0))&amp;" (C18): On one side, workers. On the other, them."</f>
        <v/>
      </c>
      <c r="N11" s="127">
        <f>INDEX(Cards!$B$2:$B$55,MATCH("C17",Cards!$A$2:$A$55,0))&amp;" (C17): You are a shill for special interests!"</f>
        <v/>
      </c>
    </row>
    <row r="12">
      <c r="A12" s="124" t="inlineStr">
        <is>
          <t>T11</t>
        </is>
      </c>
      <c r="B12" s="125" t="inlineStr">
        <is>
          <t>What happens to people who can't keep up?</t>
        </is>
      </c>
      <c r="C12" s="126" t="inlineStr">
        <is>
          <t>Vulnerable</t>
        </is>
      </c>
      <c r="D12" s="124" t="inlineStr">
        <is>
          <t>S</t>
        </is>
      </c>
      <c r="E12" s="124" t="inlineStr">
        <is>
          <t>S</t>
        </is>
      </c>
      <c r="F12" s="124" t="inlineStr">
        <is>
          <t>S</t>
        </is>
      </c>
      <c r="G12" s="124" t="inlineStr">
        <is>
          <t>W</t>
        </is>
      </c>
      <c r="H12" s="124" t="inlineStr">
        <is>
          <t>M</t>
        </is>
      </c>
      <c r="I12" s="124" t="inlineStr">
        <is>
          <t>M</t>
        </is>
      </c>
      <c r="J12" s="124">
        <f>COUNTIF(D12:I12,"S")</f>
        <v/>
      </c>
      <c r="K12" s="124">
        <f>LEN(TRIM(B12))-LEN(SUBSTITUTE(TRIM(B12)," ",""))+1</f>
        <v/>
      </c>
      <c r="L12" s="127">
        <f>INDEX(Cards!$B$2:$B$55,MATCH("C06",Cards!$A$2:$A$55,0))&amp;" (C06): Think of your own mother, your own child."</f>
        <v/>
      </c>
      <c r="M12" s="127">
        <f>INDEX(Cards!$B$2:$B$55,MATCH("C09",Cards!$A$2:$A$55,0))&amp;" (C09): Stand with me, and stand with each other."</f>
        <v/>
      </c>
      <c r="N12" s="127">
        <f>INDEX(Cards!$B$2:$B$55,MATCH("C04",Cards!$A$2:$A$55,0))&amp;" (C04): Back to basics: who are we here for?"</f>
        <v/>
      </c>
    </row>
    <row r="13">
      <c r="A13" s="124" t="inlineStr">
        <is>
          <t>T12</t>
        </is>
      </c>
      <c r="B13" s="125" t="inlineStr">
        <is>
          <t>Why should I vote for you?</t>
        </is>
      </c>
      <c r="C13" s="126" t="inlineStr">
        <is>
          <t>Trust</t>
        </is>
      </c>
      <c r="D13" s="124" t="inlineStr">
        <is>
          <t>S</t>
        </is>
      </c>
      <c r="E13" s="124" t="inlineStr">
        <is>
          <t>S</t>
        </is>
      </c>
      <c r="F13" s="124" t="inlineStr">
        <is>
          <t>S</t>
        </is>
      </c>
      <c r="G13" s="124" t="inlineStr">
        <is>
          <t>M</t>
        </is>
      </c>
      <c r="H13" s="124" t="inlineStr">
        <is>
          <t>M</t>
        </is>
      </c>
      <c r="I13" s="124" t="inlineStr">
        <is>
          <t>M</t>
        </is>
      </c>
      <c r="J13" s="124">
        <f>COUNTIF(D13:I13,"S")</f>
        <v/>
      </c>
      <c r="K13" s="124">
        <f>LEN(TRIM(B13))-LEN(SUBSTITUTE(TRIM(B13)," ",""))+1</f>
        <v/>
      </c>
      <c r="L13" s="127">
        <f>INDEX(Cards!$B$2:$B$55,MATCH("C01",Cards!$A$2:$A$55,0))&amp;" (C01): Judge me by my record."</f>
        <v/>
      </c>
      <c r="M13" s="127">
        <f>INDEX(Cards!$B$2:$B$55,MATCH("C30",Cards!$A$2:$A$55,0))&amp;" (C30): You are the reason I keep fighting!"</f>
        <v/>
      </c>
      <c r="N13" s="127">
        <f>INDEX(Cards!$B$2:$B$55,MATCH("C10",Cards!$A$2:$A$55,0))&amp;" (C10): My hometown's values guide every decision."</f>
        <v/>
      </c>
    </row>
    <row r="14">
      <c r="A14" s="124" t="inlineStr">
        <is>
          <t>T13</t>
        </is>
      </c>
      <c r="B14" s="125" t="inlineStr">
        <is>
          <t>Will you listen if we disagree with you?</t>
        </is>
      </c>
      <c r="C14" s="126" t="inlineStr">
        <is>
          <t>Openness</t>
        </is>
      </c>
      <c r="D14" s="124" t="inlineStr">
        <is>
          <t>S</t>
        </is>
      </c>
      <c r="E14" s="124" t="inlineStr">
        <is>
          <t>M</t>
        </is>
      </c>
      <c r="F14" s="124" t="inlineStr">
        <is>
          <t>S</t>
        </is>
      </c>
      <c r="G14" s="124" t="inlineStr">
        <is>
          <t>W</t>
        </is>
      </c>
      <c r="H14" s="124" t="inlineStr">
        <is>
          <t>W</t>
        </is>
      </c>
      <c r="I14" s="124" t="inlineStr">
        <is>
          <t>S</t>
        </is>
      </c>
      <c r="J14" s="124">
        <f>COUNTIF(D14:I14,"S")</f>
        <v/>
      </c>
      <c r="K14" s="124">
        <f>LEN(TRIM(B14))-LEN(SUBSTITUTE(TRIM(B14)," ",""))+1</f>
        <v/>
      </c>
      <c r="L14" s="127">
        <f>INDEX(Cards!$B$2:$B$55,MATCH("C27",Cards!$A$2:$A$55,0))&amp;" (C27): My door is open to the other side."</f>
        <v/>
      </c>
      <c r="M14" s="127">
        <f>INDEX(Cards!$B$2:$B$55,MATCH("C37",Cards!$A$2:$A$55,0))&amp;" (C37): There's room at this table for everyone."</f>
        <v/>
      </c>
      <c r="N14" s="127">
        <f>INDEX(Cards!$B$2:$B$55,MATCH("C50",Cards!$A$2:$A$55,0))&amp;" (C50): I'll take it under advisement."</f>
        <v/>
      </c>
    </row>
    <row r="15">
      <c r="A15" s="124" t="inlineStr">
        <is>
          <t>T14</t>
        </is>
      </c>
      <c r="B15" s="125" t="inlineStr">
        <is>
          <t>Are you on our side or theirs?</t>
        </is>
      </c>
      <c r="C15" s="126" t="inlineStr">
        <is>
          <t>Loyalty</t>
        </is>
      </c>
      <c r="D15" s="124" t="inlineStr">
        <is>
          <t>M</t>
        </is>
      </c>
      <c r="E15" s="124" t="inlineStr">
        <is>
          <t>S</t>
        </is>
      </c>
      <c r="F15" s="124" t="inlineStr">
        <is>
          <t>S</t>
        </is>
      </c>
      <c r="G15" s="124" t="inlineStr">
        <is>
          <t>W</t>
        </is>
      </c>
      <c r="H15" s="124" t="inlineStr">
        <is>
          <t>S</t>
        </is>
      </c>
      <c r="I15" s="124" t="inlineStr">
        <is>
          <t>S</t>
        </is>
      </c>
      <c r="J15" s="124">
        <f>COUNTIF(D15:I15,"S")</f>
        <v/>
      </c>
      <c r="K15" s="124">
        <f>LEN(TRIM(B15))-LEN(SUBSTITUTE(TRIM(B15)," ",""))+1</f>
        <v/>
      </c>
      <c r="L15" s="127">
        <f>INDEX(Cards!$B$2:$B$55,MATCH("C18",Cards!$A$2:$A$55,0))&amp;" (C18): It's us against them, plain and simple."</f>
        <v/>
      </c>
      <c r="M15" s="127">
        <f>INDEX(Cards!$B$2:$B$55,MATCH("C53",Cards!$A$2:$A$55,0))&amp;" (C53): You and I see this exactly the same."</f>
        <v/>
      </c>
      <c r="N15" s="127">
        <f>INDEX(Cards!$B$2:$B$55,MATCH("C30",Cards!$A$2:$A$55,0))&amp;" (C30): You are the heart of this movement!"</f>
        <v/>
      </c>
    </row>
    <row r="16">
      <c r="A16" s="124" t="inlineStr">
        <is>
          <t>T15</t>
        </is>
      </c>
      <c r="B16" s="125" t="inlineStr">
        <is>
          <t>What do you say to families struggling to get by?</t>
        </is>
      </c>
      <c r="C16" s="126" t="inlineStr">
        <is>
          <t>Hardship</t>
        </is>
      </c>
      <c r="D16" s="124" t="inlineStr">
        <is>
          <t>S</t>
        </is>
      </c>
      <c r="E16" s="124" t="inlineStr">
        <is>
          <t>S</t>
        </is>
      </c>
      <c r="F16" s="124" t="inlineStr">
        <is>
          <t>S</t>
        </is>
      </c>
      <c r="G16" s="124" t="inlineStr">
        <is>
          <t>M</t>
        </is>
      </c>
      <c r="H16" s="124" t="inlineStr">
        <is>
          <t>M</t>
        </is>
      </c>
      <c r="I16" s="124" t="inlineStr">
        <is>
          <t>M</t>
        </is>
      </c>
      <c r="J16" s="124">
        <f>COUNTIF(D16:I16,"S")</f>
        <v/>
      </c>
      <c r="K16" s="124">
        <f>LEN(TRIM(B16))-LEN(SUBSTITUTE(TRIM(B16)," ",""))+1</f>
        <v/>
      </c>
      <c r="L16" s="127">
        <f>INDEX(Cards!$B$2:$B$55,MATCH("C05",Cards!$A$2:$A$55,0))&amp;" (C05): I will not stand by while families suffer!"</f>
        <v/>
      </c>
      <c r="M16" s="127">
        <f>INDEX(Cards!$B$2:$B$55,MATCH("C06",Cards!$A$2:$A$55,0))&amp;" (C06): Every family has a story like this."</f>
        <v/>
      </c>
      <c r="N16" s="127">
        <f>INDEX(Cards!$B$2:$B$55,MATCH("C28",Cards!$A$2:$A$55,0))&amp;" (C28): This letter comes from a mother in my district."</f>
        <v/>
      </c>
    </row>
    <row r="17">
      <c r="A17" s="124" t="inlineStr">
        <is>
          <t>T16</t>
        </is>
      </c>
      <c r="B17" s="125" t="inlineStr">
        <is>
          <t>How can we trust politicians at all?</t>
        </is>
      </c>
      <c r="C17" s="126" t="inlineStr">
        <is>
          <t>Trust</t>
        </is>
      </c>
      <c r="D17" s="124" t="inlineStr">
        <is>
          <t>S</t>
        </is>
      </c>
      <c r="E17" s="124" t="inlineStr">
        <is>
          <t>M</t>
        </is>
      </c>
      <c r="F17" s="124" t="inlineStr">
        <is>
          <t>M</t>
        </is>
      </c>
      <c r="G17" s="124" t="inlineStr">
        <is>
          <t>S</t>
        </is>
      </c>
      <c r="H17" s="124" t="inlineStr">
        <is>
          <t>S</t>
        </is>
      </c>
      <c r="I17" s="124" t="inlineStr">
        <is>
          <t>S</t>
        </is>
      </c>
      <c r="J17" s="124">
        <f>COUNTIF(D17:I17,"S")</f>
        <v/>
      </c>
      <c r="K17" s="124">
        <f>LEN(TRIM(B17))-LEN(SUBSTITUTE(TRIM(B17)," ",""))+1</f>
        <v/>
      </c>
      <c r="L17" s="127">
        <f>INDEX(Cards!$B$2:$B$55,MATCH("C26",Cards!$A$2:$A$55,0))&amp;" (C26): I'd rather admit fault than hide it."</f>
        <v/>
      </c>
      <c r="M17" s="127">
        <f>INDEX(Cards!$B$2:$B$55,MATCH("C16",Cards!$A$2:$A$55,0))&amp;" (C16): Every claim here is sourced and verified."</f>
        <v/>
      </c>
      <c r="N17" s="127">
        <f>INDEX(Cards!$B$2:$B$55,MATCH("C17",Cards!$A$2:$A$55,0))&amp;" (C17): Another career politician, protecting their own."</f>
        <v/>
      </c>
    </row>
    <row r="18">
      <c r="A18" s="124" t="inlineStr">
        <is>
          <t>T17</t>
        </is>
      </c>
      <c r="B18" s="125" t="inlineStr">
        <is>
          <t>Who is behind this bill?</t>
        </is>
      </c>
      <c r="C18" s="126" t="inlineStr">
        <is>
          <t>Influence</t>
        </is>
      </c>
      <c r="D18" s="124" t="inlineStr">
        <is>
          <t>M</t>
        </is>
      </c>
      <c r="E18" s="124" t="inlineStr">
        <is>
          <t>M</t>
        </is>
      </c>
      <c r="F18" s="124" t="inlineStr">
        <is>
          <t>M</t>
        </is>
      </c>
      <c r="G18" s="124" t="inlineStr">
        <is>
          <t>S</t>
        </is>
      </c>
      <c r="H18" s="124" t="inlineStr">
        <is>
          <t>S</t>
        </is>
      </c>
      <c r="I18" s="124" t="inlineStr">
        <is>
          <t>S</t>
        </is>
      </c>
      <c r="J18" s="124">
        <f>COUNTIF(D18:I18,"S")</f>
        <v/>
      </c>
      <c r="K18" s="124">
        <f>LEN(TRIM(B18))-LEN(SUBSTITUTE(TRIM(B18)," ",""))+1</f>
        <v/>
      </c>
      <c r="L18" s="127">
        <f>INDEX(Cards!$B$2:$B$55,MATCH("C16",Cards!$A$2:$A$55,0))&amp;" (C16): Our findings are published. Refute them."</f>
        <v/>
      </c>
      <c r="M18" s="127">
        <f>INDEX(Cards!$B$2:$B$55,MATCH("C22",Cards!$A$2:$A$55,0))&amp;" (C22): I can neither confirm nor deny that."</f>
        <v/>
      </c>
      <c r="N18" s="127">
        <f>INDEX(Cards!$B$2:$B$55,MATCH("C18",Cards!$A$2:$A$55,0))&amp;" (C18): They stand for themselves. We stand for you."</f>
        <v/>
      </c>
    </row>
    <row r="19">
      <c r="A19" s="124" t="inlineStr">
        <is>
          <t>T18</t>
        </is>
      </c>
      <c r="B19" s="125" t="inlineStr">
        <is>
          <t>What can ordinary people do to help?</t>
        </is>
      </c>
      <c r="C19" s="126" t="inlineStr">
        <is>
          <t>Participation</t>
        </is>
      </c>
      <c r="D19" s="124" t="inlineStr">
        <is>
          <t>M</t>
        </is>
      </c>
      <c r="E19" s="124" t="inlineStr">
        <is>
          <t>S</t>
        </is>
      </c>
      <c r="F19" s="124" t="inlineStr">
        <is>
          <t>S</t>
        </is>
      </c>
      <c r="G19" s="124" t="inlineStr">
        <is>
          <t>W</t>
        </is>
      </c>
      <c r="H19" s="124" t="inlineStr">
        <is>
          <t>M</t>
        </is>
      </c>
      <c r="I19" s="124" t="inlineStr">
        <is>
          <t>M</t>
        </is>
      </c>
      <c r="J19" s="124">
        <f>COUNTIF(D19:I19,"S")</f>
        <v/>
      </c>
      <c r="K19" s="124">
        <f>LEN(TRIM(B19))-LEN(SUBSTITUTE(TRIM(B19)," ",""))+1</f>
        <v/>
      </c>
      <c r="L19" s="127">
        <f>INDEX(Cards!$B$2:$B$55,MATCH("C07",Cards!$A$2:$A$55,0))&amp;" (C07): Let them know where you stand!"</f>
        <v/>
      </c>
      <c r="M19" s="127">
        <f>INDEX(Cards!$B$2:$B$55,MATCH("C09",Cards!$A$2:$A$55,0))&amp;" (C09): Stand with me, and stand with each other."</f>
        <v/>
      </c>
      <c r="N19" s="127">
        <f>INDEX(Cards!$B$2:$B$55,MATCH("C34",Cards!$A$2:$A$55,0))&amp;" (C34): Tell them who we are!"</f>
        <v/>
      </c>
    </row>
    <row r="20">
      <c r="A20" s="124" t="inlineStr">
        <is>
          <t>T19</t>
        </is>
      </c>
      <c r="B20" s="125" t="inlineStr">
        <is>
          <t>Will you keep your promises to us?</t>
        </is>
      </c>
      <c r="C20" s="126" t="inlineStr">
        <is>
          <t>Commitment</t>
        </is>
      </c>
      <c r="D20" s="124" t="inlineStr">
        <is>
          <t>S</t>
        </is>
      </c>
      <c r="E20" s="124" t="inlineStr">
        <is>
          <t>M</t>
        </is>
      </c>
      <c r="F20" s="124" t="inlineStr">
        <is>
          <t>M</t>
        </is>
      </c>
      <c r="G20" s="124" t="inlineStr">
        <is>
          <t>M</t>
        </is>
      </c>
      <c r="H20" s="124" t="inlineStr">
        <is>
          <t>W</t>
        </is>
      </c>
      <c r="I20" s="124" t="inlineStr">
        <is>
          <t>S</t>
        </is>
      </c>
      <c r="J20" s="124">
        <f>COUNTIF(D20:I20,"S")</f>
        <v/>
      </c>
      <c r="K20" s="124">
        <f>LEN(TRIM(B20))-LEN(SUBSTITUTE(TRIM(B20)," ",""))+1</f>
        <v/>
      </c>
      <c r="L20" s="127">
        <f>INDEX(Cards!$B$2:$B$55,MATCH("C25",Cards!$A$2:$A$55,0))&amp;" (C25): When I make a promise, I keep it."</f>
        <v/>
      </c>
      <c r="M20" s="127">
        <f>INDEX(Cards!$B$2:$B$55,MATCH("C01",Cards!$A$2:$A$55,0))&amp;" (C01): Judge me by my record."</f>
        <v/>
      </c>
      <c r="N20" s="127">
        <f>INDEX(Cards!$B$2:$B$55,MATCH("C50",Cards!$A$2:$A$55,0))&amp;" (C50): We will consider that positively."</f>
        <v/>
      </c>
    </row>
    <row r="21">
      <c r="A21" s="124" t="inlineStr">
        <is>
          <t>T20</t>
        </is>
      </c>
      <c r="B21" s="125" t="inlineStr">
        <is>
          <t>Why should young people care about this?</t>
        </is>
      </c>
      <c r="C21" s="126" t="inlineStr">
        <is>
          <t>Stakes</t>
        </is>
      </c>
      <c r="D21" s="124" t="inlineStr">
        <is>
          <t>S</t>
        </is>
      </c>
      <c r="E21" s="124" t="inlineStr">
        <is>
          <t>S</t>
        </is>
      </c>
      <c r="F21" s="124" t="inlineStr">
        <is>
          <t>M</t>
        </is>
      </c>
      <c r="G21" s="124" t="inlineStr">
        <is>
          <t>M</t>
        </is>
      </c>
      <c r="H21" s="124" t="inlineStr">
        <is>
          <t>S</t>
        </is>
      </c>
      <c r="I21" s="124" t="inlineStr">
        <is>
          <t>M</t>
        </is>
      </c>
      <c r="J21" s="124">
        <f>COUNTIF(D21:I21,"S")</f>
        <v/>
      </c>
      <c r="K21" s="124">
        <f>LEN(TRIM(B21))-LEN(SUBSTITUTE(TRIM(B21)," ",""))+1</f>
        <v/>
      </c>
      <c r="L21" s="127">
        <f>INDEX(Cards!$B$2:$B$55,MATCH("C29",Cards!$A$2:$A$55,0))&amp;" (C29): Vote as if your children were watching."</f>
        <v/>
      </c>
      <c r="M21" s="127">
        <f>INDEX(Cards!$B$2:$B$55,MATCH("C34",Cards!$A$2:$A$55,0))&amp;" (C34): This is our chance! Take it!"</f>
        <v/>
      </c>
      <c r="N21" s="127">
        <f>INDEX(Cards!$B$2:$B$55,MATCH("C19",Cards!$A$2:$A$55,0))&amp;" (C19): They're taking what's yours. Will you let them?"</f>
        <v/>
      </c>
    </row>
    <row r="22">
      <c r="C22" s="81" t="inlineStr">
        <is>
          <t>Strong total</t>
        </is>
      </c>
      <c r="D22" s="128">
        <f>COUNTIF(D2:D21,"S")</f>
        <v/>
      </c>
      <c r="E22" s="128">
        <f>COUNTIF(E2:E21,"S")</f>
        <v/>
      </c>
      <c r="F22" s="128">
        <f>COUNTIF(F2:F21,"S")</f>
        <v/>
      </c>
      <c r="G22" s="128">
        <f>COUNTIF(G2:G21,"S")</f>
        <v/>
      </c>
      <c r="H22" s="128">
        <f>COUNTIF(H2:H21,"S")</f>
        <v/>
      </c>
      <c r="I22" s="128">
        <f>COUNTIF(I2:I21,"S")</f>
        <v/>
      </c>
    </row>
    <row r="24">
      <c r="B24" s="129" t="inlineStr">
        <is>
          <t>Stage: Constituents at a town hall: plain-spoken, personal, practical, sometimes frustrated.</t>
        </is>
      </c>
    </row>
    <row r="25">
      <c r="B25" s="129" t="inlineStr">
        <is>
          <t>Fit key (writing check, not a game mechanic): S = at least one of that suit's cues reads as a natural answer · M = workable · W = awkward.</t>
        </is>
      </c>
    </row>
    <row r="26">
      <c r="B26" s="129" t="inlineStr">
        <is>
          <t>Rules: no time references, no assumed past events, no specific policy area. Each question stands alone. At least 2 S and at most 2 W per question.</t>
        </is>
      </c>
    </row>
    <row r="27">
      <c r="B27" s="129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05078125" customWidth="1" style="43" min="1" max="1"/>
    <col width="41.96875" customWidth="1" style="43" min="2" max="2"/>
    <col width="13.98828125" customWidth="1" style="43" min="3" max="3"/>
    <col width="9.01171875" customWidth="1" style="43" min="4" max="4"/>
    <col width="9.953125" customWidth="1" style="43" min="5" max="5"/>
    <col width="9.01171875" customWidth="1" style="43" min="6" max="6"/>
    <col width="9.953125" customWidth="1" style="43" min="7" max="7"/>
    <col width="9.01171875" customWidth="1" style="43" min="8" max="8"/>
    <col width="11.02734375" customWidth="1" style="43" min="9" max="9"/>
    <col width="7.93359375" customWidth="1" style="43" min="10" max="10"/>
    <col width="6.9921875" customWidth="1" style="43" min="11" max="11"/>
    <col width="43.98828125" customWidth="1" style="43" min="12" max="12"/>
  </cols>
  <sheetData>
    <row r="1">
      <c r="A1" s="79" t="inlineStr">
        <is>
          <t>Q ID</t>
        </is>
      </c>
      <c r="B1" s="79" t="inlineStr">
        <is>
          <t>Question</t>
        </is>
      </c>
      <c r="C1" s="79" t="inlineStr">
        <is>
          <t>Theme</t>
        </is>
      </c>
      <c r="D1" s="79" t="inlineStr">
        <is>
          <t>Earnest</t>
        </is>
      </c>
      <c r="E1" s="79" t="inlineStr">
        <is>
          <t>Emotional</t>
        </is>
      </c>
      <c r="F1" s="79" t="inlineStr">
        <is>
          <t>Appeal</t>
        </is>
      </c>
      <c r="G1" s="79" t="inlineStr">
        <is>
          <t>Data Driven</t>
        </is>
      </c>
      <c r="H1" s="79" t="inlineStr">
        <is>
          <t>Divisive</t>
        </is>
      </c>
      <c r="I1" s="79" t="inlineStr">
        <is>
          <t>Duplicitous</t>
        </is>
      </c>
      <c r="J1" s="80" t="inlineStr">
        <is>
          <t>Strong suits</t>
        </is>
      </c>
      <c r="K1" s="80" t="inlineStr">
        <is>
          <t>Words</t>
        </is>
      </c>
      <c r="L1" s="79" t="inlineStr">
        <is>
          <t>Sample answer 1</t>
        </is>
      </c>
      <c r="M1" s="79" t="inlineStr">
        <is>
          <t>Sample answer 2</t>
        </is>
      </c>
      <c r="N1" s="79" t="inlineStr">
        <is>
          <t>Sample answer 3</t>
        </is>
      </c>
    </row>
    <row r="2">
      <c r="A2" s="124" t="inlineStr">
        <is>
          <t>L01</t>
        </is>
      </c>
      <c r="B2" s="125" t="inlineStr">
        <is>
          <t>Can our members count on your support?</t>
        </is>
      </c>
      <c r="C2" s="126" t="inlineStr">
        <is>
          <t>Support</t>
        </is>
      </c>
      <c r="D2" s="124" t="inlineStr">
        <is>
          <t>M</t>
        </is>
      </c>
      <c r="E2" s="124" t="inlineStr">
        <is>
          <t>M</t>
        </is>
      </c>
      <c r="F2" s="124" t="inlineStr">
        <is>
          <t>S</t>
        </is>
      </c>
      <c r="G2" s="124" t="inlineStr">
        <is>
          <t>M</t>
        </is>
      </c>
      <c r="H2" s="124" t="inlineStr">
        <is>
          <t>M</t>
        </is>
      </c>
      <c r="I2" s="124" t="inlineStr">
        <is>
          <t>S</t>
        </is>
      </c>
      <c r="J2" s="124">
        <f>COUNTIF(D2:I2,"S")</f>
        <v/>
      </c>
      <c r="K2" s="124">
        <f>LEN(TRIM(B2))-LEN(SUBSTITUTE(TRIM(B2)," ",""))+1</f>
        <v/>
      </c>
      <c r="L2" s="127">
        <f>INDEX(Cards!$B$2:$B$55,MATCH("C11",Cards!$A$2:$A$55,0))&amp;" (C11): I believe we understand each other."</f>
        <v/>
      </c>
      <c r="M2" s="127">
        <f>INDEX(Cards!$B$2:$B$55,MATCH("C24",Cards!$A$2:$A$55,0))&amp;" (C24): Rest assured, you'll be taken care of."</f>
        <v/>
      </c>
      <c r="N2" s="127">
        <f>INDEX(Cards!$B$2:$B$55,MATCH("C25",Cards!$A$2:$A$55,0))&amp;" (C25): When I make a promise, I keep it."</f>
        <v/>
      </c>
    </row>
    <row r="3">
      <c r="A3" s="124" t="inlineStr">
        <is>
          <t>L02</t>
        </is>
      </c>
      <c r="B3" s="125" t="inlineStr">
        <is>
          <t>What would it take to earn your vote?</t>
        </is>
      </c>
      <c r="C3" s="126" t="inlineStr">
        <is>
          <t>Price</t>
        </is>
      </c>
      <c r="D3" s="124" t="inlineStr">
        <is>
          <t>S</t>
        </is>
      </c>
      <c r="E3" s="124" t="inlineStr">
        <is>
          <t>W</t>
        </is>
      </c>
      <c r="F3" s="124" t="inlineStr">
        <is>
          <t>S</t>
        </is>
      </c>
      <c r="G3" s="124" t="inlineStr">
        <is>
          <t>M</t>
        </is>
      </c>
      <c r="H3" s="124" t="inlineStr">
        <is>
          <t>M</t>
        </is>
      </c>
      <c r="I3" s="124" t="inlineStr">
        <is>
          <t>S</t>
        </is>
      </c>
      <c r="J3" s="124">
        <f>COUNTIF(D3:I3,"S")</f>
        <v/>
      </c>
      <c r="K3" s="124">
        <f>LEN(TRIM(B3))-LEN(SUBSTITUTE(TRIM(B3)," ",""))+1</f>
        <v/>
      </c>
      <c r="L3" s="127">
        <f>INDEX(Cards!$B$2:$B$55,MATCH("C04",Cards!$A$2:$A$55,0))&amp;" (C04): I know exactly who I work for."</f>
        <v/>
      </c>
      <c r="M3" s="127">
        <f>INDEX(Cards!$B$2:$B$55,MATCH("C38",Cards!$A$2:$A$55,0))&amp;" (C38): One good turn deserves another."</f>
        <v/>
      </c>
      <c r="N3" s="127">
        <f>INDEX(Cards!$B$2:$B$55,MATCH("C24",Cards!$A$2:$A$55,0))&amp;" (C24): Support me, and I'll remember it."</f>
        <v/>
      </c>
    </row>
    <row r="4">
      <c r="A4" s="124" t="inlineStr">
        <is>
          <t>L03</t>
        </is>
      </c>
      <c r="B4" s="125" t="inlineStr">
        <is>
          <t>Is there room to adjust the bill's language?</t>
        </is>
      </c>
      <c r="C4" s="126" t="inlineStr">
        <is>
          <t>Drafting</t>
        </is>
      </c>
      <c r="D4" s="124" t="inlineStr">
        <is>
          <t>M</t>
        </is>
      </c>
      <c r="E4" s="124" t="inlineStr">
        <is>
          <t>W</t>
        </is>
      </c>
      <c r="F4" s="124" t="inlineStr">
        <is>
          <t>S</t>
        </is>
      </c>
      <c r="G4" s="124" t="inlineStr">
        <is>
          <t>S</t>
        </is>
      </c>
      <c r="H4" s="124" t="inlineStr">
        <is>
          <t>W</t>
        </is>
      </c>
      <c r="I4" s="124" t="inlineStr">
        <is>
          <t>S</t>
        </is>
      </c>
      <c r="J4" s="124">
        <f>COUNTIF(D4:I4,"S")</f>
        <v/>
      </c>
      <c r="K4" s="124">
        <f>LEN(TRIM(B4))-LEN(SUBSTITUTE(TRIM(B4)," ",""))+1</f>
        <v/>
      </c>
      <c r="L4" s="127">
        <f>INDEX(Cards!$B$2:$B$55,MATCH("C37",Cards!$A$2:$A$55,0))&amp;" (C37): There's room at this table for everyone."</f>
        <v/>
      </c>
      <c r="M4" s="127">
        <f>INDEX(Cards!$B$2:$B$55,MATCH("C52",Cards!$A$2:$A$55,0))&amp;" (C52): Per subsection four, paragraph two, clause B..."</f>
        <v/>
      </c>
      <c r="N4" s="127">
        <f>INDEX(Cards!$B$2:$B$55,MATCH("C13",Cards!$A$2:$A$55,0))&amp;" (C13): Let's look at the actual numbers."</f>
        <v/>
      </c>
    </row>
    <row r="5">
      <c r="A5" s="124" t="inlineStr">
        <is>
          <t>L04</t>
        </is>
      </c>
      <c r="B5" s="125" t="inlineStr">
        <is>
          <t>Our industry has concerns. Will you hear them?</t>
        </is>
      </c>
      <c r="C5" s="126" t="inlineStr">
        <is>
          <t>Access</t>
        </is>
      </c>
      <c r="D5" s="124" t="inlineStr">
        <is>
          <t>S</t>
        </is>
      </c>
      <c r="E5" s="124" t="inlineStr">
        <is>
          <t>W</t>
        </is>
      </c>
      <c r="F5" s="124" t="inlineStr">
        <is>
          <t>S</t>
        </is>
      </c>
      <c r="G5" s="124" t="inlineStr">
        <is>
          <t>M</t>
        </is>
      </c>
      <c r="H5" s="124" t="inlineStr">
        <is>
          <t>M</t>
        </is>
      </c>
      <c r="I5" s="124" t="inlineStr">
        <is>
          <t>S</t>
        </is>
      </c>
      <c r="J5" s="124">
        <f>COUNTIF(D5:I5,"S")</f>
        <v/>
      </c>
      <c r="K5" s="124">
        <f>LEN(TRIM(B5))-LEN(SUBSTITUTE(TRIM(B5)," ",""))+1</f>
        <v/>
      </c>
      <c r="L5" s="127">
        <f>INDEX(Cards!$B$2:$B$55,MATCH("C27",Cards!$A$2:$A$55,0))&amp;" (C27): I'll work with anyone who wants results."</f>
        <v/>
      </c>
      <c r="M5" s="127">
        <f>INDEX(Cards!$B$2:$B$55,MATCH("C24",Cards!$A$2:$A$55,0))&amp;" (C24): Let's just say your concerns are understood."</f>
        <v/>
      </c>
      <c r="N5" s="127">
        <f>INDEX(Cards!$B$2:$B$55,MATCH("C50",Cards!$A$2:$A$55,0))&amp;" (C50): I'll take it under advisement."</f>
        <v/>
      </c>
    </row>
    <row r="6">
      <c r="A6" s="124" t="inlineStr">
        <is>
          <t>L05</t>
        </is>
      </c>
      <c r="B6" s="125" t="inlineStr">
        <is>
          <t>Can we speak off the record?</t>
        </is>
      </c>
      <c r="C6" s="126" t="inlineStr">
        <is>
          <t>Secrecy</t>
        </is>
      </c>
      <c r="D6" s="124" t="inlineStr">
        <is>
          <t>S</t>
        </is>
      </c>
      <c r="E6" s="124" t="inlineStr">
        <is>
          <t>W</t>
        </is>
      </c>
      <c r="F6" s="124" t="inlineStr">
        <is>
          <t>S</t>
        </is>
      </c>
      <c r="G6" s="124" t="inlineStr">
        <is>
          <t>W</t>
        </is>
      </c>
      <c r="H6" s="124" t="inlineStr">
        <is>
          <t>M</t>
        </is>
      </c>
      <c r="I6" s="124" t="inlineStr">
        <is>
          <t>S</t>
        </is>
      </c>
      <c r="J6" s="124">
        <f>COUNTIF(D6:I6,"S")</f>
        <v/>
      </c>
      <c r="K6" s="124">
        <f>LEN(TRIM(B6))-LEN(SUBSTITUTE(TRIM(B6)," ",""))+1</f>
        <v/>
      </c>
      <c r="L6" s="127">
        <f>INDEX(Cards!$B$2:$B$55,MATCH("C54",Cards!$A$2:$A$55,0))&amp;" (C54): Between us, here's how it really is."</f>
        <v/>
      </c>
      <c r="M6" s="127">
        <f>INDEX(Cards!$B$2:$B$55,MATCH("C36",Cards!$A$2:$A$55,0))&amp;" (C36): Let's keep this conversation private."</f>
        <v/>
      </c>
      <c r="N6" s="127">
        <f>INDEX(Cards!$B$2:$B$55,MATCH("C02",Cards!$A$2:$A$55,0))&amp;" (C02): No spin. Just the truth as I see it."</f>
        <v/>
      </c>
    </row>
    <row r="7">
      <c r="A7" s="124" t="inlineStr">
        <is>
          <t>L06</t>
        </is>
      </c>
      <c r="B7" s="125" t="inlineStr">
        <is>
          <t>Who else is lobbying you on this?</t>
        </is>
      </c>
      <c r="C7" s="126" t="inlineStr">
        <is>
          <t>Competition</t>
        </is>
      </c>
      <c r="D7" s="124" t="inlineStr">
        <is>
          <t>S</t>
        </is>
      </c>
      <c r="E7" s="124" t="inlineStr">
        <is>
          <t>W</t>
        </is>
      </c>
      <c r="F7" s="124" t="inlineStr">
        <is>
          <t>M</t>
        </is>
      </c>
      <c r="G7" s="124" t="inlineStr">
        <is>
          <t>M</t>
        </is>
      </c>
      <c r="H7" s="124" t="inlineStr">
        <is>
          <t>M</t>
        </is>
      </c>
      <c r="I7" s="124" t="inlineStr">
        <is>
          <t>S</t>
        </is>
      </c>
      <c r="J7" s="124">
        <f>COUNTIF(D7:I7,"S")</f>
        <v/>
      </c>
      <c r="K7" s="124">
        <f>LEN(TRIM(B7))-LEN(SUBSTITUTE(TRIM(B7)," ",""))+1</f>
        <v/>
      </c>
      <c r="L7" s="127">
        <f>INDEX(Cards!$B$2:$B$55,MATCH("C02",Cards!$A$2:$A$55,0))&amp;" (C02): I won't dodge this one."</f>
        <v/>
      </c>
      <c r="M7" s="127">
        <f>INDEX(Cards!$B$2:$B$55,MATCH("C22",Cards!$A$2:$A$55,0))&amp;" (C22): I can neither confirm nor deny that."</f>
        <v/>
      </c>
      <c r="N7" s="127">
        <f>INDEX(Cards!$B$2:$B$55,MATCH("C54",Cards!$A$2:$A$55,0))&amp;" (C54): This stays in the room."</f>
        <v/>
      </c>
    </row>
    <row r="8">
      <c r="A8" s="124" t="inlineStr">
        <is>
          <t>L07</t>
        </is>
      </c>
      <c r="B8" s="125" t="inlineStr">
        <is>
          <t>How can we help you get this passed?</t>
        </is>
      </c>
      <c r="C8" s="126" t="inlineStr">
        <is>
          <t>Assistance</t>
        </is>
      </c>
      <c r="D8" s="124" t="inlineStr">
        <is>
          <t>M</t>
        </is>
      </c>
      <c r="E8" s="124" t="inlineStr">
        <is>
          <t>M</t>
        </is>
      </c>
      <c r="F8" s="124" t="inlineStr">
        <is>
          <t>S</t>
        </is>
      </c>
      <c r="G8" s="124" t="inlineStr">
        <is>
          <t>W</t>
        </is>
      </c>
      <c r="H8" s="124" t="inlineStr">
        <is>
          <t>M</t>
        </is>
      </c>
      <c r="I8" s="124" t="inlineStr">
        <is>
          <t>S</t>
        </is>
      </c>
      <c r="J8" s="124">
        <f>COUNTIF(D8:I8,"S")</f>
        <v/>
      </c>
      <c r="K8" s="124">
        <f>LEN(TRIM(B8))-LEN(SUBSTITUTE(TRIM(B8)," ",""))+1</f>
        <v/>
      </c>
      <c r="L8" s="127">
        <f>INDEX(Cards!$B$2:$B$55,MATCH("C12",Cards!$A$2:$A$55,0))&amp;" (C12): I need to know who I can count on."</f>
        <v/>
      </c>
      <c r="M8" s="127">
        <f>INDEX(Cards!$B$2:$B$55,MATCH("C38",Cards!$A$2:$A$55,0))&amp;" (C38): I'm asking you, as a friend."</f>
        <v/>
      </c>
      <c r="N8" s="127">
        <f>INDEX(Cards!$B$2:$B$55,MATCH("C24",Cards!$A$2:$A$55,0))&amp;" (C24): Support me, and I'll remember it."</f>
        <v/>
      </c>
    </row>
    <row r="9">
      <c r="A9" s="124" t="inlineStr">
        <is>
          <t>L08</t>
        </is>
      </c>
      <c r="B9" s="125" t="inlineStr">
        <is>
          <t>You know our members vote in your district, right?</t>
        </is>
      </c>
      <c r="C9" s="126" t="inlineStr">
        <is>
          <t>Leverage</t>
        </is>
      </c>
      <c r="D9" s="124" t="inlineStr">
        <is>
          <t>S</t>
        </is>
      </c>
      <c r="E9" s="124" t="inlineStr">
        <is>
          <t>S</t>
        </is>
      </c>
      <c r="F9" s="124" t="inlineStr">
        <is>
          <t>S</t>
        </is>
      </c>
      <c r="G9" s="124" t="inlineStr">
        <is>
          <t>W</t>
        </is>
      </c>
      <c r="H9" s="124" t="inlineStr">
        <is>
          <t>S</t>
        </is>
      </c>
      <c r="I9" s="124" t="inlineStr">
        <is>
          <t>M</t>
        </is>
      </c>
      <c r="J9" s="124">
        <f>COUNTIF(D9:I9,"S")</f>
        <v/>
      </c>
      <c r="K9" s="124">
        <f>LEN(TRIM(B9))-LEN(SUBSTITUTE(TRIM(B9)," ",""))+1</f>
        <v/>
      </c>
      <c r="L9" s="127">
        <f>INDEX(Cards!$B$2:$B$55,MATCH("C10",Cards!$A$2:$A$55,0))&amp;" (C10): I speak for the people of my district."</f>
        <v/>
      </c>
      <c r="M9" s="127">
        <f>INDEX(Cards!$B$2:$B$55,MATCH("C04",Cards!$A$2:$A$55,0))&amp;" (C04): I know exactly who I work for."</f>
        <v/>
      </c>
      <c r="N9" s="127">
        <f>INDEX(Cards!$B$2:$B$55,MATCH("C31",Cards!$A$2:$A$55,0))&amp;" (C31): You should be ashamed of yourself!"</f>
        <v/>
      </c>
    </row>
    <row r="10">
      <c r="A10" s="124" t="inlineStr">
        <is>
          <t>L09</t>
        </is>
      </c>
      <c r="B10" s="125" t="inlineStr">
        <is>
          <t>Would a study of the costs change your mind?</t>
        </is>
      </c>
      <c r="C10" s="126" t="inlineStr">
        <is>
          <t>Persuasion</t>
        </is>
      </c>
      <c r="D10" s="124" t="inlineStr">
        <is>
          <t>M</t>
        </is>
      </c>
      <c r="E10" s="124" t="inlineStr">
        <is>
          <t>W</t>
        </is>
      </c>
      <c r="F10" s="124" t="inlineStr">
        <is>
          <t>M</t>
        </is>
      </c>
      <c r="G10" s="124" t="inlineStr">
        <is>
          <t>S</t>
        </is>
      </c>
      <c r="H10" s="124" t="inlineStr">
        <is>
          <t>W</t>
        </is>
      </c>
      <c r="I10" s="124" t="inlineStr">
        <is>
          <t>S</t>
        </is>
      </c>
      <c r="J10" s="124">
        <f>COUNTIF(D10:I10,"S")</f>
        <v/>
      </c>
      <c r="K10" s="124">
        <f>LEN(TRIM(B10))-LEN(SUBSTITUTE(TRIM(B10)," ",""))+1</f>
        <v/>
      </c>
      <c r="L10" s="127">
        <f>INDEX(Cards!$B$2:$B$55,MATCH("C16",Cards!$A$2:$A$55,0))&amp;" (C16): Our findings are published. Refute them."</f>
        <v/>
      </c>
      <c r="M10" s="127">
        <f>INDEX(Cards!$B$2:$B$55,MATCH("C50",Cards!$A$2:$A$55,0))&amp;" (C50): We're studying all options carefully."</f>
        <v/>
      </c>
      <c r="N10" s="127">
        <f>INDEX(Cards!$B$2:$B$55,MATCH("C01",Cards!$A$2:$A$55,0))&amp;" (C01): Look at the work, not the words."</f>
        <v/>
      </c>
    </row>
    <row r="11">
      <c r="A11" s="124" t="inlineStr">
        <is>
          <t>L10</t>
        </is>
      </c>
      <c r="B11" s="125" t="inlineStr">
        <is>
          <t>Is your party's position final?</t>
        </is>
      </c>
      <c r="C11" s="126" t="inlineStr">
        <is>
          <t>Flexibility</t>
        </is>
      </c>
      <c r="D11" s="124" t="inlineStr">
        <is>
          <t>M</t>
        </is>
      </c>
      <c r="E11" s="124" t="inlineStr">
        <is>
          <t>M</t>
        </is>
      </c>
      <c r="F11" s="124" t="inlineStr">
        <is>
          <t>S</t>
        </is>
      </c>
      <c r="G11" s="124" t="inlineStr">
        <is>
          <t>W</t>
        </is>
      </c>
      <c r="H11" s="124" t="inlineStr">
        <is>
          <t>S</t>
        </is>
      </c>
      <c r="I11" s="124" t="inlineStr">
        <is>
          <t>S</t>
        </is>
      </c>
      <c r="J11" s="124">
        <f>COUNTIF(D11:I11,"S")</f>
        <v/>
      </c>
      <c r="K11" s="124">
        <f>LEN(TRIM(B11))-LEN(SUBSTITUTE(TRIM(B11)," ",""))+1</f>
        <v/>
      </c>
      <c r="L11" s="127">
        <f>INDEX(Cards!$B$2:$B$55,MATCH("C35",Cards!$A$2:$A$55,0))&amp;" (C35): The party's position is settled. We stand together."</f>
        <v/>
      </c>
      <c r="M11" s="127">
        <f>INDEX(Cards!$B$2:$B$55,MATCH("C21",Cards!$A$2:$A$55,0))&amp;" (C21): I support the spirit of both positions."</f>
        <v/>
      </c>
      <c r="N11" s="127">
        <f>INDEX(Cards!$B$2:$B$55,MATCH("C47",Cards!$A$2:$A$55,0))&amp;" (C47): Who do you really answer to?"</f>
        <v/>
      </c>
    </row>
    <row r="12">
      <c r="A12" s="124" t="inlineStr">
        <is>
          <t>L11</t>
        </is>
      </c>
      <c r="B12" s="125" t="inlineStr">
        <is>
          <t>What are your red lines on this bill?</t>
        </is>
      </c>
      <c r="C12" s="126" t="inlineStr">
        <is>
          <t>Limits</t>
        </is>
      </c>
      <c r="D12" s="124" t="inlineStr">
        <is>
          <t>S</t>
        </is>
      </c>
      <c r="E12" s="124" t="inlineStr">
        <is>
          <t>S</t>
        </is>
      </c>
      <c r="F12" s="124" t="inlineStr">
        <is>
          <t>M</t>
        </is>
      </c>
      <c r="G12" s="124" t="inlineStr">
        <is>
          <t>M</t>
        </is>
      </c>
      <c r="H12" s="124" t="inlineStr">
        <is>
          <t>S</t>
        </is>
      </c>
      <c r="I12" s="124" t="inlineStr">
        <is>
          <t>M</t>
        </is>
      </c>
      <c r="J12" s="124">
        <f>COUNTIF(D12:I12,"S")</f>
        <v/>
      </c>
      <c r="K12" s="124">
        <f>LEN(TRIM(B12))-LEN(SUBSTITUTE(TRIM(B12)," ",""))+1</f>
        <v/>
      </c>
      <c r="L12" s="127">
        <f>INDEX(Cards!$B$2:$B$55,MATCH("C25",Cards!$A$2:$A$55,0))&amp;" (C25): I give my word, and it holds."</f>
        <v/>
      </c>
      <c r="M12" s="127">
        <f>INDEX(Cards!$B$2:$B$55,MATCH("C33",Cards!$A$2:$A$55,0))&amp;" (C33): Not one step back. Not one inch."</f>
        <v/>
      </c>
      <c r="N12" s="127">
        <f>INDEX(Cards!$B$2:$B$55,MATCH("C46",Cards!$A$2:$A$55,0))&amp;" (C46): Yes or no. There is no middle."</f>
        <v/>
      </c>
    </row>
    <row r="13">
      <c r="A13" s="124" t="inlineStr">
        <is>
          <t>L12</t>
        </is>
      </c>
      <c r="B13" s="125" t="inlineStr">
        <is>
          <t>Can we draft an amendment together?</t>
        </is>
      </c>
      <c r="C13" s="126" t="inlineStr">
        <is>
          <t>Drafting</t>
        </is>
      </c>
      <c r="D13" s="124" t="inlineStr">
        <is>
          <t>M</t>
        </is>
      </c>
      <c r="E13" s="124" t="inlineStr">
        <is>
          <t>W</t>
        </is>
      </c>
      <c r="F13" s="124" t="inlineStr">
        <is>
          <t>S</t>
        </is>
      </c>
      <c r="G13" s="124" t="inlineStr">
        <is>
          <t>M</t>
        </is>
      </c>
      <c r="H13" s="124" t="inlineStr">
        <is>
          <t>W</t>
        </is>
      </c>
      <c r="I13" s="124" t="inlineStr">
        <is>
          <t>S</t>
        </is>
      </c>
      <c r="J13" s="124">
        <f>COUNTIF(D13:I13,"S")</f>
        <v/>
      </c>
      <c r="K13" s="124">
        <f>LEN(TRIM(B13))-LEN(SUBSTITUTE(TRIM(B13)," ",""))+1</f>
        <v/>
      </c>
      <c r="L13" s="127">
        <f>INDEX(Cards!$B$2:$B$55,MATCH("C37",Cards!$A$2:$A$55,0))&amp;" (C37): Let's build something neither of us could alone."</f>
        <v/>
      </c>
      <c r="M13" s="127">
        <f>INDEX(Cards!$B$2:$B$55,MATCH("C50",Cards!$A$2:$A$55,0))&amp;" (C50): We will consider that positively."</f>
        <v/>
      </c>
      <c r="N13" s="127">
        <f>INDEX(Cards!$B$2:$B$55,MATCH("C27",Cards!$A$2:$A$55,0))&amp;" (C27): Let's set party aside and solve this together."</f>
        <v/>
      </c>
    </row>
    <row r="14">
      <c r="A14" s="124" t="inlineStr">
        <is>
          <t>L13</t>
        </is>
      </c>
      <c r="B14" s="125" t="inlineStr">
        <is>
          <t>Our members would be grateful. You understand?</t>
        </is>
      </c>
      <c r="C14" s="126" t="inlineStr">
        <is>
          <t>Inducement</t>
        </is>
      </c>
      <c r="D14" s="124" t="inlineStr">
        <is>
          <t>S</t>
        </is>
      </c>
      <c r="E14" s="124" t="inlineStr">
        <is>
          <t>S</t>
        </is>
      </c>
      <c r="F14" s="124" t="inlineStr">
        <is>
          <t>M</t>
        </is>
      </c>
      <c r="G14" s="124" t="inlineStr">
        <is>
          <t>W</t>
        </is>
      </c>
      <c r="H14" s="124" t="inlineStr">
        <is>
          <t>S</t>
        </is>
      </c>
      <c r="I14" s="124" t="inlineStr">
        <is>
          <t>S</t>
        </is>
      </c>
      <c r="J14" s="124">
        <f>COUNTIF(D14:I14,"S")</f>
        <v/>
      </c>
      <c r="K14" s="124">
        <f>LEN(TRIM(B14))-LEN(SUBSTITUTE(TRIM(B14)," ",""))+1</f>
        <v/>
      </c>
      <c r="L14" s="127">
        <f>INDEX(Cards!$B$2:$B$55,MATCH("C04",Cards!$A$2:$A$55,0))&amp;" (C04): I'm here to serve, not to climb."</f>
        <v/>
      </c>
      <c r="M14" s="127">
        <f>INDEX(Cards!$B$2:$B$55,MATCH("C31",Cards!$A$2:$A$55,0))&amp;" (C31): You should be ashamed of yourself!"</f>
        <v/>
      </c>
      <c r="N14" s="127">
        <f>INDEX(Cards!$B$2:$B$55,MATCH("C24",Cards!$A$2:$A$55,0))&amp;" (C24): Nothing in writing, but consider it done."</f>
        <v/>
      </c>
    </row>
    <row r="15">
      <c r="A15" s="124" t="inlineStr">
        <is>
          <t>L14</t>
        </is>
      </c>
      <c r="B15" s="125" t="inlineStr">
        <is>
          <t>Who is advising you on this bill?</t>
        </is>
      </c>
      <c r="C15" s="126" t="inlineStr">
        <is>
          <t>Influence</t>
        </is>
      </c>
      <c r="D15" s="124" t="inlineStr">
        <is>
          <t>M</t>
        </is>
      </c>
      <c r="E15" s="124" t="inlineStr">
        <is>
          <t>W</t>
        </is>
      </c>
      <c r="F15" s="124" t="inlineStr">
        <is>
          <t>M</t>
        </is>
      </c>
      <c r="G15" s="124" t="inlineStr">
        <is>
          <t>S</t>
        </is>
      </c>
      <c r="H15" s="124" t="inlineStr">
        <is>
          <t>M</t>
        </is>
      </c>
      <c r="I15" s="124" t="inlineStr">
        <is>
          <t>S</t>
        </is>
      </c>
      <c r="J15" s="124">
        <f>COUNTIF(D15:I15,"S")</f>
        <v/>
      </c>
      <c r="K15" s="124">
        <f>LEN(TRIM(B15))-LEN(SUBSTITUTE(TRIM(B15)," ",""))+1</f>
        <v/>
      </c>
      <c r="L15" s="127">
        <f>INDEX(Cards!$B$2:$B$55,MATCH("C16",Cards!$A$2:$A$55,0))&amp;" (C16): Every claim here is sourced and verified."</f>
        <v/>
      </c>
      <c r="M15" s="127">
        <f>INDEX(Cards!$B$2:$B$55,MATCH("C22",Cards!$A$2:$A$55,0))&amp;" (C22): I can neither confirm nor deny that."</f>
        <v/>
      </c>
      <c r="N15" s="127">
        <f>INDEX(Cards!$B$2:$B$55,MATCH("C54",Cards!$A$2:$A$55,0))&amp;" (C54): Between us, here's how it really is."</f>
        <v/>
      </c>
    </row>
    <row r="16">
      <c r="A16" s="124" t="inlineStr">
        <is>
          <t>L15</t>
        </is>
      </c>
      <c r="B16" s="125" t="inlineStr">
        <is>
          <t>Is there anything we can do for you?</t>
        </is>
      </c>
      <c r="C16" s="126" t="inlineStr">
        <is>
          <t>Inducement</t>
        </is>
      </c>
      <c r="D16" s="124" t="inlineStr">
        <is>
          <t>S</t>
        </is>
      </c>
      <c r="E16" s="124" t="inlineStr">
        <is>
          <t>W</t>
        </is>
      </c>
      <c r="F16" s="124" t="inlineStr">
        <is>
          <t>S</t>
        </is>
      </c>
      <c r="G16" s="124" t="inlineStr">
        <is>
          <t>W</t>
        </is>
      </c>
      <c r="H16" s="124" t="inlineStr">
        <is>
          <t>M</t>
        </is>
      </c>
      <c r="I16" s="124" t="inlineStr">
        <is>
          <t>S</t>
        </is>
      </c>
      <c r="J16" s="124">
        <f>COUNTIF(D16:I16,"S")</f>
        <v/>
      </c>
      <c r="K16" s="124">
        <f>LEN(TRIM(B16))-LEN(SUBSTITUTE(TRIM(B16)," ",""))+1</f>
        <v/>
      </c>
      <c r="L16" s="127">
        <f>INDEX(Cards!$B$2:$B$55,MATCH("C04",Cards!$A$2:$A$55,0))&amp;" (C04): I know exactly who I work for."</f>
        <v/>
      </c>
      <c r="M16" s="127">
        <f>INDEX(Cards!$B$2:$B$55,MATCH("C38",Cards!$A$2:$A$55,0))&amp;" (C38): One good turn deserves another."</f>
        <v/>
      </c>
      <c r="N16" s="127">
        <f>INDEX(Cards!$B$2:$B$55,MATCH("C24",Cards!$A$2:$A$55,0))&amp;" (C24): My friends are well looked after."</f>
        <v/>
      </c>
    </row>
    <row r="17">
      <c r="A17" s="124" t="inlineStr">
        <is>
          <t>L16</t>
        </is>
      </c>
      <c r="B17" s="125" t="inlineStr">
        <is>
          <t>How firm is your commitment on this?</t>
        </is>
      </c>
      <c r="C17" s="126" t="inlineStr">
        <is>
          <t>Resolve</t>
        </is>
      </c>
      <c r="D17" s="124" t="inlineStr">
        <is>
          <t>S</t>
        </is>
      </c>
      <c r="E17" s="124" t="inlineStr">
        <is>
          <t>S</t>
        </is>
      </c>
      <c r="F17" s="124" t="inlineStr">
        <is>
          <t>M</t>
        </is>
      </c>
      <c r="G17" s="124" t="inlineStr">
        <is>
          <t>M</t>
        </is>
      </c>
      <c r="H17" s="124" t="inlineStr">
        <is>
          <t>M</t>
        </is>
      </c>
      <c r="I17" s="124" t="inlineStr">
        <is>
          <t>S</t>
        </is>
      </c>
      <c r="J17" s="124">
        <f>COUNTIF(D17:I17,"S")</f>
        <v/>
      </c>
      <c r="K17" s="124">
        <f>LEN(TRIM(B17))-LEN(SUBSTITUTE(TRIM(B17)," ",""))+1</f>
        <v/>
      </c>
      <c r="L17" s="127">
        <f>INDEX(Cards!$B$2:$B$55,MATCH("C25",Cards!$A$2:$A$55,0))&amp;" (C25): Every commitment I make, I honor."</f>
        <v/>
      </c>
      <c r="M17" s="127">
        <f>INDEX(Cards!$B$2:$B$55,MATCH("C33",Cards!$A$2:$A$55,0))&amp;" (C33): I will not yield. Full stop."</f>
        <v/>
      </c>
      <c r="N17" s="127">
        <f>INDEX(Cards!$B$2:$B$55,MATCH("C21",Cards!$A$2:$A$55,0))&amp;" (C21): I'm for progress, and also for caution."</f>
        <v/>
      </c>
    </row>
    <row r="18">
      <c r="A18" s="124" t="inlineStr">
        <is>
          <t>L17</t>
        </is>
      </c>
      <c r="B18" s="125" t="inlineStr">
        <is>
          <t>Would you consider a compromise position?</t>
        </is>
      </c>
      <c r="C18" s="126" t="inlineStr">
        <is>
          <t>Compromise</t>
        </is>
      </c>
      <c r="D18" s="124" t="inlineStr">
        <is>
          <t>S</t>
        </is>
      </c>
      <c r="E18" s="124" t="inlineStr">
        <is>
          <t>M</t>
        </is>
      </c>
      <c r="F18" s="124" t="inlineStr">
        <is>
          <t>S</t>
        </is>
      </c>
      <c r="G18" s="124" t="inlineStr">
        <is>
          <t>M</t>
        </is>
      </c>
      <c r="H18" s="124" t="inlineStr">
        <is>
          <t>M</t>
        </is>
      </c>
      <c r="I18" s="124" t="inlineStr">
        <is>
          <t>S</t>
        </is>
      </c>
      <c r="J18" s="124">
        <f>COUNTIF(D18:I18,"S")</f>
        <v/>
      </c>
      <c r="K18" s="124">
        <f>LEN(TRIM(B18))-LEN(SUBSTITUTE(TRIM(B18)," ",""))+1</f>
        <v/>
      </c>
      <c r="L18" s="127">
        <f>INDEX(Cards!$B$2:$B$55,MATCH("C27",Cards!$A$2:$A$55,0))&amp;" (C27): Good ideas don't belong to one party."</f>
        <v/>
      </c>
      <c r="M18" s="127">
        <f>INDEX(Cards!$B$2:$B$55,MATCH("C37",Cards!$A$2:$A$55,0))&amp;" (C37): Different paths, same destination. Walk with us."</f>
        <v/>
      </c>
      <c r="N18" s="127">
        <f>INDEX(Cards!$B$2:$B$55,MATCH("C21",Cards!$A$2:$A$55,0))&amp;" (C21): I support the spirit of both positions."</f>
        <v/>
      </c>
    </row>
    <row r="19">
      <c r="A19" s="124" t="inlineStr">
        <is>
          <t>L18</t>
        </is>
      </c>
      <c r="B19" s="125" t="inlineStr">
        <is>
          <t>Do you understand what this means for our industry?</t>
        </is>
      </c>
      <c r="C19" s="126" t="inlineStr">
        <is>
          <t>Impact</t>
        </is>
      </c>
      <c r="D19" s="124" t="inlineStr">
        <is>
          <t>M</t>
        </is>
      </c>
      <c r="E19" s="124" t="inlineStr">
        <is>
          <t>M</t>
        </is>
      </c>
      <c r="F19" s="124" t="inlineStr">
        <is>
          <t>M</t>
        </is>
      </c>
      <c r="G19" s="124" t="inlineStr">
        <is>
          <t>S</t>
        </is>
      </c>
      <c r="H19" s="124" t="inlineStr">
        <is>
          <t>S</t>
        </is>
      </c>
      <c r="I19" s="124" t="inlineStr">
        <is>
          <t>S</t>
        </is>
      </c>
      <c r="J19" s="124">
        <f>COUNTIF(D19:I19,"S")</f>
        <v/>
      </c>
      <c r="K19" s="124">
        <f>LEN(TRIM(B19))-LEN(SUBSTITUTE(TRIM(B19)," ",""))+1</f>
        <v/>
      </c>
      <c r="L19" s="127">
        <f>INDEX(Cards!$B$2:$B$55,MATCH("C13",Cards!$A$2:$A$55,0))&amp;" (C13): The data tells a different story."</f>
        <v/>
      </c>
      <c r="M19" s="127">
        <f>INDEX(Cards!$B$2:$B$55,MATCH("C18",Cards!$A$2:$A$55,0))&amp;" (C18): They stand for themselves. We stand for you."</f>
        <v/>
      </c>
      <c r="N19" s="127">
        <f>INDEX(Cards!$B$2:$B$55,MATCH("C53",Cards!$A$2:$A$55,0))&amp;" (C53): Your concerns are my top priority."</f>
        <v/>
      </c>
    </row>
    <row r="20">
      <c r="A20" s="124" t="inlineStr">
        <is>
          <t>L19</t>
        </is>
      </c>
      <c r="B20" s="125" t="inlineStr">
        <is>
          <t>Can we keep this conversation between us?</t>
        </is>
      </c>
      <c r="C20" s="126" t="inlineStr">
        <is>
          <t>Secrecy</t>
        </is>
      </c>
      <c r="D20" s="124" t="inlineStr">
        <is>
          <t>S</t>
        </is>
      </c>
      <c r="E20" s="124" t="inlineStr">
        <is>
          <t>W</t>
        </is>
      </c>
      <c r="F20" s="124" t="inlineStr">
        <is>
          <t>S</t>
        </is>
      </c>
      <c r="G20" s="124" t="inlineStr">
        <is>
          <t>W</t>
        </is>
      </c>
      <c r="H20" s="124" t="inlineStr">
        <is>
          <t>M</t>
        </is>
      </c>
      <c r="I20" s="124" t="inlineStr">
        <is>
          <t>S</t>
        </is>
      </c>
      <c r="J20" s="124">
        <f>COUNTIF(D20:I20,"S")</f>
        <v/>
      </c>
      <c r="K20" s="124">
        <f>LEN(TRIM(B20))-LEN(SUBSTITUTE(TRIM(B20)," ",""))+1</f>
        <v/>
      </c>
      <c r="L20" s="127">
        <f>INDEX(Cards!$B$2:$B$55,MATCH("C54",Cards!$A$2:$A$55,0))&amp;" (C54): This stays in the room."</f>
        <v/>
      </c>
      <c r="M20" s="127">
        <f>INDEX(Cards!$B$2:$B$55,MATCH("C11",Cards!$A$2:$A$55,0))&amp;" (C11): I believe we understand each other."</f>
        <v/>
      </c>
      <c r="N20" s="127">
        <f>INDEX(Cards!$B$2:$B$55,MATCH("C02",Cards!$A$2:$A$55,0))&amp;" (C02): No spin. Just the truth as I see it."</f>
        <v/>
      </c>
    </row>
    <row r="21">
      <c r="A21" s="124" t="inlineStr">
        <is>
          <t>L20</t>
        </is>
      </c>
      <c r="B21" s="125" t="inlineStr">
        <is>
          <t>What message should we take back to our members?</t>
        </is>
      </c>
      <c r="C21" s="126" t="inlineStr">
        <is>
          <t>Signal</t>
        </is>
      </c>
      <c r="D21" s="124" t="inlineStr">
        <is>
          <t>S</t>
        </is>
      </c>
      <c r="E21" s="124" t="inlineStr">
        <is>
          <t>M</t>
        </is>
      </c>
      <c r="F21" s="124" t="inlineStr">
        <is>
          <t>S</t>
        </is>
      </c>
      <c r="G21" s="124" t="inlineStr">
        <is>
          <t>M</t>
        </is>
      </c>
      <c r="H21" s="124" t="inlineStr">
        <is>
          <t>S</t>
        </is>
      </c>
      <c r="I21" s="124" t="inlineStr">
        <is>
          <t>M</t>
        </is>
      </c>
      <c r="J21" s="124">
        <f>COUNTIF(D21:I21,"S")</f>
        <v/>
      </c>
      <c r="K21" s="124">
        <f>LEN(TRIM(B21))-LEN(SUBSTITUTE(TRIM(B21)," ",""))+1</f>
        <v/>
      </c>
      <c r="L21" s="127">
        <f>INDEX(Cards!$B$2:$B$55,MATCH("C39",Cards!$A$2:$A$55,0))&amp;" (C39): Count them yourself. We have the votes."</f>
        <v/>
      </c>
      <c r="M21" s="127">
        <f>INDEX(Cards!$B$2:$B$55,MATCH("C01",Cards!$A$2:$A$55,0))&amp;" (C01): I let my results do the talking."</f>
        <v/>
      </c>
      <c r="N21" s="127">
        <f>INDEX(Cards!$B$2:$B$55,MATCH("C46",Cards!$A$2:$A$55,0))&amp;" (C46): Pick a side. The voters are watching."</f>
        <v/>
      </c>
    </row>
    <row r="22">
      <c r="C22" s="81" t="inlineStr">
        <is>
          <t>Strong total</t>
        </is>
      </c>
      <c r="D22" s="128">
        <f>COUNTIF(D2:D21,"S")</f>
        <v/>
      </c>
      <c r="E22" s="128">
        <f>COUNTIF(E2:E21,"S")</f>
        <v/>
      </c>
      <c r="F22" s="128">
        <f>COUNTIF(F2:F21,"S")</f>
        <v/>
      </c>
      <c r="G22" s="128">
        <f>COUNTIF(G2:G21,"S")</f>
        <v/>
      </c>
      <c r="H22" s="128">
        <f>COUNTIF(H2:H21,"S")</f>
        <v/>
      </c>
      <c r="I22" s="128">
        <f>COUNTIF(I2:I21,"S")</f>
        <v/>
      </c>
    </row>
    <row r="24">
      <c r="B24" s="129" t="inlineStr">
        <is>
          <t>Stage: A lobbyist in a private meeting: polite, transactional, veiled pressure.</t>
        </is>
      </c>
    </row>
    <row r="25">
      <c r="B25" s="129" t="inlineStr">
        <is>
          <t>Fit key (writing check, not a game mechanic): S = at least one of that suit's cues reads as a natural answer · M = workable · W = awkward.</t>
        </is>
      </c>
    </row>
    <row r="26">
      <c r="B26" s="129" t="inlineStr">
        <is>
          <t>Rules: no time references, no assumed past events, no specific policy area. Each question stands alone. At least 2 S and at most 2 W per question.</t>
        </is>
      </c>
    </row>
    <row r="27">
      <c r="B27" s="129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05078125" customWidth="1" style="43" min="1" max="1"/>
    <col width="41.96875" customWidth="1" style="43" min="2" max="2"/>
    <col width="13.98828125" customWidth="1" style="43" min="3" max="3"/>
    <col width="9.01171875" customWidth="1" style="43" min="4" max="4"/>
    <col width="9.953125" customWidth="1" style="43" min="5" max="5"/>
    <col width="9.01171875" customWidth="1" style="43" min="6" max="6"/>
    <col width="9.953125" customWidth="1" style="43" min="7" max="7"/>
    <col width="9.01171875" customWidth="1" style="43" min="8" max="8"/>
    <col width="11.02734375" customWidth="1" style="43" min="9" max="9"/>
    <col width="7.93359375" customWidth="1" style="43" min="10" max="10"/>
    <col width="6.9921875" customWidth="1" style="43" min="11" max="11"/>
    <col width="43.98828125" customWidth="1" style="43" min="12" max="12"/>
  </cols>
  <sheetData>
    <row r="1">
      <c r="A1" s="79" t="inlineStr">
        <is>
          <t>Q ID</t>
        </is>
      </c>
      <c r="B1" s="79" t="inlineStr">
        <is>
          <t>Question</t>
        </is>
      </c>
      <c r="C1" s="79" t="inlineStr">
        <is>
          <t>Theme</t>
        </is>
      </c>
      <c r="D1" s="79" t="inlineStr">
        <is>
          <t>Earnest</t>
        </is>
      </c>
      <c r="E1" s="79" t="inlineStr">
        <is>
          <t>Emotional</t>
        </is>
      </c>
      <c r="F1" s="79" t="inlineStr">
        <is>
          <t>Appeal</t>
        </is>
      </c>
      <c r="G1" s="79" t="inlineStr">
        <is>
          <t>Data Driven</t>
        </is>
      </c>
      <c r="H1" s="79" t="inlineStr">
        <is>
          <t>Divisive</t>
        </is>
      </c>
      <c r="I1" s="79" t="inlineStr">
        <is>
          <t>Duplicitous</t>
        </is>
      </c>
      <c r="J1" s="80" t="inlineStr">
        <is>
          <t>Strong suits</t>
        </is>
      </c>
      <c r="K1" s="80" t="inlineStr">
        <is>
          <t>Words</t>
        </is>
      </c>
      <c r="L1" s="79" t="inlineStr">
        <is>
          <t>Sample answer 1</t>
        </is>
      </c>
      <c r="M1" s="79" t="inlineStr">
        <is>
          <t>Sample answer 2</t>
        </is>
      </c>
      <c r="N1" s="79" t="inlineStr">
        <is>
          <t>Sample answer 3</t>
        </is>
      </c>
    </row>
    <row r="2">
      <c r="A2" s="124" t="inlineStr">
        <is>
          <t>B01</t>
        </is>
      </c>
      <c r="B2" s="125" t="inlineStr">
        <is>
          <t>How will this be implemented in practice?</t>
        </is>
      </c>
      <c r="C2" s="126" t="inlineStr">
        <is>
          <t>Implementation</t>
        </is>
      </c>
      <c r="D2" s="124" t="inlineStr">
        <is>
          <t>M</t>
        </is>
      </c>
      <c r="E2" s="124" t="inlineStr">
        <is>
          <t>W</t>
        </is>
      </c>
      <c r="F2" s="124" t="inlineStr">
        <is>
          <t>M</t>
        </is>
      </c>
      <c r="G2" s="124" t="inlineStr">
        <is>
          <t>S</t>
        </is>
      </c>
      <c r="H2" s="124" t="inlineStr">
        <is>
          <t>W</t>
        </is>
      </c>
      <c r="I2" s="124" t="inlineStr">
        <is>
          <t>S</t>
        </is>
      </c>
      <c r="J2" s="124">
        <f>COUNTIF(D2:I2,"S")</f>
        <v/>
      </c>
      <c r="K2" s="124">
        <f>LEN(TRIM(B2))-LEN(SUBSTITUTE(TRIM(B2)," ",""))+1</f>
        <v/>
      </c>
      <c r="L2" s="127">
        <f>INDEX(Cards!$B$2:$B$55,MATCH("C16",Cards!$A$2:$A$55,0))&amp;" (C16): This white paper answers your question."</f>
        <v/>
      </c>
      <c r="M2" s="127">
        <f>INDEX(Cards!$B$2:$B$55,MATCH("C52",Cards!$A$2:$A$55,0))&amp;" (C52): Let me walk you through all forty provisions."</f>
        <v/>
      </c>
      <c r="N2" s="127">
        <f>INDEX(Cards!$B$2:$B$55,MATCH("C50",Cards!$A$2:$A$55,0))&amp;" (C50): We're studying all options carefully."</f>
        <v/>
      </c>
    </row>
    <row r="3">
      <c r="A3" s="124" t="inlineStr">
        <is>
          <t>B02</t>
        </is>
      </c>
      <c r="B3" s="125" t="inlineStr">
        <is>
          <t>What problem is this legislation meant to solve?</t>
        </is>
      </c>
      <c r="C3" s="126" t="inlineStr">
        <is>
          <t>Purpose</t>
        </is>
      </c>
      <c r="D3" s="124" t="inlineStr">
        <is>
          <t>S</t>
        </is>
      </c>
      <c r="E3" s="124" t="inlineStr">
        <is>
          <t>M</t>
        </is>
      </c>
      <c r="F3" s="124" t="inlineStr">
        <is>
          <t>M</t>
        </is>
      </c>
      <c r="G3" s="124" t="inlineStr">
        <is>
          <t>S</t>
        </is>
      </c>
      <c r="H3" s="124" t="inlineStr">
        <is>
          <t>W</t>
        </is>
      </c>
      <c r="I3" s="124" t="inlineStr">
        <is>
          <t>M</t>
        </is>
      </c>
      <c r="J3" s="124">
        <f>COUNTIF(D3:I3,"S")</f>
        <v/>
      </c>
      <c r="K3" s="124">
        <f>LEN(TRIM(B3))-LEN(SUBSTITUTE(TRIM(B3)," ",""))+1</f>
        <v/>
      </c>
      <c r="L3" s="127">
        <f>INDEX(Cards!$B$2:$B$55,MATCH("C04",Cards!$A$2:$A$55,0))&amp;" (C04): Strip away the noise. This is what matters."</f>
        <v/>
      </c>
      <c r="M3" s="127">
        <f>INDEX(Cards!$B$2:$B$55,MATCH("C13",Cards!$A$2:$A$55,0))&amp;" (C13): The data tells a different story."</f>
        <v/>
      </c>
      <c r="N3" s="127">
        <f>INDEX(Cards!$B$2:$B$55,MATCH("C06",Cards!$A$2:$A$55,0))&amp;" (C06): They're not statistics. They're our neighbors."</f>
        <v/>
      </c>
    </row>
    <row r="4">
      <c r="A4" s="124" t="inlineStr">
        <is>
          <t>B03</t>
        </is>
      </c>
      <c r="B4" s="125" t="inlineStr">
        <is>
          <t>Which agency is responsible for enforcement?</t>
        </is>
      </c>
      <c r="C4" s="126" t="inlineStr">
        <is>
          <t>Enforcement</t>
        </is>
      </c>
      <c r="D4" s="124" t="inlineStr">
        <is>
          <t>M</t>
        </is>
      </c>
      <c r="E4" s="124" t="inlineStr">
        <is>
          <t>W</t>
        </is>
      </c>
      <c r="F4" s="124" t="inlineStr">
        <is>
          <t>M</t>
        </is>
      </c>
      <c r="G4" s="124" t="inlineStr">
        <is>
          <t>S</t>
        </is>
      </c>
      <c r="H4" s="124" t="inlineStr">
        <is>
          <t>W</t>
        </is>
      </c>
      <c r="I4" s="124" t="inlineStr">
        <is>
          <t>S</t>
        </is>
      </c>
      <c r="J4" s="124">
        <f>COUNTIF(D4:I4,"S")</f>
        <v/>
      </c>
      <c r="K4" s="124">
        <f>LEN(TRIM(B4))-LEN(SUBSTITUTE(TRIM(B4)," ",""))+1</f>
        <v/>
      </c>
      <c r="L4" s="127">
        <f>INDEX(Cards!$B$2:$B$55,MATCH("C52",Cards!$A$2:$A$55,0))&amp;" (C52): Per subsection four, paragraph two, clause B..."</f>
        <v/>
      </c>
      <c r="M4" s="127">
        <f>INDEX(Cards!$B$2:$B$55,MATCH("C16",Cards!$A$2:$A$55,0))&amp;" (C16): This white paper answers your question."</f>
        <v/>
      </c>
      <c r="N4" s="127">
        <f>INDEX(Cards!$B$2:$B$55,MATCH("C50",Cards!$A$2:$A$55,0))&amp;" (C50): A committee will look into it."</f>
        <v/>
      </c>
    </row>
    <row r="5">
      <c r="A5" s="124" t="inlineStr">
        <is>
          <t>B04</t>
        </is>
      </c>
      <c r="B5" s="125" t="inlineStr">
        <is>
          <t>Is there a cost estimate for this?</t>
        </is>
      </c>
      <c r="C5" s="126" t="inlineStr">
        <is>
          <t>Cost</t>
        </is>
      </c>
      <c r="D5" s="124" t="inlineStr">
        <is>
          <t>M</t>
        </is>
      </c>
      <c r="E5" s="124" t="inlineStr">
        <is>
          <t>W</t>
        </is>
      </c>
      <c r="F5" s="124" t="inlineStr">
        <is>
          <t>W</t>
        </is>
      </c>
      <c r="G5" s="124" t="inlineStr">
        <is>
          <t>S</t>
        </is>
      </c>
      <c r="H5" s="124" t="inlineStr">
        <is>
          <t>M</t>
        </is>
      </c>
      <c r="I5" s="124" t="inlineStr">
        <is>
          <t>S</t>
        </is>
      </c>
      <c r="J5" s="124">
        <f>COUNTIF(D5:I5,"S")</f>
        <v/>
      </c>
      <c r="K5" s="124">
        <f>LEN(TRIM(B5))-LEN(SUBSTITUTE(TRIM(B5)," ",""))+1</f>
        <v/>
      </c>
      <c r="L5" s="127">
        <f>INDEX(Cards!$B$2:$B$55,MATCH("C41",Cards!$A$2:$A$55,0))&amp;" (C41): For accuracy, here are the real figures."</f>
        <v/>
      </c>
      <c r="M5" s="127">
        <f>INDEX(Cards!$B$2:$B$55,MATCH("C52",Cards!$A$2:$A$55,0))&amp;" (C52): It depends on seventeen interlocking variables."</f>
        <v/>
      </c>
      <c r="N5" s="127">
        <f>INDEX(Cards!$B$2:$B$55,MATCH("C01",Cards!$A$2:$A$55,0))&amp;" (C01): Results matter more than rhetoric."</f>
        <v/>
      </c>
    </row>
    <row r="6">
      <c r="A6" s="124" t="inlineStr">
        <is>
          <t>B05</t>
        </is>
      </c>
      <c r="B6" s="125" t="inlineStr">
        <is>
          <t>How are key terms in the bill defined?</t>
        </is>
      </c>
      <c r="C6" s="126" t="inlineStr">
        <is>
          <t>Definitions</t>
        </is>
      </c>
      <c r="D6" s="124" t="inlineStr">
        <is>
          <t>M</t>
        </is>
      </c>
      <c r="E6" s="124" t="inlineStr">
        <is>
          <t>W</t>
        </is>
      </c>
      <c r="F6" s="124" t="inlineStr">
        <is>
          <t>M</t>
        </is>
      </c>
      <c r="G6" s="124" t="inlineStr">
        <is>
          <t>S</t>
        </is>
      </c>
      <c r="H6" s="124" t="inlineStr">
        <is>
          <t>W</t>
        </is>
      </c>
      <c r="I6" s="124" t="inlineStr">
        <is>
          <t>S</t>
        </is>
      </c>
      <c r="J6" s="124">
        <f>COUNTIF(D6:I6,"S")</f>
        <v/>
      </c>
      <c r="K6" s="124">
        <f>LEN(TRIM(B6))-LEN(SUBSTITUTE(TRIM(B6)," ",""))+1</f>
        <v/>
      </c>
      <c r="L6" s="127">
        <f>INDEX(Cards!$B$2:$B$55,MATCH("C52",Cards!$A$2:$A$55,0))&amp;" (C52): Per subsection four, paragraph two, clause B..."</f>
        <v/>
      </c>
      <c r="M6" s="127">
        <f>INDEX(Cards!$B$2:$B$55,MATCH("C41",Cards!$A$2:$A$55,0))&amp;" (C41): Precision matters. Here's the accurate version."</f>
        <v/>
      </c>
      <c r="N6" s="127">
        <f>INDEX(Cards!$B$2:$B$55,MATCH("C21",Cards!$A$2:$A$55,0))&amp;" (C21): It's complicated, and I respect all views."</f>
        <v/>
      </c>
    </row>
    <row r="7">
      <c r="A7" s="124" t="inlineStr">
        <is>
          <t>B06</t>
        </is>
      </c>
      <c r="B7" s="125" t="inlineStr">
        <is>
          <t>What data supports this approach?</t>
        </is>
      </c>
      <c r="C7" s="126" t="inlineStr">
        <is>
          <t>Evidence</t>
        </is>
      </c>
      <c r="D7" s="124" t="inlineStr">
        <is>
          <t>M</t>
        </is>
      </c>
      <c r="E7" s="124" t="inlineStr">
        <is>
          <t>M</t>
        </is>
      </c>
      <c r="F7" s="124" t="inlineStr">
        <is>
          <t>W</t>
        </is>
      </c>
      <c r="G7" s="124" t="inlineStr">
        <is>
          <t>S</t>
        </is>
      </c>
      <c r="H7" s="124" t="inlineStr">
        <is>
          <t>W</t>
        </is>
      </c>
      <c r="I7" s="124" t="inlineStr">
        <is>
          <t>S</t>
        </is>
      </c>
      <c r="J7" s="124">
        <f>COUNTIF(D7:I7,"S")</f>
        <v/>
      </c>
      <c r="K7" s="124">
        <f>LEN(TRIM(B7))-LEN(SUBSTITUTE(TRIM(B7)," ",""))+1</f>
        <v/>
      </c>
      <c r="L7" s="127">
        <f>INDEX(Cards!$B$2:$B$55,MATCH("C16",Cards!$A$2:$A$55,0))&amp;" (C16): Two hundred pages of evidence. Read them."</f>
        <v/>
      </c>
      <c r="M7" s="127">
        <f>INDEX(Cards!$B$2:$B$55,MATCH("C13",Cards!$A$2:$A$55,0))&amp;" (C13): The statistics speak for themselves."</f>
        <v/>
      </c>
      <c r="N7" s="127">
        <f>INDEX(Cards!$B$2:$B$55,MATCH("C52",Cards!$A$2:$A$55,0))&amp;" (C52): It depends on seventeen interlocking variables."</f>
        <v/>
      </c>
    </row>
    <row r="8">
      <c r="A8" s="124" t="inlineStr">
        <is>
          <t>B07</t>
        </is>
      </c>
      <c r="B8" s="125" t="inlineStr">
        <is>
          <t>Are there unintended consequences to consider?</t>
        </is>
      </c>
      <c r="C8" s="126" t="inlineStr">
        <is>
          <t>Risk</t>
        </is>
      </c>
      <c r="D8" s="124" t="inlineStr">
        <is>
          <t>S</t>
        </is>
      </c>
      <c r="E8" s="124" t="inlineStr">
        <is>
          <t>M</t>
        </is>
      </c>
      <c r="F8" s="124" t="inlineStr">
        <is>
          <t>M</t>
        </is>
      </c>
      <c r="G8" s="124" t="inlineStr">
        <is>
          <t>S</t>
        </is>
      </c>
      <c r="H8" s="124" t="inlineStr">
        <is>
          <t>W</t>
        </is>
      </c>
      <c r="I8" s="124" t="inlineStr">
        <is>
          <t>S</t>
        </is>
      </c>
      <c r="J8" s="124">
        <f>COUNTIF(D8:I8,"S")</f>
        <v/>
      </c>
      <c r="K8" s="124">
        <f>LEN(TRIM(B8))-LEN(SUBSTITUTE(TRIM(B8)," ",""))+1</f>
        <v/>
      </c>
      <c r="L8" s="127">
        <f>INDEX(Cards!$B$2:$B$55,MATCH("C21",Cards!$A$2:$A$55,0))&amp;" (C21): I'm for progress, and also for caution."</f>
        <v/>
      </c>
      <c r="M8" s="127">
        <f>INDEX(Cards!$B$2:$B$55,MATCH("C44",Cards!$A$2:$A$55,0))&amp;" (C44): Bring in outside eyes on this."</f>
        <v/>
      </c>
      <c r="N8" s="127">
        <f>INDEX(Cards!$B$2:$B$55,MATCH("C26",Cards!$A$2:$A$55,0))&amp;" (C26): When I'm wrong, I say so."</f>
        <v/>
      </c>
    </row>
    <row r="9">
      <c r="A9" s="124" t="inlineStr">
        <is>
          <t>B08</t>
        </is>
      </c>
      <c r="B9" s="125" t="inlineStr">
        <is>
          <t>How will success be measured?</t>
        </is>
      </c>
      <c r="C9" s="126" t="inlineStr">
        <is>
          <t>Metrics</t>
        </is>
      </c>
      <c r="D9" s="124" t="inlineStr">
        <is>
          <t>S</t>
        </is>
      </c>
      <c r="E9" s="124" t="inlineStr">
        <is>
          <t>M</t>
        </is>
      </c>
      <c r="F9" s="124" t="inlineStr">
        <is>
          <t>M</t>
        </is>
      </c>
      <c r="G9" s="124" t="inlineStr">
        <is>
          <t>S</t>
        </is>
      </c>
      <c r="H9" s="124" t="inlineStr">
        <is>
          <t>W</t>
        </is>
      </c>
      <c r="I9" s="124" t="inlineStr">
        <is>
          <t>S</t>
        </is>
      </c>
      <c r="J9" s="124">
        <f>COUNTIF(D9:I9,"S")</f>
        <v/>
      </c>
      <c r="K9" s="124">
        <f>LEN(TRIM(B9))-LEN(SUBSTITUTE(TRIM(B9)," ",""))+1</f>
        <v/>
      </c>
      <c r="L9" s="127">
        <f>INDEX(Cards!$B$2:$B$55,MATCH("C25",Cards!$A$2:$A$55,0))&amp;" (C25): Check my promises against my results."</f>
        <v/>
      </c>
      <c r="M9" s="127">
        <f>INDEX(Cards!$B$2:$B$55,MATCH("C13",Cards!$A$2:$A$55,0))&amp;" (C13): Let's look at the actual numbers."</f>
        <v/>
      </c>
      <c r="N9" s="127">
        <f>INDEX(Cards!$B$2:$B$55,MATCH("C50",Cards!$A$2:$A$55,0))&amp;" (C50): That matter is under review."</f>
        <v/>
      </c>
    </row>
    <row r="10">
      <c r="A10" s="124" t="inlineStr">
        <is>
          <t>B09</t>
        </is>
      </c>
      <c r="B10" s="125" t="inlineStr">
        <is>
          <t>Does this conflict with existing law?</t>
        </is>
      </c>
      <c r="C10" s="126" t="inlineStr">
        <is>
          <t>Legality</t>
        </is>
      </c>
      <c r="D10" s="124" t="inlineStr">
        <is>
          <t>M</t>
        </is>
      </c>
      <c r="E10" s="124" t="inlineStr">
        <is>
          <t>W</t>
        </is>
      </c>
      <c r="F10" s="124" t="inlineStr">
        <is>
          <t>M</t>
        </is>
      </c>
      <c r="G10" s="124" t="inlineStr">
        <is>
          <t>S</t>
        </is>
      </c>
      <c r="H10" s="124" t="inlineStr">
        <is>
          <t>M</t>
        </is>
      </c>
      <c r="I10" s="124" t="inlineStr">
        <is>
          <t>S</t>
        </is>
      </c>
      <c r="J10" s="124">
        <f>COUNTIF(D10:I10,"S")</f>
        <v/>
      </c>
      <c r="K10" s="124">
        <f>LEN(TRIM(B10))-LEN(SUBSTITUTE(TRIM(B10)," ",""))+1</f>
        <v/>
      </c>
      <c r="L10" s="127">
        <f>INDEX(Cards!$B$2:$B$55,MATCH("C41",Cards!$A$2:$A$55,0))&amp;" (C41): Let's clear up a misunderstanding."</f>
        <v/>
      </c>
      <c r="M10" s="127">
        <f>INDEX(Cards!$B$2:$B$55,MATCH("C52",Cards!$A$2:$A$55,0))&amp;" (C52): Per subsection four, paragraph two, clause B..."</f>
        <v/>
      </c>
      <c r="N10" s="127">
        <f>INDEX(Cards!$B$2:$B$55,MATCH("C44",Cards!$A$2:$A$55,0))&amp;" (C44): Let an independent panel decide."</f>
        <v/>
      </c>
    </row>
    <row r="11">
      <c r="A11" s="124" t="inlineStr">
        <is>
          <t>B10</t>
        </is>
      </c>
      <c r="B11" s="125" t="inlineStr">
        <is>
          <t>Which communities will be affected most?</t>
        </is>
      </c>
      <c r="C11" s="126" t="inlineStr">
        <is>
          <t>Impact</t>
        </is>
      </c>
      <c r="D11" s="124" t="inlineStr">
        <is>
          <t>S</t>
        </is>
      </c>
      <c r="E11" s="124" t="inlineStr">
        <is>
          <t>S</t>
        </is>
      </c>
      <c r="F11" s="124" t="inlineStr">
        <is>
          <t>S</t>
        </is>
      </c>
      <c r="G11" s="124" t="inlineStr">
        <is>
          <t>M</t>
        </is>
      </c>
      <c r="H11" s="124" t="inlineStr">
        <is>
          <t>M</t>
        </is>
      </c>
      <c r="I11" s="124" t="inlineStr">
        <is>
          <t>M</t>
        </is>
      </c>
      <c r="J11" s="124">
        <f>COUNTIF(D11:I11,"S")</f>
        <v/>
      </c>
      <c r="K11" s="124">
        <f>LEN(TRIM(B11))-LEN(SUBSTITUTE(TRIM(B11)," ",""))+1</f>
        <v/>
      </c>
      <c r="L11" s="127">
        <f>INDEX(Cards!$B$2:$B$55,MATCH("C10",Cards!$A$2:$A$55,0))&amp;" (C10): I speak for the people of my district."</f>
        <v/>
      </c>
      <c r="M11" s="127">
        <f>INDEX(Cards!$B$2:$B$55,MATCH("C06",Cards!$A$2:$A$55,0))&amp;" (C06): Every family has a story like this."</f>
        <v/>
      </c>
      <c r="N11" s="127">
        <f>INDEX(Cards!$B$2:$B$55,MATCH("C13",Cards!$A$2:$A$55,0))&amp;" (C13): Let's look at the actual numbers."</f>
        <v/>
      </c>
    </row>
    <row r="12">
      <c r="A12" s="124" t="inlineStr">
        <is>
          <t>B11</t>
        </is>
      </c>
      <c r="B12" s="125" t="inlineStr">
        <is>
          <t>Will affected groups be consulted?</t>
        </is>
      </c>
      <c r="C12" s="126" t="inlineStr">
        <is>
          <t>Consultation</t>
        </is>
      </c>
      <c r="D12" s="124" t="inlineStr">
        <is>
          <t>S</t>
        </is>
      </c>
      <c r="E12" s="124" t="inlineStr">
        <is>
          <t>M</t>
        </is>
      </c>
      <c r="F12" s="124" t="inlineStr">
        <is>
          <t>S</t>
        </is>
      </c>
      <c r="G12" s="124" t="inlineStr">
        <is>
          <t>W</t>
        </is>
      </c>
      <c r="H12" s="124" t="inlineStr">
        <is>
          <t>M</t>
        </is>
      </c>
      <c r="I12" s="124" t="inlineStr">
        <is>
          <t>S</t>
        </is>
      </c>
      <c r="J12" s="124">
        <f>COUNTIF(D12:I12,"S")</f>
        <v/>
      </c>
      <c r="K12" s="124">
        <f>LEN(TRIM(B12))-LEN(SUBSTITUTE(TRIM(B12)," ",""))+1</f>
        <v/>
      </c>
      <c r="L12" s="127">
        <f>INDEX(Cards!$B$2:$B$55,MATCH("C27",Cards!$A$2:$A$55,0))&amp;" (C27): I'll work with anyone who wants results."</f>
        <v/>
      </c>
      <c r="M12" s="127">
        <f>INDEX(Cards!$B$2:$B$55,MATCH("C37",Cards!$A$2:$A$55,0))&amp;" (C37): There's room at this table for everyone."</f>
        <v/>
      </c>
      <c r="N12" s="127">
        <f>INDEX(Cards!$B$2:$B$55,MATCH("C50",Cards!$A$2:$A$55,0))&amp;" (C50): I'll take it under advisement."</f>
        <v/>
      </c>
    </row>
    <row r="13">
      <c r="A13" s="124" t="inlineStr">
        <is>
          <t>B12</t>
        </is>
      </c>
      <c r="B13" s="125" t="inlineStr">
        <is>
          <t>What resources will the department need?</t>
        </is>
      </c>
      <c r="C13" s="126" t="inlineStr">
        <is>
          <t>Resources</t>
        </is>
      </c>
      <c r="D13" s="124" t="inlineStr">
        <is>
          <t>M</t>
        </is>
      </c>
      <c r="E13" s="124" t="inlineStr">
        <is>
          <t>W</t>
        </is>
      </c>
      <c r="F13" s="124" t="inlineStr">
        <is>
          <t>M</t>
        </is>
      </c>
      <c r="G13" s="124" t="inlineStr">
        <is>
          <t>S</t>
        </is>
      </c>
      <c r="H13" s="124" t="inlineStr">
        <is>
          <t>W</t>
        </is>
      </c>
      <c r="I13" s="124" t="inlineStr">
        <is>
          <t>S</t>
        </is>
      </c>
      <c r="J13" s="124">
        <f>COUNTIF(D13:I13,"S")</f>
        <v/>
      </c>
      <c r="K13" s="124">
        <f>LEN(TRIM(B13))-LEN(SUBSTITUTE(TRIM(B13)," ",""))+1</f>
        <v/>
      </c>
      <c r="L13" s="127">
        <f>INDEX(Cards!$B$2:$B$55,MATCH("C13",Cards!$A$2:$A$55,0))&amp;" (C13): Let's look at the actual numbers."</f>
        <v/>
      </c>
      <c r="M13" s="127">
        <f>INDEX(Cards!$B$2:$B$55,MATCH("C52",Cards!$A$2:$A$55,0))&amp;" (C52): The technical framework is quite involved, actually."</f>
        <v/>
      </c>
      <c r="N13" s="127">
        <f>INDEX(Cards!$B$2:$B$55,MATCH("C50",Cards!$A$2:$A$55,0))&amp;" (C50): We're studying all options carefully."</f>
        <v/>
      </c>
    </row>
    <row r="14">
      <c r="A14" s="124" t="inlineStr">
        <is>
          <t>B13</t>
        </is>
      </c>
      <c r="B14" s="125" t="inlineStr">
        <is>
          <t>Is there a review process built in?</t>
        </is>
      </c>
      <c r="C14" s="126" t="inlineStr">
        <is>
          <t>Oversight</t>
        </is>
      </c>
      <c r="D14" s="124" t="inlineStr">
        <is>
          <t>S</t>
        </is>
      </c>
      <c r="E14" s="124" t="inlineStr">
        <is>
          <t>W</t>
        </is>
      </c>
      <c r="F14" s="124" t="inlineStr">
        <is>
          <t>M</t>
        </is>
      </c>
      <c r="G14" s="124" t="inlineStr">
        <is>
          <t>S</t>
        </is>
      </c>
      <c r="H14" s="124" t="inlineStr">
        <is>
          <t>W</t>
        </is>
      </c>
      <c r="I14" s="124" t="inlineStr">
        <is>
          <t>S</t>
        </is>
      </c>
      <c r="J14" s="124">
        <f>COUNTIF(D14:I14,"S")</f>
        <v/>
      </c>
      <c r="K14" s="124">
        <f>LEN(TRIM(B14))-LEN(SUBSTITUTE(TRIM(B14)," ",""))+1</f>
        <v/>
      </c>
      <c r="L14" s="127">
        <f>INDEX(Cards!$B$2:$B$55,MATCH("C44",Cards!$A$2:$A$55,0))&amp;" (C44): Let an independent panel decide."</f>
        <v/>
      </c>
      <c r="M14" s="127">
        <f>INDEX(Cards!$B$2:$B$55,MATCH("C25",Cards!$A$2:$A$55,0))&amp;" (C25): Check my promises against my results."</f>
        <v/>
      </c>
      <c r="N14" s="127">
        <f>INDEX(Cards!$B$2:$B$55,MATCH("C50",Cards!$A$2:$A$55,0))&amp;" (C50): That matter is under review."</f>
        <v/>
      </c>
    </row>
    <row r="15">
      <c r="A15" s="124" t="inlineStr">
        <is>
          <t>B14</t>
        </is>
      </c>
      <c r="B15" s="125" t="inlineStr">
        <is>
          <t>How does this interact with regional authorities?</t>
        </is>
      </c>
      <c r="C15" s="126" t="inlineStr">
        <is>
          <t>Coordination</t>
        </is>
      </c>
      <c r="D15" s="124" t="inlineStr">
        <is>
          <t>M</t>
        </is>
      </c>
      <c r="E15" s="124" t="inlineStr">
        <is>
          <t>W</t>
        </is>
      </c>
      <c r="F15" s="124" t="inlineStr">
        <is>
          <t>S</t>
        </is>
      </c>
      <c r="G15" s="124" t="inlineStr">
        <is>
          <t>M</t>
        </is>
      </c>
      <c r="H15" s="124" t="inlineStr">
        <is>
          <t>W</t>
        </is>
      </c>
      <c r="I15" s="124" t="inlineStr">
        <is>
          <t>S</t>
        </is>
      </c>
      <c r="J15" s="124">
        <f>COUNTIF(D15:I15,"S")</f>
        <v/>
      </c>
      <c r="K15" s="124">
        <f>LEN(TRIM(B15))-LEN(SUBSTITUTE(TRIM(B15)," ",""))+1</f>
        <v/>
      </c>
      <c r="L15" s="127">
        <f>INDEX(Cards!$B$2:$B$55,MATCH("C37",Cards!$A$2:$A$55,0))&amp;" (C37): Different paths, same destination. Walk with us."</f>
        <v/>
      </c>
      <c r="M15" s="127">
        <f>INDEX(Cards!$B$2:$B$55,MATCH("C52",Cards!$A$2:$A$55,0))&amp;" (C52): It depends on seventeen interlocking variables."</f>
        <v/>
      </c>
      <c r="N15" s="127">
        <f>INDEX(Cards!$B$2:$B$55,MATCH("C11",Cards!$A$2:$A$55,0))&amp;" (C11): Let's not pretend we're far apart."</f>
        <v/>
      </c>
    </row>
    <row r="16">
      <c r="A16" s="124" t="inlineStr">
        <is>
          <t>B15</t>
        </is>
      </c>
      <c r="B16" s="125" t="inlineStr">
        <is>
          <t>What happens if the targets aren't met?</t>
        </is>
      </c>
      <c r="C16" s="126" t="inlineStr">
        <is>
          <t>Accountability</t>
        </is>
      </c>
      <c r="D16" s="124" t="inlineStr">
        <is>
          <t>S</t>
        </is>
      </c>
      <c r="E16" s="124" t="inlineStr">
        <is>
          <t>M</t>
        </is>
      </c>
      <c r="F16" s="124" t="inlineStr">
        <is>
          <t>M</t>
        </is>
      </c>
      <c r="G16" s="124" t="inlineStr">
        <is>
          <t>S</t>
        </is>
      </c>
      <c r="H16" s="124" t="inlineStr">
        <is>
          <t>W</t>
        </is>
      </c>
      <c r="I16" s="124" t="inlineStr">
        <is>
          <t>S</t>
        </is>
      </c>
      <c r="J16" s="124">
        <f>COUNTIF(D16:I16,"S")</f>
        <v/>
      </c>
      <c r="K16" s="124">
        <f>LEN(TRIM(B16))-LEN(SUBSTITUTE(TRIM(B16)," ",""))+1</f>
        <v/>
      </c>
      <c r="L16" s="127">
        <f>INDEX(Cards!$B$2:$B$55,MATCH("C26",Cards!$A$2:$A$55,0))&amp;" (C26): No excuses. Accountability starts with me."</f>
        <v/>
      </c>
      <c r="M16" s="127">
        <f>INDEX(Cards!$B$2:$B$55,MATCH("C44",Cards!$A$2:$A$55,0))&amp;" (C44): Let an independent panel decide."</f>
        <v/>
      </c>
      <c r="N16" s="127">
        <f>INDEX(Cards!$B$2:$B$55,MATCH("C50",Cards!$A$2:$A$55,0))&amp;" (C50): A committee will look into it."</f>
        <v/>
      </c>
    </row>
    <row r="17">
      <c r="A17" s="124" t="inlineStr">
        <is>
          <t>B16</t>
        </is>
      </c>
      <c r="B17" s="125" t="inlineStr">
        <is>
          <t>Could this be simplified without losing its intent?</t>
        </is>
      </c>
      <c r="C17" s="126" t="inlineStr">
        <is>
          <t>Simplicity</t>
        </is>
      </c>
      <c r="D17" s="124" t="inlineStr">
        <is>
          <t>S</t>
        </is>
      </c>
      <c r="E17" s="124" t="inlineStr">
        <is>
          <t>M</t>
        </is>
      </c>
      <c r="F17" s="124" t="inlineStr">
        <is>
          <t>M</t>
        </is>
      </c>
      <c r="G17" s="124" t="inlineStr">
        <is>
          <t>S</t>
        </is>
      </c>
      <c r="H17" s="124" t="inlineStr">
        <is>
          <t>W</t>
        </is>
      </c>
      <c r="I17" s="124" t="inlineStr">
        <is>
          <t>S</t>
        </is>
      </c>
      <c r="J17" s="124">
        <f>COUNTIF(D17:I17,"S")</f>
        <v/>
      </c>
      <c r="K17" s="124">
        <f>LEN(TRIM(B17))-LEN(SUBSTITUTE(TRIM(B17)," ",""))+1</f>
        <v/>
      </c>
      <c r="L17" s="127">
        <f>INDEX(Cards!$B$2:$B$55,MATCH("C04",Cards!$A$2:$A$55,0))&amp;" (C04): Strip away the noise. This is what matters."</f>
        <v/>
      </c>
      <c r="M17" s="127">
        <f>INDEX(Cards!$B$2:$B$55,MATCH("C41",Cards!$A$2:$A$55,0))&amp;" (C41): Precision matters. Here's the accurate version."</f>
        <v/>
      </c>
      <c r="N17" s="127">
        <f>INDEX(Cards!$B$2:$B$55,MATCH("C52",Cards!$A$2:$A$55,0))&amp;" (C52): Let me walk you through all forty provisions."</f>
        <v/>
      </c>
    </row>
    <row r="18">
      <c r="A18" s="124" t="inlineStr">
        <is>
          <t>B17</t>
        </is>
      </c>
      <c r="B18" s="125" t="inlineStr">
        <is>
          <t>Where can the department find flexibility?</t>
        </is>
      </c>
      <c r="C18" s="126" t="inlineStr">
        <is>
          <t>Flexibility</t>
        </is>
      </c>
      <c r="D18" s="124" t="inlineStr">
        <is>
          <t>M</t>
        </is>
      </c>
      <c r="E18" s="124" t="inlineStr">
        <is>
          <t>W</t>
        </is>
      </c>
      <c r="F18" s="124" t="inlineStr">
        <is>
          <t>S</t>
        </is>
      </c>
      <c r="G18" s="124" t="inlineStr">
        <is>
          <t>M</t>
        </is>
      </c>
      <c r="H18" s="124" t="inlineStr">
        <is>
          <t>W</t>
        </is>
      </c>
      <c r="I18" s="124" t="inlineStr">
        <is>
          <t>S</t>
        </is>
      </c>
      <c r="J18" s="124">
        <f>COUNTIF(D18:I18,"S")</f>
        <v/>
      </c>
      <c r="K18" s="124">
        <f>LEN(TRIM(B18))-LEN(SUBSTITUTE(TRIM(B18)," ",""))+1</f>
        <v/>
      </c>
      <c r="L18" s="127">
        <f>INDEX(Cards!$B$2:$B$55,MATCH("C11",Cards!$A$2:$A$55,0))&amp;" (C11): We're more agreed than it appears."</f>
        <v/>
      </c>
      <c r="M18" s="127">
        <f>INDEX(Cards!$B$2:$B$55,MATCH("C21",Cards!$A$2:$A$55,0))&amp;" (C21): We'll find a balance that pleases everyone."</f>
        <v/>
      </c>
      <c r="N18" s="127">
        <f>INDEX(Cards!$B$2:$B$55,MATCH("C37",Cards!$A$2:$A$55,0))&amp;" (C37): There's room at this table for everyone."</f>
        <v/>
      </c>
    </row>
    <row r="19">
      <c r="A19" s="124" t="inlineStr">
        <is>
          <t>B18</t>
        </is>
      </c>
      <c r="B19" s="125" t="inlineStr">
        <is>
          <t>Who will bear the administrative burden?</t>
        </is>
      </c>
      <c r="C19" s="126" t="inlineStr">
        <is>
          <t>Burden</t>
        </is>
      </c>
      <c r="D19" s="124" t="inlineStr">
        <is>
          <t>M</t>
        </is>
      </c>
      <c r="E19" s="124" t="inlineStr">
        <is>
          <t>M</t>
        </is>
      </c>
      <c r="F19" s="124" t="inlineStr">
        <is>
          <t>M</t>
        </is>
      </c>
      <c r="G19" s="124" t="inlineStr">
        <is>
          <t>S</t>
        </is>
      </c>
      <c r="H19" s="124" t="inlineStr">
        <is>
          <t>M</t>
        </is>
      </c>
      <c r="I19" s="124" t="inlineStr">
        <is>
          <t>S</t>
        </is>
      </c>
      <c r="J19" s="124">
        <f>COUNTIF(D19:I19,"S")</f>
        <v/>
      </c>
      <c r="K19" s="124">
        <f>LEN(TRIM(B19))-LEN(SUBSTITUTE(TRIM(B19)," ",""))+1</f>
        <v/>
      </c>
      <c r="L19" s="127">
        <f>INDEX(Cards!$B$2:$B$55,MATCH("C13",Cards!$A$2:$A$55,0))&amp;" (C13): Let's look at the actual numbers."</f>
        <v/>
      </c>
      <c r="M19" s="127">
        <f>INDEX(Cards!$B$2:$B$55,MATCH("C52",Cards!$A$2:$A$55,0))&amp;" (C52): The technical framework is quite involved, actually."</f>
        <v/>
      </c>
      <c r="N19" s="127">
        <f>INDEX(Cards!$B$2:$B$55,MATCH("C04",Cards!$A$2:$A$55,0))&amp;" (C04): Back to basics: who are we here for?"</f>
        <v/>
      </c>
    </row>
    <row r="20">
      <c r="A20" s="124" t="inlineStr">
        <is>
          <t>B19</t>
        </is>
      </c>
      <c r="B20" s="125" t="inlineStr">
        <is>
          <t>Are the projections realistic?</t>
        </is>
      </c>
      <c r="C20" s="126" t="inlineStr">
        <is>
          <t>Feasibility</t>
        </is>
      </c>
      <c r="D20" s="124" t="inlineStr">
        <is>
          <t>M</t>
        </is>
      </c>
      <c r="E20" s="124" t="inlineStr">
        <is>
          <t>W</t>
        </is>
      </c>
      <c r="F20" s="124" t="inlineStr">
        <is>
          <t>W</t>
        </is>
      </c>
      <c r="G20" s="124" t="inlineStr">
        <is>
          <t>S</t>
        </is>
      </c>
      <c r="H20" s="124" t="inlineStr">
        <is>
          <t>M</t>
        </is>
      </c>
      <c r="I20" s="124" t="inlineStr">
        <is>
          <t>S</t>
        </is>
      </c>
      <c r="J20" s="124">
        <f>COUNTIF(D20:I20,"S")</f>
        <v/>
      </c>
      <c r="K20" s="124">
        <f>LEN(TRIM(B20))-LEN(SUBSTITUTE(TRIM(B20)," ",""))+1</f>
        <v/>
      </c>
      <c r="L20" s="127">
        <f>INDEX(Cards!$B$2:$B$55,MATCH("C16",Cards!$A$2:$A$55,0))&amp;" (C16): Every claim here is sourced and verified."</f>
        <v/>
      </c>
      <c r="M20" s="127">
        <f>INDEX(Cards!$B$2:$B$55,MATCH("C21",Cards!$A$2:$A$55,0))&amp;" (C21): It's complicated, and I respect all views."</f>
        <v/>
      </c>
      <c r="N20" s="127">
        <f>INDEX(Cards!$B$2:$B$55,MATCH("C26",Cards!$A$2:$A$55,0))&amp;" (C26): When I'm wrong, I say so."</f>
        <v/>
      </c>
    </row>
    <row r="21">
      <c r="A21" s="124" t="inlineStr">
        <is>
          <t>B20</t>
        </is>
      </c>
      <c r="B21" s="125" t="inlineStr">
        <is>
          <t>Is there broad support for this within government?</t>
        </is>
      </c>
      <c r="C21" s="126" t="inlineStr">
        <is>
          <t>Support</t>
        </is>
      </c>
      <c r="D21" s="124" t="inlineStr">
        <is>
          <t>M</t>
        </is>
      </c>
      <c r="E21" s="124" t="inlineStr">
        <is>
          <t>M</t>
        </is>
      </c>
      <c r="F21" s="124" t="inlineStr">
        <is>
          <t>S</t>
        </is>
      </c>
      <c r="G21" s="124" t="inlineStr">
        <is>
          <t>M</t>
        </is>
      </c>
      <c r="H21" s="124" t="inlineStr">
        <is>
          <t>S</t>
        </is>
      </c>
      <c r="I21" s="124" t="inlineStr">
        <is>
          <t>S</t>
        </is>
      </c>
      <c r="J21" s="124">
        <f>COUNTIF(D21:I21,"S")</f>
        <v/>
      </c>
      <c r="K21" s="124">
        <f>LEN(TRIM(B21))-LEN(SUBSTITUTE(TRIM(B21)," ",""))+1</f>
        <v/>
      </c>
      <c r="L21" s="127">
        <f>INDEX(Cards!$B$2:$B$55,MATCH("C39",Cards!$A$2:$A$55,0))&amp;" (C39): The numbers are on our side."</f>
        <v/>
      </c>
      <c r="M21" s="127">
        <f>INDEX(Cards!$B$2:$B$55,MATCH("C11",Cards!$A$2:$A$55,0))&amp;" (C11): We're more agreed than it appears."</f>
        <v/>
      </c>
      <c r="N21" s="127">
        <f>INDEX(Cards!$B$2:$B$55,MATCH("C20",Cards!$A$2:$A$55,0))&amp;" (C20): Prove whose side you're really on."</f>
        <v/>
      </c>
    </row>
    <row r="22">
      <c r="C22" s="81" t="inlineStr">
        <is>
          <t>Strong total</t>
        </is>
      </c>
      <c r="D22" s="128">
        <f>COUNTIF(D2:D21,"S")</f>
        <v/>
      </c>
      <c r="E22" s="128">
        <f>COUNTIF(E2:E21,"S")</f>
        <v/>
      </c>
      <c r="F22" s="128">
        <f>COUNTIF(F2:F21,"S")</f>
        <v/>
      </c>
      <c r="G22" s="128">
        <f>COUNTIF(G2:G21,"S")</f>
        <v/>
      </c>
      <c r="H22" s="128">
        <f>COUNTIF(H2:H21,"S")</f>
        <v/>
      </c>
      <c r="I22" s="128">
        <f>COUNTIF(I2:I21,"S")</f>
        <v/>
      </c>
    </row>
    <row r="24">
      <c r="B24" s="129" t="inlineStr">
        <is>
          <t>Stage: A department official at an open policy study session: technical, procedural, courteous.</t>
        </is>
      </c>
    </row>
    <row r="25">
      <c r="B25" s="129" t="inlineStr">
        <is>
          <t>Fit key (writing check, not a game mechanic): S = at least one of that suit's cues reads as a natural answer · M = workable · W = awkward.</t>
        </is>
      </c>
    </row>
    <row r="26">
      <c r="B26" s="129" t="inlineStr">
        <is>
          <t>Rules: no time references, no assumed past events, no specific policy area. Each question stands alone. At least 2 S and at most 2 W per question.</t>
        </is>
      </c>
    </row>
    <row r="27">
      <c r="B27" s="129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.05078125" customWidth="1" style="43" min="1" max="1"/>
    <col width="41.96875" customWidth="1" style="43" min="2" max="2"/>
    <col width="13.98828125" customWidth="1" style="43" min="3" max="3"/>
    <col width="9.01171875" customWidth="1" style="43" min="4" max="4"/>
    <col width="9.953125" customWidth="1" style="43" min="5" max="5"/>
    <col width="9.01171875" customWidth="1" style="43" min="6" max="6"/>
    <col width="9.953125" customWidth="1" style="43" min="7" max="7"/>
    <col width="9.01171875" customWidth="1" style="43" min="8" max="8"/>
    <col width="11.02734375" customWidth="1" style="43" min="9" max="9"/>
    <col width="7.93359375" customWidth="1" style="43" min="10" max="10"/>
    <col width="6.9921875" customWidth="1" style="43" min="11" max="11"/>
    <col width="43.98828125" customWidth="1" style="43" min="12" max="12"/>
  </cols>
  <sheetData>
    <row r="1">
      <c r="A1" s="79" t="inlineStr">
        <is>
          <t>Q ID</t>
        </is>
      </c>
      <c r="B1" s="79" t="inlineStr">
        <is>
          <t>Question</t>
        </is>
      </c>
      <c r="C1" s="79" t="inlineStr">
        <is>
          <t>Theme</t>
        </is>
      </c>
      <c r="D1" s="79" t="inlineStr">
        <is>
          <t>Earnest</t>
        </is>
      </c>
      <c r="E1" s="79" t="inlineStr">
        <is>
          <t>Emotional</t>
        </is>
      </c>
      <c r="F1" s="79" t="inlineStr">
        <is>
          <t>Appeal</t>
        </is>
      </c>
      <c r="G1" s="79" t="inlineStr">
        <is>
          <t>Data Driven</t>
        </is>
      </c>
      <c r="H1" s="79" t="inlineStr">
        <is>
          <t>Divisive</t>
        </is>
      </c>
      <c r="I1" s="79" t="inlineStr">
        <is>
          <t>Duplicitous</t>
        </is>
      </c>
      <c r="J1" s="80" t="inlineStr">
        <is>
          <t>Strong suits</t>
        </is>
      </c>
      <c r="K1" s="80" t="inlineStr">
        <is>
          <t>Words</t>
        </is>
      </c>
      <c r="L1" s="79" t="inlineStr">
        <is>
          <t>Sample answer 1</t>
        </is>
      </c>
      <c r="M1" s="79" t="inlineStr">
        <is>
          <t>Sample answer 2</t>
        </is>
      </c>
      <c r="N1" s="79" t="inlineStr">
        <is>
          <t>Sample answer 3</t>
        </is>
      </c>
    </row>
    <row r="2">
      <c r="A2" s="124" t="inlineStr">
        <is>
          <t>A01</t>
        </is>
      </c>
      <c r="B2" s="125" t="inlineStr">
        <is>
          <t>Are you hiding something from the public?</t>
        </is>
      </c>
      <c r="C2" s="126" t="inlineStr">
        <is>
          <t>Secrecy</t>
        </is>
      </c>
      <c r="D2" s="124" t="inlineStr">
        <is>
          <t>S</t>
        </is>
      </c>
      <c r="E2" s="124" t="inlineStr">
        <is>
          <t>M</t>
        </is>
      </c>
      <c r="F2" s="124" t="inlineStr">
        <is>
          <t>W</t>
        </is>
      </c>
      <c r="G2" s="124" t="inlineStr">
        <is>
          <t>M</t>
        </is>
      </c>
      <c r="H2" s="124" t="inlineStr">
        <is>
          <t>S</t>
        </is>
      </c>
      <c r="I2" s="124" t="inlineStr">
        <is>
          <t>S</t>
        </is>
      </c>
      <c r="J2" s="124">
        <f>COUNTIF(D2:I2,"S")</f>
        <v/>
      </c>
      <c r="K2" s="124">
        <f>LEN(TRIM(B2))-LEN(SUBSTITUTE(TRIM(B2)," ",""))+1</f>
        <v/>
      </c>
      <c r="L2" s="127">
        <f>INDEX(Cards!$B$2:$B$55,MATCH("C02",Cards!$A$2:$A$55,0))&amp;" (C02): No spin. Just the truth as I see it."</f>
        <v/>
      </c>
      <c r="M2" s="127">
        <f>INDEX(Cards!$B$2:$B$55,MATCH("C22",Cards!$A$2:$A$55,0))&amp;" (C22): That doesn't ring a bell."</f>
        <v/>
      </c>
      <c r="N2" s="127">
        <f>INDEX(Cards!$B$2:$B$55,MATCH("C48",Cards!$A$2:$A$55,0))&amp;" (C48): Everyone should hear what they're hiding."</f>
        <v/>
      </c>
    </row>
    <row r="3">
      <c r="A3" s="124" t="inlineStr">
        <is>
          <t>A02</t>
        </is>
      </c>
      <c r="B3" s="125" t="inlineStr">
        <is>
          <t>Who's really pulling your strings?</t>
        </is>
      </c>
      <c r="C3" s="126" t="inlineStr">
        <is>
          <t>Influence</t>
        </is>
      </c>
      <c r="D3" s="124" t="inlineStr">
        <is>
          <t>S</t>
        </is>
      </c>
      <c r="E3" s="124" t="inlineStr">
        <is>
          <t>S</t>
        </is>
      </c>
      <c r="F3" s="124" t="inlineStr">
        <is>
          <t>M</t>
        </is>
      </c>
      <c r="G3" s="124" t="inlineStr">
        <is>
          <t>M</t>
        </is>
      </c>
      <c r="H3" s="124" t="inlineStr">
        <is>
          <t>S</t>
        </is>
      </c>
      <c r="I3" s="124" t="inlineStr">
        <is>
          <t>S</t>
        </is>
      </c>
      <c r="J3" s="124">
        <f>COUNTIF(D3:I3,"S")</f>
        <v/>
      </c>
      <c r="K3" s="124">
        <f>LEN(TRIM(B3))-LEN(SUBSTITUTE(TRIM(B3)," ",""))+1</f>
        <v/>
      </c>
      <c r="L3" s="127">
        <f>INDEX(Cards!$B$2:$B$55,MATCH("C04",Cards!$A$2:$A$55,0))&amp;" (C04): I know exactly who I work for."</f>
        <v/>
      </c>
      <c r="M3" s="127">
        <f>INDEX(Cards!$B$2:$B$55,MATCH("C31",Cards!$A$2:$A$55,0))&amp;" (C31): You should be ashamed of yourself!"</f>
        <v/>
      </c>
      <c r="N3" s="127">
        <f>INDEX(Cards!$B$2:$B$55,MATCH("C23",Cards!$A$2:$A$55,0))&amp;" (C23): Let's talk about what really matters."</f>
        <v/>
      </c>
    </row>
    <row r="4">
      <c r="A4" s="124" t="inlineStr">
        <is>
          <t>A03</t>
        </is>
      </c>
      <c r="B4" s="125" t="inlineStr">
        <is>
          <t>Do your donors write your bills?</t>
        </is>
      </c>
      <c r="C4" s="126" t="inlineStr">
        <is>
          <t>Money</t>
        </is>
      </c>
      <c r="D4" s="124" t="inlineStr">
        <is>
          <t>M</t>
        </is>
      </c>
      <c r="E4" s="124" t="inlineStr">
        <is>
          <t>S</t>
        </is>
      </c>
      <c r="F4" s="124" t="inlineStr">
        <is>
          <t>M</t>
        </is>
      </c>
      <c r="G4" s="124" t="inlineStr">
        <is>
          <t>S</t>
        </is>
      </c>
      <c r="H4" s="124" t="inlineStr">
        <is>
          <t>S</t>
        </is>
      </c>
      <c r="I4" s="124" t="inlineStr">
        <is>
          <t>S</t>
        </is>
      </c>
      <c r="J4" s="124">
        <f>COUNTIF(D4:I4,"S")</f>
        <v/>
      </c>
      <c r="K4" s="124">
        <f>LEN(TRIM(B4))-LEN(SUBSTITUTE(TRIM(B4)," ",""))+1</f>
        <v/>
      </c>
      <c r="L4" s="127">
        <f>INDEX(Cards!$B$2:$B$55,MATCH("C16",Cards!$A$2:$A$55,0))&amp;" (C16): Every claim here is sourced and verified."</f>
        <v/>
      </c>
      <c r="M4" s="127">
        <f>INDEX(Cards!$B$2:$B$55,MATCH("C22",Cards!$A$2:$A$55,0))&amp;" (C22): I can neither confirm nor deny that."</f>
        <v/>
      </c>
      <c r="N4" s="127">
        <f>INDEX(Cards!$B$2:$B$55,MATCH("C17",Cards!$A$2:$A$55,0))&amp;" (C17): Another career politician, protecting their own."</f>
        <v/>
      </c>
    </row>
    <row r="5">
      <c r="A5" s="124" t="inlineStr">
        <is>
          <t>A04</t>
        </is>
      </c>
      <c r="B5" s="125" t="inlineStr">
        <is>
          <t>Is this bill a favor to your friends?</t>
        </is>
      </c>
      <c r="C5" s="126" t="inlineStr">
        <is>
          <t>Cronyism</t>
        </is>
      </c>
      <c r="D5" s="124" t="inlineStr">
        <is>
          <t>S</t>
        </is>
      </c>
      <c r="E5" s="124" t="inlineStr">
        <is>
          <t>M</t>
        </is>
      </c>
      <c r="F5" s="124" t="inlineStr">
        <is>
          <t>W</t>
        </is>
      </c>
      <c r="G5" s="124" t="inlineStr">
        <is>
          <t>M</t>
        </is>
      </c>
      <c r="H5" s="124" t="inlineStr">
        <is>
          <t>S</t>
        </is>
      </c>
      <c r="I5" s="124" t="inlineStr">
        <is>
          <t>S</t>
        </is>
      </c>
      <c r="J5" s="124">
        <f>COUNTIF(D5:I5,"S")</f>
        <v/>
      </c>
      <c r="K5" s="124">
        <f>LEN(TRIM(B5))-LEN(SUBSTITUTE(TRIM(B5)," ",""))+1</f>
        <v/>
      </c>
      <c r="L5" s="127">
        <f>INDEX(Cards!$B$2:$B$55,MATCH("C25",Cards!$A$2:$A$55,0))&amp;" (C25): My word is my bond."</f>
        <v/>
      </c>
      <c r="M5" s="127">
        <f>INDEX(Cards!$B$2:$B$55,MATCH("C23",Cards!$A$2:$A$55,0))&amp;" (C23): That's a distraction from the actual issue."</f>
        <v/>
      </c>
      <c r="N5" s="127">
        <f>INDEX(Cards!$B$2:$B$55,MATCH("C18",Cards!$A$2:$A$55,0))&amp;" (C18): They stand for themselves. We stand for you."</f>
        <v/>
      </c>
    </row>
    <row r="6">
      <c r="A6" s="124" t="inlineStr">
        <is>
          <t>A05</t>
        </is>
      </c>
      <c r="B6" s="125" t="inlineStr">
        <is>
          <t>Should anyone believe a word you say?</t>
        </is>
      </c>
      <c r="C6" s="126" t="inlineStr">
        <is>
          <t>Credibility</t>
        </is>
      </c>
      <c r="D6" s="124" t="inlineStr">
        <is>
          <t>S</t>
        </is>
      </c>
      <c r="E6" s="124" t="inlineStr">
        <is>
          <t>S</t>
        </is>
      </c>
      <c r="F6" s="124" t="inlineStr">
        <is>
          <t>M</t>
        </is>
      </c>
      <c r="G6" s="124" t="inlineStr">
        <is>
          <t>M</t>
        </is>
      </c>
      <c r="H6" s="124" t="inlineStr">
        <is>
          <t>S</t>
        </is>
      </c>
      <c r="I6" s="124" t="inlineStr">
        <is>
          <t>S</t>
        </is>
      </c>
      <c r="J6" s="124">
        <f>COUNTIF(D6:I6,"S")</f>
        <v/>
      </c>
      <c r="K6" s="124">
        <f>LEN(TRIM(B6))-LEN(SUBSTITUTE(TRIM(B6)," ",""))+1</f>
        <v/>
      </c>
      <c r="L6" s="127">
        <f>INDEX(Cards!$B$2:$B$55,MATCH("C25",Cards!$A$2:$A$55,0))&amp;" (C25): I give my word, and it holds."</f>
        <v/>
      </c>
      <c r="M6" s="127">
        <f>INDEX(Cards!$B$2:$B$55,MATCH("C32",Cards!$A$2:$A$55,0))&amp;" (C32): No, you will hear me out!"</f>
        <v/>
      </c>
      <c r="N6" s="127">
        <f>INDEX(Cards!$B$2:$B$55,MATCH("C23",Cards!$A$2:$A$55,0))&amp;" (C23): The real question is why you're asking."</f>
        <v/>
      </c>
    </row>
    <row r="7">
      <c r="A7" s="124" t="inlineStr">
        <is>
          <t>A06</t>
        </is>
      </c>
      <c r="B7" s="125" t="inlineStr">
        <is>
          <t>Are you in over your head?</t>
        </is>
      </c>
      <c r="C7" s="126" t="inlineStr">
        <is>
          <t>Competence</t>
        </is>
      </c>
      <c r="D7" s="124" t="inlineStr">
        <is>
          <t>S</t>
        </is>
      </c>
      <c r="E7" s="124" t="inlineStr">
        <is>
          <t>S</t>
        </is>
      </c>
      <c r="F7" s="124" t="inlineStr">
        <is>
          <t>W</t>
        </is>
      </c>
      <c r="G7" s="124" t="inlineStr">
        <is>
          <t>M</t>
        </is>
      </c>
      <c r="H7" s="124" t="inlineStr">
        <is>
          <t>M</t>
        </is>
      </c>
      <c r="I7" s="124" t="inlineStr">
        <is>
          <t>S</t>
        </is>
      </c>
      <c r="J7" s="124">
        <f>COUNTIF(D7:I7,"S")</f>
        <v/>
      </c>
      <c r="K7" s="124">
        <f>LEN(TRIM(B7))-LEN(SUBSTITUTE(TRIM(B7)," ",""))+1</f>
        <v/>
      </c>
      <c r="L7" s="127">
        <f>INDEX(Cards!$B$2:$B$55,MATCH("C33",Cards!$A$2:$A$55,0))&amp;" (C33): Underestimate me. See what happens."</f>
        <v/>
      </c>
      <c r="M7" s="127">
        <f>INDEX(Cards!$B$2:$B$55,MATCH("C23",Cards!$A$2:$A$55,0))&amp;" (C23): Interesting, but consider the bigger picture."</f>
        <v/>
      </c>
      <c r="N7" s="127">
        <f>INDEX(Cards!$B$2:$B$55,MATCH("C01",Cards!$A$2:$A$55,0))&amp;" (C01): Judge me by my record."</f>
        <v/>
      </c>
    </row>
    <row r="8">
      <c r="A8" s="124" t="inlineStr">
        <is>
          <t>A07</t>
        </is>
      </c>
      <c r="B8" s="125" t="inlineStr">
        <is>
          <t>Do you even understand what's in this bill?</t>
        </is>
      </c>
      <c r="C8" s="126" t="inlineStr">
        <is>
          <t>Competence</t>
        </is>
      </c>
      <c r="D8" s="124" t="inlineStr">
        <is>
          <t>M</t>
        </is>
      </c>
      <c r="E8" s="124" t="inlineStr">
        <is>
          <t>M</t>
        </is>
      </c>
      <c r="F8" s="124" t="inlineStr">
        <is>
          <t>W</t>
        </is>
      </c>
      <c r="G8" s="124" t="inlineStr">
        <is>
          <t>S</t>
        </is>
      </c>
      <c r="H8" s="124" t="inlineStr">
        <is>
          <t>M</t>
        </is>
      </c>
      <c r="I8" s="124" t="inlineStr">
        <is>
          <t>S</t>
        </is>
      </c>
      <c r="J8" s="124">
        <f>COUNTIF(D8:I8,"S")</f>
        <v/>
      </c>
      <c r="K8" s="124">
        <f>LEN(TRIM(B8))-LEN(SUBSTITUTE(TRIM(B8)," ",""))+1</f>
        <v/>
      </c>
      <c r="L8" s="127">
        <f>INDEX(Cards!$B$2:$B$55,MATCH("C16",Cards!$A$2:$A$55,0))&amp;" (C16): Two hundred pages of evidence. Read them."</f>
        <v/>
      </c>
      <c r="M8" s="127">
        <f>INDEX(Cards!$B$2:$B$55,MATCH("C52",Cards!$A$2:$A$55,0))&amp;" (C52): Let me walk you through all forty provisions."</f>
        <v/>
      </c>
      <c r="N8" s="127">
        <f>INDEX(Cards!$B$2:$B$55,MATCH("C32",Cards!$A$2:$A$55,0))&amp;" (C32): Let me finish! Let me finish!"</f>
        <v/>
      </c>
    </row>
    <row r="9">
      <c r="A9" s="124" t="inlineStr">
        <is>
          <t>A08</t>
        </is>
      </c>
      <c r="B9" s="125" t="inlineStr">
        <is>
          <t>Is your party abandoning you?</t>
        </is>
      </c>
      <c r="C9" s="126" t="inlineStr">
        <is>
          <t>Isolation</t>
        </is>
      </c>
      <c r="D9" s="124" t="inlineStr">
        <is>
          <t>M</t>
        </is>
      </c>
      <c r="E9" s="124" t="inlineStr">
        <is>
          <t>S</t>
        </is>
      </c>
      <c r="F9" s="124" t="inlineStr">
        <is>
          <t>S</t>
        </is>
      </c>
      <c r="G9" s="124" t="inlineStr">
        <is>
          <t>W</t>
        </is>
      </c>
      <c r="H9" s="124" t="inlineStr">
        <is>
          <t>S</t>
        </is>
      </c>
      <c r="I9" s="124" t="inlineStr">
        <is>
          <t>M</t>
        </is>
      </c>
      <c r="J9" s="124">
        <f>COUNTIF(D9:I9,"S")</f>
        <v/>
      </c>
      <c r="K9" s="124">
        <f>LEN(TRIM(B9))-LEN(SUBSTITUTE(TRIM(B9)," ",""))+1</f>
        <v/>
      </c>
      <c r="L9" s="127">
        <f>INDEX(Cards!$B$2:$B$55,MATCH("C35",Cards!$A$2:$A$55,0))&amp;" (C35): Our party speaks with one voice on this."</f>
        <v/>
      </c>
      <c r="M9" s="127">
        <f>INDEX(Cards!$B$2:$B$55,MATCH("C33",Cards!$A$2:$A$55,0))&amp;" (C33): Knock me down. I'll get back up."</f>
        <v/>
      </c>
      <c r="N9" s="127">
        <f>INDEX(Cards!$B$2:$B$55,MATCH("C47",Cards!$A$2:$A$55,0))&amp;" (C47): Some here forget who they serve."</f>
        <v/>
      </c>
    </row>
    <row r="10">
      <c r="A10" s="124" t="inlineStr">
        <is>
          <t>A09</t>
        </is>
      </c>
      <c r="B10" s="125" t="inlineStr">
        <is>
          <t>Are you running from the press?</t>
        </is>
      </c>
      <c r="C10" s="126" t="inlineStr">
        <is>
          <t>Evasion</t>
        </is>
      </c>
      <c r="D10" s="124" t="inlineStr">
        <is>
          <t>S</t>
        </is>
      </c>
      <c r="E10" s="124" t="inlineStr">
        <is>
          <t>S</t>
        </is>
      </c>
      <c r="F10" s="124" t="inlineStr">
        <is>
          <t>M</t>
        </is>
      </c>
      <c r="G10" s="124" t="inlineStr">
        <is>
          <t>W</t>
        </is>
      </c>
      <c r="H10" s="124" t="inlineStr">
        <is>
          <t>M</t>
        </is>
      </c>
      <c r="I10" s="124" t="inlineStr">
        <is>
          <t>S</t>
        </is>
      </c>
      <c r="J10" s="124">
        <f>COUNTIF(D10:I10,"S")</f>
        <v/>
      </c>
      <c r="K10" s="124">
        <f>LEN(TRIM(B10))-LEN(SUBSTITUTE(TRIM(B10)," ",""))+1</f>
        <v/>
      </c>
      <c r="L10" s="127">
        <f>INDEX(Cards!$B$2:$B$55,MATCH("C02",Cards!$A$2:$A$55,0))&amp;" (C02): I won't dodge this one."</f>
        <v/>
      </c>
      <c r="M10" s="127">
        <f>INDEX(Cards!$B$2:$B$55,MATCH("C32",Cards!$A$2:$A$55,0))&amp;" (C32): I will not be shouted down!"</f>
        <v/>
      </c>
      <c r="N10" s="127">
        <f>INDEX(Cards!$B$2:$B$55,MATCH("C54",Cards!$A$2:$A$55,0))&amp;" (C54): Don't repeat this, but..."</f>
        <v/>
      </c>
    </row>
    <row r="11">
      <c r="A11" s="124" t="inlineStr">
        <is>
          <t>A10</t>
        </is>
      </c>
      <c r="B11" s="125" t="inlineStr">
        <is>
          <t>Is this a cover-up?</t>
        </is>
      </c>
      <c r="C11" s="126" t="inlineStr">
        <is>
          <t>Scandal</t>
        </is>
      </c>
      <c r="D11" s="124" t="inlineStr">
        <is>
          <t>S</t>
        </is>
      </c>
      <c r="E11" s="124" t="inlineStr">
        <is>
          <t>M</t>
        </is>
      </c>
      <c r="F11" s="124" t="inlineStr">
        <is>
          <t>W</t>
        </is>
      </c>
      <c r="G11" s="124" t="inlineStr">
        <is>
          <t>S</t>
        </is>
      </c>
      <c r="H11" s="124" t="inlineStr">
        <is>
          <t>S</t>
        </is>
      </c>
      <c r="I11" s="124" t="inlineStr">
        <is>
          <t>S</t>
        </is>
      </c>
      <c r="J11" s="124">
        <f>COUNTIF(D11:I11,"S")</f>
        <v/>
      </c>
      <c r="K11" s="124">
        <f>LEN(TRIM(B11))-LEN(SUBSTITUTE(TRIM(B11)," ",""))+1</f>
        <v/>
      </c>
      <c r="L11" s="127">
        <f>INDEX(Cards!$B$2:$B$55,MATCH("C02",Cards!$A$2:$A$55,0))&amp;" (C02): No spin. Just the truth as I see it."</f>
        <v/>
      </c>
      <c r="M11" s="127">
        <f>INDEX(Cards!$B$2:$B$55,MATCH("C44",Cards!$A$2:$A$55,0))&amp;" (C44): Bring in outside eyes on this."</f>
        <v/>
      </c>
      <c r="N11" s="127">
        <f>INDEX(Cards!$B$2:$B$55,MATCH("C22",Cards!$A$2:$A$55,0))&amp;" (C22): I can neither confirm nor deny that."</f>
        <v/>
      </c>
    </row>
    <row r="12">
      <c r="A12" s="124" t="inlineStr">
        <is>
          <t>A11</t>
        </is>
      </c>
      <c r="B12" s="125" t="inlineStr">
        <is>
          <t>Would you live under this law yourself?</t>
        </is>
      </c>
      <c r="C12" s="126" t="inlineStr">
        <is>
          <t>Hypocrisy</t>
        </is>
      </c>
      <c r="D12" s="124" t="inlineStr">
        <is>
          <t>S</t>
        </is>
      </c>
      <c r="E12" s="124" t="inlineStr">
        <is>
          <t>S</t>
        </is>
      </c>
      <c r="F12" s="124" t="inlineStr">
        <is>
          <t>M</t>
        </is>
      </c>
      <c r="G12" s="124" t="inlineStr">
        <is>
          <t>M</t>
        </is>
      </c>
      <c r="H12" s="124" t="inlineStr">
        <is>
          <t>S</t>
        </is>
      </c>
      <c r="I12" s="124" t="inlineStr">
        <is>
          <t>M</t>
        </is>
      </c>
      <c r="J12" s="124">
        <f>COUNTIF(D12:I12,"S")</f>
        <v/>
      </c>
      <c r="K12" s="124">
        <f>LEN(TRIM(B12))-LEN(SUBSTITUTE(TRIM(B12)," ",""))+1</f>
        <v/>
      </c>
      <c r="L12" s="127">
        <f>INDEX(Cards!$B$2:$B$55,MATCH("C25",Cards!$A$2:$A$55,0))&amp;" (C25): My word is my bond."</f>
        <v/>
      </c>
      <c r="M12" s="127">
        <f>INDEX(Cards!$B$2:$B$55,MATCH("C06",Cards!$A$2:$A$55,0))&amp;" (C06): Think of your own mother, your own child."</f>
        <v/>
      </c>
      <c r="N12" s="127">
        <f>INDEX(Cards!$B$2:$B$55,MATCH("C18",Cards!$A$2:$A$55,0))&amp;" (C18): They stand for themselves. We stand for you."</f>
        <v/>
      </c>
    </row>
    <row r="13">
      <c r="A13" s="124" t="inlineStr">
        <is>
          <t>A12</t>
        </is>
      </c>
      <c r="B13" s="125" t="inlineStr">
        <is>
          <t>Who gets rich off this bill?</t>
        </is>
      </c>
      <c r="C13" s="126" t="inlineStr">
        <is>
          <t>Money</t>
        </is>
      </c>
      <c r="D13" s="124" t="inlineStr">
        <is>
          <t>M</t>
        </is>
      </c>
      <c r="E13" s="124" t="inlineStr">
        <is>
          <t>S</t>
        </is>
      </c>
      <c r="F13" s="124" t="inlineStr">
        <is>
          <t>M</t>
        </is>
      </c>
      <c r="G13" s="124" t="inlineStr">
        <is>
          <t>S</t>
        </is>
      </c>
      <c r="H13" s="124" t="inlineStr">
        <is>
          <t>S</t>
        </is>
      </c>
      <c r="I13" s="124" t="inlineStr">
        <is>
          <t>M</t>
        </is>
      </c>
      <c r="J13" s="124">
        <f>COUNTIF(D13:I13,"S")</f>
        <v/>
      </c>
      <c r="K13" s="124">
        <f>LEN(TRIM(B13))-LEN(SUBSTITUTE(TRIM(B13)," ",""))+1</f>
        <v/>
      </c>
      <c r="L13" s="127">
        <f>INDEX(Cards!$B$2:$B$55,MATCH("C40",Cards!$A$2:$A$55,0))&amp;" (C40): Who benefits most? Follow that thread."</f>
        <v/>
      </c>
      <c r="M13" s="127">
        <f>INDEX(Cards!$B$2:$B$55,MATCH("C18",Cards!$A$2:$A$55,0))&amp;" (C18): On one side, workers. On the other, them."</f>
        <v/>
      </c>
      <c r="N13" s="127">
        <f>INDEX(Cards!$B$2:$B$55,MATCH("C31",Cards!$A$2:$A$55,0))&amp;" (C31): This is an outrage, and you know it!"</f>
        <v/>
      </c>
    </row>
    <row r="14">
      <c r="A14" s="124" t="inlineStr">
        <is>
          <t>A13</t>
        </is>
      </c>
      <c r="B14" s="125" t="inlineStr">
        <is>
          <t>Are you lying to the public?</t>
        </is>
      </c>
      <c r="C14" s="126" t="inlineStr">
        <is>
          <t>Honesty</t>
        </is>
      </c>
      <c r="D14" s="124" t="inlineStr">
        <is>
          <t>S</t>
        </is>
      </c>
      <c r="E14" s="124" t="inlineStr">
        <is>
          <t>S</t>
        </is>
      </c>
      <c r="F14" s="124" t="inlineStr">
        <is>
          <t>W</t>
        </is>
      </c>
      <c r="G14" s="124" t="inlineStr">
        <is>
          <t>M</t>
        </is>
      </c>
      <c r="H14" s="124" t="inlineStr">
        <is>
          <t>S</t>
        </is>
      </c>
      <c r="I14" s="124" t="inlineStr">
        <is>
          <t>S</t>
        </is>
      </c>
      <c r="J14" s="124">
        <f>COUNTIF(D14:I14,"S")</f>
        <v/>
      </c>
      <c r="K14" s="124">
        <f>LEN(TRIM(B14))-LEN(SUBSTITUTE(TRIM(B14)," ",""))+1</f>
        <v/>
      </c>
      <c r="L14" s="127">
        <f>INDEX(Cards!$B$2:$B$55,MATCH("C02",Cards!$A$2:$A$55,0))&amp;" (C02): You deserve a straight reply."</f>
        <v/>
      </c>
      <c r="M14" s="127">
        <f>INDEX(Cards!$B$2:$B$55,MATCH("C31",Cards!$A$2:$A$55,0))&amp;" (C31): You should be ashamed of yourself!"</f>
        <v/>
      </c>
      <c r="N14" s="127">
        <f>INDEX(Cards!$B$2:$B$55,MATCH("C22",Cards!$A$2:$A$55,0))&amp;" (C22): I don't recall any such thing."</f>
        <v/>
      </c>
    </row>
    <row r="15">
      <c r="A15" s="124" t="inlineStr">
        <is>
          <t>A14</t>
        </is>
      </c>
      <c r="B15" s="125" t="inlineStr">
        <is>
          <t>Is anyone in your party loyal to you?</t>
        </is>
      </c>
      <c r="C15" s="126" t="inlineStr">
        <is>
          <t>Isolation</t>
        </is>
      </c>
      <c r="D15" s="124" t="inlineStr">
        <is>
          <t>M</t>
        </is>
      </c>
      <c r="E15" s="124" t="inlineStr">
        <is>
          <t>S</t>
        </is>
      </c>
      <c r="F15" s="124" t="inlineStr">
        <is>
          <t>S</t>
        </is>
      </c>
      <c r="G15" s="124" t="inlineStr">
        <is>
          <t>W</t>
        </is>
      </c>
      <c r="H15" s="124" t="inlineStr">
        <is>
          <t>S</t>
        </is>
      </c>
      <c r="I15" s="124" t="inlineStr">
        <is>
          <t>M</t>
        </is>
      </c>
      <c r="J15" s="124">
        <f>COUNTIF(D15:I15,"S")</f>
        <v/>
      </c>
      <c r="K15" s="124">
        <f>LEN(TRIM(B15))-LEN(SUBSTITUTE(TRIM(B15)," ",""))+1</f>
        <v/>
      </c>
      <c r="L15" s="127">
        <f>INDEX(Cards!$B$2:$B$55,MATCH("C35",Cards!$A$2:$A$55,0))&amp;" (C35): The party's position is settled. We stand together."</f>
        <v/>
      </c>
      <c r="M15" s="127">
        <f>INDEX(Cards!$B$2:$B$55,MATCH("C30",Cards!$A$2:$A$55,0))&amp;" (C30): Loyal hearts, one more push!"</f>
        <v/>
      </c>
      <c r="N15" s="127">
        <f>INDEX(Cards!$B$2:$B$55,MATCH("C20",Cards!$A$2:$A$55,0))&amp;" (C20): Prove whose side you're really on."</f>
        <v/>
      </c>
    </row>
    <row r="16">
      <c r="A16" s="124" t="inlineStr">
        <is>
          <t>A15</t>
        </is>
      </c>
      <c r="B16" s="125" t="inlineStr">
        <is>
          <t>Isn't this just about winning votes?</t>
        </is>
      </c>
      <c r="C16" s="126" t="inlineStr">
        <is>
          <t>Motive</t>
        </is>
      </c>
      <c r="D16" s="124" t="inlineStr">
        <is>
          <t>S</t>
        </is>
      </c>
      <c r="E16" s="124" t="inlineStr">
        <is>
          <t>S</t>
        </is>
      </c>
      <c r="F16" s="124" t="inlineStr">
        <is>
          <t>M</t>
        </is>
      </c>
      <c r="G16" s="124" t="inlineStr">
        <is>
          <t>M</t>
        </is>
      </c>
      <c r="H16" s="124" t="inlineStr">
        <is>
          <t>S</t>
        </is>
      </c>
      <c r="I16" s="124" t="inlineStr">
        <is>
          <t>M</t>
        </is>
      </c>
      <c r="J16" s="124">
        <f>COUNTIF(D16:I16,"S")</f>
        <v/>
      </c>
      <c r="K16" s="124">
        <f>LEN(TRIM(B16))-LEN(SUBSTITUTE(TRIM(B16)," ",""))+1</f>
        <v/>
      </c>
      <c r="L16" s="127">
        <f>INDEX(Cards!$B$2:$B$55,MATCH("C04",Cards!$A$2:$A$55,0))&amp;" (C04): I'm here to serve, not to climb."</f>
        <v/>
      </c>
      <c r="M16" s="127">
        <f>INDEX(Cards!$B$2:$B$55,MATCH("C05",Cards!$A$2:$A$55,0))&amp;" (C05): This is the fight that defines us!"</f>
        <v/>
      </c>
      <c r="N16" s="127">
        <f>INDEX(Cards!$B$2:$B$55,MATCH("C18",Cards!$A$2:$A$55,0))&amp;" (C18): You're either with the people or against them."</f>
        <v/>
      </c>
    </row>
    <row r="17">
      <c r="A17" s="124" t="inlineStr">
        <is>
          <t>A16</t>
        </is>
      </c>
      <c r="B17" s="125" t="inlineStr">
        <is>
          <t>Will you resign if this fails?</t>
        </is>
      </c>
      <c r="C17" s="126" t="inlineStr">
        <is>
          <t>Accountability</t>
        </is>
      </c>
      <c r="D17" s="124" t="inlineStr">
        <is>
          <t>S</t>
        </is>
      </c>
      <c r="E17" s="124" t="inlineStr">
        <is>
          <t>S</t>
        </is>
      </c>
      <c r="F17" s="124" t="inlineStr">
        <is>
          <t>M</t>
        </is>
      </c>
      <c r="G17" s="124" t="inlineStr">
        <is>
          <t>M</t>
        </is>
      </c>
      <c r="H17" s="124" t="inlineStr">
        <is>
          <t>W</t>
        </is>
      </c>
      <c r="I17" s="124" t="inlineStr">
        <is>
          <t>S</t>
        </is>
      </c>
      <c r="J17" s="124">
        <f>COUNTIF(D17:I17,"S")</f>
        <v/>
      </c>
      <c r="K17" s="124">
        <f>LEN(TRIM(B17))-LEN(SUBSTITUTE(TRIM(B17)," ",""))+1</f>
        <v/>
      </c>
      <c r="L17" s="127">
        <f>INDEX(Cards!$B$2:$B$55,MATCH("C33",Cards!$A$2:$A$55,0))&amp;" (C33): I will not yield. Full stop."</f>
        <v/>
      </c>
      <c r="M17" s="127">
        <f>INDEX(Cards!$B$2:$B$55,MATCH("C26",Cards!$A$2:$A$55,0))&amp;" (C26): No excuses. Accountability starts with me."</f>
        <v/>
      </c>
      <c r="N17" s="127">
        <f>INDEX(Cards!$B$2:$B$55,MATCH("C50",Cards!$A$2:$A$55,0))&amp;" (C50): That matter is under review."</f>
        <v/>
      </c>
    </row>
    <row r="18">
      <c r="A18" s="124" t="inlineStr">
        <is>
          <t>A17</t>
        </is>
      </c>
      <c r="B18" s="125" t="inlineStr">
        <is>
          <t>Yes or no: is this bill a failure?</t>
        </is>
      </c>
      <c r="C18" s="126" t="inlineStr">
        <is>
          <t>Verdict</t>
        </is>
      </c>
      <c r="D18" s="124" t="inlineStr">
        <is>
          <t>M</t>
        </is>
      </c>
      <c r="E18" s="124" t="inlineStr">
        <is>
          <t>S</t>
        </is>
      </c>
      <c r="F18" s="124" t="inlineStr">
        <is>
          <t>M</t>
        </is>
      </c>
      <c r="G18" s="124" t="inlineStr">
        <is>
          <t>S</t>
        </is>
      </c>
      <c r="H18" s="124" t="inlineStr">
        <is>
          <t>S</t>
        </is>
      </c>
      <c r="I18" s="124" t="inlineStr">
        <is>
          <t>S</t>
        </is>
      </c>
      <c r="J18" s="124">
        <f>COUNTIF(D18:I18,"S")</f>
        <v/>
      </c>
      <c r="K18" s="124">
        <f>LEN(TRIM(B18))-LEN(SUBSTITUTE(TRIM(B18)," ",""))+1</f>
        <v/>
      </c>
      <c r="L18" s="127">
        <f>INDEX(Cards!$B$2:$B$55,MATCH("C13",Cards!$A$2:$A$55,0))&amp;" (C13): The data tells a different story."</f>
        <v/>
      </c>
      <c r="M18" s="127">
        <f>INDEX(Cards!$B$2:$B$55,MATCH("C21",Cards!$A$2:$A$55,0))&amp;" (C21): There's truth on every side of this."</f>
        <v/>
      </c>
      <c r="N18" s="127">
        <f>INDEX(Cards!$B$2:$B$55,MATCH("C46",Cards!$A$2:$A$55,0))&amp;" (C46): Yes or no. There is no middle."</f>
        <v/>
      </c>
    </row>
    <row r="19">
      <c r="A19" s="124" t="inlineStr">
        <is>
          <t>A18</t>
        </is>
      </c>
      <c r="B19" s="125" t="inlineStr">
        <is>
          <t>What are you so afraid of?</t>
        </is>
      </c>
      <c r="C19" s="126" t="inlineStr">
        <is>
          <t>Fear</t>
        </is>
      </c>
      <c r="D19" s="124" t="inlineStr">
        <is>
          <t>S</t>
        </is>
      </c>
      <c r="E19" s="124" t="inlineStr">
        <is>
          <t>S</t>
        </is>
      </c>
      <c r="F19" s="124" t="inlineStr">
        <is>
          <t>M</t>
        </is>
      </c>
      <c r="G19" s="124" t="inlineStr">
        <is>
          <t>W</t>
        </is>
      </c>
      <c r="H19" s="124" t="inlineStr">
        <is>
          <t>S</t>
        </is>
      </c>
      <c r="I19" s="124" t="inlineStr">
        <is>
          <t>S</t>
        </is>
      </c>
      <c r="J19" s="124">
        <f>COUNTIF(D19:I19,"S")</f>
        <v/>
      </c>
      <c r="K19" s="124">
        <f>LEN(TRIM(B19))-LEN(SUBSTITUTE(TRIM(B19)," ",""))+1</f>
        <v/>
      </c>
      <c r="L19" s="127">
        <f>INDEX(Cards!$B$2:$B$55,MATCH("C32",Cards!$A$2:$A$55,0))&amp;" (C32): Go on, try to silence me."</f>
        <v/>
      </c>
      <c r="M19" s="127">
        <f>INDEX(Cards!$B$2:$B$55,MATCH("C02",Cards!$A$2:$A$55,0))&amp;" (C02): I won't dodge this one."</f>
        <v/>
      </c>
      <c r="N19" s="127">
        <f>INDEX(Cards!$B$2:$B$55,MATCH("C23",Cards!$A$2:$A$55,0))&amp;" (C23): That's a distraction from the actual issue."</f>
        <v/>
      </c>
    </row>
    <row r="20">
      <c r="A20" s="124" t="inlineStr">
        <is>
          <t>A19</t>
        </is>
      </c>
      <c r="B20" s="125" t="inlineStr">
        <is>
          <t>Can you look voters in the eye and defend this?</t>
        </is>
      </c>
      <c r="C20" s="126" t="inlineStr">
        <is>
          <t>Conviction</t>
        </is>
      </c>
      <c r="D20" s="124" t="inlineStr">
        <is>
          <t>S</t>
        </is>
      </c>
      <c r="E20" s="124" t="inlineStr">
        <is>
          <t>S</t>
        </is>
      </c>
      <c r="F20" s="124" t="inlineStr">
        <is>
          <t>M</t>
        </is>
      </c>
      <c r="G20" s="124" t="inlineStr">
        <is>
          <t>S</t>
        </is>
      </c>
      <c r="H20" s="124" t="inlineStr">
        <is>
          <t>M</t>
        </is>
      </c>
      <c r="I20" s="124" t="inlineStr">
        <is>
          <t>M</t>
        </is>
      </c>
      <c r="J20" s="124">
        <f>COUNTIF(D20:I20,"S")</f>
        <v/>
      </c>
      <c r="K20" s="124">
        <f>LEN(TRIM(B20))-LEN(SUBSTITUTE(TRIM(B20)," ",""))+1</f>
        <v/>
      </c>
      <c r="L20" s="127">
        <f>INDEX(Cards!$B$2:$B$55,MATCH("C02",Cards!$A$2:$A$55,0))&amp;" (C02): Let me answer you directly."</f>
        <v/>
      </c>
      <c r="M20" s="127">
        <f>INDEX(Cards!$B$2:$B$55,MATCH("C06",Cards!$A$2:$A$55,0))&amp;" (C06): I carry their faces with me."</f>
        <v/>
      </c>
      <c r="N20" s="127">
        <f>INDEX(Cards!$B$2:$B$55,MATCH("C13",Cards!$A$2:$A$55,0))&amp;" (C13): Facts don't care about talking points."</f>
        <v/>
      </c>
    </row>
    <row r="21">
      <c r="A21" s="124" t="inlineStr">
        <is>
          <t>A20</t>
        </is>
      </c>
      <c r="B21" s="125" t="inlineStr">
        <is>
          <t>Why should anyone take you seriously?</t>
        </is>
      </c>
      <c r="C21" s="126" t="inlineStr">
        <is>
          <t>Credibility</t>
        </is>
      </c>
      <c r="D21" s="124" t="inlineStr">
        <is>
          <t>S</t>
        </is>
      </c>
      <c r="E21" s="124" t="inlineStr">
        <is>
          <t>S</t>
        </is>
      </c>
      <c r="F21" s="124" t="inlineStr">
        <is>
          <t>M</t>
        </is>
      </c>
      <c r="G21" s="124" t="inlineStr">
        <is>
          <t>M</t>
        </is>
      </c>
      <c r="H21" s="124" t="inlineStr">
        <is>
          <t>S</t>
        </is>
      </c>
      <c r="I21" s="124" t="inlineStr">
        <is>
          <t>S</t>
        </is>
      </c>
      <c r="J21" s="124">
        <f>COUNTIF(D21:I21,"S")</f>
        <v/>
      </c>
      <c r="K21" s="124">
        <f>LEN(TRIM(B21))-LEN(SUBSTITUTE(TRIM(B21)," ",""))+1</f>
        <v/>
      </c>
      <c r="L21" s="127">
        <f>INDEX(Cards!$B$2:$B$55,MATCH("C01",Cards!$A$2:$A$55,0))&amp;" (C01): My record speaks louder than my speeches."</f>
        <v/>
      </c>
      <c r="M21" s="127">
        <f>INDEX(Cards!$B$2:$B$55,MATCH("C33",Cards!$A$2:$A$55,0))&amp;" (C33): Count me out at your peril."</f>
        <v/>
      </c>
      <c r="N21" s="127">
        <f>INDEX(Cards!$B$2:$B$55,MATCH("C17",Cards!$A$2:$A$55,0))&amp;" (C17): Typical out-of-touch elitist."</f>
        <v/>
      </c>
    </row>
    <row r="22">
      <c r="C22" s="81" t="inlineStr">
        <is>
          <t>Strong total</t>
        </is>
      </c>
      <c r="D22" s="128">
        <f>COUNTIF(D2:D21,"S")</f>
        <v/>
      </c>
      <c r="E22" s="128">
        <f>COUNTIF(E2:E21,"S")</f>
        <v/>
      </c>
      <c r="F22" s="128">
        <f>COUNTIF(F2:F21,"S")</f>
        <v/>
      </c>
      <c r="G22" s="128">
        <f>COUNTIF(G2:G21,"S")</f>
        <v/>
      </c>
      <c r="H22" s="128">
        <f>COUNTIF(H2:H21,"S")</f>
        <v/>
      </c>
      <c r="I22" s="128">
        <f>COUNTIF(I2:I21,"S")</f>
        <v/>
      </c>
    </row>
    <row r="24">
      <c r="B24" s="129" t="inlineStr">
        <is>
          <t>Stage: A journalist in a media ambush: loaded, accusatory, gotcha framing.</t>
        </is>
      </c>
    </row>
    <row r="25">
      <c r="B25" s="129" t="inlineStr">
        <is>
          <t>Fit key (writing check, not a game mechanic): S = at least one of that suit's cues reads as a natural answer · M = workable · W = awkward.</t>
        </is>
      </c>
    </row>
    <row r="26">
      <c r="B26" s="129" t="inlineStr">
        <is>
          <t>Rules: no time references, no assumed past events, no specific policy area. Each question stands alone. At least 2 S and at most 2 W per question.</t>
        </is>
      </c>
    </row>
    <row r="27">
      <c r="B27" s="129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" min="1" max="1"/>
    <col width="14" customWidth="1" style="43" min="2" max="2"/>
    <col width="26" customWidth="1" style="43" min="3" max="3"/>
    <col width="10" customWidth="1" style="43" min="4" max="4"/>
    <col width="46" customWidth="1" style="43" min="5" max="5"/>
    <col width="72" customWidth="1" style="43" min="6" max="6"/>
  </cols>
  <sheetData>
    <row r="1">
      <c r="A1" s="77" t="inlineStr">
        <is>
          <t>Theme</t>
        </is>
      </c>
      <c r="B1" s="77" t="inlineStr">
        <is>
          <t>Organisation</t>
        </is>
      </c>
      <c r="C1" s="77" t="inlineStr">
        <is>
          <t>Organisation name</t>
        </is>
      </c>
      <c r="D1" s="77" t="inlineStr">
        <is>
          <t>Questions</t>
        </is>
      </c>
      <c r="E1" s="77" t="inlineStr">
        <is>
          <t>Asked in</t>
        </is>
      </c>
      <c r="F1" s="77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t="inlineStr">
        <is>
          <t>lobbyist_meeting</t>
        </is>
      </c>
      <c r="F2" s="78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t="inlineStr">
        <is>
          <t>media_ambush, policy_study, press_conference</t>
        </is>
      </c>
      <c r="F3" s="78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t="inlineStr">
        <is>
          <t>lobbyist_meeting</t>
        </is>
      </c>
      <c r="F4" s="78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t="inlineStr">
        <is>
          <t>press_conference</t>
        </is>
      </c>
      <c r="F5" s="78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t="inlineStr">
        <is>
          <t>policy_study</t>
        </is>
      </c>
      <c r="F6" s="78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t="inlineStr">
        <is>
          <t>town_hall</t>
        </is>
      </c>
      <c r="F7" s="78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t="inlineStr">
        <is>
          <t>press_conference, town_hall</t>
        </is>
      </c>
      <c r="F8" s="78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t="inlineStr">
        <is>
          <t>media_ambush</t>
        </is>
      </c>
      <c r="F9" s="78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t="inlineStr">
        <is>
          <t>lobbyist_meeting</t>
        </is>
      </c>
      <c r="F10" s="78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t="inlineStr">
        <is>
          <t>lobbyist_meeting</t>
        </is>
      </c>
      <c r="F11" s="78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t="inlineStr">
        <is>
          <t>press_conference</t>
        </is>
      </c>
      <c r="F12" s="78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t="inlineStr">
        <is>
          <t>policy_study</t>
        </is>
      </c>
      <c r="F13" s="78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t="inlineStr">
        <is>
          <t>media_ambush</t>
        </is>
      </c>
      <c r="F14" s="78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t="inlineStr">
        <is>
          <t>press_conference</t>
        </is>
      </c>
      <c r="F15" s="78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t="inlineStr">
        <is>
          <t>policy_study</t>
        </is>
      </c>
      <c r="F16" s="78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t="inlineStr">
        <is>
          <t>policy_study, press_conference, town_hall</t>
        </is>
      </c>
      <c r="F17" s="78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t="inlineStr">
        <is>
          <t>media_ambush</t>
        </is>
      </c>
      <c r="F18" s="78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t="inlineStr">
        <is>
          <t>press_conference</t>
        </is>
      </c>
      <c r="F19" s="78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t="inlineStr">
        <is>
          <t>media_ambush</t>
        </is>
      </c>
      <c r="F20" s="78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t="inlineStr">
        <is>
          <t>policy_study</t>
        </is>
      </c>
      <c r="F21" s="78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t="inlineStr">
        <is>
          <t>press_conference</t>
        </is>
      </c>
      <c r="F22" s="78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t="inlineStr">
        <is>
          <t>lobbyist_meeting</t>
        </is>
      </c>
      <c r="F23" s="78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t="inlineStr">
        <is>
          <t>policy_study</t>
        </is>
      </c>
      <c r="F24" s="78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t="inlineStr">
        <is>
          <t>media_ambush</t>
        </is>
      </c>
      <c r="F25" s="78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t="inlineStr">
        <is>
          <t>policy_study, press_conference</t>
        </is>
      </c>
      <c r="F26" s="78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t="inlineStr">
        <is>
          <t>media_ambush</t>
        </is>
      </c>
      <c r="F27" s="78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t="inlineStr">
        <is>
          <t>policy_study</t>
        </is>
      </c>
      <c r="F28" s="78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t="inlineStr">
        <is>
          <t>lobbyist_meeting, policy_study</t>
        </is>
      </c>
      <c r="F29" s="78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t="inlineStr">
        <is>
          <t>town_hall</t>
        </is>
      </c>
      <c r="F30" s="78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t="inlineStr">
        <is>
          <t>media_ambush</t>
        </is>
      </c>
      <c r="F31" s="78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t="inlineStr">
        <is>
          <t>media_ambush</t>
        </is>
      </c>
      <c r="F32" s="78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t="inlineStr">
        <is>
          <t>lobbyist_meeting, policy_study, press_conference, town_hall</t>
        </is>
      </c>
      <c r="F33" s="78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t="inlineStr">
        <is>
          <t>policy_study</t>
        </is>
      </c>
      <c r="F34" s="78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t="inlineStr">
        <is>
          <t>lobbyist_meeting</t>
        </is>
      </c>
      <c r="F35" s="78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t="inlineStr">
        <is>
          <t>lobbyist_meeting, media_ambush, press_conference, town_hall</t>
        </is>
      </c>
      <c r="F36" s="78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t="inlineStr">
        <is>
          <t>media_ambush</t>
        </is>
      </c>
      <c r="F37" s="78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t="inlineStr">
        <is>
          <t>policy_study</t>
        </is>
      </c>
      <c r="F38" s="78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t="inlineStr">
        <is>
          <t>lobbyist_meeting</t>
        </is>
      </c>
      <c r="F39" s="78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t="inlineStr">
        <is>
          <t>lobbyist_meeting</t>
        </is>
      </c>
      <c r="F40" s="78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t="inlineStr">
        <is>
          <t>town_hall</t>
        </is>
      </c>
      <c r="F41" s="78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t="inlineStr">
        <is>
          <t>town_hall</t>
        </is>
      </c>
      <c r="F42" s="78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t="inlineStr">
        <is>
          <t>policy_study</t>
        </is>
      </c>
      <c r="F43" s="78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t="inlineStr">
        <is>
          <t>media_ambush</t>
        </is>
      </c>
      <c r="F44" s="78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t="inlineStr">
        <is>
          <t>media_ambush, press_conference, town_hall</t>
        </is>
      </c>
      <c r="F45" s="78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t="inlineStr">
        <is>
          <t>town_hall</t>
        </is>
      </c>
      <c r="F46" s="78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t="inlineStr">
        <is>
          <t>town_hall</t>
        </is>
      </c>
      <c r="F47" s="78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t="inlineStr">
        <is>
          <t>policy_study</t>
        </is>
      </c>
      <c r="F48" s="78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t="inlineStr">
        <is>
          <t>town_hall</t>
        </is>
      </c>
      <c r="F49" s="78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t="inlineStr">
        <is>
          <t>lobbyist_meeting</t>
        </is>
      </c>
      <c r="F50" s="78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t="inlineStr">
        <is>
          <t>press_conference</t>
        </is>
      </c>
      <c r="F51" s="78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t="inlineStr">
        <is>
          <t>lobbyist_meeting</t>
        </is>
      </c>
      <c r="F52" s="78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t="inlineStr">
        <is>
          <t>press_conference</t>
        </is>
      </c>
      <c r="F53" s="78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t="inlineStr">
        <is>
          <t>policy_study</t>
        </is>
      </c>
      <c r="F54" s="78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t="inlineStr">
        <is>
          <t>lobbyist_meeting, town_hall</t>
        </is>
      </c>
      <c r="F55" s="78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t="inlineStr">
        <is>
          <t>policy_study</t>
        </is>
      </c>
      <c r="F56" s="78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t="inlineStr">
        <is>
          <t>policy_study</t>
        </is>
      </c>
      <c r="F57" s="78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t="inlineStr">
        <is>
          <t>media_ambush</t>
        </is>
      </c>
      <c r="F58" s="78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t="inlineStr">
        <is>
          <t>press_conference</t>
        </is>
      </c>
      <c r="F59" s="78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t="inlineStr">
        <is>
          <t>lobbyist_meeting, media_ambush</t>
        </is>
      </c>
      <c r="F60" s="78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t="inlineStr">
        <is>
          <t>lobbyist_meeting</t>
        </is>
      </c>
      <c r="F61" s="78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t="inlineStr">
        <is>
          <t>policy_study</t>
        </is>
      </c>
      <c r="F62" s="78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t="inlineStr">
        <is>
          <t>town_hall</t>
        </is>
      </c>
      <c r="F63" s="78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t="inlineStr">
        <is>
          <t>lobbyist_meeting, policy_study</t>
        </is>
      </c>
      <c r="F64" s="78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t="inlineStr">
        <is>
          <t>press_conference</t>
        </is>
      </c>
      <c r="F65" s="78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t="inlineStr">
        <is>
          <t>press_conference, town_hall</t>
        </is>
      </c>
      <c r="F66" s="78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t="inlineStr">
        <is>
          <t>press_conference</t>
        </is>
      </c>
      <c r="F67" s="78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t="inlineStr">
        <is>
          <t>media_ambush</t>
        </is>
      </c>
      <c r="F68" s="78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t="inlineStr">
        <is>
          <t>press_conference</t>
        </is>
      </c>
      <c r="F69" s="78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t="inlineStr">
        <is>
          <t>town_hall</t>
        </is>
      </c>
      <c r="F70" s="78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2026-09-21T20:03:29Z</dcterms:modified>
  <cp:revision>0</cp:revision>
</cp:coreProperties>
</file>