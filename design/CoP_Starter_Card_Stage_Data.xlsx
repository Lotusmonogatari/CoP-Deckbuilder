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fc7dc517480176be/Desktop/CoP Deckbuilder Game/"/>
    </mc:Choice>
  </mc:AlternateContent>
  <xr:revisionPtr revIDLastSave="77" documentId="13_ncr:1_{4B30D2D1-3CB5-4BFB-81EB-8AF1E64C0799}" xr6:coauthVersionLast="47" xr6:coauthVersionMax="47" xr10:uidLastSave="{A892169E-FCD9-4AA3-A9E1-513E2DF5EE6F}"/>
  <bookViews>
    <workbookView xWindow="28680" yWindow="-120" windowWidth="29040" windowHeight="15720" tabRatio="666" firstSheet="8" activeTab="14" xr2:uid="{00000000-000D-0000-FFFF-FFFF00000000}"/>
  </bookViews>
  <sheets>
    <sheet name="README" sheetId="1" r:id="rId1"/>
    <sheet name="Balance" sheetId="2" r:id="rId2"/>
    <sheet name="Suits" sheetId="3" r:id="rId3"/>
    <sheet name="Stages" sheetId="4" r:id="rId4"/>
    <sheet name="Levels" sheetId="5" r:id="rId5"/>
    <sheet name="Affinity" sheetId="6" r:id="rId6"/>
    <sheet name="Cards" sheetId="7" r:id="rId7"/>
    <sheet name="Segments" sheetId="8" r:id="rId8"/>
    <sheet name="Modifiers" sheetId="9" r:id="rId9"/>
    <sheet name="Boosters" sheetId="10" r:id="rId10"/>
    <sheet name="Shop" sheetId="23" r:id="rId11"/>
    <sheet name="Staff" sheetId="11" r:id="rId12"/>
    <sheet name="Opponents" sheetId="12" r:id="rId13"/>
    <sheet name="Sanban" sheetId="13" r:id="rId14"/>
    <sheet name="Text" sheetId="14" r:id="rId15"/>
    <sheet name="Flavor Text" sheetId="15" r:id="rId16"/>
    <sheet name="Tone Guide" sheetId="16" r:id="rId17"/>
    <sheet name="Press Questions" sheetId="17" r:id="rId18"/>
    <sheet name="Town Hall Questions" sheetId="18" r:id="rId19"/>
    <sheet name="Lobbyist Questions" sheetId="19" r:id="rId20"/>
    <sheet name="Study Session Questions" sheetId="20" r:id="rId21"/>
    <sheet name="Media Ambush Questions" sheetId="21" r:id="rId22"/>
    <sheet name="Question Themes" sheetId="22" r:id="rId23"/>
    <sheet name="Visitors" sheetId="24" r:id="rId28"/>
    <sheet name="Visitor Questions" sheetId="25" r:id="rId29"/>
  </sheets>
  <definedNames>
    <definedName name="_xlnm._FilterDatabase" localSheetId="6" hidden="1">Cards!$A$1:$S$55</definedName>
    <definedName name="_xlnm._FilterDatabase" localSheetId="12" hidden="1">Opponents!$A$1:$T$1000</definedName>
  </definedName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" i="21" l="1"/>
  <c r="H22" i="21"/>
  <c r="G22" i="21"/>
  <c r="F22" i="21"/>
  <c r="E22" i="21"/>
  <c r="D22" i="21"/>
  <c r="N21" i="21"/>
  <c r="M21" i="21"/>
  <c r="L21" i="21"/>
  <c r="K21" i="21"/>
  <c r="J21" i="21"/>
  <c r="N20" i="21"/>
  <c r="M20" i="21"/>
  <c r="L20" i="21"/>
  <c r="K20" i="21"/>
  <c r="J20" i="21"/>
  <c r="N19" i="21"/>
  <c r="M19" i="21"/>
  <c r="L19" i="21"/>
  <c r="K19" i="21"/>
  <c r="J19" i="21"/>
  <c r="N18" i="21"/>
  <c r="M18" i="21"/>
  <c r="L18" i="21"/>
  <c r="K18" i="21"/>
  <c r="J18" i="21"/>
  <c r="N17" i="21"/>
  <c r="M17" i="21"/>
  <c r="L17" i="21"/>
  <c r="K17" i="21"/>
  <c r="J17" i="21"/>
  <c r="N16" i="21"/>
  <c r="M16" i="21"/>
  <c r="L16" i="21"/>
  <c r="K16" i="21"/>
  <c r="J16" i="21"/>
  <c r="N15" i="21"/>
  <c r="M15" i="21"/>
  <c r="L15" i="21"/>
  <c r="K15" i="21"/>
  <c r="J15" i="21"/>
  <c r="N14" i="21"/>
  <c r="M14" i="21"/>
  <c r="L14" i="21"/>
  <c r="K14" i="21"/>
  <c r="J14" i="21"/>
  <c r="N13" i="21"/>
  <c r="M13" i="21"/>
  <c r="L13" i="21"/>
  <c r="K13" i="21"/>
  <c r="J13" i="21"/>
  <c r="N12" i="21"/>
  <c r="M12" i="21"/>
  <c r="L12" i="21"/>
  <c r="K12" i="21"/>
  <c r="J12" i="21"/>
  <c r="N11" i="21"/>
  <c r="M11" i="21"/>
  <c r="L11" i="21"/>
  <c r="K11" i="21"/>
  <c r="J11" i="21"/>
  <c r="N10" i="21"/>
  <c r="M10" i="21"/>
  <c r="L10" i="21"/>
  <c r="K10" i="21"/>
  <c r="J10" i="21"/>
  <c r="N9" i="21"/>
  <c r="M9" i="21"/>
  <c r="L9" i="21"/>
  <c r="K9" i="21"/>
  <c r="J9" i="21"/>
  <c r="N8" i="21"/>
  <c r="M8" i="21"/>
  <c r="L8" i="21"/>
  <c r="K8" i="21"/>
  <c r="J8" i="21"/>
  <c r="N7" i="21"/>
  <c r="M7" i="21"/>
  <c r="L7" i="21"/>
  <c r="K7" i="21"/>
  <c r="J7" i="21"/>
  <c r="N6" i="21"/>
  <c r="M6" i="21"/>
  <c r="L6" i="21"/>
  <c r="K6" i="21"/>
  <c r="J6" i="21"/>
  <c r="N5" i="21"/>
  <c r="M5" i="21"/>
  <c r="L5" i="21"/>
  <c r="K5" i="21"/>
  <c r="J5" i="21"/>
  <c r="N4" i="21"/>
  <c r="M4" i="21"/>
  <c r="L4" i="21"/>
  <c r="K4" i="21"/>
  <c r="J4" i="21"/>
  <c r="N3" i="21"/>
  <c r="M3" i="21"/>
  <c r="L3" i="21"/>
  <c r="K3" i="21"/>
  <c r="J3" i="21"/>
  <c r="N2" i="21"/>
  <c r="M2" i="21"/>
  <c r="L2" i="21"/>
  <c r="K2" i="21"/>
  <c r="J2" i="21"/>
  <c r="I22" i="20"/>
  <c r="H22" i="20"/>
  <c r="G22" i="20"/>
  <c r="F22" i="20"/>
  <c r="E22" i="20"/>
  <c r="D22" i="20"/>
  <c r="N21" i="20"/>
  <c r="M21" i="20"/>
  <c r="L21" i="20"/>
  <c r="K21" i="20"/>
  <c r="J21" i="20"/>
  <c r="N20" i="20"/>
  <c r="M20" i="20"/>
  <c r="L20" i="20"/>
  <c r="K20" i="20"/>
  <c r="J20" i="20"/>
  <c r="N19" i="20"/>
  <c r="M19" i="20"/>
  <c r="L19" i="20"/>
  <c r="K19" i="20"/>
  <c r="J19" i="20"/>
  <c r="N18" i="20"/>
  <c r="M18" i="20"/>
  <c r="L18" i="20"/>
  <c r="K18" i="20"/>
  <c r="J18" i="20"/>
  <c r="N17" i="20"/>
  <c r="M17" i="20"/>
  <c r="L17" i="20"/>
  <c r="K17" i="20"/>
  <c r="J17" i="20"/>
  <c r="N16" i="20"/>
  <c r="M16" i="20"/>
  <c r="L16" i="20"/>
  <c r="K16" i="20"/>
  <c r="J16" i="20"/>
  <c r="N15" i="20"/>
  <c r="M15" i="20"/>
  <c r="L15" i="20"/>
  <c r="K15" i="20"/>
  <c r="J15" i="20"/>
  <c r="N14" i="20"/>
  <c r="M14" i="20"/>
  <c r="L14" i="20"/>
  <c r="K14" i="20"/>
  <c r="J14" i="20"/>
  <c r="N13" i="20"/>
  <c r="M13" i="20"/>
  <c r="L13" i="20"/>
  <c r="K13" i="20"/>
  <c r="J13" i="20"/>
  <c r="N12" i="20"/>
  <c r="M12" i="20"/>
  <c r="L12" i="20"/>
  <c r="K12" i="20"/>
  <c r="J12" i="20"/>
  <c r="N11" i="20"/>
  <c r="M11" i="20"/>
  <c r="L11" i="20"/>
  <c r="K11" i="20"/>
  <c r="J11" i="20"/>
  <c r="N10" i="20"/>
  <c r="M10" i="20"/>
  <c r="L10" i="20"/>
  <c r="K10" i="20"/>
  <c r="J10" i="20"/>
  <c r="N9" i="20"/>
  <c r="M9" i="20"/>
  <c r="L9" i="20"/>
  <c r="K9" i="20"/>
  <c r="J9" i="20"/>
  <c r="N8" i="20"/>
  <c r="M8" i="20"/>
  <c r="L8" i="20"/>
  <c r="K8" i="20"/>
  <c r="J8" i="20"/>
  <c r="N7" i="20"/>
  <c r="M7" i="20"/>
  <c r="L7" i="20"/>
  <c r="K7" i="20"/>
  <c r="J7" i="20"/>
  <c r="N6" i="20"/>
  <c r="M6" i="20"/>
  <c r="L6" i="20"/>
  <c r="K6" i="20"/>
  <c r="J6" i="20"/>
  <c r="N5" i="20"/>
  <c r="M5" i="20"/>
  <c r="L5" i="20"/>
  <c r="K5" i="20"/>
  <c r="J5" i="20"/>
  <c r="N4" i="20"/>
  <c r="M4" i="20"/>
  <c r="L4" i="20"/>
  <c r="K4" i="20"/>
  <c r="J4" i="20"/>
  <c r="N3" i="20"/>
  <c r="M3" i="20"/>
  <c r="L3" i="20"/>
  <c r="K3" i="20"/>
  <c r="J3" i="20"/>
  <c r="N2" i="20"/>
  <c r="M2" i="20"/>
  <c r="L2" i="20"/>
  <c r="K2" i="20"/>
  <c r="J2" i="20"/>
  <c r="I22" i="19"/>
  <c r="H22" i="19"/>
  <c r="G22" i="19"/>
  <c r="F22" i="19"/>
  <c r="E22" i="19"/>
  <c r="D22" i="19"/>
  <c r="N21" i="19"/>
  <c r="M21" i="19"/>
  <c r="L21" i="19"/>
  <c r="K21" i="19"/>
  <c r="J21" i="19"/>
  <c r="N20" i="19"/>
  <c r="M20" i="19"/>
  <c r="L20" i="19"/>
  <c r="K20" i="19"/>
  <c r="J20" i="19"/>
  <c r="N19" i="19"/>
  <c r="M19" i="19"/>
  <c r="L19" i="19"/>
  <c r="K19" i="19"/>
  <c r="J19" i="19"/>
  <c r="N18" i="19"/>
  <c r="M18" i="19"/>
  <c r="L18" i="19"/>
  <c r="K18" i="19"/>
  <c r="J18" i="19"/>
  <c r="N17" i="19"/>
  <c r="M17" i="19"/>
  <c r="L17" i="19"/>
  <c r="K17" i="19"/>
  <c r="J17" i="19"/>
  <c r="N16" i="19"/>
  <c r="M16" i="19"/>
  <c r="L16" i="19"/>
  <c r="K16" i="19"/>
  <c r="J16" i="19"/>
  <c r="N15" i="19"/>
  <c r="M15" i="19"/>
  <c r="L15" i="19"/>
  <c r="K15" i="19"/>
  <c r="J15" i="19"/>
  <c r="N14" i="19"/>
  <c r="M14" i="19"/>
  <c r="L14" i="19"/>
  <c r="K14" i="19"/>
  <c r="J14" i="19"/>
  <c r="N13" i="19"/>
  <c r="M13" i="19"/>
  <c r="L13" i="19"/>
  <c r="K13" i="19"/>
  <c r="J13" i="19"/>
  <c r="N12" i="19"/>
  <c r="M12" i="19"/>
  <c r="L12" i="19"/>
  <c r="K12" i="19"/>
  <c r="J12" i="19"/>
  <c r="N11" i="19"/>
  <c r="M11" i="19"/>
  <c r="L11" i="19"/>
  <c r="K11" i="19"/>
  <c r="J11" i="19"/>
  <c r="N10" i="19"/>
  <c r="M10" i="19"/>
  <c r="L10" i="19"/>
  <c r="K10" i="19"/>
  <c r="J10" i="19"/>
  <c r="N9" i="19"/>
  <c r="M9" i="19"/>
  <c r="L9" i="19"/>
  <c r="K9" i="19"/>
  <c r="J9" i="19"/>
  <c r="N8" i="19"/>
  <c r="M8" i="19"/>
  <c r="L8" i="19"/>
  <c r="K8" i="19"/>
  <c r="J8" i="19"/>
  <c r="N7" i="19"/>
  <c r="M7" i="19"/>
  <c r="L7" i="19"/>
  <c r="K7" i="19"/>
  <c r="J7" i="19"/>
  <c r="N6" i="19"/>
  <c r="M6" i="19"/>
  <c r="L6" i="19"/>
  <c r="K6" i="19"/>
  <c r="J6" i="19"/>
  <c r="N5" i="19"/>
  <c r="M5" i="19"/>
  <c r="L5" i="19"/>
  <c r="K5" i="19"/>
  <c r="J5" i="19"/>
  <c r="N4" i="19"/>
  <c r="M4" i="19"/>
  <c r="L4" i="19"/>
  <c r="K4" i="19"/>
  <c r="J4" i="19"/>
  <c r="N3" i="19"/>
  <c r="M3" i="19"/>
  <c r="L3" i="19"/>
  <c r="K3" i="19"/>
  <c r="J3" i="19"/>
  <c r="N2" i="19"/>
  <c r="M2" i="19"/>
  <c r="L2" i="19"/>
  <c r="K2" i="19"/>
  <c r="J2" i="19"/>
  <c r="I22" i="18"/>
  <c r="H22" i="18"/>
  <c r="G22" i="18"/>
  <c r="F22" i="18"/>
  <c r="E22" i="18"/>
  <c r="D22" i="18"/>
  <c r="N21" i="18"/>
  <c r="M21" i="18"/>
  <c r="L21" i="18"/>
  <c r="K21" i="18"/>
  <c r="J21" i="18"/>
  <c r="N20" i="18"/>
  <c r="M20" i="18"/>
  <c r="L20" i="18"/>
  <c r="K20" i="18"/>
  <c r="J20" i="18"/>
  <c r="N19" i="18"/>
  <c r="M19" i="18"/>
  <c r="L19" i="18"/>
  <c r="K19" i="18"/>
  <c r="J19" i="18"/>
  <c r="N18" i="18"/>
  <c r="M18" i="18"/>
  <c r="L18" i="18"/>
  <c r="K18" i="18"/>
  <c r="J18" i="18"/>
  <c r="N17" i="18"/>
  <c r="M17" i="18"/>
  <c r="L17" i="18"/>
  <c r="K17" i="18"/>
  <c r="J17" i="18"/>
  <c r="N16" i="18"/>
  <c r="M16" i="18"/>
  <c r="L16" i="18"/>
  <c r="K16" i="18"/>
  <c r="J16" i="18"/>
  <c r="N15" i="18"/>
  <c r="M15" i="18"/>
  <c r="L15" i="18"/>
  <c r="K15" i="18"/>
  <c r="J15" i="18"/>
  <c r="N14" i="18"/>
  <c r="M14" i="18"/>
  <c r="L14" i="18"/>
  <c r="K14" i="18"/>
  <c r="J14" i="18"/>
  <c r="N13" i="18"/>
  <c r="M13" i="18"/>
  <c r="L13" i="18"/>
  <c r="K13" i="18"/>
  <c r="J13" i="18"/>
  <c r="N12" i="18"/>
  <c r="M12" i="18"/>
  <c r="L12" i="18"/>
  <c r="K12" i="18"/>
  <c r="J12" i="18"/>
  <c r="N11" i="18"/>
  <c r="M11" i="18"/>
  <c r="L11" i="18"/>
  <c r="K11" i="18"/>
  <c r="J11" i="18"/>
  <c r="N10" i="18"/>
  <c r="M10" i="18"/>
  <c r="L10" i="18"/>
  <c r="K10" i="18"/>
  <c r="J10" i="18"/>
  <c r="N9" i="18"/>
  <c r="M9" i="18"/>
  <c r="L9" i="18"/>
  <c r="K9" i="18"/>
  <c r="J9" i="18"/>
  <c r="N8" i="18"/>
  <c r="M8" i="18"/>
  <c r="L8" i="18"/>
  <c r="K8" i="18"/>
  <c r="J8" i="18"/>
  <c r="N7" i="18"/>
  <c r="M7" i="18"/>
  <c r="L7" i="18"/>
  <c r="K7" i="18"/>
  <c r="J7" i="18"/>
  <c r="N6" i="18"/>
  <c r="M6" i="18"/>
  <c r="L6" i="18"/>
  <c r="K6" i="18"/>
  <c r="J6" i="18"/>
  <c r="N5" i="18"/>
  <c r="M5" i="18"/>
  <c r="L5" i="18"/>
  <c r="K5" i="18"/>
  <c r="J5" i="18"/>
  <c r="N4" i="18"/>
  <c r="M4" i="18"/>
  <c r="L4" i="18"/>
  <c r="K4" i="18"/>
  <c r="J4" i="18"/>
  <c r="N3" i="18"/>
  <c r="M3" i="18"/>
  <c r="L3" i="18"/>
  <c r="K3" i="18"/>
  <c r="J3" i="18"/>
  <c r="N2" i="18"/>
  <c r="M2" i="18"/>
  <c r="L2" i="18"/>
  <c r="K2" i="18"/>
  <c r="J2" i="18"/>
  <c r="I22" i="17"/>
  <c r="H22" i="17"/>
  <c r="G22" i="17"/>
  <c r="F22" i="17"/>
  <c r="E22" i="17"/>
  <c r="D22" i="17"/>
  <c r="N21" i="17"/>
  <c r="M21" i="17"/>
  <c r="L21" i="17"/>
  <c r="K21" i="17"/>
  <c r="J21" i="17"/>
  <c r="N20" i="17"/>
  <c r="M20" i="17"/>
  <c r="L20" i="17"/>
  <c r="K20" i="17"/>
  <c r="J20" i="17"/>
  <c r="N19" i="17"/>
  <c r="M19" i="17"/>
  <c r="L19" i="17"/>
  <c r="K19" i="17"/>
  <c r="J19" i="17"/>
  <c r="N18" i="17"/>
  <c r="M18" i="17"/>
  <c r="L18" i="17"/>
  <c r="K18" i="17"/>
  <c r="J18" i="17"/>
  <c r="N17" i="17"/>
  <c r="M17" i="17"/>
  <c r="L17" i="17"/>
  <c r="K17" i="17"/>
  <c r="J17" i="17"/>
  <c r="N16" i="17"/>
  <c r="M16" i="17"/>
  <c r="L16" i="17"/>
  <c r="K16" i="17"/>
  <c r="J16" i="17"/>
  <c r="N15" i="17"/>
  <c r="M15" i="17"/>
  <c r="L15" i="17"/>
  <c r="K15" i="17"/>
  <c r="J15" i="17"/>
  <c r="N14" i="17"/>
  <c r="M14" i="17"/>
  <c r="L14" i="17"/>
  <c r="K14" i="17"/>
  <c r="J14" i="17"/>
  <c r="N13" i="17"/>
  <c r="M13" i="17"/>
  <c r="L13" i="17"/>
  <c r="K13" i="17"/>
  <c r="J13" i="17"/>
  <c r="N12" i="17"/>
  <c r="M12" i="17"/>
  <c r="L12" i="17"/>
  <c r="K12" i="17"/>
  <c r="J12" i="17"/>
  <c r="N11" i="17"/>
  <c r="M11" i="17"/>
  <c r="L11" i="17"/>
  <c r="K11" i="17"/>
  <c r="J11" i="17"/>
  <c r="N10" i="17"/>
  <c r="M10" i="17"/>
  <c r="L10" i="17"/>
  <c r="K10" i="17"/>
  <c r="J10" i="17"/>
  <c r="N9" i="17"/>
  <c r="M9" i="17"/>
  <c r="L9" i="17"/>
  <c r="K9" i="17"/>
  <c r="J9" i="17"/>
  <c r="N8" i="17"/>
  <c r="M8" i="17"/>
  <c r="L8" i="17"/>
  <c r="K8" i="17"/>
  <c r="J8" i="17"/>
  <c r="N7" i="17"/>
  <c r="M7" i="17"/>
  <c r="L7" i="17"/>
  <c r="K7" i="17"/>
  <c r="J7" i="17"/>
  <c r="N6" i="17"/>
  <c r="M6" i="17"/>
  <c r="L6" i="17"/>
  <c r="K6" i="17"/>
  <c r="J6" i="17"/>
  <c r="N5" i="17"/>
  <c r="M5" i="17"/>
  <c r="L5" i="17"/>
  <c r="K5" i="17"/>
  <c r="J5" i="17"/>
  <c r="N4" i="17"/>
  <c r="M4" i="17"/>
  <c r="L4" i="17"/>
  <c r="K4" i="17"/>
  <c r="J4" i="17"/>
  <c r="N3" i="17"/>
  <c r="M3" i="17"/>
  <c r="L3" i="17"/>
  <c r="K3" i="17"/>
  <c r="J3" i="17"/>
  <c r="N2" i="17"/>
  <c r="M2" i="17"/>
  <c r="L2" i="17"/>
  <c r="K2" i="17"/>
  <c r="J2" i="17"/>
  <c r="M55" i="15"/>
  <c r="L55" i="15"/>
  <c r="K55" i="15"/>
  <c r="J55" i="15"/>
  <c r="I55" i="15"/>
  <c r="N55" i="15"/>
  <c r="M54" i="15"/>
  <c r="L54" i="15"/>
  <c r="K54" i="15"/>
  <c r="J54" i="15"/>
  <c r="I54" i="15"/>
  <c r="N54" i="15"/>
  <c r="M53" i="15"/>
  <c r="L53" i="15"/>
  <c r="K53" i="15"/>
  <c r="J53" i="15"/>
  <c r="I53" i="15"/>
  <c r="N53" i="15"/>
  <c r="M52" i="15"/>
  <c r="L52" i="15"/>
  <c r="K52" i="15"/>
  <c r="J52" i="15"/>
  <c r="I52" i="15"/>
  <c r="N52" i="15"/>
  <c r="M51" i="15"/>
  <c r="L51" i="15"/>
  <c r="K51" i="15"/>
  <c r="J51" i="15"/>
  <c r="I51" i="15"/>
  <c r="N51" i="15"/>
  <c r="M50" i="15"/>
  <c r="L50" i="15"/>
  <c r="K50" i="15"/>
  <c r="J50" i="15"/>
  <c r="I50" i="15"/>
  <c r="N50" i="15"/>
  <c r="M49" i="15"/>
  <c r="L49" i="15"/>
  <c r="K49" i="15"/>
  <c r="J49" i="15"/>
  <c r="I49" i="15"/>
  <c r="N49" i="15"/>
  <c r="M48" i="15"/>
  <c r="L48" i="15"/>
  <c r="K48" i="15"/>
  <c r="J48" i="15"/>
  <c r="I48" i="15"/>
  <c r="N48" i="15"/>
  <c r="M47" i="15"/>
  <c r="L47" i="15"/>
  <c r="K47" i="15"/>
  <c r="J47" i="15"/>
  <c r="I47" i="15"/>
  <c r="N47" i="15"/>
  <c r="M46" i="15"/>
  <c r="L46" i="15"/>
  <c r="K46" i="15"/>
  <c r="J46" i="15"/>
  <c r="I46" i="15"/>
  <c r="N46" i="15"/>
  <c r="M45" i="15"/>
  <c r="L45" i="15"/>
  <c r="K45" i="15"/>
  <c r="J45" i="15"/>
  <c r="I45" i="15"/>
  <c r="N45" i="15"/>
  <c r="M44" i="15"/>
  <c r="L44" i="15"/>
  <c r="K44" i="15"/>
  <c r="J44" i="15"/>
  <c r="I44" i="15"/>
  <c r="N44" i="15"/>
  <c r="M43" i="15"/>
  <c r="L43" i="15"/>
  <c r="K43" i="15"/>
  <c r="J43" i="15"/>
  <c r="I43" i="15"/>
  <c r="N43" i="15"/>
  <c r="M42" i="15"/>
  <c r="L42" i="15"/>
  <c r="K42" i="15"/>
  <c r="J42" i="15"/>
  <c r="I42" i="15"/>
  <c r="N42" i="15"/>
  <c r="M41" i="15"/>
  <c r="L41" i="15"/>
  <c r="K41" i="15"/>
  <c r="J41" i="15"/>
  <c r="I41" i="15"/>
  <c r="N41" i="15"/>
  <c r="M40" i="15"/>
  <c r="L40" i="15"/>
  <c r="K40" i="15"/>
  <c r="J40" i="15"/>
  <c r="I40" i="15"/>
  <c r="N40" i="15"/>
  <c r="M39" i="15"/>
  <c r="L39" i="15"/>
  <c r="K39" i="15"/>
  <c r="J39" i="15"/>
  <c r="I39" i="15"/>
  <c r="N39" i="15"/>
  <c r="M38" i="15"/>
  <c r="L38" i="15"/>
  <c r="K38" i="15"/>
  <c r="J38" i="15"/>
  <c r="I38" i="15"/>
  <c r="N38" i="15"/>
  <c r="M37" i="15"/>
  <c r="L37" i="15"/>
  <c r="K37" i="15"/>
  <c r="J37" i="15"/>
  <c r="I37" i="15"/>
  <c r="N37" i="15"/>
  <c r="M36" i="15"/>
  <c r="L36" i="15"/>
  <c r="K36" i="15"/>
  <c r="J36" i="15"/>
  <c r="I36" i="15"/>
  <c r="N36" i="15"/>
  <c r="M35" i="15"/>
  <c r="L35" i="15"/>
  <c r="K35" i="15"/>
  <c r="J35" i="15"/>
  <c r="I35" i="15"/>
  <c r="N35" i="15"/>
  <c r="M34" i="15"/>
  <c r="L34" i="15"/>
  <c r="K34" i="15"/>
  <c r="J34" i="15"/>
  <c r="I34" i="15"/>
  <c r="N34" i="15"/>
  <c r="M33" i="15"/>
  <c r="L33" i="15"/>
  <c r="K33" i="15"/>
  <c r="J33" i="15"/>
  <c r="I33" i="15"/>
  <c r="N33" i="15"/>
  <c r="M32" i="15"/>
  <c r="L32" i="15"/>
  <c r="K32" i="15"/>
  <c r="J32" i="15"/>
  <c r="I32" i="15"/>
  <c r="N32" i="15"/>
  <c r="M31" i="15"/>
  <c r="L31" i="15"/>
  <c r="K31" i="15"/>
  <c r="J31" i="15"/>
  <c r="I31" i="15"/>
  <c r="N31" i="15"/>
  <c r="M30" i="15"/>
  <c r="L30" i="15"/>
  <c r="K30" i="15"/>
  <c r="J30" i="15"/>
  <c r="I30" i="15"/>
  <c r="N30" i="15"/>
  <c r="M29" i="15"/>
  <c r="L29" i="15"/>
  <c r="K29" i="15"/>
  <c r="J29" i="15"/>
  <c r="I29" i="15"/>
  <c r="N29" i="15"/>
  <c r="M28" i="15"/>
  <c r="L28" i="15"/>
  <c r="K28" i="15"/>
  <c r="J28" i="15"/>
  <c r="I28" i="15"/>
  <c r="N28" i="15"/>
  <c r="M27" i="15"/>
  <c r="L27" i="15"/>
  <c r="K27" i="15"/>
  <c r="J27" i="15"/>
  <c r="I27" i="15"/>
  <c r="N27" i="15"/>
  <c r="M26" i="15"/>
  <c r="L26" i="15"/>
  <c r="K26" i="15"/>
  <c r="J26" i="15"/>
  <c r="I26" i="15"/>
  <c r="N26" i="15"/>
  <c r="M25" i="15"/>
  <c r="L25" i="15"/>
  <c r="K25" i="15"/>
  <c r="J25" i="15"/>
  <c r="I25" i="15"/>
  <c r="N25" i="15"/>
  <c r="M24" i="15"/>
  <c r="L24" i="15"/>
  <c r="K24" i="15"/>
  <c r="J24" i="15"/>
  <c r="I24" i="15"/>
  <c r="N24" i="15"/>
  <c r="M23" i="15"/>
  <c r="L23" i="15"/>
  <c r="K23" i="15"/>
  <c r="J23" i="15"/>
  <c r="I23" i="15"/>
  <c r="N23" i="15"/>
  <c r="M22" i="15"/>
  <c r="L22" i="15"/>
  <c r="K22" i="15"/>
  <c r="J22" i="15"/>
  <c r="I22" i="15"/>
  <c r="N22" i="15"/>
  <c r="M21" i="15"/>
  <c r="L21" i="15"/>
  <c r="K21" i="15"/>
  <c r="J21" i="15"/>
  <c r="I21" i="15"/>
  <c r="N21" i="15"/>
  <c r="M20" i="15"/>
  <c r="L20" i="15"/>
  <c r="K20" i="15"/>
  <c r="J20" i="15"/>
  <c r="I20" i="15"/>
  <c r="N20" i="15"/>
  <c r="M19" i="15"/>
  <c r="L19" i="15"/>
  <c r="K19" i="15"/>
  <c r="J19" i="15"/>
  <c r="I19" i="15"/>
  <c r="N19" i="15"/>
  <c r="M18" i="15"/>
  <c r="L18" i="15"/>
  <c r="K18" i="15"/>
  <c r="J18" i="15"/>
  <c r="I18" i="15"/>
  <c r="N18" i="15"/>
  <c r="M17" i="15"/>
  <c r="L17" i="15"/>
  <c r="K17" i="15"/>
  <c r="J17" i="15"/>
  <c r="I17" i="15"/>
  <c r="N17" i="15"/>
  <c r="M16" i="15"/>
  <c r="L16" i="15"/>
  <c r="K16" i="15"/>
  <c r="J16" i="15"/>
  <c r="I16" i="15"/>
  <c r="N16" i="15"/>
  <c r="N15" i="15"/>
  <c r="M15" i="15"/>
  <c r="L15" i="15"/>
  <c r="K15" i="15"/>
  <c r="J15" i="15"/>
  <c r="I15" i="15"/>
  <c r="M14" i="15"/>
  <c r="L14" i="15"/>
  <c r="K14" i="15"/>
  <c r="J14" i="15"/>
  <c r="I14" i="15"/>
  <c r="N14" i="15"/>
  <c r="M13" i="15"/>
  <c r="L13" i="15"/>
  <c r="K13" i="15"/>
  <c r="J13" i="15"/>
  <c r="I13" i="15"/>
  <c r="N13" i="15"/>
  <c r="M12" i="15"/>
  <c r="L12" i="15"/>
  <c r="K12" i="15"/>
  <c r="J12" i="15"/>
  <c r="I12" i="15"/>
  <c r="N12" i="15"/>
  <c r="M11" i="15"/>
  <c r="L11" i="15"/>
  <c r="K11" i="15"/>
  <c r="J11" i="15"/>
  <c r="I11" i="15"/>
  <c r="N11" i="15"/>
  <c r="M10" i="15"/>
  <c r="L10" i="15"/>
  <c r="K10" i="15"/>
  <c r="J10" i="15"/>
  <c r="I10" i="15"/>
  <c r="N10" i="15"/>
  <c r="M9" i="15"/>
  <c r="L9" i="15"/>
  <c r="K9" i="15"/>
  <c r="J9" i="15"/>
  <c r="I9" i="15"/>
  <c r="N9" i="15"/>
  <c r="M8" i="15"/>
  <c r="L8" i="15"/>
  <c r="K8" i="15"/>
  <c r="J8" i="15"/>
  <c r="I8" i="15"/>
  <c r="N8" i="15"/>
  <c r="M7" i="15"/>
  <c r="L7" i="15"/>
  <c r="K7" i="15"/>
  <c r="J7" i="15"/>
  <c r="I7" i="15"/>
  <c r="N7" i="15"/>
  <c r="M6" i="15"/>
  <c r="L6" i="15"/>
  <c r="K6" i="15"/>
  <c r="J6" i="15"/>
  <c r="I6" i="15"/>
  <c r="N6" i="15"/>
  <c r="Q5" i="15"/>
  <c r="M5" i="15"/>
  <c r="L5" i="15"/>
  <c r="K5" i="15"/>
  <c r="J5" i="15"/>
  <c r="I5" i="15"/>
  <c r="N5" i="15"/>
  <c r="M4" i="15"/>
  <c r="L4" i="15"/>
  <c r="K4" i="15"/>
  <c r="J4" i="15"/>
  <c r="I4" i="15"/>
  <c r="N4" i="15"/>
  <c r="M3" i="15"/>
  <c r="L3" i="15"/>
  <c r="K3" i="15"/>
  <c r="J3" i="15"/>
  <c r="I3" i="15"/>
  <c r="N3" i="15"/>
  <c r="M2" i="15"/>
  <c r="L2" i="15"/>
  <c r="K2" i="15"/>
  <c r="J2" i="15"/>
  <c r="I2" i="15"/>
  <c r="D5" i="13"/>
  <c r="D3" i="13"/>
  <c r="D2" i="13"/>
  <c r="V10" i="6"/>
  <c r="U10" i="6"/>
  <c r="T10" i="6"/>
  <c r="S10" i="6"/>
  <c r="R10" i="6"/>
  <c r="Q10" i="6"/>
  <c r="P10" i="6"/>
  <c r="O10" i="6"/>
  <c r="N10" i="6"/>
  <c r="M10" i="6"/>
  <c r="L10" i="6"/>
  <c r="K10" i="6"/>
  <c r="J10" i="6"/>
  <c r="I10" i="6"/>
  <c r="H10" i="6"/>
  <c r="G10" i="6"/>
  <c r="F10" i="6"/>
  <c r="E10" i="6"/>
  <c r="D10" i="6"/>
  <c r="C10" i="6"/>
  <c r="B10" i="6"/>
  <c r="V9" i="6"/>
  <c r="U9" i="6"/>
  <c r="T9" i="6"/>
  <c r="S9" i="6"/>
  <c r="R9" i="6"/>
  <c r="Q9" i="6"/>
  <c r="P9" i="6"/>
  <c r="O9" i="6"/>
  <c r="N9" i="6"/>
  <c r="M9" i="6"/>
  <c r="L9" i="6"/>
  <c r="K9" i="6"/>
  <c r="J9" i="6"/>
  <c r="I9" i="6"/>
  <c r="H9" i="6"/>
  <c r="G9" i="6"/>
  <c r="F9" i="6"/>
  <c r="E9" i="6"/>
  <c r="D9" i="6"/>
  <c r="C9" i="6"/>
  <c r="B9" i="6"/>
  <c r="X22" i="4"/>
  <c r="W22" i="4"/>
  <c r="J22" i="4"/>
  <c r="X21" i="4"/>
  <c r="W21" i="4"/>
  <c r="J21" i="4"/>
  <c r="X20" i="4"/>
  <c r="W20" i="4"/>
  <c r="J20" i="4"/>
  <c r="X19" i="4"/>
  <c r="W19" i="4"/>
  <c r="J19" i="4"/>
  <c r="X18" i="4"/>
  <c r="W18" i="4"/>
  <c r="J18" i="4"/>
  <c r="X17" i="4"/>
  <c r="W17" i="4"/>
  <c r="J17" i="4"/>
  <c r="X16" i="4"/>
  <c r="W16" i="4"/>
  <c r="J16" i="4"/>
  <c r="X15" i="4"/>
  <c r="W15" i="4"/>
  <c r="J15" i="4"/>
  <c r="X14" i="4"/>
  <c r="W14" i="4"/>
  <c r="J14" i="4"/>
  <c r="X13" i="4"/>
  <c r="W13" i="4"/>
  <c r="J13" i="4"/>
  <c r="X12" i="4"/>
  <c r="W12" i="4"/>
  <c r="J12" i="4"/>
  <c r="X11" i="4"/>
  <c r="W11" i="4"/>
  <c r="J11" i="4"/>
  <c r="X10" i="4"/>
  <c r="W10" i="4"/>
  <c r="J10" i="4"/>
  <c r="X9" i="4"/>
  <c r="W9" i="4"/>
  <c r="J9" i="4"/>
  <c r="X8" i="4"/>
  <c r="W8" i="4"/>
  <c r="J8" i="4"/>
  <c r="X7" i="4"/>
  <c r="W7" i="4"/>
  <c r="J7" i="4"/>
  <c r="X6" i="4"/>
  <c r="W6" i="4"/>
  <c r="J6" i="4"/>
  <c r="X5" i="4"/>
  <c r="W5" i="4"/>
  <c r="J5" i="4"/>
  <c r="X4" i="4"/>
  <c r="W4" i="4"/>
  <c r="J4" i="4"/>
  <c r="X3" i="4"/>
  <c r="W3" i="4"/>
  <c r="J3" i="4"/>
  <c r="X2" i="4"/>
  <c r="W2" i="4"/>
  <c r="J2" i="4"/>
  <c r="Q4" i="15"/>
  <c r="N2" i="15"/>
</calcChain>
</file>

<file path=xl/sharedStrings.xml><?xml version="1.0" encoding="utf-8"?>
<sst xmlns="http://schemas.openxmlformats.org/spreadsheetml/2006/main" count="7079" uniqueCount="2849">
  <si>
    <t>Staff ID</t>
  </si>
  <si>
    <t>Staff Role</t>
  </si>
  <si>
    <t>Name</t>
  </si>
  <si>
    <t>Starting Tier for Staff Role</t>
  </si>
  <si>
    <t>Highest Upgradable Tier for Staff Role</t>
  </si>
  <si>
    <t>Hiring Cost from Funds (Yen)</t>
  </si>
  <si>
    <t>Cost to Upgrade from Tier 0 to Tier 1 from Funds (Yen)</t>
  </si>
  <si>
    <t>Cost to Upgrade from Tier 1 to Tier 2 from Funds (Yen)</t>
  </si>
  <si>
    <t>Staff Role Tier 0 Reward</t>
  </si>
  <si>
    <t>Staff Role Tier 1 Reward</t>
  </si>
  <si>
    <t>Staff Role Tier 2 Reward</t>
  </si>
  <si>
    <t>SF01</t>
  </si>
  <si>
    <t>Policy Research Assistant</t>
  </si>
  <si>
    <t>N/A</t>
  </si>
  <si>
    <t>+1 for SG03</t>
  </si>
  <si>
    <t>SF02</t>
  </si>
  <si>
    <t>+2 for BO05</t>
  </si>
  <si>
    <t>+2 for BO04; +2 for SG01</t>
  </si>
  <si>
    <t>SF03</t>
  </si>
  <si>
    <t>+4 for BO05</t>
  </si>
  <si>
    <t>SF04</t>
  </si>
  <si>
    <t>+2 for SG03</t>
  </si>
  <si>
    <t>+2 for SG03; +2 for SG05</t>
  </si>
  <si>
    <t>+2 for SG03; +2 for SG05; +2 for BO02</t>
  </si>
  <si>
    <t>SF05</t>
  </si>
  <si>
    <t>+3 for SG04</t>
  </si>
  <si>
    <t>SF06</t>
  </si>
  <si>
    <t>+2 for BO02</t>
  </si>
  <si>
    <t>+2 for BO02; +2 for SG02</t>
  </si>
  <si>
    <t>+2 for BO02; +2 for SG02; +2 for BO01</t>
  </si>
  <si>
    <t>SF07</t>
  </si>
  <si>
    <t>+2 for BO09; +2 for SG04</t>
  </si>
  <si>
    <t>+2 for BO09; +4 for SG04</t>
  </si>
  <si>
    <t>SF08</t>
  </si>
  <si>
    <t>Media Spokesperson</t>
  </si>
  <si>
    <t>+1 for SG01</t>
  </si>
  <si>
    <t>SF09</t>
  </si>
  <si>
    <t>+2 for BO08</t>
  </si>
  <si>
    <t>+2 for BO01; +2 for SG01</t>
  </si>
  <si>
    <t>SF10</t>
  </si>
  <si>
    <t>+4 for BO08</t>
  </si>
  <si>
    <t>SF11</t>
  </si>
  <si>
    <t>+2 for SG01</t>
  </si>
  <si>
    <t>+2 for SG01; +2 for SG04</t>
  </si>
  <si>
    <t>+2 for SG01; +2 for SG04; +2 for BO08</t>
  </si>
  <si>
    <t>SF12</t>
  </si>
  <si>
    <t>+3 for SG01</t>
  </si>
  <si>
    <t>SF13</t>
  </si>
  <si>
    <t>+2 for BO08; +2 for SG02</t>
  </si>
  <si>
    <t>+2 for BO08; +2 for SG02; +2 for BO01</t>
  </si>
  <si>
    <t>SF14</t>
  </si>
  <si>
    <t>+2 for BO08; +2 for SG04</t>
  </si>
  <si>
    <t>+2 for BO08; +4 for SG04</t>
  </si>
  <si>
    <t>SF15</t>
  </si>
  <si>
    <t>District Representative</t>
  </si>
  <si>
    <t>+1 for BO03</t>
  </si>
  <si>
    <t>SF16</t>
  </si>
  <si>
    <t>+2 for BO03</t>
  </si>
  <si>
    <t>+2 for BO04; +2 for SG03</t>
  </si>
  <si>
    <t>SF17</t>
  </si>
  <si>
    <t>+4 for BO03</t>
  </si>
  <si>
    <t>SF18</t>
  </si>
  <si>
    <t>+2 for SG03; +2 for BO06</t>
  </si>
  <si>
    <t>+2 for SG03; +2 for BO06; +2 for BO04</t>
  </si>
  <si>
    <t>SF19</t>
  </si>
  <si>
    <t>+3 for SG03</t>
  </si>
  <si>
    <t>SF20</t>
  </si>
  <si>
    <t>+2 for BO04</t>
  </si>
  <si>
    <t>+2 for BO04; +2 for SG03; +2 for BO03</t>
  </si>
  <si>
    <t>SF21</t>
  </si>
  <si>
    <t>+2 for BO14; +2 for SG03</t>
  </si>
  <si>
    <t>+2 for BO14; +4 for SG03</t>
  </si>
  <si>
    <t>Coliseum of Parliament — Starter Card &amp; Stage Data</t>
  </si>
  <si>
    <t>Purpose</t>
  </si>
  <si>
    <t>Status</t>
  </si>
  <si>
    <t>TAB GUIDE</t>
  </si>
  <si>
    <t>Balance</t>
  </si>
  <si>
    <t>Suits</t>
  </si>
  <si>
    <t>Affinity</t>
  </si>
  <si>
    <t>Cards</t>
  </si>
  <si>
    <t>Stages</t>
  </si>
  <si>
    <t>Segments</t>
  </si>
  <si>
    <t>Modifiers</t>
  </si>
  <si>
    <t>Opponents</t>
  </si>
  <si>
    <t>Sanban</t>
  </si>
  <si>
    <t>COLOR KEY</t>
  </si>
  <si>
    <t>Blue text</t>
  </si>
  <si>
    <t>Hardcoded input — edit freely.</t>
  </si>
  <si>
    <t>Black text</t>
  </si>
  <si>
    <t>Formula — do not overwrite.</t>
  </si>
  <si>
    <t>Green text</t>
  </si>
  <si>
    <t>Direct link to another tab.</t>
  </si>
  <si>
    <t>Yellow fill</t>
  </si>
  <si>
    <t>Open design decision — needs your call.</t>
  </si>
  <si>
    <t>Boosters</t>
  </si>
  <si>
    <t>Levels</t>
  </si>
  <si>
    <t>Lever</t>
  </si>
  <si>
    <t>Value</t>
  </si>
  <si>
    <t>Note</t>
  </si>
  <si>
    <t>W_self (own support gain)</t>
  </si>
  <si>
    <t>Weight in Power Score</t>
  </si>
  <si>
    <t>W_opp (opponent support loss)</t>
  </si>
  <si>
    <t>Swing value &gt; self gain: it moves the relative gap directly</t>
  </si>
  <si>
    <t>W_guard (block)</t>
  </si>
  <si>
    <t>Block only matters if opponent attacks</t>
  </si>
  <si>
    <t>W_draw (per card drawn)</t>
  </si>
  <si>
    <t>Card advantage</t>
  </si>
  <si>
    <t>W_gaffe (失言 penalty per point)</t>
  </si>
  <si>
    <t>Risk cost of gaffe meter</t>
  </si>
  <si>
    <t>Starter deck size</t>
  </si>
  <si>
    <t>Player and default opponent deck size</t>
  </si>
  <si>
    <t>Primary suit share</t>
  </si>
  <si>
    <t>Opponent deck share from Element 1</t>
  </si>
  <si>
    <t>Secondary suit share</t>
  </si>
  <si>
    <t>Opponent deck share from Element 2</t>
  </si>
  <si>
    <t>Element (canon)</t>
  </si>
  <si>
    <t>Suit (JP)</t>
  </si>
  <si>
    <t>Romaji</t>
  </si>
  <si>
    <t>Gloss</t>
  </si>
  <si>
    <t>Card Design Template</t>
  </si>
  <si>
    <t>Earnest</t>
  </si>
  <si>
    <t>誠実</t>
  </si>
  <si>
    <t>Seijitsu</t>
  </si>
  <si>
    <t>sincerity</t>
  </si>
  <si>
    <t>Sumo</t>
  </si>
  <si>
    <t>Emotional</t>
  </si>
  <si>
    <t>情熱</t>
  </si>
  <si>
    <t>Jōnetsu</t>
  </si>
  <si>
    <t>passion</t>
  </si>
  <si>
    <t>Sakura</t>
  </si>
  <si>
    <t>Appeal</t>
  </si>
  <si>
    <t>求心</t>
  </si>
  <si>
    <t>Kyūshin</t>
  </si>
  <si>
    <t>rallying pull</t>
  </si>
  <si>
    <t>Ukiyoe</t>
  </si>
  <si>
    <t>Data Driven</t>
  </si>
  <si>
    <t>実証</t>
  </si>
  <si>
    <t>Jisshō</t>
  </si>
  <si>
    <t>evidence</t>
  </si>
  <si>
    <t>Shoji</t>
  </si>
  <si>
    <t>Divisive</t>
  </si>
  <si>
    <t>分断</t>
  </si>
  <si>
    <t>Bundan</t>
  </si>
  <si>
    <t>division</t>
  </si>
  <si>
    <t>Castle</t>
  </si>
  <si>
    <t>Duplicitous</t>
  </si>
  <si>
    <t>二枚舌</t>
  </si>
  <si>
    <t>Nimaijita</t>
  </si>
  <si>
    <t>two tongues</t>
  </si>
  <si>
    <t>Ninja</t>
  </si>
  <si>
    <t>Stage ID</t>
  </si>
  <si>
    <t>Stage (EN)</t>
  </si>
  <si>
    <t>Stage (JP)</t>
  </si>
  <si>
    <t>Mode</t>
  </si>
  <si>
    <t>Bar unit</t>
  </si>
  <si>
    <t>Bar value</t>
  </si>
  <si>
    <t>Bar max</t>
  </si>
  <si>
    <t>Win threshold</t>
  </si>
  <si>
    <t>Win %</t>
  </si>
  <si>
    <t>Turn limit</t>
  </si>
  <si>
    <t>持ち時間 / turn (energy)</t>
  </si>
  <si>
    <t>Hand size</t>
  </si>
  <si>
    <t>失言 gaffe limit</t>
  </si>
  <si>
    <t>Player start</t>
  </si>
  <si>
    <t>Opp start</t>
  </si>
  <si>
    <t>% Press</t>
  </si>
  <si>
    <t>% Party Members</t>
  </si>
  <si>
    <t>% Constituents</t>
  </si>
  <si>
    <t>% Donors</t>
  </si>
  <si>
    <t>% Bureaucrats</t>
  </si>
  <si>
    <t>% Other</t>
  </si>
  <si>
    <t>Segment check</t>
  </si>
  <si>
    <t>Favored suit</t>
  </si>
  <si>
    <t>Win ΔJiban</t>
  </si>
  <si>
    <t>Win ΔYen</t>
  </si>
  <si>
    <t>Win ΔReputation</t>
  </si>
  <si>
    <t>Win ΔXP</t>
  </si>
  <si>
    <t>Win ΔParty support</t>
  </si>
  <si>
    <t>Loss ΔJiban</t>
  </si>
  <si>
    <t>Loss ΔYen</t>
  </si>
  <si>
    <t>Loss ΔReputation</t>
  </si>
  <si>
    <t>Loss ΔXP</t>
  </si>
  <si>
    <t>Loss ΔParty support</t>
  </si>
  <si>
    <t>ST01</t>
  </si>
  <si>
    <t>Special Committee</t>
  </si>
  <si>
    <t>特別委員会</t>
  </si>
  <si>
    <t>Tokubetsu Iinkai</t>
  </si>
  <si>
    <t>Combat</t>
  </si>
  <si>
    <t>Members</t>
  </si>
  <si>
    <t>Numerical</t>
  </si>
  <si>
    <t>ST02</t>
  </si>
  <si>
    <t>Floor Debate</t>
  </si>
  <si>
    <t>本会議</t>
  </si>
  <si>
    <t>Honkaigi</t>
  </si>
  <si>
    <t>Seats</t>
  </si>
  <si>
    <t>ST03</t>
  </si>
  <si>
    <t>Party Caucus</t>
  </si>
  <si>
    <t>議員総会</t>
  </si>
  <si>
    <t>Giin Sōkai</t>
  </si>
  <si>
    <t>Support</t>
  </si>
  <si>
    <t>Percentage</t>
  </si>
  <si>
    <t>ST04</t>
  </si>
  <si>
    <t>Press Conference</t>
  </si>
  <si>
    <t>記者会見</t>
  </si>
  <si>
    <t>Kisha Kaiken</t>
  </si>
  <si>
    <t>Press tone</t>
  </si>
  <si>
    <t>ST05</t>
  </si>
  <si>
    <t>Town Hall</t>
  </si>
  <si>
    <t>住民集会</t>
  </si>
  <si>
    <t>Jūmin Shūkai</t>
  </si>
  <si>
    <t>Appeasement</t>
  </si>
  <si>
    <t>ST06</t>
  </si>
  <si>
    <t>TV Debate</t>
  </si>
  <si>
    <t>討論番組</t>
  </si>
  <si>
    <t>Tōron Bangumi</t>
  </si>
  <si>
    <t>ST07</t>
  </si>
  <si>
    <t>Office Hours</t>
  </si>
  <si>
    <t>陳情</t>
  </si>
  <si>
    <t>Chinjō</t>
  </si>
  <si>
    <t>Non-combat</t>
  </si>
  <si>
    <t>Time slots</t>
  </si>
  <si>
    <t>ST08</t>
  </si>
  <si>
    <t>Party Steering Committee</t>
  </si>
  <si>
    <t>党運営委員会</t>
  </si>
  <si>
    <t>Tō Un'ei Iinkai</t>
  </si>
  <si>
    <t>ST09</t>
  </si>
  <si>
    <t>Committee on Ethics and Prosecution</t>
  </si>
  <si>
    <t>倫理起訴委員会</t>
  </si>
  <si>
    <t>Rinri Kiso Iinkai</t>
  </si>
  <si>
    <t>Favourability</t>
  </si>
  <si>
    <t>ST10</t>
  </si>
  <si>
    <t>Committee on the Environment</t>
  </si>
  <si>
    <t>環境委員会</t>
  </si>
  <si>
    <t>Kankyō Iinkai</t>
  </si>
  <si>
    <t>ST11</t>
  </si>
  <si>
    <t>Committee on War</t>
  </si>
  <si>
    <t>戦争委員会</t>
  </si>
  <si>
    <t>Sensō Iinkai</t>
  </si>
  <si>
    <t>ST12</t>
  </si>
  <si>
    <t>Committee on the National Assembly</t>
  </si>
  <si>
    <t>国会管理委員会</t>
  </si>
  <si>
    <t>Kokkai Kanri Iinkai</t>
  </si>
  <si>
    <t>ST13</t>
  </si>
  <si>
    <t>Committee on Agriculture</t>
  </si>
  <si>
    <t>農林水産委員会</t>
  </si>
  <si>
    <t>Nōrin Suisan Iinkai</t>
  </si>
  <si>
    <t>ST14</t>
  </si>
  <si>
    <t>Committee on Foreign Affairs</t>
  </si>
  <si>
    <t>外務委員会</t>
  </si>
  <si>
    <t>Gaimu Iinkai</t>
  </si>
  <si>
    <t>ST15</t>
  </si>
  <si>
    <t>Committee on Construction and Development</t>
  </si>
  <si>
    <t>建設成長委員会</t>
  </si>
  <si>
    <t>Kensetsu Seichō Iinkai</t>
  </si>
  <si>
    <t>ST16</t>
  </si>
  <si>
    <t>Committee on Finance</t>
  </si>
  <si>
    <t>財務委員会</t>
  </si>
  <si>
    <t>Zaimu Iinkai</t>
  </si>
  <si>
    <t>ST17</t>
  </si>
  <si>
    <t>Committee on Government Administration</t>
  </si>
  <si>
    <t>政府行政委員会</t>
  </si>
  <si>
    <t>Seifu Gyōsei Iinkai</t>
  </si>
  <si>
    <t>ST18</t>
  </si>
  <si>
    <t>Committee of the Cabinet</t>
  </si>
  <si>
    <t>内閣員会</t>
  </si>
  <si>
    <t>Naikaku Iinkai</t>
  </si>
  <si>
    <t>Consensus</t>
  </si>
  <si>
    <t>ST19</t>
  </si>
  <si>
    <t>Media Ambush</t>
  </si>
  <si>
    <t>ぶら下がり取材</t>
  </si>
  <si>
    <t>Burasagari Shuzai</t>
  </si>
  <si>
    <t>ST20</t>
  </si>
  <si>
    <t>Lobbyist Meeting</t>
  </si>
  <si>
    <t>ロビー活動</t>
  </si>
  <si>
    <t>Robī Katsudō</t>
  </si>
  <si>
    <t>ST21</t>
  </si>
  <si>
    <t>Policy Study Session</t>
  </si>
  <si>
    <t>政策検討会</t>
  </si>
  <si>
    <t>Seisaku Kentōkai</t>
  </si>
  <si>
    <t>Level ID</t>
  </si>
  <si>
    <t>Level Description</t>
  </si>
  <si>
    <t>Cooldown Period  (# of other levels to play before this level is available to play again)</t>
  </si>
  <si>
    <t>Level Tier</t>
  </si>
  <si>
    <t>Cost in XP to Unlock if Policy Research Assistant is Vacant</t>
  </si>
  <si>
    <t>Cost in XP to Unlock if Policy Research Assistant is Tier 0</t>
  </si>
  <si>
    <t>Cost in XP to Unlock if Policy Research Assistant is Tier 1</t>
  </si>
  <si>
    <t>Cost in XP to Unlock if Policy Research Assistant is Tier 2</t>
  </si>
  <si>
    <t>Stage ID for Part 1</t>
  </si>
  <si>
    <t>Stage ID for Part 2</t>
  </si>
  <si>
    <t>Stage ID for Part 3</t>
  </si>
  <si>
    <t>Stage ID for Part 4</t>
  </si>
  <si>
    <t>Stage ID for Part 5</t>
  </si>
  <si>
    <t>Stage ID for Part 6</t>
  </si>
  <si>
    <t>Stage ID for Part 7</t>
  </si>
  <si>
    <t>Stage ID for Part 8</t>
  </si>
  <si>
    <t>Stage ID for Part 9</t>
  </si>
  <si>
    <t>Stage ID for Part 10</t>
  </si>
  <si>
    <t>Bonus  Win Range ΔJiban</t>
  </si>
  <si>
    <t>Bonus  Win Range ΔYen</t>
  </si>
  <si>
    <t>Bonus  Win Range ΔReputation</t>
  </si>
  <si>
    <t>Bonus  Win Range ΔXP</t>
  </si>
  <si>
    <t>Bonus  Win Range ΔParty support</t>
  </si>
  <si>
    <t>Win ΔBO01</t>
  </si>
  <si>
    <t>Win ΔBO02</t>
  </si>
  <si>
    <t>Win ΔBO03</t>
  </si>
  <si>
    <t>Win ΔBO04</t>
  </si>
  <si>
    <t>Win ΔBO05</t>
  </si>
  <si>
    <t>Win ΔBO06</t>
  </si>
  <si>
    <t>Win ΔBO07</t>
  </si>
  <si>
    <t>Win ΔBO08</t>
  </si>
  <si>
    <t>Win ΔBO09</t>
  </si>
  <si>
    <t>Win ΔBO10</t>
  </si>
  <si>
    <t>Win ΔBO11</t>
  </si>
  <si>
    <t>Win ΔBO12</t>
  </si>
  <si>
    <t>Win ΔBO13</t>
  </si>
  <si>
    <t>Win ΔBO14</t>
  </si>
  <si>
    <t>Win ΔBO15</t>
  </si>
  <si>
    <t>Win ΔBO16</t>
  </si>
  <si>
    <t>LV01</t>
  </si>
  <si>
    <t>Talking with Constituents</t>
  </si>
  <si>
    <t>0</t>
  </si>
  <si>
    <t>0%</t>
  </si>
  <si>
    <t>0-1</t>
  </si>
  <si>
    <t>LV02</t>
  </si>
  <si>
    <t>Meeting Lobbyists</t>
  </si>
  <si>
    <t>LV03</t>
  </si>
  <si>
    <t>Policy Listening and Study</t>
  </si>
  <si>
    <t>0-2</t>
  </si>
  <si>
    <t>LV04</t>
  </si>
  <si>
    <t>Hearing at the Committee on the Environment</t>
  </si>
  <si>
    <t>0-3</t>
  </si>
  <si>
    <t>0-1100</t>
  </si>
  <si>
    <t>0-5</t>
  </si>
  <si>
    <t>1-3</t>
  </si>
  <si>
    <t>LV05</t>
  </si>
  <si>
    <t>Media Rounds</t>
  </si>
  <si>
    <t>0-5000</t>
  </si>
  <si>
    <t>2</t>
  </si>
  <si>
    <t>25</t>
  </si>
  <si>
    <t>0-3%</t>
  </si>
  <si>
    <t>2-7</t>
  </si>
  <si>
    <t>LV06</t>
  </si>
  <si>
    <t>Providing the Party Agricultural Policy Support</t>
  </si>
  <si>
    <t>0-22000</t>
  </si>
  <si>
    <t>5</t>
  </si>
  <si>
    <t>2-10%</t>
  </si>
  <si>
    <t>LV07</t>
  </si>
  <si>
    <t>Providing the Party Infrastructure Policy Support</t>
  </si>
  <si>
    <t>0-25000</t>
  </si>
  <si>
    <t>3-12%</t>
  </si>
  <si>
    <t>0-6</t>
  </si>
  <si>
    <t>LV08</t>
  </si>
  <si>
    <t>Fighting on the Floor for the Party</t>
  </si>
  <si>
    <t>3000-19000</t>
  </si>
  <si>
    <t>7</t>
  </si>
  <si>
    <t>15</t>
  </si>
  <si>
    <t>10-17%</t>
  </si>
  <si>
    <t>2-5</t>
  </si>
  <si>
    <t>0-4</t>
  </si>
  <si>
    <t>LV09</t>
  </si>
  <si>
    <t>Filling in at Committees</t>
  </si>
  <si>
    <t>3</t>
  </si>
  <si>
    <t>10</t>
  </si>
  <si>
    <t>10-22%</t>
  </si>
  <si>
    <t>1-5</t>
  </si>
  <si>
    <t>LV10</t>
  </si>
  <si>
    <t>Advacing a Bill to Protect Hometown Markets</t>
  </si>
  <si>
    <t>4-16</t>
  </si>
  <si>
    <t>5000-25000</t>
  </si>
  <si>
    <t>6-12</t>
  </si>
  <si>
    <t>55-95</t>
  </si>
  <si>
    <t>2-6%</t>
  </si>
  <si>
    <t>5-9</t>
  </si>
  <si>
    <t>2-4</t>
  </si>
  <si>
    <t>1-4</t>
  </si>
  <si>
    <t>3-6</t>
  </si>
  <si>
    <t>2-8</t>
  </si>
  <si>
    <t>LV11</t>
  </si>
  <si>
    <t>Meeting with Student Organizers</t>
  </si>
  <si>
    <t>3000-12000</t>
  </si>
  <si>
    <t>1-2</t>
  </si>
  <si>
    <t>15-30</t>
  </si>
  <si>
    <t>1-4%</t>
  </si>
  <si>
    <t>LV12</t>
  </si>
  <si>
    <t>Family Outreach Tour</t>
  </si>
  <si>
    <t>5000-15000</t>
  </si>
  <si>
    <t>20-35</t>
  </si>
  <si>
    <t>2-5%</t>
  </si>
  <si>
    <t>LV13</t>
  </si>
  <si>
    <t>Backing the Local Artisans</t>
  </si>
  <si>
    <t>5000-18000</t>
  </si>
  <si>
    <t>LV14</t>
  </si>
  <si>
    <t>Fixing the Daily Commute</t>
  </si>
  <si>
    <t>6000-20000</t>
  </si>
  <si>
    <t>25-40</t>
  </si>
  <si>
    <t>LV15</t>
  </si>
  <si>
    <t>Courting the Traditionalist Wing</t>
  </si>
  <si>
    <t>8000-22000</t>
  </si>
  <si>
    <t>25-45</t>
  </si>
  <si>
    <t>3-7%</t>
  </si>
  <si>
    <t>LV16</t>
  </si>
  <si>
    <t>Running with the Reform Caucus</t>
  </si>
  <si>
    <t>10000-25000</t>
  </si>
  <si>
    <t>30-55</t>
  </si>
  <si>
    <t>3-8%</t>
  </si>
  <si>
    <t>LV17</t>
  </si>
  <si>
    <t>Building the Next-Generation Coalition</t>
  </si>
  <si>
    <t>12000-28000</t>
  </si>
  <si>
    <t>35-60</t>
  </si>
  <si>
    <t>4-9%</t>
  </si>
  <si>
    <t>LV18</t>
  </si>
  <si>
    <t>Uniting Main Street and Transit Riders</t>
  </si>
  <si>
    <t>15000-30000</t>
  </si>
  <si>
    <t>40-65</t>
  </si>
  <si>
    <t>5-10%</t>
  </si>
  <si>
    <t>LV19</t>
  </si>
  <si>
    <t>Bridging Old Guard and New Wave</t>
  </si>
  <si>
    <t>LV20</t>
  </si>
  <si>
    <t>Rallying Youth and Labor</t>
  </si>
  <si>
    <t>15000-35000</t>
  </si>
  <si>
    <t>3-7</t>
  </si>
  <si>
    <t>40-70</t>
  </si>
  <si>
    <t>LV21</t>
  </si>
  <si>
    <t>The Neighborhood Family Compact</t>
  </si>
  <si>
    <t>18000-38000</t>
  </si>
  <si>
    <t>45-75</t>
  </si>
  <si>
    <t>6-11%</t>
  </si>
  <si>
    <t>LV22</t>
  </si>
  <si>
    <t>The Small Business Coalition</t>
  </si>
  <si>
    <t>20000-42000</t>
  </si>
  <si>
    <t>4-8</t>
  </si>
  <si>
    <t>50-85</t>
  </si>
  <si>
    <t>7-13%</t>
  </si>
  <si>
    <t>LV23</t>
  </si>
  <si>
    <t>The Metro Infrastructure Push</t>
  </si>
  <si>
    <t>25000-55000</t>
  </si>
  <si>
    <t>5-10</t>
  </si>
  <si>
    <t>60-100</t>
  </si>
  <si>
    <t>8-16%</t>
  </si>
  <si>
    <t>LV24</t>
  </si>
  <si>
    <t>Guarding the Old Order</t>
  </si>
  <si>
    <t>LV25</t>
  </si>
  <si>
    <t>Riding the Reform Wave</t>
  </si>
  <si>
    <t>LV26</t>
  </si>
  <si>
    <t>Coalition Building 101</t>
  </si>
  <si>
    <t>2000-10000</t>
  </si>
  <si>
    <t>15-25</t>
  </si>
  <si>
    <t>1-3%</t>
  </si>
  <si>
    <t>LV27</t>
  </si>
  <si>
    <t>Rural Youth Initiative</t>
  </si>
  <si>
    <t>LV28</t>
  </si>
  <si>
    <t>Kōenkai Family Ties</t>
  </si>
  <si>
    <t>LV29</t>
  </si>
  <si>
    <t>The Main Street Infrastructure Bill</t>
  </si>
  <si>
    <t>22000-48000</t>
  </si>
  <si>
    <t>4-9</t>
  </si>
  <si>
    <t>55-90</t>
  </si>
  <si>
    <t>7-14%</t>
  </si>
  <si>
    <t>LV30</t>
  </si>
  <si>
    <t>The Grand Bargain</t>
  </si>
  <si>
    <t>40000-80000</t>
  </si>
  <si>
    <t>8-15</t>
  </si>
  <si>
    <t>90-150</t>
  </si>
  <si>
    <t>12-25%</t>
  </si>
  <si>
    <t>Element</t>
  </si>
  <si>
    <t>Stage name →</t>
  </si>
  <si>
    <t>Column average</t>
  </si>
  <si>
    <t>Card ID</t>
  </si>
  <si>
    <t>Name (EN)</t>
  </si>
  <si>
    <t>Name (JP)</t>
  </si>
  <si>
    <t>Suit (Element)</t>
  </si>
  <si>
    <t>Type</t>
  </si>
  <si>
    <t>Cost (持ち時間)</t>
  </si>
  <si>
    <t>Self +</t>
  </si>
  <si>
    <t>Opp −</t>
  </si>
  <si>
    <t>Guard</t>
  </si>
  <si>
    <t>Draw</t>
  </si>
  <si>
    <t>Gaffe +/−</t>
  </si>
  <si>
    <t>Target segment</t>
  </si>
  <si>
    <t>Effect text</t>
  </si>
  <si>
    <t>Tier</t>
  </si>
  <si>
    <t>Special</t>
  </si>
  <si>
    <t>Special value</t>
  </si>
  <si>
    <t>Special note</t>
  </si>
  <si>
    <t>C01</t>
  </si>
  <si>
    <t>Record of Service</t>
  </si>
  <si>
    <t>実績報告</t>
  </si>
  <si>
    <t>Jisseki Hōkoku</t>
  </si>
  <si>
    <t>Gain</t>
  </si>
  <si>
    <t>Any</t>
  </si>
  <si>
    <t>Gain 4.</t>
  </si>
  <si>
    <t>C02</t>
  </si>
  <si>
    <t>Sincere Answer</t>
  </si>
  <si>
    <t>誠意ある答弁</t>
  </si>
  <si>
    <t>Seii aru Tōben</t>
  </si>
  <si>
    <t>Defend</t>
  </si>
  <si>
    <t>Gain 1. Guard 4 this turn.</t>
  </si>
  <si>
    <t>C03</t>
  </si>
  <si>
    <t>Formal Apology</t>
  </si>
  <si>
    <t>深々と頭を下げる</t>
  </si>
  <si>
    <t>Fukabuka to Atama o Sageru</t>
  </si>
  <si>
    <t>Utility</t>
  </si>
  <si>
    <t>Gain 2. Reduce your gaffe meter by 2.</t>
  </si>
  <si>
    <t>C04</t>
  </si>
  <si>
    <t>Return to First Principles</t>
  </si>
  <si>
    <t>初心表明</t>
  </si>
  <si>
    <t>Shoshin Hyōmei</t>
  </si>
  <si>
    <t>Gain 6; +2 more if Yen ≥ 60.</t>
  </si>
  <si>
    <t>bonus_if_Yen_ge_60</t>
  </si>
  <si>
    <t>Gain 6; +2 more if Yen &gt;= 60</t>
  </si>
  <si>
    <t>C25</t>
  </si>
  <si>
    <t>Point to the Promise Kept</t>
  </si>
  <si>
    <t>公約履行を訴える</t>
  </si>
  <si>
    <t>Kōyaku Rikō o Uttaeru</t>
  </si>
  <si>
    <t>Gain 5; +2 more if your gaffe meter is 0.</t>
  </si>
  <si>
    <t>bonus_if_self_gaffe_0</t>
  </si>
  <si>
    <t>Gain +2 more if the player's gaffe meter is exactly 0</t>
  </si>
  <si>
    <t>C26</t>
  </si>
  <si>
    <t>Own the Mistake</t>
  </si>
  <si>
    <t>非を認める</t>
  </si>
  <si>
    <t>Hi o Mitomeru</t>
  </si>
  <si>
    <t>Reduce your gaffe meter by 2.</t>
  </si>
  <si>
    <t>C27</t>
  </si>
  <si>
    <t>Appeal Across the Aisle</t>
  </si>
  <si>
    <t>超党派に呼びかける</t>
  </si>
  <si>
    <t>Chōtōha ni Yobikakeru</t>
  </si>
  <si>
    <t>Attack</t>
  </si>
  <si>
    <t>Gain 3. Opponent −2. No gaffe.</t>
  </si>
  <si>
    <t>C28</t>
  </si>
  <si>
    <t>Read the Letters Aloud</t>
  </si>
  <si>
    <t>陳情を読み上げる</t>
  </si>
  <si>
    <t>Chinjō o Yomiageru</t>
  </si>
  <si>
    <t>Constituents</t>
  </si>
  <si>
    <t>Gain 3. Draw 1. +2 more to gain if Constituents ≥ 50%.</t>
  </si>
  <si>
    <t>bonus_if_target_segment_ge_50</t>
  </si>
  <si>
    <t>+2 if Constituents &gt;= 50% (reads Target segment)</t>
  </si>
  <si>
    <t>C29</t>
  </si>
  <si>
    <t>Appeal to Conscience</t>
  </si>
  <si>
    <t>良心に訴える</t>
  </si>
  <si>
    <t>Ryōshin ni Uttaeru</t>
  </si>
  <si>
    <t>Gain 6. Opponent −2. +3 more to gain if your gaffe meter is 0.</t>
  </si>
  <si>
    <t>Gain +3 more if the player's gaffe meter is exactly 0</t>
  </si>
  <si>
    <t>C05</t>
  </si>
  <si>
    <t>Impassioned Speech</t>
  </si>
  <si>
    <t>熱弁</t>
  </si>
  <si>
    <t>Netsuben</t>
  </si>
  <si>
    <t>Gain 5. Gaffe +1.</t>
  </si>
  <si>
    <t>C06</t>
  </si>
  <si>
    <t>Tearful Appeal</t>
  </si>
  <si>
    <t>涙の訴え</t>
  </si>
  <si>
    <t>Namida no Uttae</t>
  </si>
  <si>
    <t>Gain 4; doubled if Constituents ≥ 50%.</t>
  </si>
  <si>
    <t>double_if_target_segment_ge_50</t>
  </si>
  <si>
    <t>Doubled if Constituents &gt;= 50% (reads Target segment)</t>
  </si>
  <si>
    <t>C07</t>
  </si>
  <si>
    <t>Rousing Applause</t>
  </si>
  <si>
    <t>拍手喝采</t>
  </si>
  <si>
    <t>Hakushu Kassai</t>
  </si>
  <si>
    <t>Gain 1. Draw 1.</t>
  </si>
  <si>
    <t>C08</t>
  </si>
  <si>
    <t>Speech from the Soul</t>
  </si>
  <si>
    <t>魂の演説</t>
  </si>
  <si>
    <t>Tamashii no Enzetsu</t>
  </si>
  <si>
    <t>Gain 9. Gaffe +2.</t>
  </si>
  <si>
    <t>C30</t>
  </si>
  <si>
    <t>Rally the Faithful</t>
  </si>
  <si>
    <t>支持者を鼓舞する</t>
  </si>
  <si>
    <t>Shijisha o Kobu Suru</t>
  </si>
  <si>
    <t>Party Members</t>
  </si>
  <si>
    <t>Gain 4. Gaffe +1. +2 more to gain if Party Members ≥ 50%.</t>
  </si>
  <si>
    <t>+2 if Party Members &gt;= 50% (reads Target segment)</t>
  </si>
  <si>
    <t>C31</t>
  </si>
  <si>
    <t>Righteous Anger</t>
  </si>
  <si>
    <t>義憤</t>
  </si>
  <si>
    <t>Gifun</t>
  </si>
  <si>
    <t>Gain 1. Opponent −5. Gaffe +2.</t>
  </si>
  <si>
    <t>C32</t>
  </si>
  <si>
    <t>Raise Your Voice</t>
  </si>
  <si>
    <t>声を荒げる</t>
  </si>
  <si>
    <t>Koe o Aragaru</t>
  </si>
  <si>
    <t>Gain 5. Opponent −2. Gaffe +1.</t>
  </si>
  <si>
    <t>C33</t>
  </si>
  <si>
    <t>Refuse to Yield</t>
  </si>
  <si>
    <t>一歩も引かない</t>
  </si>
  <si>
    <t>Ippo mo Hikanai</t>
  </si>
  <si>
    <t>Gain 3. Draw 1. +3 more to gain if you trail the opponent in support.</t>
  </si>
  <si>
    <t>bonus_if_behind</t>
  </si>
  <si>
    <t>Gain +3 more if the player's support total is below the opponent's</t>
  </si>
  <si>
    <t>C34</t>
  </si>
  <si>
    <t>Bring the Room to Its Feet</t>
  </si>
  <si>
    <t>満場を沸かせる</t>
  </si>
  <si>
    <t>Manjō o Wakaseru</t>
  </si>
  <si>
    <t>Gain 7. Gaffe +1. +3 more to gain if Constituents ≥ 50%.</t>
  </si>
  <si>
    <t>+3 if Constituents &gt;= 50% (reads Target segment)</t>
  </si>
  <si>
    <t>C09</t>
  </si>
  <si>
    <t>Call for Unity</t>
  </si>
  <si>
    <t>結束を呼びかける</t>
  </si>
  <si>
    <t>Kessoku o Yobikakeru</t>
  </si>
  <si>
    <t>Gain 4; +2 more if Party Members ≥ 50%.</t>
  </si>
  <si>
    <t>C10</t>
  </si>
  <si>
    <t>Voice of the Hometown</t>
  </si>
  <si>
    <t>地元の声</t>
  </si>
  <si>
    <t>Jimoto no Koe</t>
  </si>
  <si>
    <t>Gain 4; +2 more if Constituents ≥ 50%.</t>
  </si>
  <si>
    <t>+2 if Constituents &gt;= 50% (same key as C09; Target segment differs)</t>
  </si>
  <si>
    <t>C11</t>
  </si>
  <si>
    <t>Work the Room First</t>
  </si>
  <si>
    <t>事前に話を通す</t>
  </si>
  <si>
    <t>Jizen ni Hanashi o Tōsu</t>
  </si>
  <si>
    <t>Buff</t>
  </si>
  <si>
    <t>Gain 2. Your next card this turn gets +2.</t>
  </si>
  <si>
    <t>buff_next_card_this_turn</t>
  </si>
  <si>
    <t>Your next card this turn gets +2</t>
  </si>
  <si>
    <t>C12</t>
  </si>
  <si>
    <t>Ask Who's With You</t>
  </si>
  <si>
    <t>賛否を確かめる</t>
  </si>
  <si>
    <t>Sanpi o Tashikameru</t>
  </si>
  <si>
    <t>Draw 2. Reveal opponent's next intent.</t>
  </si>
  <si>
    <t>reveal_next_intent</t>
  </si>
  <si>
    <t>Reveal the opponent's move after next</t>
  </si>
  <si>
    <t>C35</t>
  </si>
  <si>
    <t>Invoke Party Discipline</t>
  </si>
  <si>
    <t>党議拘束を持ち出す</t>
  </si>
  <si>
    <t>Tōgi Kōsoku o Mochidasu</t>
  </si>
  <si>
    <t>Gain 4. Opponent −1.</t>
  </si>
  <si>
    <t>C36</t>
  </si>
  <si>
    <t>Offer a Private Word</t>
  </si>
  <si>
    <t>耳打ち</t>
  </si>
  <si>
    <t>Mimiuchi</t>
  </si>
  <si>
    <t>Donors</t>
  </si>
  <si>
    <t>Gain 2. Your next card this turn costs 1 less.</t>
  </si>
  <si>
    <t>discount_next_card_this_turn</t>
  </si>
  <si>
    <t>Next card played this turn costs 1 less (minimum 0)</t>
  </si>
  <si>
    <t>C37</t>
  </si>
  <si>
    <t>Call for Common Cause</t>
  </si>
  <si>
    <t>連携を呼びかける</t>
  </si>
  <si>
    <t>Renkei o Yobikakeru</t>
  </si>
  <si>
    <t>Gain 6. Opponent −2.</t>
  </si>
  <si>
    <t>C38</t>
  </si>
  <si>
    <t>Call In a Favor</t>
  </si>
  <si>
    <t>貸しを返してもらう</t>
  </si>
  <si>
    <t>Kashi o Kaeshite Morau</t>
  </si>
  <si>
    <t>Gain 1. Draw 1. +2 more to gain if Party Members ≥ 50%.</t>
  </si>
  <si>
    <t>C39</t>
  </si>
  <si>
    <t>We Have the Votes</t>
  </si>
  <si>
    <t>数の力を示す</t>
  </si>
  <si>
    <t>Kazu no Chikara o Shimesu</t>
  </si>
  <si>
    <t>Gain 7. Opponent −1. +3 more to gain if Party Members ≥ 50%.</t>
  </si>
  <si>
    <t>+3 if Party Members &gt;= 50% (reads Target segment)</t>
  </si>
  <si>
    <t>C13</t>
  </si>
  <si>
    <t>Present the Stats</t>
  </si>
  <si>
    <t>統計提示</t>
  </si>
  <si>
    <t>Tōkei Teiji</t>
  </si>
  <si>
    <t>Opponent −3.</t>
  </si>
  <si>
    <t>C14</t>
  </si>
  <si>
    <t>Document Request</t>
  </si>
  <si>
    <t>資料請求</t>
  </si>
  <si>
    <t>Shiryō Seikyū</t>
  </si>
  <si>
    <t>Bureaucrats</t>
  </si>
  <si>
    <t>Opponent −1. Draw 1.</t>
  </si>
  <si>
    <t>C15</t>
  </si>
  <si>
    <t>Pursue the Contradiction</t>
  </si>
  <si>
    <t>矛盾追及</t>
  </si>
  <si>
    <t>Mujun Tsuikyū</t>
  </si>
  <si>
    <t>Opponent −5; −2 more if opponent gaffe &gt; 0.</t>
  </si>
  <si>
    <t>C16</t>
  </si>
  <si>
    <t>Table the White Paper</t>
  </si>
  <si>
    <t>白書を突きつける</t>
  </si>
  <si>
    <t>Hakusho o Tsukitsukeru</t>
  </si>
  <si>
    <t>Opponent −6. Ignores 3 of the opponent's Guard.</t>
  </si>
  <si>
    <t>pierce_guard</t>
  </si>
  <si>
    <t>Subtract 3 from the opponent's active Guard before applying Opp −</t>
  </si>
  <si>
    <t>C40</t>
  </si>
  <si>
    <t>Question the Funding</t>
  </si>
  <si>
    <t>資金の出所を問う</t>
  </si>
  <si>
    <t>Shikin no Dedokoro o Tou</t>
  </si>
  <si>
    <t>Gain 1. Opponent −4.</t>
  </si>
  <si>
    <t>C41</t>
  </si>
  <si>
    <t>Set the Record Straight</t>
  </si>
  <si>
    <t>事実誤認の訂正</t>
  </si>
  <si>
    <t>Jijitsu Gonin no Teisei</t>
  </si>
  <si>
    <t>Press</t>
  </si>
  <si>
    <t>Gain 1. Draw 1. Reduce your gaffe meter by 1.</t>
  </si>
  <si>
    <t>C42</t>
  </si>
  <si>
    <t>Press for a Straight Answer</t>
  </si>
  <si>
    <t>明確な答弁を求める</t>
  </si>
  <si>
    <t>Meikaku na Tōben o Motomeru</t>
  </si>
  <si>
    <t>Opponent −3. Draw 1. Ignores 2 of the opponent's Guard.</t>
  </si>
  <si>
    <t>Subtract 2 from the opponent's active Guard before applying Opp −</t>
  </si>
  <si>
    <t>C43</t>
  </si>
  <si>
    <t>Check Their Facts</t>
  </si>
  <si>
    <t>事実確認を迫る</t>
  </si>
  <si>
    <t>Jijitsu Kakunin o Semaru</t>
  </si>
  <si>
    <t>Opponent −2; −3 more if opponent gaffe &gt; 0.</t>
  </si>
  <si>
    <t>C44</t>
  </si>
  <si>
    <t>Demand an Outside Review</t>
  </si>
  <si>
    <t>第三者委員会を求める</t>
  </si>
  <si>
    <t>Daisansha Iinkai o Motomeru</t>
  </si>
  <si>
    <t>Opponent −6; −3 more if opponent gaffe &gt; 0. Reduce your gaffe meter by 1.</t>
  </si>
  <si>
    <t>C17</t>
  </si>
  <si>
    <t>Labeling</t>
  </si>
  <si>
    <t>レッテル貼り</t>
  </si>
  <si>
    <t>Retteru-bari</t>
  </si>
  <si>
    <t>Opponent −3. Gaffe +1.</t>
  </si>
  <si>
    <t>C18</t>
  </si>
  <si>
    <t>Drawing Battle Lines</t>
  </si>
  <si>
    <t>敵味方の線引き</t>
  </si>
  <si>
    <t>Tekimikata no Senbiki</t>
  </si>
  <si>
    <t>Gain 3. Opponent −3. Gaffe +1. +2 more to gain if Party Members ≥ 50%.</t>
  </si>
  <si>
    <t>C19</t>
  </si>
  <si>
    <t>Agitation</t>
  </si>
  <si>
    <t>煽動</t>
  </si>
  <si>
    <t>Sendō</t>
  </si>
  <si>
    <t>Gain 5. Opponent −2. Gaffe +2. +2 more to gain if Constituents ≥ 50%.</t>
  </si>
  <si>
    <t>C20</t>
  </si>
  <si>
    <t>Loyalty Test</t>
  </si>
  <si>
    <t>踏み絵</t>
  </si>
  <si>
    <t>Fumie</t>
  </si>
  <si>
    <t>Opponent −7. Gaffe +2.</t>
  </si>
  <si>
    <t>C45</t>
  </si>
  <si>
    <t>Name and Shame</t>
  </si>
  <si>
    <t>名指し批判</t>
  </si>
  <si>
    <t>Nazashi Hihan</t>
  </si>
  <si>
    <t>Opponent −6. Gaffe +2.</t>
  </si>
  <si>
    <t>C46</t>
  </si>
  <si>
    <t>Force the Choice</t>
  </si>
  <si>
    <t>二者択一を迫る</t>
  </si>
  <si>
    <t>Nisha Takuitsu o Semaru</t>
  </si>
  <si>
    <t>Gain 2. Opponent −3. Gaffe +1. +2 more to gain if Constituents ≥ 50%.</t>
  </si>
  <si>
    <t>C47</t>
  </si>
  <si>
    <t>Question Their Loyalty</t>
  </si>
  <si>
    <t>忠誠を問う</t>
  </si>
  <si>
    <t>Chūsei o Tou</t>
  </si>
  <si>
    <t>Gain 2. Opponent −5. Gaffe +3. +3 more to gain if Party Members ≥ 50%.</t>
  </si>
  <si>
    <t>C48</t>
  </si>
  <si>
    <t>Media Appeal</t>
  </si>
  <si>
    <t>メディアへの訴え</t>
  </si>
  <si>
    <t>Media e no Uttae</t>
  </si>
  <si>
    <t>Gain 3. Opponent −2. Draw 1. Gaffe +1. +2 more to gain if Press ≥ 50%.</t>
  </si>
  <si>
    <t>+2 if Press &gt;= 50% (reads Target segment)</t>
  </si>
  <si>
    <t>C49</t>
  </si>
  <si>
    <t>Declare Them Unfit</t>
  </si>
  <si>
    <t>不信任を突きつける</t>
  </si>
  <si>
    <t>Fushinnin o Tsukitsukeru</t>
  </si>
  <si>
    <t>Opponent −9. Gaffe +3. Ignores 3 of the opponent's Guard.</t>
  </si>
  <si>
    <t>C21</t>
  </si>
  <si>
    <t>Iridescent Answer</t>
  </si>
  <si>
    <t>玉虫色の答弁</t>
  </si>
  <si>
    <t>Tamamushi-iro no Tōben</t>
  </si>
  <si>
    <t>Gain 3. Guard 5 this turn. Gaffe +2.</t>
  </si>
  <si>
    <t>C22</t>
  </si>
  <si>
    <t>"I Have No Recollection"</t>
  </si>
  <si>
    <t>記憶にございません</t>
  </si>
  <si>
    <t>Kioku ni Gozaimasen</t>
  </si>
  <si>
    <t>Guard 5 this turn. Draw 1. Gaffe +2.</t>
  </si>
  <si>
    <t>C23</t>
  </si>
  <si>
    <t>Shifting the Issue</t>
  </si>
  <si>
    <t>論点ずらし</t>
  </si>
  <si>
    <t>Ronten-zurashi</t>
  </si>
  <si>
    <t>Gain 2. Opponent −3. Gaffe +1.</t>
  </si>
  <si>
    <t>C24</t>
  </si>
  <si>
    <t>Offer a Quiet Assurance</t>
  </si>
  <si>
    <t>密約を持ちかける</t>
  </si>
  <si>
    <t>Mitsuyaku o Mochikakeru</t>
  </si>
  <si>
    <t>Gain 7. Gaffe +1. +3 more to gain if Donors ≥ 50%.</t>
  </si>
  <si>
    <t>+3 if Donors &gt;= 50% (reads Target segment)</t>
  </si>
  <si>
    <t>C50</t>
  </si>
  <si>
    <t>Take It Under Advisement</t>
  </si>
  <si>
    <t>前向きに検討します</t>
  </si>
  <si>
    <t>Maemuki ni Kentō Shimasu</t>
  </si>
  <si>
    <t>Gain 1. Opponent −2. Guard 5 this turn. Gaffe +2.</t>
  </si>
  <si>
    <t>C51</t>
  </si>
  <si>
    <t>Feed the Press a Line</t>
  </si>
  <si>
    <t>記者に吹き込む</t>
  </si>
  <si>
    <t>Kisha ni Fukikomu</t>
  </si>
  <si>
    <t>Gain 1. Opponent −4. Gaffe +1. +2 more to gain if Press ≥ 50%.</t>
  </si>
  <si>
    <t>C52</t>
  </si>
  <si>
    <t>Drown Them in Detail</t>
  </si>
  <si>
    <t>細部で煙に巻く</t>
  </si>
  <si>
    <t>Saibu de Kemu ni Maku</t>
  </si>
  <si>
    <t>Gain 4. Draw 1. Gaffe +1. +2 more to gain if Bureaucrats ≥ 50%.</t>
  </si>
  <si>
    <t>+2 if Bureaucrats &gt;= 50% (reads Target segment)</t>
  </si>
  <si>
    <t>C53</t>
  </si>
  <si>
    <t>Tell the Room What It Wants</t>
  </si>
  <si>
    <t>相手によって話を変える</t>
  </si>
  <si>
    <t>Aite ni Yotte Hanashi o Kaeru</t>
  </si>
  <si>
    <t>Gain 7. Gaffe +2. +3 more to gain if you trail the opponent in support.</t>
  </si>
  <si>
    <t>C54</t>
  </si>
  <si>
    <t>Off the Record</t>
  </si>
  <si>
    <t>オフレコ</t>
  </si>
  <si>
    <t>Ofureko</t>
  </si>
  <si>
    <t>Gain 5. Guard 2 this turn. Gaffe +1.</t>
  </si>
  <si>
    <t>Segment ID</t>
  </si>
  <si>
    <t>Segment (EN)</t>
  </si>
  <si>
    <t>Segment (JP)</t>
  </si>
  <si>
    <t>Description</t>
  </si>
  <si>
    <t>Initial Favorability %</t>
  </si>
  <si>
    <t>SG01</t>
  </si>
  <si>
    <t>報道陣</t>
  </si>
  <si>
    <t>Hōdōjin</t>
  </si>
  <si>
    <t>Reporters, editors, camera crews</t>
  </si>
  <si>
    <t>SG02</t>
  </si>
  <si>
    <t>党員</t>
  </si>
  <si>
    <t>Tōin</t>
  </si>
  <si>
    <t>Party members and whips</t>
  </si>
  <si>
    <t>SG03</t>
  </si>
  <si>
    <t>有権者</t>
  </si>
  <si>
    <t>Yūkensha</t>
  </si>
  <si>
    <t>Voters of the protagonist's district and the general public</t>
  </si>
  <si>
    <t>SG04</t>
  </si>
  <si>
    <t>支援者</t>
  </si>
  <si>
    <t>Shiensha</t>
  </si>
  <si>
    <t>Backers, business associations, Kōenkai members</t>
  </si>
  <si>
    <t>SG05</t>
  </si>
  <si>
    <t>官僚</t>
  </si>
  <si>
    <t>Kanryō</t>
  </si>
  <si>
    <t>Ministry officials and committee staff</t>
  </si>
  <si>
    <t>Mod ID</t>
  </si>
  <si>
    <t>Trigger segment or booster</t>
  </si>
  <si>
    <t>Trigger min %</t>
  </si>
  <si>
    <t>Effect</t>
  </si>
  <si>
    <t>Reputation cost to activate</t>
  </si>
  <si>
    <t>Jiban cost to activate</t>
  </si>
  <si>
    <t>Funds (Yen) cost to activate</t>
  </si>
  <si>
    <t>Effect Type</t>
  </si>
  <si>
    <t>Effect Target</t>
  </si>
  <si>
    <t>Effect Value</t>
  </si>
  <si>
    <t>M01</t>
  </si>
  <si>
    <t>Local Support Association</t>
  </si>
  <si>
    <t>地元後援会</t>
  </si>
  <si>
    <t>Jimoto Kōenkai</t>
  </si>
  <si>
    <t>+10 XP after successful completion of a level.</t>
  </si>
  <si>
    <t>RESOURCE_BONUS_ON_WIN</t>
  </si>
  <si>
    <t>XP</t>
  </si>
  <si>
    <t>M02</t>
  </si>
  <si>
    <t>Shotengai Association</t>
  </si>
  <si>
    <t>商店街の会</t>
  </si>
  <si>
    <t>Shōtengai  no Kai</t>
  </si>
  <si>
    <t>+1,500 Funds (Yen) after successful completion of a level.</t>
  </si>
  <si>
    <t>Yen</t>
  </si>
  <si>
    <t>M03</t>
  </si>
  <si>
    <t>Commission a Press Profile</t>
  </si>
  <si>
    <t>好意的な番記者</t>
  </si>
  <si>
    <t>Kōiteki na Bankisha</t>
  </si>
  <si>
    <t>ST04 starts with +5 Press tone.</t>
  </si>
  <si>
    <t>STAGE_START_BONUS</t>
  </si>
  <si>
    <t>M04</t>
  </si>
  <si>
    <t>Editorial Board Backing</t>
  </si>
  <si>
    <t>論説委員の支持</t>
  </si>
  <si>
    <t>Ronsetsu Iin no Shiji</t>
  </si>
  <si>
    <t>ST06 TV Debate starts with +10 Press tone.</t>
  </si>
  <si>
    <t>M05</t>
  </si>
  <si>
    <t>Agricultural Cooperatives</t>
  </si>
  <si>
    <t>農協</t>
  </si>
  <si>
    <t>Nōkyō</t>
  </si>
  <si>
    <t>BO10</t>
  </si>
  <si>
    <t>+1,000 Funds (Yen) after successful completion of a level.</t>
  </si>
  <si>
    <t>M06</t>
  </si>
  <si>
    <t>Labor Federation</t>
  </si>
  <si>
    <t>労働組合連合</t>
  </si>
  <si>
    <t>Rōdō Kumiai Rengō</t>
  </si>
  <si>
    <t>BO09</t>
  </si>
  <si>
    <t>+15 XP after successful completion of a level.</t>
  </si>
  <si>
    <t>M07</t>
  </si>
  <si>
    <t>Scandal Coverage</t>
  </si>
  <si>
    <t>スキャンダル報道</t>
  </si>
  <si>
    <t>Sukyandaru Hōdō</t>
  </si>
  <si>
    <t>BO08</t>
  </si>
  <si>
    <t>ST06 TV Debate gaffe (失言) limit +1.</t>
  </si>
  <si>
    <t>GAFFE_LIMIT_BONUS</t>
  </si>
  <si>
    <t>M08</t>
  </si>
  <si>
    <t>Faction Rebellion</t>
  </si>
  <si>
    <t>造反</t>
  </si>
  <si>
    <t>Zōhan</t>
  </si>
  <si>
    <t>BO02</t>
  </si>
  <si>
    <t>ST03 Party Caucus starts with +10 Support.</t>
  </si>
  <si>
    <t>M09</t>
  </si>
  <si>
    <t>Party Backing</t>
  </si>
  <si>
    <t>党の後押し</t>
  </si>
  <si>
    <t>Tō no Atooshi</t>
  </si>
  <si>
    <t>+5 Party support after successful completion of a level.</t>
  </si>
  <si>
    <t>PartySupport</t>
  </si>
  <si>
    <t>M10</t>
  </si>
  <si>
    <t>Cold Shoulder</t>
  </si>
  <si>
    <t>党内の冷遇</t>
  </si>
  <si>
    <t>Tōnai no Reigū</t>
  </si>
  <si>
    <t>BO01</t>
  </si>
  <si>
    <t>Level unlock XP cost reduced 10% (independent fundraising when HQ withholds support).</t>
  </si>
  <si>
    <t>UNLOCK_DISCOUNT</t>
  </si>
  <si>
    <t>XPCost</t>
  </si>
  <si>
    <t>M11</t>
  </si>
  <si>
    <t>Official Endorsement</t>
  </si>
  <si>
    <t>党公認</t>
  </si>
  <si>
    <t>Tō Kōnin</t>
  </si>
  <si>
    <t>+2 Jiban after successful completion of a level.</t>
  </si>
  <si>
    <t>Jiban</t>
  </si>
  <si>
    <t>M12</t>
  </si>
  <si>
    <t>Faction Patronage</t>
  </si>
  <si>
    <t>派閥の庇護</t>
  </si>
  <si>
    <t>Habatsu no Higo</t>
  </si>
  <si>
    <t>Tier 1 level unlock XP cost reduced 15%.</t>
  </si>
  <si>
    <t>Tier1Cost</t>
  </si>
  <si>
    <t>M13</t>
  </si>
  <si>
    <t>Mayors' Endorsement</t>
  </si>
  <si>
    <t>首長の推薦</t>
  </si>
  <si>
    <t>Shuchō no Suisen</t>
  </si>
  <si>
    <t>BO04</t>
  </si>
  <si>
    <t>ST15 Committee on Construction and Development starts with +10 Favourability.</t>
  </si>
  <si>
    <t>M14</t>
  </si>
  <si>
    <t>Community Canvass</t>
  </si>
  <si>
    <t>町内会の支援</t>
  </si>
  <si>
    <t>Chōnaikai no Shien</t>
  </si>
  <si>
    <t>+1 card drawn at the start of ST05 Town Hall.</t>
  </si>
  <si>
    <t>HAND_SIZE_BONUS</t>
  </si>
  <si>
    <t>M15</t>
  </si>
  <si>
    <t>Fishing Fleet Support</t>
  </si>
  <si>
    <t>漁協の支援</t>
  </si>
  <si>
    <t>Gyokyō no Shien</t>
  </si>
  <si>
    <t>+2,000 Funds (Yen) after successful completion of a level.</t>
  </si>
  <si>
    <t>M16</t>
  </si>
  <si>
    <t>Party Headquarters</t>
  </si>
  <si>
    <t>党本部の全面支援</t>
  </si>
  <si>
    <t>Tōhonbu no Zenmen Shien</t>
  </si>
  <si>
    <t>ST08 Party Steering Committee starts with +15 Support.</t>
  </si>
  <si>
    <t>M17</t>
  </si>
  <si>
    <t>Party Faction</t>
  </si>
  <si>
    <t>派閥の後押し</t>
  </si>
  <si>
    <t>Habatsu no Atooshi</t>
  </si>
  <si>
    <t>+3 Party support after successful completion of a level.</t>
  </si>
  <si>
    <t>M18</t>
  </si>
  <si>
    <t>Local Kōenkai</t>
  </si>
  <si>
    <t>後援会の地盤固め</t>
  </si>
  <si>
    <t>Kōenkai no Jiban Gatame</t>
  </si>
  <si>
    <t>BO03</t>
  </si>
  <si>
    <t>M19</t>
  </si>
  <si>
    <t>Mayors' Network</t>
  </si>
  <si>
    <t>市町村長会の口利き</t>
  </si>
  <si>
    <t>Shichōsonchō-kai no Kuchikiki</t>
  </si>
  <si>
    <t>ST17 Committee on Government Administration starts with +10 Favourability.</t>
  </si>
  <si>
    <t>M20</t>
  </si>
  <si>
    <t>Chamber of Commerce</t>
  </si>
  <si>
    <t>商工会議所の資金援助</t>
  </si>
  <si>
    <t>Shōkō Kaigisho no Shikin Enjo</t>
  </si>
  <si>
    <t>BO05</t>
  </si>
  <si>
    <t>+2,500 Funds (Yen) after successful completion of a level.</t>
  </si>
  <si>
    <t>M21</t>
  </si>
  <si>
    <t>Neighborhood Associations</t>
  </si>
  <si>
    <t>町内会の動員</t>
  </si>
  <si>
    <t>Chōnaikai no Dōin</t>
  </si>
  <si>
    <t>BO06</t>
  </si>
  <si>
    <t>+1 card drawn at the start of ST01 Special Committee.</t>
  </si>
  <si>
    <t>M22</t>
  </si>
  <si>
    <t>Fisheries Cooperative</t>
  </si>
  <si>
    <t>漁協の後押し</t>
  </si>
  <si>
    <t>Gyokyō no Atooshi</t>
  </si>
  <si>
    <t>BO07</t>
  </si>
  <si>
    <t>ST13 Committee on Agriculture starts with +10 Favourability.</t>
  </si>
  <si>
    <t>M23</t>
  </si>
  <si>
    <t>National Media</t>
  </si>
  <si>
    <t>全国紙の好意的報道</t>
  </si>
  <si>
    <t>Zenkokushi no Kōiteki Hōdō</t>
  </si>
  <si>
    <t>ST04 Press Conference starts with +10 Press tone.</t>
  </si>
  <si>
    <t>M24</t>
  </si>
  <si>
    <t>労組の集票力</t>
  </si>
  <si>
    <t>Rōso no Shūhyōryoku</t>
  </si>
  <si>
    <t>ST02 Floor Debate starts with +10 Seats.</t>
  </si>
  <si>
    <t>M25</t>
  </si>
  <si>
    <t>農協の集票力</t>
  </si>
  <si>
    <t>Nōkyō no Shūhyōryoku</t>
  </si>
  <si>
    <t>ST10 Committee on the Environment starts with +10 Favourability.</t>
  </si>
  <si>
    <t>M26</t>
  </si>
  <si>
    <t>Campus Organizing Network</t>
  </si>
  <si>
    <t>学生運動ネットワーク</t>
  </si>
  <si>
    <t>Gakusei Undō Nettowāku</t>
  </si>
  <si>
    <t>BO11</t>
  </si>
  <si>
    <t>+1 card drawn at the start of ST21 Policy Study Session.</t>
  </si>
  <si>
    <t>M27</t>
  </si>
  <si>
    <t>PTA Network</t>
  </si>
  <si>
    <t>保護者会ネットワーク</t>
  </si>
  <si>
    <t>Hogosha-kai Nettowāku</t>
  </si>
  <si>
    <t>BO12</t>
  </si>
  <si>
    <t>ST05 Town Hall starts with +10 Appeasement.</t>
  </si>
  <si>
    <t>M28</t>
  </si>
  <si>
    <t>Traditional Craft Guild Backing</t>
  </si>
  <si>
    <t>伝統工芸組合の支援</t>
  </si>
  <si>
    <t>Dentō Kōgei Kumiai no Shien</t>
  </si>
  <si>
    <t>BO13</t>
  </si>
  <si>
    <t>M29</t>
  </si>
  <si>
    <t>Commuter Rail Advocacy</t>
  </si>
  <si>
    <t>通勤鉄道推進の会</t>
  </si>
  <si>
    <t>Tsūkin Tetsudō Suishin no Kai</t>
  </si>
  <si>
    <t>BO14</t>
  </si>
  <si>
    <t>ST01 Special Committee starts with +5 Members.</t>
  </si>
  <si>
    <t>M30</t>
  </si>
  <si>
    <t>Traditionalist Bloc Support</t>
  </si>
  <si>
    <t>保守派ブロックの支持</t>
  </si>
  <si>
    <t>Hoshu-ha Burokku no Shiji</t>
  </si>
  <si>
    <t>BO15</t>
  </si>
  <si>
    <t>ST18 Committee of the Cabinet starts with +10 Consensus.</t>
  </si>
  <si>
    <t>M31</t>
  </si>
  <si>
    <t>Reform Caucus Support</t>
  </si>
  <si>
    <t>改革派議員連盟の支持</t>
  </si>
  <si>
    <t>Kaikaku-ha Giin Renmei no Shiji</t>
  </si>
  <si>
    <t>BO16</t>
  </si>
  <si>
    <t>ST16 Committee on Finance starts with +10 Favourability.</t>
  </si>
  <si>
    <t>Booster ID</t>
  </si>
  <si>
    <t>Organization (EN)</t>
  </si>
  <si>
    <t>Organization (JP)</t>
  </si>
  <si>
    <t>Linked modifiers</t>
  </si>
  <si>
    <t>党本部</t>
  </si>
  <si>
    <t>Tōhonbu</t>
  </si>
  <si>
    <t>Party</t>
  </si>
  <si>
    <t>M10, M11, M16</t>
  </si>
  <si>
    <t>派閥</t>
  </si>
  <si>
    <t>Habatsu</t>
  </si>
  <si>
    <t>M08, M12, M17</t>
  </si>
  <si>
    <t>後援会</t>
  </si>
  <si>
    <t>Kōenkai</t>
  </si>
  <si>
    <t>Constituency</t>
  </si>
  <si>
    <t>市町村長会</t>
  </si>
  <si>
    <t>Shichōsonchō-kai</t>
  </si>
  <si>
    <t>M13, M19</t>
  </si>
  <si>
    <t>商工会議所</t>
  </si>
  <si>
    <t>Shōkō Kaigisho</t>
  </si>
  <si>
    <t>National</t>
  </si>
  <si>
    <t>町内会</t>
  </si>
  <si>
    <t>Chōnaikai</t>
  </si>
  <si>
    <t>漁協</t>
  </si>
  <si>
    <t>Gyokyō</t>
  </si>
  <si>
    <t>全国紙</t>
  </si>
  <si>
    <t>Zenkokushi</t>
  </si>
  <si>
    <t>M07, M23</t>
  </si>
  <si>
    <t>M06, M24</t>
  </si>
  <si>
    <t>M05, M15, M25</t>
  </si>
  <si>
    <t>Students</t>
  </si>
  <si>
    <t>学生団体</t>
  </si>
  <si>
    <t>Gakusei Dantai</t>
  </si>
  <si>
    <t>Families</t>
  </si>
  <si>
    <t>子育て世代の会</t>
  </si>
  <si>
    <t>Kosodate Sedai no Kai</t>
  </si>
  <si>
    <t>Artisans</t>
  </si>
  <si>
    <t>職人組合</t>
  </si>
  <si>
    <t>Shokunin Kumiai</t>
  </si>
  <si>
    <t>Commuters</t>
  </si>
  <si>
    <t>通勤者連盟</t>
  </si>
  <si>
    <t>Tsūkinsha Renmei</t>
  </si>
  <si>
    <t>Traditionalists</t>
  </si>
  <si>
    <t>伝統保守の会</t>
  </si>
  <si>
    <t>Dentō Hoshu no Kai</t>
  </si>
  <si>
    <t>Modernists</t>
  </si>
  <si>
    <t>革新の会</t>
  </si>
  <si>
    <t>Kakushin no Kai</t>
  </si>
  <si>
    <t>Opp ID</t>
  </si>
  <si>
    <t>OP01</t>
  </si>
  <si>
    <t>Barclay Brigham</t>
  </si>
  <si>
    <t>Keizaijiyuutou</t>
  </si>
  <si>
    <t>OP02</t>
  </si>
  <si>
    <t>Yuriko Mayeda</t>
  </si>
  <si>
    <t>Frontier Party</t>
  </si>
  <si>
    <t>OP03</t>
  </si>
  <si>
    <t>Masato Maruyama</t>
  </si>
  <si>
    <t>Country Initiative</t>
  </si>
  <si>
    <t>OP04</t>
  </si>
  <si>
    <t>Kitahime Haibi</t>
  </si>
  <si>
    <t>Five Point Independents</t>
  </si>
  <si>
    <t>OP05</t>
  </si>
  <si>
    <t>Shizutake Matsumae</t>
  </si>
  <si>
    <t>OP06</t>
  </si>
  <si>
    <t>Mao Saeki</t>
  </si>
  <si>
    <t>Butsutou</t>
  </si>
  <si>
    <t>OP07</t>
  </si>
  <si>
    <t>Tobira Hideyoshi</t>
  </si>
  <si>
    <t>OP08</t>
  </si>
  <si>
    <t>Aki Rono</t>
  </si>
  <si>
    <t>Yezo Heritage Party</t>
  </si>
  <si>
    <t>OP09</t>
  </si>
  <si>
    <t>Walter Peard</t>
  </si>
  <si>
    <t>Variable</t>
  </si>
  <si>
    <t>JP</t>
  </si>
  <si>
    <t>Start</t>
  </si>
  <si>
    <t>Min</t>
  </si>
  <si>
    <t>Max</t>
  </si>
  <si>
    <t>Low Threshold</t>
  </si>
  <si>
    <t>Low consequence</t>
  </si>
  <si>
    <t>HighThreshold</t>
  </si>
  <si>
    <t>High consequence</t>
  </si>
  <si>
    <t>Constituency support</t>
  </si>
  <si>
    <t>地盤</t>
  </si>
  <si>
    <t>LV10 cannot active.</t>
  </si>
  <si>
    <t>Reputation</t>
  </si>
  <si>
    <t>知名度</t>
  </si>
  <si>
    <t>Chimeido</t>
  </si>
  <si>
    <t>LV05 cannot activate.</t>
  </si>
  <si>
    <t>Funds</t>
  </si>
  <si>
    <t>円</t>
  </si>
  <si>
    <t>Party support</t>
  </si>
  <si>
    <t>党内支持</t>
  </si>
  <si>
    <t>Tōnai Shiji</t>
  </si>
  <si>
    <t>LV08 cannot activate.</t>
  </si>
  <si>
    <t>Key</t>
  </si>
  <si>
    <t>Where</t>
  </si>
  <si>
    <t>English</t>
  </si>
  <si>
    <t>Placeholders</t>
  </si>
  <si>
    <t>Notes</t>
  </si>
  <si>
    <t>outcome.carried</t>
  </si>
  <si>
    <t>End of stage — title</t>
  </si>
  <si>
    <t>The title when you win a stage.</t>
  </si>
  <si>
    <t>outcome.defeated</t>
  </si>
  <si>
    <t>Defeated</t>
  </si>
  <si>
    <t>The title when you lose.</t>
  </si>
  <si>
    <t>outcome.no_decision</t>
  </si>
  <si>
    <t>No decision</t>
  </si>
  <si>
    <t>The title when the turn limit ran out with no result.</t>
  </si>
  <si>
    <t>outcome.conference_over</t>
  </si>
  <si>
    <t>Conference over</t>
  </si>
  <si>
    <t>Instead of Carried, where the room was a press conference and nobody was beaten.</t>
  </si>
  <si>
    <t>outcome.closed</t>
  </si>
  <si>
    <t>stage</t>
  </si>
  <si>
    <t>For a room that is scored rather than won: the caucus, the town hall, the TV debate.</t>
  </si>
  <si>
    <t>outcome.closed_unnamed</t>
  </si>
  <si>
    <t>It closed</t>
  </si>
  <si>
    <t>The same line where the stage has no name to use.</t>
  </si>
  <si>
    <t>outcome.ahead</t>
  </si>
  <si>
    <t>End of stage — what it was worth</t>
  </si>
  <si>
    <t>You start {count} ahead at the floor debate.</t>
  </si>
  <si>
    <t>count</t>
  </si>
  <si>
    <t>Shown when this stage's score carries into a later one.</t>
  </si>
  <si>
    <t>outcome.behind</t>
  </si>
  <si>
    <t>You start {count} behind at the floor debate.</t>
  </si>
  <si>
    <t>The same, where the score went against you. {count} is already positive.</t>
  </si>
  <si>
    <t>outcome.pleased</t>
  </si>
  <si>
    <t>Pleased: {names}.</t>
  </si>
  <si>
    <t>names</t>
  </si>
  <si>
    <t>Which organisations your answers pleased.</t>
  </si>
  <si>
    <t>outcome.no_rewards</t>
  </si>
  <si>
    <t>This stage has no rewards set yet.</t>
  </si>
  <si>
    <t>The truth, rather than silence that reads as a bug. Every playtest stage says this until its numbers are set.</t>
  </si>
  <si>
    <t>outcome.xp</t>
  </si>
  <si>
    <t>{count} XP</t>
  </si>
  <si>
    <t>Listed alongside the standings that moved.</t>
  </si>
  <si>
    <t>outcome.sign_off_unwritten</t>
  </si>
  <si>
    <t>End of stage — last stage of a level</t>
  </si>
  <si>
    <t>That is the end of it.</t>
  </si>
  <si>
    <t>Used when a level has no win_text or loss_text of its own AND no name.</t>
  </si>
  <si>
    <t>outcome.sign_off_named</t>
  </si>
  <si>
    <t>{level} is behind you.</t>
  </si>
  <si>
    <t>level</t>
  </si>
  <si>
    <t>Used when a level has no win_text or loss_text written yet. True of any level.</t>
  </si>
  <si>
    <t>outcome.close</t>
  </si>
  <si>
    <t>End of stage — button</t>
  </si>
  <si>
    <t>Close</t>
  </si>
  <si>
    <t>The button when you are not in a level.</t>
  </si>
  <si>
    <t>outcome.back_to_office</t>
  </si>
  <si>
    <t>Back to the Office</t>
  </si>
  <si>
    <t>The button after the last stage of a level, or after a loss.</t>
  </si>
  <si>
    <t>outcome.next_stage</t>
  </si>
  <si>
    <t>On to the next stage</t>
  </si>
  <si>
    <t>The button when the level has another room waiting.</t>
  </si>
  <si>
    <t>battle.no_stage</t>
  </si>
  <si>
    <t>Battle — notices</t>
  </si>
  <si>
    <t>There is no stage to play here.</t>
  </si>
  <si>
    <t>Shown if a stage cannot be found at all.</t>
  </si>
  <si>
    <t>battle.cannot_start</t>
  </si>
  <si>
    <t>This battle could not start:
• {problems}</t>
  </si>
  <si>
    <t>problems</t>
  </si>
  <si>
    <t>{problems} is a bulleted list the game fills in.</t>
  </si>
  <si>
    <t>battle.card_refused</t>
  </si>
  <si>
    <t>That card cannot be played.</t>
  </si>
  <si>
    <t>A fallback; the engine usually gives its own reason.</t>
  </si>
  <si>
    <t>battle.declined</t>
  </si>
  <si>
    <t>You let that one go. The room cools.</t>
  </si>
  <si>
    <t>Ending a turn without answering the question in front of you.</t>
  </si>
  <si>
    <t>battle.passed</t>
  </si>
  <si>
    <t>You said nothing. One less energy this turn.</t>
  </si>
  <si>
    <t>Ending a turn having played no cards, outside a press conference.</t>
  </si>
  <si>
    <t>narration.sentence</t>
  </si>
  <si>
    <t>Battle — what happened</t>
  </si>
  <si>
    <t>{who}: {clauses}.</t>
  </si>
  <si>
    <t>who, clauses</t>
  </si>
  <si>
    <t>The frame the opponent's move is reported in.</t>
  </si>
  <si>
    <t>narration.they</t>
  </si>
  <si>
    <t>They</t>
  </si>
  <si>
    <t>Stands in for an opponent with no name.</t>
  </si>
  <si>
    <t>narration.that_opponent</t>
  </si>
  <si>
    <t>That opponent</t>
  </si>
  <si>
    <t>Stands in for a finished opponent with no name.</t>
  </si>
  <si>
    <t>narration.the_next</t>
  </si>
  <si>
    <t>the next</t>
  </si>
  <si>
    <t>Stands in for the next opponent up, unnamed.</t>
  </si>
  <si>
    <t>narration.a_member</t>
  </si>
  <si>
    <t>a member</t>
  </si>
  <si>
    <t>Stands in for a committee member with no name.</t>
  </si>
  <si>
    <t>narration.them_generic</t>
  </si>
  <si>
    <t>them</t>
  </si>
  <si>
    <t>Used where the opponent has no name.</t>
  </si>
  <si>
    <t>narration.their_generic</t>
  </si>
  <si>
    <t>their</t>
  </si>
  <si>
    <t>Possessive, where the opponent has no name.</t>
  </si>
  <si>
    <t>narration.their_named</t>
  </si>
  <si>
    <t>{name}'s</t>
  </si>
  <si>
    <t>name</t>
  </si>
  <si>
    <t>Possessive, where they do have a name.</t>
  </si>
  <si>
    <t>narration.guard_stopped</t>
  </si>
  <si>
    <t>Battle — your card</t>
  </si>
  <si>
    <t>{who} guard stopped {count}</t>
  </si>
  <si>
    <t>who, count</t>
  </si>
  <si>
    <t>{who} is already possessive: "Ito's" or "their".</t>
  </si>
  <si>
    <t>narration.argued_away</t>
  </si>
  <si>
    <t>{amount} argued away from {whom}</t>
  </si>
  <si>
    <t>amount, whom</t>
  </si>
  <si>
    <t>{amount} already carries its unit: "3 seats", "5%".</t>
  </si>
  <si>
    <t>narration.gaffe.one</t>
  </si>
  <si>
    <t>{count} gaffe on your record</t>
  </si>
  <si>
    <t>narration.gaffe.other</t>
  </si>
  <si>
    <t>{count} gaffes on your record</t>
  </si>
  <si>
    <t>narration.won_over</t>
  </si>
  <si>
    <t>{amount} won over</t>
  </si>
  <si>
    <t>amount</t>
  </si>
  <si>
    <t>narration.won_over_detail</t>
  </si>
  <si>
    <t>{clause} — {detail}</t>
  </si>
  <si>
    <t>clause, detail</t>
  </si>
  <si>
    <t>Joins the win to who those people were.</t>
  </si>
  <si>
    <t>narration.raised</t>
  </si>
  <si>
    <t>{unit} raised by {count}</t>
  </si>
  <si>
    <t>unit, count</t>
  </si>
  <si>
    <t>For a room with a mood rather than people: press tone.</t>
  </si>
  <si>
    <t>narration.unmoved</t>
  </si>
  <si>
    <t>{unit} did not move</t>
  </si>
  <si>
    <t>unit</t>
  </si>
  <si>
    <t>narration.short.one</t>
  </si>
  <si>
    <t>, {count} point short of the next</t>
  </si>
  <si>
    <t>Points that cannot pay for the next person are lost.</t>
  </si>
  <si>
    <t>narration.short.other</t>
  </si>
  <si>
    <t>, {count} points short of the next</t>
  </si>
  <si>
    <t>narration.all_off</t>
  </si>
  <si>
    <t>all of them off {whom}</t>
  </si>
  <si>
    <t>whom</t>
  </si>
  <si>
    <t>narration.split</t>
  </si>
  <si>
    <t>{undecided} from the undecided, {count} off {whom}</t>
  </si>
  <si>
    <t>undecided, count, whom</t>
  </si>
  <si>
    <t>narration.bout_finished</t>
  </si>
  <si>
    <t>{who} is finished</t>
  </si>
  <si>
    <t>who</t>
  </si>
  <si>
    <t>The last opponent in the room.</t>
  </si>
  <si>
    <t>narration.bout_finished_next</t>
  </si>
  <si>
    <t>{who} is finished — {next} rises</t>
  </si>
  <si>
    <t>who, next</t>
  </si>
  <si>
    <t>narration.absorbed</t>
  </si>
  <si>
    <t>Battle — their move</t>
  </si>
  <si>
    <t>your guard absorbed {count}</t>
  </si>
  <si>
    <t>narration.taken</t>
  </si>
  <si>
    <t>{amount} taken from you</t>
  </si>
  <si>
    <t>narration.nothing_through</t>
  </si>
  <si>
    <t>nothing got through</t>
  </si>
  <si>
    <t>Their attack was entirely absorbed by your guard.</t>
  </si>
  <si>
    <t>narration.nothing_to_take</t>
  </si>
  <si>
    <t>the attack found nothing to take</t>
  </si>
  <si>
    <t>They attacked and you had nothing left to lose.</t>
  </si>
  <si>
    <t>narration.gain_none</t>
  </si>
  <si>
    <t>{who} pressed the case and won nobody over.</t>
  </si>
  <si>
    <t>narration.guard_built</t>
  </si>
  <si>
    <t>developed {count} guard</t>
  </si>
  <si>
    <t>narration.block_none</t>
  </si>
  <si>
    <t>{who} could not guard any further.</t>
  </si>
  <si>
    <t>Their guard is already at the ceiling.</t>
  </si>
  <si>
    <t>narration.leaned</t>
  </si>
  <si>
    <t>leaned on {member}, {count} against you</t>
  </si>
  <si>
    <t>member, count</t>
  </si>
  <si>
    <t>A committee chair pushing one member away from you.</t>
  </si>
  <si>
    <t>narration.lean_none</t>
  </si>
  <si>
    <t>{who} leaned on the panel and moved nobody.</t>
  </si>
  <si>
    <t>narration.waited</t>
  </si>
  <si>
    <t>{who} waited.</t>
  </si>
  <si>
    <t>Their move was worth nothing, so they did nothing.</t>
  </si>
  <si>
    <t>narration.won_over_them</t>
  </si>
  <si>
    <t>won over {amount}</t>
  </si>
  <si>
    <t>The OPPONENT winning people over. The player's version is narration.won_over, which puts the number first.</t>
  </si>
  <si>
    <t>brief.heading</t>
  </si>
  <si>
    <t>Details — how this room works</t>
  </si>
  <si>
    <t>How this room works</t>
  </si>
  <si>
    <t>brief.bullet</t>
  </si>
  <si>
    <t>• {label} — {detail}</t>
  </si>
  <si>
    <t>label, detail</t>
  </si>
  <si>
    <t>The shape of every line in the list.</t>
  </si>
  <si>
    <t>brief.label.turns</t>
  </si>
  <si>
    <t>Turns</t>
  </si>
  <si>
    <t>brief.label.energy</t>
  </si>
  <si>
    <t>Energy</t>
  </si>
  <si>
    <t>brief.label.questions</t>
  </si>
  <si>
    <t>Questions</t>
  </si>
  <si>
    <t>brief.label.gaffes</t>
  </si>
  <si>
    <t>Gaffes</t>
  </si>
  <si>
    <t>brief.label.guard</t>
  </si>
  <si>
    <t>brief.label.hand</t>
  </si>
  <si>
    <t>Your hand</t>
  </si>
  <si>
    <t>brief.label.winning</t>
  </si>
  <si>
    <t>Winning</t>
  </si>
  <si>
    <t>brief.label.decay</t>
  </si>
  <si>
    <t>Every turn costs you</t>
  </si>
  <si>
    <t>brief.turns.none</t>
  </si>
  <si>
    <t>no limit. It ends when the questions run out.</t>
  </si>
  <si>
    <t>brief.turns.limit</t>
  </si>
  <si>
    <t>{count}. Running out of them is a loss.</t>
  </si>
  <si>
    <t>brief.energy.pool</t>
  </si>
  <si>
    <t>{count} for the whole thing. They do NOT come back at the start of a turn — spend them as a budget.{left}</t>
  </si>
  <si>
    <t>count, left</t>
  </si>
  <si>
    <t>{left} is "  3 left." during a battle and empty on the briefing screen.</t>
  </si>
  <si>
    <t>brief.energy.left</t>
  </si>
  <si>
    <t xml:space="preserve">  {count} left.</t>
  </si>
  <si>
    <t>Appended to the line above once a battle is running.</t>
  </si>
  <si>
    <t>brief.energy.per_turn</t>
  </si>
  <si>
    <t>{count} a turn, back in full when you end the turn.</t>
  </si>
  <si>
    <t>A playtest could not see WHEN energy came back. That is why this line exists.</t>
  </si>
  <si>
    <t>brief.questions.one_a_turn</t>
  </si>
  <si>
    <t xml:space="preserve">one a turn, {total} in all. </t>
  </si>
  <si>
    <t>total</t>
  </si>
  <si>
    <t>Note the trailing space: the sentence continues.</t>
  </si>
  <si>
    <t>brief.questions.several</t>
  </si>
  <si>
    <t xml:space="preserve">{per_turn} a turn, {total} in all. A further card still plays, but nobody is waiting for it. </t>
  </si>
  <si>
    <t>per_turn, total</t>
  </si>
  <si>
    <t>Trailing space: the sentence continues.</t>
  </si>
  <si>
    <t>brief.questions.decline</t>
  </si>
  <si>
    <t>Leave one unanswered when the turn ends and you have declined it</t>
  </si>
  <si>
    <t>Joined to whichever ending below applies.</t>
  </si>
  <si>
    <t>brief.questions.ends_stage</t>
  </si>
  <si>
    <t>, and here that ends the stage.</t>
  </si>
  <si>
    <t>brief.questions.costs</t>
  </si>
  <si>
    <t>, which costs {count} and pleases nobody.</t>
  </si>
  <si>
    <t>brief.questions.free</t>
  </si>
  <si>
    <t>.</t>
  </si>
  <si>
    <t>Where declining costs nothing at all.</t>
  </si>
  <si>
    <t>brief.gaffes.plain</t>
  </si>
  <si>
    <t>{count} ends the stage at once.</t>
  </si>
  <si>
    <t>brief.gaffes.multiplied</t>
  </si>
  <si>
    <t>{count} ends the stage at once — and every slip here counts {multiplier} times.</t>
  </si>
  <si>
    <t>count, multiplier</t>
  </si>
  <si>
    <t>brief.guard</t>
  </si>
  <si>
    <t>it banks up to {count} and carries between turns. Only an attack takes it, and it is spent stopping one.</t>
  </si>
  <si>
    <t>brief.hand.none</t>
  </si>
  <si>
    <t>{count} cards, and you draw no more. Run out and there is nothing left to say.</t>
  </si>
  <si>
    <t>brief.hand.refill</t>
  </si>
  <si>
    <t>drawn back up to {count} at the end of every turn.</t>
  </si>
  <si>
    <t>brief.winning.score</t>
  </si>
  <si>
    <t>there is nothing to reach. However high the support gets by the end is the result, and later stages draw on it.</t>
  </si>
  <si>
    <t>brief.winning.hold</t>
  </si>
  <si>
    <t>hold the room until the questions run out.</t>
  </si>
  <si>
    <t>brief.winning.reset</t>
  </si>
  <si>
    <t>{count} {unit} wins the argument in front of you. The next one starts again from nothing, gaffes included.</t>
  </si>
  <si>
    <t>count, unit</t>
  </si>
  <si>
    <t>brief.winning.continuous</t>
  </si>
  <si>
    <t>{count} {unit} finishes the one in front of you, not the stage. Your record, your hand and the clock carry across all of them.</t>
  </si>
  <si>
    <t>brief.winning.stream</t>
  </si>
  <si>
    <t>{count} {unit} moves the queue along. The clock and your record carry; each new face is fresh energy.</t>
  </si>
  <si>
    <t>brief.winning.single</t>
  </si>
  <si>
    <t>{count} {unit}.</t>
  </si>
  <si>
    <t>brief.decay</t>
  </si>
  <si>
    <t>their interest cools by {count}, whatever you say.</t>
  </si>
  <si>
    <t>office.title</t>
  </si>
  <si>
    <t>Office</t>
  </si>
  <si>
    <t>The Office</t>
  </si>
  <si>
    <t>office.choose_level</t>
  </si>
  <si>
    <t>Office — buttons</t>
  </si>
  <si>
    <t>Choose a level</t>
  </si>
  <si>
    <t>office.management</t>
  </si>
  <si>
    <t>Office Management</t>
  </si>
  <si>
    <t>One door for everything you can spend.</t>
  </si>
  <si>
    <t>office.organisations</t>
  </si>
  <si>
    <t>The organisations</t>
  </si>
  <si>
    <t>office.in_order</t>
  </si>
  <si>
    <t>The office is in order.</t>
  </si>
  <si>
    <t>Shown when your deck is legal and there is nothing to fix.</t>
  </si>
  <si>
    <t>office.deck_warning</t>
  </si>
  <si>
    <t>Your deck: {reason}  —  see Office Management.</t>
  </si>
  <si>
    <t>reason</t>
  </si>
  <si>
    <t>office.report.none</t>
  </si>
  <si>
    <t>Before your first level.</t>
  </si>
  <si>
    <t>office.report.won</t>
  </si>
  <si>
    <t>office.report.lost</t>
  </si>
  <si>
    <t>office.xp</t>
  </si>
  <si>
    <t>Office — management</t>
  </si>
  <si>
    <t>XP {count}</t>
  </si>
  <si>
    <t>office.xp_buys</t>
  </si>
  <si>
    <t>Earned by winning stages. Buys new cards.</t>
  </si>
  <si>
    <t>office.funds</t>
  </si>
  <si>
    <t>Funds {count}</t>
  </si>
  <si>
    <t>office.funds_buys</t>
  </si>
  <si>
    <t>From donors and backers. Buys the organisations' backing.</t>
  </si>
  <si>
    <t>office.deck_count</t>
  </si>
  <si>
    <t>Deck {count} of {size}</t>
  </si>
  <si>
    <t>count, size</t>
  </si>
  <si>
    <t>office.deck_ready</t>
  </si>
  <si>
    <t>Ready to go in.</t>
  </si>
  <si>
    <t>office.new_cards</t>
  </si>
  <si>
    <t>Office — cards</t>
  </si>
  <si>
    <t>New cards</t>
  </si>
  <si>
    <t>Panel title and button.</t>
  </si>
  <si>
    <t>office.your_deck</t>
  </si>
  <si>
    <t>Office — deck</t>
  </si>
  <si>
    <t>Your deck</t>
  </si>
  <si>
    <t>office.backing</t>
  </si>
  <si>
    <t>Office — backing</t>
  </si>
  <si>
    <t>Backing</t>
  </si>
  <si>
    <t>Button into the backing shop.</t>
  </si>
  <si>
    <t>office.cards_blurb</t>
  </si>
  <si>
    <t>Cards you unlock join your collection. What you actually take into a debate is chosen on the deck screen.</t>
  </si>
  <si>
    <t>office.cards_unlocked.one</t>
  </si>
  <si>
    <t>{count} card unlocked so far.</t>
  </si>
  <si>
    <t>office.cards_unlocked.other</t>
  </si>
  <si>
    <t>{count} cards unlocked so far.</t>
  </si>
  <si>
    <t>office.unlock</t>
  </si>
  <si>
    <t>Unlock</t>
  </si>
  <si>
    <t>The button on a card you can afford.</t>
  </si>
  <si>
    <t>office.card_line</t>
  </si>
  <si>
    <t>{suit} · {effect}</t>
  </si>
  <si>
    <t>suit, effect</t>
  </si>
  <si>
    <t>office.deck_chosen</t>
  </si>
  <si>
    <t>{count} of {size} chosen{warning}</t>
  </si>
  <si>
    <t>count, size, warning</t>
  </si>
  <si>
    <t>{warning} is empty when the deck is legal.</t>
  </si>
  <si>
    <t>office.deck_warning_suffix</t>
  </si>
  <si>
    <t xml:space="preserve">  —  {reason}</t>
  </si>
  <si>
    <t>office.deck_tap</t>
  </si>
  <si>
    <t>Tap a card to take it in or leave it out.</t>
  </si>
  <si>
    <t>office.deck_confirm</t>
  </si>
  <si>
    <t>Take these in</t>
  </si>
  <si>
    <t>Only offered when the deck is legal.</t>
  </si>
  <si>
    <t>office.orgs_blurb</t>
  </si>
  <si>
    <t>Office — organisations</t>
  </si>
  <si>
    <t>Answering a reporter in the suit their question invites pleases the organisation behind it, and that standing is carried between levels.</t>
  </si>
  <si>
    <t>office.backing_blurb</t>
  </si>
  <si>
    <t>An organisation backs you once your standing with it is high enough. Answering a reporter in the suit their question invites is what raises it.</t>
  </si>
  <si>
    <t>office.nothing_for_sale</t>
  </si>
  <si>
    <t>Nothing is for sale.</t>
  </si>
  <si>
    <t>office.take_backing</t>
  </si>
  <si>
    <t>Take their backing</t>
  </si>
  <si>
    <t>office.no_effect_yet</t>
  </si>
  <si>
    <t>No effect yet — your record always opens clean, so there is nothing here to take off.</t>
  </si>
  <si>
    <t>office.not_active_yet</t>
  </si>
  <si>
    <t>Not active yet — this effect is still to be built.</t>
  </si>
  <si>
    <t>Six of the fifteen organisations' effects need machinery that is not built.</t>
  </si>
  <si>
    <t>shop.card_no_id</t>
  </si>
  <si>
    <t>Shop — refusals</t>
  </si>
  <si>
    <t>This card has no ID.</t>
  </si>
  <si>
    <t>Should never be seen; it means the data is broken.</t>
  </si>
  <si>
    <t>shop.already_yours</t>
  </si>
  <si>
    <t>Already yours.</t>
  </si>
  <si>
    <t>shop.xp_short</t>
  </si>
  <si>
    <t>{count} XP short.</t>
  </si>
  <si>
    <t>shop.mod_no_id</t>
  </si>
  <si>
    <t>This modifier has no ID.</t>
  </si>
  <si>
    <t>shop.not_for_sale</t>
  </si>
  <si>
    <t>Not for sale.</t>
  </si>
  <si>
    <t>shop.standing_needed</t>
  </si>
  <si>
    <t>Standing {have} of {needed} needed.</t>
  </si>
  <si>
    <t>have, needed</t>
  </si>
  <si>
    <t>shop.funds_short</t>
  </si>
  <si>
    <t>{count} short.</t>
  </si>
  <si>
    <t>Funds, not XP — the sentence sits under a Funds heading.</t>
  </si>
  <si>
    <t>shop.not_yours</t>
  </si>
  <si>
    <t>{card} is not yours.</t>
  </si>
  <si>
    <t>card</t>
  </si>
  <si>
    <t>shop.in_twice</t>
  </si>
  <si>
    <t>{card} is in twice.</t>
  </si>
  <si>
    <t>shop.more_to_choose</t>
  </si>
  <si>
    <t>{count} more to choose.</t>
  </si>
  <si>
    <t>shop.too_many</t>
  </si>
  <si>
    <t>{count} too many.</t>
  </si>
  <si>
    <t>office.card_title</t>
  </si>
  <si>
    <t>{name} {name_jp}  —  {cost} XP</t>
  </si>
  <si>
    <t>name, name_jp, cost</t>
  </si>
  <si>
    <t>office.where_you_stand</t>
  </si>
  <si>
    <t>Where you stand</t>
  </si>
  <si>
    <t>Heading above your four standings. Browser build only so far; the Godot Office shows them without a heading.</t>
  </si>
  <si>
    <t>outcome.reason.walked_away</t>
  </si>
  <si>
    <t>End of stage — why</t>
  </si>
  <si>
    <t>You walked away from the question. That is the story now.</t>
  </si>
  <si>
    <t>Declining a question in a room where that ends it.</t>
  </si>
  <si>
    <t>outcome.reason.gaffe_limit</t>
  </si>
  <si>
    <t>The gaffe meter filled.</t>
  </si>
  <si>
    <t>outcome.reason.committee_for</t>
  </si>
  <si>
    <t>A majority of the committee locked in favour.</t>
  </si>
  <si>
    <t>outcome.reason.committee_against</t>
  </si>
  <si>
    <t>Too many members locked against — a majority is no longer possible.</t>
  </si>
  <si>
    <t>outcome.reason.all_argued_out</t>
  </si>
  <si>
    <t>Every opponent has been argued out of the chamber.</t>
  </si>
  <si>
    <t>outcome.reason.opponent_first</t>
  </si>
  <si>
    <t>The opponent reached the threshold first.</t>
  </si>
  <si>
    <t>outcome.reason.fell_below</t>
  </si>
  <si>
    <t>Support fell below the line during the debate.</t>
  </si>
  <si>
    <t>A TV debate, where you must stay above the line every turn.</t>
  </si>
  <si>
    <t>outcome.reason.survived</t>
  </si>
  <si>
    <t>Survived the whole debate above the line.</t>
  </si>
  <si>
    <t>outcome.reason.all_argued_down</t>
  </si>
  <si>
    <t>All {count} were argued down.</t>
  </si>
  <si>
    <t>outcome.reason.threshold</t>
  </si>
  <si>
    <t>The support threshold was reached.</t>
  </si>
  <si>
    <t>outcome.reason.closed_on</t>
  </si>
  <si>
    <t>{stage} closed on {closing}.</t>
  </si>
  <si>
    <t>stage, closing</t>
  </si>
  <si>
    <t>{closing} is "46% of the room" or "46 support".</t>
  </si>
  <si>
    <t>outcome.reason.closed_on_unnamed</t>
  </si>
  <si>
    <t>It closed on {closing}.</t>
  </si>
  <si>
    <t>closing</t>
  </si>
  <si>
    <t>outcome.reason.percent_of_room</t>
  </si>
  <si>
    <t>{count}% of the room</t>
  </si>
  <si>
    <t>Slots into the line above.</t>
  </si>
  <si>
    <t>outcome.reason.amount_of_unit</t>
  </si>
  <si>
    <t>{count} {unit}</t>
  </si>
  <si>
    <t>outcome.reason.time_ahead</t>
  </si>
  <si>
    <t>Time ran out with the player ahead.</t>
  </si>
  <si>
    <t>outcome.reason.time_behind</t>
  </si>
  <si>
    <t>Time ran out with the player behind.</t>
  </si>
  <si>
    <t>outcome.reason.time_no_decision</t>
  </si>
  <si>
    <t>Time ran out with no decision. The stage restarts.</t>
  </si>
  <si>
    <t>outcome.reason.time_short</t>
  </si>
  <si>
    <t>Time ran out before the threshold was reached.</t>
  </si>
  <si>
    <t>outcome.reason.concludes</t>
  </si>
  <si>
    <t>{stage} concludes.</t>
  </si>
  <si>
    <t>outcome.reason.concludes_unnamed</t>
  </si>
  <si>
    <t>It concludes.</t>
  </si>
  <si>
    <t>outcome.reason.nothing_left</t>
  </si>
  <si>
    <t>The questions ran on, but there was nothing left to say.</t>
  </si>
  <si>
    <t>outcome.reason.unanswered.one</t>
  </si>
  <si>
    <t>One question went unanswered.</t>
  </si>
  <si>
    <t>outcome.reason.unanswered.other</t>
  </si>
  <si>
    <t>{count} questions went unanswered.</t>
  </si>
  <si>
    <t>caption.turn</t>
  </si>
  <si>
    <t>Battle — header</t>
  </si>
  <si>
    <t>Turn {turn} of {total}</t>
  </si>
  <si>
    <t>turn, total</t>
  </si>
  <si>
    <t>caption.question</t>
  </si>
  <si>
    <t>Question {number} of {total}</t>
  </si>
  <si>
    <t>number, total</t>
  </si>
  <si>
    <t>caption.opponent</t>
  </si>
  <si>
    <t>{number} of {total}</t>
  </si>
  <si>
    <t>Beside the opponent's name in a room with several.</t>
  </si>
  <si>
    <t>caption.stage</t>
  </si>
  <si>
    <t>Briefing</t>
  </si>
  <si>
    <t>Stage {number} of {total}</t>
  </si>
  <si>
    <t>intent.waiting</t>
  </si>
  <si>
    <t>Battle — their intent</t>
  </si>
  <si>
    <t>Waiting</t>
  </si>
  <si>
    <t>They have no move, or none worth making.</t>
  </si>
  <si>
    <t>intent.attacking</t>
  </si>
  <si>
    <t>Attacking · {amount}</t>
  </si>
  <si>
    <t>{amount} is "−6" or "−1 to −6".</t>
  </si>
  <si>
    <t>intent.gaining</t>
  </si>
  <si>
    <t>Gaining · {amount}</t>
  </si>
  <si>
    <t>intent.guarding</t>
  </si>
  <si>
    <t>Guarding · {amount}</t>
  </si>
  <si>
    <t>intent.pressuring</t>
  </si>
  <si>
    <t>Pressuring · {amount}</t>
  </si>
  <si>
    <t>A committee chair leaning on a member.</t>
  </si>
  <si>
    <t>intent.range</t>
  </si>
  <si>
    <t>Battle · opponent intent</t>
  </si>
  <si>
    <t>{low} to {high}</t>
  </si>
  <si>
    <t>low, high</t>
  </si>
  <si>
    <t>Joins the two ends of a move that could be anything in a range.</t>
  </si>
  <si>
    <t>carried.went_well</t>
  </si>
  <si>
    <t>Battle · details panel</t>
  </si>
  <si>
    <t>{name} went well: you start {count} ahead.</t>
  </si>
  <si>
    <t>name, count</t>
  </si>
  <si>
    <t>carried.went_badly</t>
  </si>
  <si>
    <t>{name} went badly: you start {count} behind.</t>
  </si>
  <si>
    <t>carried.pleased</t>
  </si>
  <si>
    <t>Pleased at the press conference: {names}.</t>
  </si>
  <si>
    <t>carried.nothing</t>
  </si>
  <si>
    <t>Nothing carried over from the earlier stages.</t>
  </si>
  <si>
    <t>None</t>
  </si>
  <si>
    <t>Shown when nothing carried. Reword freely — the screen no longer reads this sentence to decide anything.</t>
  </si>
  <si>
    <t>reward.by_finish</t>
  </si>
  <si>
    <t>Office · level briefing</t>
  </si>
  <si>
    <t>{name}, by how far above {baseline} you finish (1 per {per})</t>
  </si>
  <si>
    <t>name, baseline, per</t>
  </si>
  <si>
    <t>{name} is one of the four standing names — see the warning on those rows.</t>
  </si>
  <si>
    <t>reward.head_start</t>
  </si>
  <si>
    <t>A head start later in the level, 1 per {per} above {baseline}</t>
  </si>
  <si>
    <t>per, baseline</t>
  </si>
  <si>
    <t>reward.standing</t>
  </si>
  <si>
    <t>Standing with whichever organisations your answers please</t>
  </si>
  <si>
    <t>reward.delta</t>
  </si>
  <si>
    <t>{name} {amount}</t>
  </si>
  <si>
    <t>name, amount</t>
  </si>
  <si>
    <t>{amount} already carries its + or −.</t>
  </si>
  <si>
    <t>reward.nothing_set</t>
  </si>
  <si>
    <t>Nothing in this level pays out yet. The slots are in the data waiting for numbers, and the moment they have any, they will land here and on your standing.</t>
  </si>
  <si>
    <t>modifier.player_start_support</t>
  </si>
  <si>
    <t>Office · backing shop</t>
  </si>
  <si>
    <t>Start {count} ahead.</t>
  </si>
  <si>
    <t>modifier.starting_gaffe</t>
  </si>
  <si>
    <t>Start with {count} less on the gaffe meter.</t>
  </si>
  <si>
    <t>modifier.reputation_per_stage_win</t>
  </si>
  <si>
    <t>+{count} funds for every stage won.</t>
  </si>
  <si>
    <t>battle.one_at_a_time</t>
  </si>
  <si>
    <t>{count} of them, one at a time. You are on {number}.</t>
  </si>
  <si>
    <t>count, number</t>
  </si>
  <si>
    <t>battle.default_pattern</t>
  </si>
  <si>
    <t>This opponent has no move pattern of their own yet, so they are using the shared default from rules.json and playing generically.</t>
  </si>
  <si>
    <t>battle.last_question</t>
  </si>
  <si>
    <t>Battle · press conference</t>
  </si>
  <si>
    <t>That was the last question.</t>
  </si>
  <si>
    <t>battle.who_and_caption</t>
  </si>
  <si>
    <t>Battle · speaker row</t>
  </si>
  <si>
    <t>{who}  ·  {caption}</t>
  </si>
  <si>
    <t>who, caption</t>
  </si>
  <si>
    <t>battle.your_guard</t>
  </si>
  <si>
    <t>Battle · status row</t>
  </si>
  <si>
    <t>Guard {count} / {cap}</t>
  </si>
  <si>
    <t>count, cap</t>
  </si>
  <si>
    <t>battle.their_guard</t>
  </si>
  <si>
    <t>They guard {count} / {cap}</t>
  </si>
  <si>
    <t>bar.to_win</t>
  </si>
  <si>
    <t>Battle · support bar</t>
  </si>
  <si>
    <t>{amount} to win</t>
  </si>
  <si>
    <t>bar.to_advance</t>
  </si>
  <si>
    <t>{amount} to advance</t>
  </si>
  <si>
    <t>Shown on the floor, where the threshold ends one debater rather than the stage.</t>
  </si>
  <si>
    <t>bar.take_the_room</t>
  </si>
  <si>
    <t>Take as much of the room as you can</t>
  </si>
  <si>
    <t>bar.raise_as_high</t>
  </si>
  <si>
    <t>Raise {unit} as high as you can</t>
  </si>
  <si>
    <t>bar.one_sided</t>
  </si>
  <si>
    <t>{unit} {count} of {total}</t>
  </si>
  <si>
    <t>unit, count, total</t>
  </si>
  <si>
    <t>bar.two_sided</t>
  </si>
  <si>
    <t>You {you} · Undecided {undecided} · {them} {theirs}</t>
  </si>
  <si>
    <t>you, undecided, them, theirs</t>
  </si>
  <si>
    <t>bar.them</t>
  </si>
  <si>
    <t>Them</t>
  </si>
  <si>
    <t>Stands in for an opponent with no name, or one too long for the row.</t>
  </si>
  <si>
    <t>card.gain</t>
  </si>
  <si>
    <t>Card · effect line</t>
  </si>
  <si>
    <t>Gain {count}.</t>
  </si>
  <si>
    <t>card.opponent</t>
  </si>
  <si>
    <t>Opponent −{count}.</t>
  </si>
  <si>
    <t>card.guard</t>
  </si>
  <si>
    <t>Guard {count}.</t>
  </si>
  <si>
    <t>card.draw</t>
  </si>
  <si>
    <t>Draw {count}.</t>
  </si>
  <si>
    <t>card.gaffe</t>
  </si>
  <si>
    <t>Gaffe {amount}.</t>
  </si>
  <si>
    <t>card.does_nothing</t>
  </si>
  <si>
    <t>Nothing this card does counts in this room.</t>
  </si>
  <si>
    <t>card.answers_question</t>
  </si>
  <si>
    <t>Answers this question.</t>
  </si>
  <si>
    <t>card.line</t>
  </si>
  <si>
    <t>Card · opened card</t>
  </si>
  <si>
    <t>{suit} · {type} · costs {cost}</t>
  </si>
  <si>
    <t>suit, type, cost</t>
  </si>
  <si>
    <t>card.in_this_room</t>
  </si>
  <si>
    <t>In this room: {effect}</t>
  </si>
  <si>
    <t>effect</t>
  </si>
  <si>
    <t>Suit</t>
  </si>
  <si>
    <t>Cue 1</t>
  </si>
  <si>
    <t>Cue 2</t>
  </si>
  <si>
    <t>Cue 3</t>
  </si>
  <si>
    <t>Cue 4</t>
  </si>
  <si>
    <t>Cue 5</t>
  </si>
  <si>
    <t>W1</t>
  </si>
  <si>
    <t>W2</t>
  </si>
  <si>
    <t>W3</t>
  </si>
  <si>
    <t>W4</t>
  </si>
  <si>
    <t>W5</t>
  </si>
  <si>
    <t>Max words</t>
  </si>
  <si>
    <t>Word limit</t>
  </si>
  <si>
    <t>Judge me by my record.</t>
  </si>
  <si>
    <t>My record speaks louder than my speeches.</t>
  </si>
  <si>
    <t>Results matter more than rhetoric.</t>
  </si>
  <si>
    <t>Look at the work, not the words.</t>
  </si>
  <si>
    <t>I let my results do the talking.</t>
  </si>
  <si>
    <t>Cues must be under 10 words. Any count of 10+ turns red.</t>
  </si>
  <si>
    <t>Fair question. Here's my honest answer.</t>
  </si>
  <si>
    <t>I won't dodge this one.</t>
  </si>
  <si>
    <t>Let me answer you directly.</t>
  </si>
  <si>
    <t>You deserve a straight reply.</t>
  </si>
  <si>
    <t>No spin. Just the truth as I see it.</t>
  </si>
  <si>
    <t>I sincerely apologize.</t>
  </si>
  <si>
    <t>I take full responsibility, and I'm sorry.</t>
  </si>
  <si>
    <t>There is no excuse. Please forgive me.</t>
  </si>
  <si>
    <t>I bow my head and ask your forgiveness.</t>
  </si>
  <si>
    <t>I owe you an apology, and I offer it.</t>
  </si>
  <si>
    <t>Cues over limit</t>
  </si>
  <si>
    <t>Let me remind you why I serve.</t>
  </si>
  <si>
    <t>I'm here to serve, not to climb.</t>
  </si>
  <si>
    <t>Back to basics: who are we here for?</t>
  </si>
  <si>
    <t>I know exactly who I work for.</t>
  </si>
  <si>
    <t>Strip away the noise. This is what matters.</t>
  </si>
  <si>
    <t>Total cues</t>
  </si>
  <si>
    <t>When I make a promise, I keep it.</t>
  </si>
  <si>
    <t>My word is my bond.</t>
  </si>
  <si>
    <t>Check my promises against my results.</t>
  </si>
  <si>
    <t>Every commitment I make, I honor.</t>
  </si>
  <si>
    <t>I give my word, and it holds.</t>
  </si>
  <si>
    <t>When I'm wrong, I say so.</t>
  </si>
  <si>
    <t>I own my mistakes, fully and publicly.</t>
  </si>
  <si>
    <t>No excuses. Accountability starts with me.</t>
  </si>
  <si>
    <t>I'd rather admit fault than hide it.</t>
  </si>
  <si>
    <t>Mistakes are human. Hiding them isn't.</t>
  </si>
  <si>
    <t>This isn't about party. It's about people.</t>
  </si>
  <si>
    <t>My door is open to the other side.</t>
  </si>
  <si>
    <t>Let's set party aside and solve this together.</t>
  </si>
  <si>
    <t>Good ideas don't belong to one party.</t>
  </si>
  <si>
    <t>I'll work with anyone who wants results.</t>
  </si>
  <si>
    <t>This letter comes from a mother in my district.</t>
  </si>
  <si>
    <t>Let me read you a farmer's words.</t>
  </si>
  <si>
    <t>These letters are why I'm standing here.</t>
  </si>
  <si>
    <t>One student asks a simple question. Listen.</t>
  </si>
  <si>
    <t>Hundreds of letters. Listen to their words.</t>
  </si>
  <si>
    <t>Let your conscience decide.</t>
  </si>
  <si>
    <t>You know in your heart this is right.</t>
  </si>
  <si>
    <t>History will judge what we do here.</t>
  </si>
  <si>
    <t>Vote as if your children were watching.</t>
  </si>
  <si>
    <t>Set aside the party line. Do what's right.</t>
  </si>
  <si>
    <t>I will not stand by while families suffer!</t>
  </si>
  <si>
    <t>This is the fight that defines us!</t>
  </si>
  <si>
    <t>Enough talk. Our people need action!</t>
  </si>
  <si>
    <t>I'll fight for this with everything I have!</t>
  </si>
  <si>
    <t>Our towns deserve better than this!</t>
  </si>
  <si>
    <t>Forgive me. This one is personal.</t>
  </si>
  <si>
    <t>They're not statistics. They're our neighbors.</t>
  </si>
  <si>
    <t>Every family has a story like this.</t>
  </si>
  <si>
    <t>I carry their faces with me.</t>
  </si>
  <si>
    <t>Think of your own mother, your own child.</t>
  </si>
  <si>
    <t>Say it with me: enough is enough!</t>
  </si>
  <si>
    <t>You feel that? That's momentum!</t>
  </si>
  <si>
    <t>That's the sound of a movement!</t>
  </si>
  <si>
    <t>Let them know where you stand!</t>
  </si>
  <si>
    <t>Louder, so everyone can hear!</t>
  </si>
  <si>
    <t>I'm going to speak from the heart.</t>
  </si>
  <si>
    <t>Put the notes away. Here's what I believe.</t>
  </si>
  <si>
    <t>Everything I am, I owe to this land.</t>
  </si>
  <si>
    <t>I refuse to whisper when it matters.</t>
  </si>
  <si>
    <t>This is the speech I live for.</t>
  </si>
  <si>
    <t>Who's ready to win this thing?!</t>
  </si>
  <si>
    <t>Loyal hearts, one more push!</t>
  </si>
  <si>
    <t>You are the reason I keep fighting!</t>
  </si>
  <si>
    <t>You are the heart of this movement!</t>
  </si>
  <si>
    <t>Stand firm, friends. We can win this!</t>
  </si>
  <si>
    <t>How dare anyone treat families this way!</t>
  </si>
  <si>
    <t>This is an outrage, and you know it!</t>
  </si>
  <si>
    <t>Shame on anyone who defends this!</t>
  </si>
  <si>
    <t>I am furious, and so are they!</t>
  </si>
  <si>
    <t>You should be ashamed of yourself!</t>
  </si>
  <si>
    <t>No, you will hear me out!</t>
  </si>
  <si>
    <t>I will not be shouted down!</t>
  </si>
  <si>
    <t>Let me finish! Let me finish!</t>
  </si>
  <si>
    <t>I'm raising my voice because they can't!</t>
  </si>
  <si>
    <t>Go on, try to silence me.</t>
  </si>
  <si>
    <t>I will not yield. Full stop.</t>
  </si>
  <si>
    <t>Knock me down. I'll get back up.</t>
  </si>
  <si>
    <t>Count me out at your peril.</t>
  </si>
  <si>
    <t>Underestimate me. See what happens.</t>
  </si>
  <si>
    <t>Not one step back. Not one inch.</t>
  </si>
  <si>
    <t>Rise with me, and let's finish this!</t>
  </si>
  <si>
    <t>This is our chance! Take it!</t>
  </si>
  <si>
    <t>Together, nothing can stop us!</t>
  </si>
  <si>
    <t>Tell them who we are!</t>
  </si>
  <si>
    <t>The whole country is watching. Show them!</t>
  </si>
  <si>
    <t>We are stronger standing together.</t>
  </si>
  <si>
    <t>Let's leave the infighting to others.</t>
  </si>
  <si>
    <t>One purpose, one voice, one people.</t>
  </si>
  <si>
    <t>Whatever divides us, this unites us.</t>
  </si>
  <si>
    <t>Stand with me, and stand with each other.</t>
  </si>
  <si>
    <t>Where I'm from, neighbors look out for each other.</t>
  </si>
  <si>
    <t>My hometown's values guide every decision.</t>
  </si>
  <si>
    <t>Ask anyone on Main Street. They'll tell you.</t>
  </si>
  <si>
    <t>I speak for the people of my district.</t>
  </si>
  <si>
    <t>Small towns are this country's backbone.</t>
  </si>
  <si>
    <t>I believe we understand each other.</t>
  </si>
  <si>
    <t>We're more agreed than it appears.</t>
  </si>
  <si>
    <t>Let's not pretend we're far apart.</t>
  </si>
  <si>
    <t>You know where I stand, and why.</t>
  </si>
  <si>
    <t>Everyone here wants the same outcome.</t>
  </si>
  <si>
    <t>So tell me. Who's with me?</t>
  </si>
  <si>
    <t>Let's see where everyone stands.</t>
  </si>
  <si>
    <t>I need to know who I can count on.</t>
  </si>
  <si>
    <t>Tell me honestly: are you in?</t>
  </si>
  <si>
    <t>Let's take the temperature of the room.</t>
  </si>
  <si>
    <t>Our party speaks with one voice on this.</t>
  </si>
  <si>
    <t>Remember whose banner you stand under.</t>
  </si>
  <si>
    <t>Unity isn't optional on this one.</t>
  </si>
  <si>
    <t>Break ranks, and it will be remembered.</t>
  </si>
  <si>
    <t>The party's position is settled. We stand together.</t>
  </si>
  <si>
    <t>Walk with me, just the two of us.</t>
  </si>
  <si>
    <t>Between us, I think we can work something out.</t>
  </si>
  <si>
    <t>Lean in. This is just for you.</t>
  </si>
  <si>
    <t>Let's keep this conversation private.</t>
  </si>
  <si>
    <t>Do me a favor. Hear me out.</t>
  </si>
  <si>
    <t>Our goals are closer than you think.</t>
  </si>
  <si>
    <t>Let's build something neither of us could alone.</t>
  </si>
  <si>
    <t>Join us, and we all come out ahead.</t>
  </si>
  <si>
    <t>Different paths, same destination. Walk with us.</t>
  </si>
  <si>
    <t>There's room at this table for everyone.</t>
  </si>
  <si>
    <t>One good turn deserves another.</t>
  </si>
  <si>
    <t>Friends stand by friends. Stand by me.</t>
  </si>
  <si>
    <t>This is where loyalty counts.</t>
  </si>
  <si>
    <t>I'm asking you, as a friend.</t>
  </si>
  <si>
    <t>You know what our friendship is worth.</t>
  </si>
  <si>
    <t>Count them yourself. We have the votes.</t>
  </si>
  <si>
    <t>The numbers are on our side.</t>
  </si>
  <si>
    <t>The outcome is decided. You can join us.</t>
  </si>
  <si>
    <t>We don't need your vote. We'd like it.</t>
  </si>
  <si>
    <t>The majority stands with us.</t>
  </si>
  <si>
    <t>Let's look at the actual numbers.</t>
  </si>
  <si>
    <t>The data tells a different story.</t>
  </si>
  <si>
    <t>Here's the chart. Explain this line.</t>
  </si>
  <si>
    <t>Facts don't care about talking points.</t>
  </si>
  <si>
    <t>The statistics speak for themselves.</t>
  </si>
  <si>
    <t>I'd like the full report on the record.</t>
  </si>
  <si>
    <t>Please submit the original documents.</t>
  </si>
  <si>
    <t>Show us the paperwork, please.</t>
  </si>
  <si>
    <t>We request all related correspondence.</t>
  </si>
  <si>
    <t>Produce the receipts, please.</t>
  </si>
  <si>
    <t>Which is it? You can't have both.</t>
  </si>
  <si>
    <t>Your position contradicts itself.</t>
  </si>
  <si>
    <t>You're arguing both sides of this.</t>
  </si>
  <si>
    <t>Your words and your plan don't match.</t>
  </si>
  <si>
    <t>Pick one position and defend it.</t>
  </si>
  <si>
    <t>Two hundred pages of evidence. Read them.</t>
  </si>
  <si>
    <t>Our findings are published. Refute them.</t>
  </si>
  <si>
    <t>Every claim here is sourced and verified.</t>
  </si>
  <si>
    <t>This white paper answers your question.</t>
  </si>
  <si>
    <t>The research is thorough. The case is closed.</t>
  </si>
  <si>
    <t>Who pays for this proposal?</t>
  </si>
  <si>
    <t>Follow the donations, and it all makes sense.</t>
  </si>
  <si>
    <t>Where does this money actually come from?</t>
  </si>
  <si>
    <t>Who benefits most? Follow that thread.</t>
  </si>
  <si>
    <t>Disclose the funding, and we'll talk.</t>
  </si>
  <si>
    <t>Allow me to correct the record.</t>
  </si>
  <si>
    <t>For accuracy, here are the real figures.</t>
  </si>
  <si>
    <t>Let's clear up a misunderstanding.</t>
  </si>
  <si>
    <t>The facts, plainly stated, are these.</t>
  </si>
  <si>
    <t>Precision matters. Here's the accurate version.</t>
  </si>
  <si>
    <t>Yes or no? It's a simple question.</t>
  </si>
  <si>
    <t>Answer the question, please.</t>
  </si>
  <si>
    <t>A simple question: will you commit?</t>
  </si>
  <si>
    <t>Lots of words. No answer.</t>
  </si>
  <si>
    <t>Stop dodging and answer plainly.</t>
  </si>
  <si>
    <t>Source, please?</t>
  </si>
  <si>
    <t>Where's your evidence?</t>
  </si>
  <si>
    <t>Speak with facts, not guesses.</t>
  </si>
  <si>
    <t>Facts, not feelings, please.</t>
  </si>
  <si>
    <t>Let's verify that, shall we?</t>
  </si>
  <si>
    <t>Let an independent panel decide.</t>
  </si>
  <si>
    <t>If you're innocent, welcome the inquiry.</t>
  </si>
  <si>
    <t>Bring in outside eyes on this.</t>
  </si>
  <si>
    <t>Why fear an audit if nothing's wrong?</t>
  </si>
  <si>
    <t>Only an impartial investigator can settle this.</t>
  </si>
  <si>
    <t>You are a shill for special interests!</t>
  </si>
  <si>
    <t>Typical out-of-touch elitist.</t>
  </si>
  <si>
    <t>A true radical, through and through.</t>
  </si>
  <si>
    <t>The establishment's favorite puppet.</t>
  </si>
  <si>
    <t>Another career politician, protecting their own.</t>
  </si>
  <si>
    <t>There are two sides here. Pick one.</t>
  </si>
  <si>
    <t>They stand for themselves. We stand for you.</t>
  </si>
  <si>
    <t>It's us against them, plain and simple.</t>
  </si>
  <si>
    <t>You're either with the people or against them.</t>
  </si>
  <si>
    <t>On one side, workers. On the other, them.</t>
  </si>
  <si>
    <t>They're taking what's yours. Will you let them?</t>
  </si>
  <si>
    <t>Wake up! They're laughing at you!</t>
  </si>
  <si>
    <t>They think you won't fight back.</t>
  </si>
  <si>
    <t>Your jobs, your homes. They want it all.</t>
  </si>
  <si>
    <t>Will you let them walk all over you?</t>
  </si>
  <si>
    <t>Oppose this, and you're not one of us.</t>
  </si>
  <si>
    <t>Prove whose side you're really on.</t>
  </si>
  <si>
    <t>Step forward, or step aside.</t>
  </si>
  <si>
    <t>Your choice here shows your true colors.</t>
  </si>
  <si>
    <t>No fence-sitting. Choose.</t>
  </si>
  <si>
    <t>Everyone here should know your name.</t>
  </si>
  <si>
    <t>I'll say your name so people remember.</t>
  </si>
  <si>
    <t>Let the public judge what you stand for.</t>
  </si>
  <si>
    <t>Remember this face. Remember this name.</t>
  </si>
  <si>
    <t>Shame on you, and everyone should know it.</t>
  </si>
  <si>
    <t>Farmers or foreign interests. Choose.</t>
  </si>
  <si>
    <t>Yes or no. There is no middle.</t>
  </si>
  <si>
    <t>Either you back our workers, or you don't.</t>
  </si>
  <si>
    <t>You can't serve two masters. Choose one.</t>
  </si>
  <si>
    <t>Pick a side. The voters are watching.</t>
  </si>
  <si>
    <t>Who do you really answer to?</t>
  </si>
  <si>
    <t>You sound more like them than us.</t>
  </si>
  <si>
    <t>Are you truly one of us?</t>
  </si>
  <si>
    <t>Some here forget who they serve.</t>
  </si>
  <si>
    <t>I wonder who's really writing your speeches.</t>
  </si>
  <si>
    <t>Let the whole country hear this.</t>
  </si>
  <si>
    <t>The public deserves to know this.</t>
  </si>
  <si>
    <t>Everyone should hear what they're hiding.</t>
  </si>
  <si>
    <t>Spread the word: they can't be trusted.</t>
  </si>
  <si>
    <t>Repeat this everywhere. Let people decide.</t>
  </si>
  <si>
    <t>You are unfit to hold this office.</t>
  </si>
  <si>
    <t>You don't have the nation's confidence.</t>
  </si>
  <si>
    <t>Step aside for someone who can lead.</t>
  </si>
  <si>
    <t>You are failing the people you serve.</t>
  </si>
  <si>
    <t>Resign, and spare the country the shame.</t>
  </si>
  <si>
    <t>There's truth on every side of this.</t>
  </si>
  <si>
    <t>I support the spirit of both positions.</t>
  </si>
  <si>
    <t>It's complicated, and I respect all views.</t>
  </si>
  <si>
    <t>We'll find a balance that pleases everyone.</t>
  </si>
  <si>
    <t>I'm for progress, and also for caution.</t>
  </si>
  <si>
    <t>I have no recollection of that.</t>
  </si>
  <si>
    <t>I don't recall any such thing.</t>
  </si>
  <si>
    <t>That doesn't ring a bell.</t>
  </si>
  <si>
    <t>I can neither confirm nor deny that.</t>
  </si>
  <si>
    <t>I'd have to check my calendar.</t>
  </si>
  <si>
    <t>The real question is why you're asking.</t>
  </si>
  <si>
    <t>Let's talk about what really matters.</t>
  </si>
  <si>
    <t>That's a distraction from the actual issue.</t>
  </si>
  <si>
    <t>Interesting, but consider the bigger picture.</t>
  </si>
  <si>
    <t>Why not ask them the same question?</t>
  </si>
  <si>
    <t>Rest assured, you'll be taken care of.</t>
  </si>
  <si>
    <t>Nothing in writing, but consider it done.</t>
  </si>
  <si>
    <t>Let's just say your concerns are understood.</t>
  </si>
  <si>
    <t>Support me, and I'll remember it.</t>
  </si>
  <si>
    <t>My friends are well looked after.</t>
  </si>
  <si>
    <t>We will consider that positively.</t>
  </si>
  <si>
    <t>I'll take it under advisement.</t>
  </si>
  <si>
    <t>That matter is under review.</t>
  </si>
  <si>
    <t>We're studying all options carefully.</t>
  </si>
  <si>
    <t>A committee will look into it.</t>
  </si>
  <si>
    <t>Look closer at their expenses. Trust me.</t>
  </si>
  <si>
    <t>You didn't hear it from me, but...</t>
  </si>
  <si>
    <t>Ask them about their friends in business.</t>
  </si>
  <si>
    <t>There's more to this story. Keep digging.</t>
  </si>
  <si>
    <t>I'd look into that, if I were you.</t>
  </si>
  <si>
    <t>Per subsection four, paragraph two, clause B...</t>
  </si>
  <si>
    <t>As outlined in appendix nine, footnote thirty...</t>
  </si>
  <si>
    <t>It depends on seventeen interlocking variables.</t>
  </si>
  <si>
    <t>The technical framework is quite involved, actually.</t>
  </si>
  <si>
    <t>Let me walk you through all forty provisions.</t>
  </si>
  <si>
    <t>Of course I'm with you on this.</t>
  </si>
  <si>
    <t>You and I see this exactly the same.</t>
  </si>
  <si>
    <t>I champion your cause, wholeheartedly.</t>
  </si>
  <si>
    <t>Your concerns are my top priority.</t>
  </si>
  <si>
    <t>Nobody fights harder for people like you.</t>
  </si>
  <si>
    <t>Between us, here's how it really is.</t>
  </si>
  <si>
    <t>Don't repeat this, but...</t>
  </si>
  <si>
    <t>No names, no notes. Understood?</t>
  </si>
  <si>
    <t>This stays in the room.</t>
  </si>
  <si>
    <t>You can't quote me, but here's the truth.</t>
  </si>
  <si>
    <t>Flavor text tone by suit</t>
  </si>
  <si>
    <t>Every cue is a spoken line that must sit naturally in a town hall, a press conference, or a parliamentary debate.</t>
  </si>
  <si>
    <t>Register</t>
  </si>
  <si>
    <t>Voice</t>
  </si>
  <si>
    <t>Signature moves</t>
  </si>
  <si>
    <t>Example</t>
  </si>
  <si>
    <t>Plain, accountable, steady</t>
  </si>
  <si>
    <t>First person singular. Short declaratives.</t>
  </si>
  <si>
    <t>Owning results and mistakes; no adjectives doing the work</t>
  </si>
  <si>
    <t>Raw, exclamatory, heartfelt</t>
  </si>
  <si>
    <t>Exclamation marks, personal stakes.</t>
  </si>
  <si>
    <t>Faces, families, fighting; the crowd as participant</t>
  </si>
  <si>
    <t>Warm, inclusive, collegial</t>
  </si>
  <si>
    <t>We / us / together; second person as ally.</t>
  </si>
  <si>
    <t>Unity, loyalty, favors owed, the room already agreed</t>
  </si>
  <si>
    <t>Cool, precise, evidentiary</t>
  </si>
  <si>
    <t>Questions and numbers. No exclamations.</t>
  </si>
  <si>
    <t>Dates, figures, documents, yes-or-no demands</t>
  </si>
  <si>
    <t>Cutting, accusatory, separating</t>
  </si>
  <si>
    <t>Us versus them; pointed second person.</t>
  </si>
  <si>
    <t>Labels, sides, binary choices, loyalty doubts</t>
  </si>
  <si>
    <t>Slippery, noncommittal, winking</t>
  </si>
  <si>
    <t>Passive voice, hedges, trailing ellipses.</t>
  </si>
  <si>
    <t>Deferral, deflection, implied deals, fake memory loss</t>
  </si>
  <si>
    <t>Writing rules</t>
  </si>
  <si>
    <t>Rule</t>
  </si>
  <si>
    <t>Requirement</t>
  </si>
  <si>
    <t>Fails</t>
  </si>
  <si>
    <t>Passes</t>
  </si>
  <si>
    <t>1. Under 10 words</t>
  </si>
  <si>
    <t>Nine words maximum.</t>
  </si>
  <si>
    <t>—</t>
  </si>
  <si>
    <t>2. Universal setting</t>
  </si>
  <si>
    <t>Must sit naturally at a town hall, a press conference, and a parliamentary debate. No venue- or audience-specific address.</t>
  </si>
  <si>
    <t>Yes or no, Minister? · Put this on the evening news. · I will not yield the floor.</t>
  </si>
  <si>
    <t>3. No time references</t>
  </si>
  <si>
    <t>No days, months, years, durations, or words like now, today, again, already, still, before, always, never.</t>
  </si>
  <si>
    <t>That's not what you said in March. · Not today.</t>
  </si>
  <si>
    <t>4. No invented history</t>
  </si>
  <si>
    <t>No claim that a specific prior event happened: votes, statements, favors, meetings, failures. Present-tense or general truths only.</t>
  </si>
  <si>
    <t>You voted against this twice. · Remember that bill I helped you pass?</t>
  </si>
  <si>
    <t>5. Not a reply</t>
  </si>
  <si>
    <t>Must not depend on what the opponent just did, since they may have taken no action.</t>
  </si>
  <si>
    <t>You should be ashamed to say that! · That claim is simply false.</t>
  </si>
  <si>
    <t>Q ID</t>
  </si>
  <si>
    <t>Question</t>
  </si>
  <si>
    <t>Theme</t>
  </si>
  <si>
    <t>Strong suits</t>
  </si>
  <si>
    <t>Words</t>
  </si>
  <si>
    <t>Sample answer 1</t>
  </si>
  <si>
    <t>Sample answer 2</t>
  </si>
  <si>
    <t>Sample answer 3</t>
  </si>
  <si>
    <t>Q01</t>
  </si>
  <si>
    <t>What will this legislation mean for ordinary families?</t>
  </si>
  <si>
    <t>Impact</t>
  </si>
  <si>
    <t>S</t>
  </si>
  <si>
    <t>M</t>
  </si>
  <si>
    <t>Q02</t>
  </si>
  <si>
    <t>Where exactly do you stand on this bill?</t>
  </si>
  <si>
    <t>Position</t>
  </si>
  <si>
    <t>Q03</t>
  </si>
  <si>
    <t>Some call this bill reckless. How do you respond?</t>
  </si>
  <si>
    <t>Criticism</t>
  </si>
  <si>
    <t>Q04</t>
  </si>
  <si>
    <t>Do you have the votes to pass this?</t>
  </si>
  <si>
    <t>Votes</t>
  </si>
  <si>
    <t>W</t>
  </si>
  <si>
    <t>Q05</t>
  </si>
  <si>
    <t>Who really benefits from this legislation?</t>
  </si>
  <si>
    <t>Beneficiaries</t>
  </si>
  <si>
    <t>Q06</t>
  </si>
  <si>
    <t>Is your party truly united behind this?</t>
  </si>
  <si>
    <t>Unity</t>
  </si>
  <si>
    <t>Q07</t>
  </si>
  <si>
    <t>How do you plan to pay for it?</t>
  </si>
  <si>
    <t>Cost</t>
  </si>
  <si>
    <t>Q08</t>
  </si>
  <si>
    <t>What evidence supports this approach?</t>
  </si>
  <si>
    <t>Evidence</t>
  </si>
  <si>
    <t>Q09</t>
  </si>
  <si>
    <t>Yes or no: will you see this through?</t>
  </si>
  <si>
    <t>Commitment</t>
  </si>
  <si>
    <t>Q10</t>
  </si>
  <si>
    <t>Is this about the public, or about politics?</t>
  </si>
  <si>
    <t>Motive</t>
  </si>
  <si>
    <t>Q11</t>
  </si>
  <si>
    <t>Some say this goes too far. Your answer?</t>
  </si>
  <si>
    <t>Scope</t>
  </si>
  <si>
    <t>Q12</t>
  </si>
  <si>
    <t>Some say this is too timid. Your answer?</t>
  </si>
  <si>
    <t>Q13</t>
  </si>
  <si>
    <t>Will you work with the opposition on this?</t>
  </si>
  <si>
    <t>Cooperation</t>
  </si>
  <si>
    <t>Q14</t>
  </si>
  <si>
    <t>Are special interests shaping this legislation?</t>
  </si>
  <si>
    <t>Influence</t>
  </si>
  <si>
    <t>Q15</t>
  </si>
  <si>
    <t>What do you say to people who feel left behind?</t>
  </si>
  <si>
    <t>Q16</t>
  </si>
  <si>
    <t>Will you take responsibility if this fails?</t>
  </si>
  <si>
    <t>Accountability</t>
  </si>
  <si>
    <t>Q17</t>
  </si>
  <si>
    <t>Why should anyone trust you on this?</t>
  </si>
  <si>
    <t>Trust</t>
  </si>
  <si>
    <t>Q18</t>
  </si>
  <si>
    <t>Is there something in this bill you're not telling us?</t>
  </si>
  <si>
    <t>Transparency</t>
  </si>
  <si>
    <t>Q19</t>
  </si>
  <si>
    <t>What happens if members of your party break ranks?</t>
  </si>
  <si>
    <t>Discipline</t>
  </si>
  <si>
    <t>Q20</t>
  </si>
  <si>
    <t>Is this really the right priority for the country?</t>
  </si>
  <si>
    <t>Priority</t>
  </si>
  <si>
    <t>Strong total</t>
  </si>
  <si>
    <t>Fit key (writing check, not a game mechanic): S = at least one of that suit's cues reads as a natural answer · M = workable · W = awkward.</t>
  </si>
  <si>
    <t>Questions follow the flavor-text rules: no time references, no assumed past events, no specific policy.</t>
  </si>
  <si>
    <t>Broad questions (3+ strong suits) suit any hand; themed questions (2 strong suits) lean toward particular suits.</t>
  </si>
  <si>
    <t>Sample answers are existing cues, quoted verbatim, one from each of three different cards.</t>
  </si>
  <si>
    <t>T01</t>
  </si>
  <si>
    <t>How does this bill help my family?</t>
  </si>
  <si>
    <t>T02</t>
  </si>
  <si>
    <t>Why should working people believe you?</t>
  </si>
  <si>
    <t>T03</t>
  </si>
  <si>
    <t>Who are you really listening to?</t>
  </si>
  <si>
    <t>Loyalty</t>
  </si>
  <si>
    <t>T04</t>
  </si>
  <si>
    <t>What will this cost people like me?</t>
  </si>
  <si>
    <t>T05</t>
  </si>
  <si>
    <t>Does our town matter to you at all?</t>
  </si>
  <si>
    <t>Neglect</t>
  </si>
  <si>
    <t>T06</t>
  </si>
  <si>
    <t>Are you going to fight for us?</t>
  </si>
  <si>
    <t>Resolve</t>
  </si>
  <si>
    <t>T07</t>
  </si>
  <si>
    <t>Can you explain this bill in plain words?</t>
  </si>
  <si>
    <t>Clarity</t>
  </si>
  <si>
    <t>T08</t>
  </si>
  <si>
    <t>Why does it feel like nobody hears us?</t>
  </si>
  <si>
    <t>T09</t>
  </si>
  <si>
    <t>Will this bill protect jobs in our area?</t>
  </si>
  <si>
    <t>Livelihood</t>
  </si>
  <si>
    <t>T10</t>
  </si>
  <si>
    <t>Is this bill for us, or for big business?</t>
  </si>
  <si>
    <t>T11</t>
  </si>
  <si>
    <t>What happens to people who can't keep up?</t>
  </si>
  <si>
    <t>Vulnerable</t>
  </si>
  <si>
    <t>T12</t>
  </si>
  <si>
    <t>Why should I vote for you?</t>
  </si>
  <si>
    <t>T13</t>
  </si>
  <si>
    <t>Will you listen if we disagree with you?</t>
  </si>
  <si>
    <t>Openness</t>
  </si>
  <si>
    <t>T14</t>
  </si>
  <si>
    <t>Are you on our side or theirs?</t>
  </si>
  <si>
    <t>T15</t>
  </si>
  <si>
    <t>What do you say to families struggling to get by?</t>
  </si>
  <si>
    <t>Hardship</t>
  </si>
  <si>
    <t>T16</t>
  </si>
  <si>
    <t>How can we trust politicians at all?</t>
  </si>
  <si>
    <t>T17</t>
  </si>
  <si>
    <t>Who is behind this bill?</t>
  </si>
  <si>
    <t>T18</t>
  </si>
  <si>
    <t>What can ordinary people do to help?</t>
  </si>
  <si>
    <t>Participation</t>
  </si>
  <si>
    <t>T19</t>
  </si>
  <si>
    <t>Will you keep your promises to us?</t>
  </si>
  <si>
    <t>T20</t>
  </si>
  <si>
    <t>Why should young people care about this?</t>
  </si>
  <si>
    <t>Stakes</t>
  </si>
  <si>
    <t>Stage: Constituents at a town hall: plain-spoken, personal, practical, sometimes frustrated.</t>
  </si>
  <si>
    <t>Rules: no time references, no assumed past events, no specific policy area. Each question stands alone. At least 2 S and at most 2 W per question.</t>
  </si>
  <si>
    <t>L01</t>
  </si>
  <si>
    <t>Can our members count on your support?</t>
  </si>
  <si>
    <t>L02</t>
  </si>
  <si>
    <t>What would it take to earn your vote?</t>
  </si>
  <si>
    <t>Price</t>
  </si>
  <si>
    <t>L03</t>
  </si>
  <si>
    <t>Is there room to adjust the bill's language?</t>
  </si>
  <si>
    <t>Drafting</t>
  </si>
  <si>
    <t>L04</t>
  </si>
  <si>
    <t>Our industry has concerns. Will you hear them?</t>
  </si>
  <si>
    <t>Access</t>
  </si>
  <si>
    <t>L05</t>
  </si>
  <si>
    <t>Can we speak off the record?</t>
  </si>
  <si>
    <t>Secrecy</t>
  </si>
  <si>
    <t>L06</t>
  </si>
  <si>
    <t>Who else is lobbying you on this?</t>
  </si>
  <si>
    <t>Competition</t>
  </si>
  <si>
    <t>L07</t>
  </si>
  <si>
    <t>How can we help you get this passed?</t>
  </si>
  <si>
    <t>Assistance</t>
  </si>
  <si>
    <t>L08</t>
  </si>
  <si>
    <t>You know our members vote in your district, right?</t>
  </si>
  <si>
    <t>Leverage</t>
  </si>
  <si>
    <t>L09</t>
  </si>
  <si>
    <t>Would a study of the costs change your mind?</t>
  </si>
  <si>
    <t>Persuasion</t>
  </si>
  <si>
    <t>L10</t>
  </si>
  <si>
    <t>Is your party's position final?</t>
  </si>
  <si>
    <t>Flexibility</t>
  </si>
  <si>
    <t>L11</t>
  </si>
  <si>
    <t>What are your red lines on this bill?</t>
  </si>
  <si>
    <t>Limits</t>
  </si>
  <si>
    <t>L12</t>
  </si>
  <si>
    <t>Can we draft an amendment together?</t>
  </si>
  <si>
    <t>L13</t>
  </si>
  <si>
    <t>Our members would be grateful. You understand?</t>
  </si>
  <si>
    <t>Inducement</t>
  </si>
  <si>
    <t>L14</t>
  </si>
  <si>
    <t>Who is advising you on this bill?</t>
  </si>
  <si>
    <t>L15</t>
  </si>
  <si>
    <t>Is there anything we can do for you?</t>
  </si>
  <si>
    <t>L16</t>
  </si>
  <si>
    <t>How firm is your commitment on this?</t>
  </si>
  <si>
    <t>L17</t>
  </si>
  <si>
    <t>Would you consider a compromise position?</t>
  </si>
  <si>
    <t>Compromise</t>
  </si>
  <si>
    <t>L18</t>
  </si>
  <si>
    <t>Do you understand what this means for our industry?</t>
  </si>
  <si>
    <t>L19</t>
  </si>
  <si>
    <t>Can we keep this conversation between us?</t>
  </si>
  <si>
    <t>L20</t>
  </si>
  <si>
    <t>What message should we take back to our members?</t>
  </si>
  <si>
    <t>Signal</t>
  </si>
  <si>
    <t>Stage: A lobbyist in a private meeting: polite, transactional, veiled pressure.</t>
  </si>
  <si>
    <t>B01</t>
  </si>
  <si>
    <t>How will this be implemented in practice?</t>
  </si>
  <si>
    <t>Implementation</t>
  </si>
  <si>
    <t>B02</t>
  </si>
  <si>
    <t>What problem is this legislation meant to solve?</t>
  </si>
  <si>
    <t>B03</t>
  </si>
  <si>
    <t>Which agency is responsible for enforcement?</t>
  </si>
  <si>
    <t>Enforcement</t>
  </si>
  <si>
    <t>B04</t>
  </si>
  <si>
    <t>Is there a cost estimate for this?</t>
  </si>
  <si>
    <t>B05</t>
  </si>
  <si>
    <t>How are key terms in the bill defined?</t>
  </si>
  <si>
    <t>Definitions</t>
  </si>
  <si>
    <t>B06</t>
  </si>
  <si>
    <t>What data supports this approach?</t>
  </si>
  <si>
    <t>B07</t>
  </si>
  <si>
    <t>Are there unintended consequences to consider?</t>
  </si>
  <si>
    <t>Risk</t>
  </si>
  <si>
    <t>B08</t>
  </si>
  <si>
    <t>How will success be measured?</t>
  </si>
  <si>
    <t>Metrics</t>
  </si>
  <si>
    <t>B09</t>
  </si>
  <si>
    <t>Does this conflict with existing law?</t>
  </si>
  <si>
    <t>Legality</t>
  </si>
  <si>
    <t>B10</t>
  </si>
  <si>
    <t>Which communities will be affected most?</t>
  </si>
  <si>
    <t>B11</t>
  </si>
  <si>
    <t>Will affected groups be consulted?</t>
  </si>
  <si>
    <t>Consultation</t>
  </si>
  <si>
    <t>B12</t>
  </si>
  <si>
    <t>What resources will the department need?</t>
  </si>
  <si>
    <t>Resources</t>
  </si>
  <si>
    <t>B13</t>
  </si>
  <si>
    <t>Is there a review process built in?</t>
  </si>
  <si>
    <t>Oversight</t>
  </si>
  <si>
    <t>B14</t>
  </si>
  <si>
    <t>How does this interact with regional authorities?</t>
  </si>
  <si>
    <t>Coordination</t>
  </si>
  <si>
    <t>B15</t>
  </si>
  <si>
    <t>What happens if the targets aren't met?</t>
  </si>
  <si>
    <t>B16</t>
  </si>
  <si>
    <t>Could this be simplified without losing its intent?</t>
  </si>
  <si>
    <t>Simplicity</t>
  </si>
  <si>
    <t>B17</t>
  </si>
  <si>
    <t>Where can the department find flexibility?</t>
  </si>
  <si>
    <t>B18</t>
  </si>
  <si>
    <t>Who will bear the administrative burden?</t>
  </si>
  <si>
    <t>Burden</t>
  </si>
  <si>
    <t>B19</t>
  </si>
  <si>
    <t>Are the projections realistic?</t>
  </si>
  <si>
    <t>Feasibility</t>
  </si>
  <si>
    <t>B20</t>
  </si>
  <si>
    <t>Is there broad support for this within government?</t>
  </si>
  <si>
    <t>Stage: A department official at an open policy study session: technical, procedural, courteous.</t>
  </si>
  <si>
    <t>A01</t>
  </si>
  <si>
    <t>Are you hiding something from the public?</t>
  </si>
  <si>
    <t>A02</t>
  </si>
  <si>
    <t>Who's really pulling your strings?</t>
  </si>
  <si>
    <t>A03</t>
  </si>
  <si>
    <t>Do your donors write your bills?</t>
  </si>
  <si>
    <t>Money</t>
  </si>
  <si>
    <t>A04</t>
  </si>
  <si>
    <t>Is this bill a favor to your friends?</t>
  </si>
  <si>
    <t>Cronyism</t>
  </si>
  <si>
    <t>A05</t>
  </si>
  <si>
    <t>Should anyone believe a word you say?</t>
  </si>
  <si>
    <t>Credibility</t>
  </si>
  <si>
    <t>A06</t>
  </si>
  <si>
    <t>Are you in over your head?</t>
  </si>
  <si>
    <t>Competence</t>
  </si>
  <si>
    <t>A07</t>
  </si>
  <si>
    <t>Do you even understand what's in this bill?</t>
  </si>
  <si>
    <t>A08</t>
  </si>
  <si>
    <t>Is your party abandoning you?</t>
  </si>
  <si>
    <t>Isolation</t>
  </si>
  <si>
    <t>A09</t>
  </si>
  <si>
    <t>Are you running from the press?</t>
  </si>
  <si>
    <t>Evasion</t>
  </si>
  <si>
    <t>A10</t>
  </si>
  <si>
    <t>Is this a cover-up?</t>
  </si>
  <si>
    <t>Scandal</t>
  </si>
  <si>
    <t>A11</t>
  </si>
  <si>
    <t>Would you live under this law yourself?</t>
  </si>
  <si>
    <t>Hypocrisy</t>
  </si>
  <si>
    <t>A12</t>
  </si>
  <si>
    <t>Who gets rich off this bill?</t>
  </si>
  <si>
    <t>A13</t>
  </si>
  <si>
    <t>Are you lying to the public?</t>
  </si>
  <si>
    <t>Honesty</t>
  </si>
  <si>
    <t>A14</t>
  </si>
  <si>
    <t>Is anyone in your party loyal to you?</t>
  </si>
  <si>
    <t>A15</t>
  </si>
  <si>
    <t>Isn't this just about winning votes?</t>
  </si>
  <si>
    <t>A16</t>
  </si>
  <si>
    <t>Will you resign if this fails?</t>
  </si>
  <si>
    <t>A17</t>
  </si>
  <si>
    <t>Yes or no: is this bill a failure?</t>
  </si>
  <si>
    <t>Verdict</t>
  </si>
  <si>
    <t>A18</t>
  </si>
  <si>
    <t>What are you so afraid of?</t>
  </si>
  <si>
    <t>Fear</t>
  </si>
  <si>
    <t>A19</t>
  </si>
  <si>
    <t>Can you look voters in the eye and defend this?</t>
  </si>
  <si>
    <t>Conviction</t>
  </si>
  <si>
    <t>A20</t>
  </si>
  <si>
    <t>Why should anyone take you seriously?</t>
  </si>
  <si>
    <t>Stage: A journalist in a media ambush: loaded, accusatory, gotcha framing.</t>
  </si>
  <si>
    <t>Organisation</t>
  </si>
  <si>
    <t>Organisation name</t>
  </si>
  <si>
    <t>Asked in</t>
  </si>
  <si>
    <t>Why (Claude's reasoning — correct freely)</t>
  </si>
  <si>
    <t>Getting a hearing is what a small co-op fights for.</t>
  </si>
  <si>
    <t>Holding you to account is the press's job.</t>
  </si>
  <si>
    <t>Help for those who need it is neighbourhood business.</t>
  </si>
  <si>
    <t>Who actually gains is asked where people live.</t>
  </si>
  <si>
    <t>Who carries the cost of delivery falls on local government.</t>
  </si>
  <si>
    <t>Explaining it plainly is what a neighbourhood meeting demands.</t>
  </si>
  <si>
    <t>A promise the leadership will be held to.</t>
  </si>
  <si>
    <t>Whether you are up to it is a judgement the press makes.</t>
  </si>
  <si>
    <t>Who it advantages is the chamber's concern.</t>
  </si>
  <si>
    <t>Trading inside the party is faction work.</t>
  </si>
  <si>
    <t>Your own voters are the koenkai's whole concern.</t>
  </si>
  <si>
    <t>Being asked before being told is the mayors' standing complaint.</t>
  </si>
  <si>
    <t>Whether you mean it is a question your own people ask.</t>
  </si>
  <si>
    <t>Who you work with is read as which faction you are in.</t>
  </si>
  <si>
    <t>Making it work across local government is the mayors' problem.</t>
  </si>
  <si>
    <t>What it costs is business's first question.</t>
  </si>
  <si>
    <t>Whether you can be believed is what the press decides.</t>
  </si>
  <si>
    <t>Answering your critics is done through the press.</t>
  </si>
  <si>
    <t>Favours for friends is a press story.</t>
  </si>
  <si>
    <t>Who is covered by a definition is a union's fight.</t>
  </si>
  <si>
    <t>Whether you hold the party line is headquarters' business.</t>
  </si>
  <si>
    <t>The words of the clause are where a union looks.</t>
  </si>
  <si>
    <t>Whether the rule is enforced matters most to workers.</t>
  </si>
  <si>
    <t>Ducking the question is itself the press's story.</t>
  </si>
  <si>
    <t>The federation argues with evidence.</t>
  </si>
  <si>
    <t>What you are afraid of is what the press probes.</t>
  </si>
  <si>
    <t>Whether it can be done is asked by those who must do it.</t>
  </si>
  <si>
    <t>Room to adapt is what business asks for.</t>
  </si>
  <si>
    <t>Who is struggling is what the neighbourhood sees.</t>
  </si>
  <si>
    <t>Whether you are telling the truth is the press's test.</t>
  </si>
  <si>
    <t>Saying one thing and doing another is a press story.</t>
  </si>
  <si>
    <t>What it means for ordinary households is a neighbourhood question.</t>
  </si>
  <si>
    <t>Who actually has to do it, does it locally.</t>
  </si>
  <si>
    <t>What is being offered in return.</t>
  </si>
  <si>
    <t>Who is pulling the strings is a press investigation.</t>
  </si>
  <si>
    <t>Being left without allies is a faction's warning.</t>
  </si>
  <si>
    <t>Whether it is lawful is argued by those it binds.</t>
  </si>
  <si>
    <t>What they can hold over you is co-operative politics.</t>
  </si>
  <si>
    <t>How far the rule reaches decides who it binds.</t>
  </si>
  <si>
    <t>Whether people can still make a living is the co-op's question.</t>
  </si>
  <si>
    <t>Loyalty is asked about by the people who keep the whip.</t>
  </si>
  <si>
    <t>How success is measured decides who benefits.</t>
  </si>
  <si>
    <t>Where the money came from is asked of business first.</t>
  </si>
  <si>
    <t>Why you really did it is the press's question.</t>
  </si>
  <si>
    <t>Being accused of forgetting home is a koenkai wound.</t>
  </si>
  <si>
    <t>Being open is what the press asks for.</t>
  </si>
  <si>
    <t>Who is watching is a press and committee question both.</t>
  </si>
  <si>
    <t>Turning people out is what a koenkai does.</t>
  </si>
  <si>
    <t>Bringing colleagues round is what a faction is for.</t>
  </si>
  <si>
    <t>Where you stand is the line headquarters has to defend.</t>
  </si>
  <si>
    <t>What it would take is a commercial question.</t>
  </si>
  <si>
    <t>What you put first is what your supporters measure you by.</t>
  </si>
  <si>
    <t>What problem it is meant to solve is the study question.</t>
  </si>
  <si>
    <t>Whether you will hold out is what your faction wants to know.</t>
  </si>
  <si>
    <t>Whether the money reaches the town hall is a mayor's question.</t>
  </si>
  <si>
    <t>What could go wrong falls on those who do the work.</t>
  </si>
  <si>
    <t>A scandal is the press's own ground.</t>
  </si>
  <si>
    <t>How wide it reaches decides who it touches.</t>
  </si>
  <si>
    <t>Hiding something is the story the press wants.</t>
  </si>
  <si>
    <t>What your move signals is read inside the party first.</t>
  </si>
  <si>
    <t>Red tape is the chamber's perennial complaint.</t>
  </si>
  <si>
    <t>What ordinary people stand to lose.</t>
  </si>
  <si>
    <t>Whether they can count on you is the co-ops' question.</t>
  </si>
  <si>
    <t>What is being kept back is a press question.</t>
  </si>
  <si>
    <t>Trust is personal, and the koenkai is where it is banked.</t>
  </si>
  <si>
    <t>Holding the party together is headquarters' job.</t>
  </si>
  <si>
    <t>The verdict on you is the press's to write.</t>
  </si>
  <si>
    <t>Counting the floor is what headquarters does.</t>
  </si>
  <si>
    <t>The people least able to manage are the associations' charge.</t>
  </si>
  <si>
    <t>Intent Pattern Range for Attack</t>
  </si>
  <si>
    <t>Intent Pattern Range for Gain</t>
  </si>
  <si>
    <t>Intent Pattern Range for Block</t>
  </si>
  <si>
    <t>1-6</t>
  </si>
  <si>
    <t>4</t>
  </si>
  <si>
    <t>3-5</t>
  </si>
  <si>
    <t>Stage</t>
  </si>
  <si>
    <t>Gender</t>
  </si>
  <si>
    <t>Amaya Matsumae</t>
  </si>
  <si>
    <t>Ani Aman</t>
  </si>
  <si>
    <t>Aoi Oba</t>
  </si>
  <si>
    <t>Aptoas Ahun</t>
  </si>
  <si>
    <t>Arata Ran</t>
  </si>
  <si>
    <t>Arisu Fukunaga</t>
  </si>
  <si>
    <t>Atsuko Takeo</t>
  </si>
  <si>
    <t>Atsushi Fujioka</t>
  </si>
  <si>
    <t>Chi Zoku</t>
  </si>
  <si>
    <t>Cyril Slater</t>
  </si>
  <si>
    <t>Donald Shibata</t>
  </si>
  <si>
    <t>Edward Grinner</t>
  </si>
  <si>
    <t>Eiji Fujioka</t>
  </si>
  <si>
    <t>Furukawa Hideki</t>
  </si>
  <si>
    <t>Gavin Ronaldson</t>
  </si>
  <si>
    <t>Goko Morino</t>
  </si>
  <si>
    <t>Gorou Kon</t>
  </si>
  <si>
    <t>Han Hee-seop</t>
  </si>
  <si>
    <t>Haru Yashi</t>
  </si>
  <si>
    <t>Harumi Asato</t>
  </si>
  <si>
    <t>Hideaki Terada</t>
  </si>
  <si>
    <t>Hikari Suimoto</t>
  </si>
  <si>
    <t>Hyeong Hyun-jae</t>
  </si>
  <si>
    <t>Iida Eri</t>
  </si>
  <si>
    <t>Imekanu Resu</t>
  </si>
  <si>
    <t>Isoroku Adams</t>
  </si>
  <si>
    <t>Iwao Nagamine</t>
  </si>
  <si>
    <t>Jiayi Gong</t>
  </si>
  <si>
    <t>Jung Tae-jun</t>
  </si>
  <si>
    <t>Jurou Nishihara</t>
  </si>
  <si>
    <t>Kakuei Sato</t>
  </si>
  <si>
    <t>Kang Guang</t>
  </si>
  <si>
    <t>Katsumiko Yamamura</t>
  </si>
  <si>
    <t>Kaya Ukor</t>
  </si>
  <si>
    <t>Kenshin Sako</t>
  </si>
  <si>
    <t>Keu Shibatani</t>
  </si>
  <si>
    <t>Kimiko Chinen</t>
  </si>
  <si>
    <t>Kina Kewtum</t>
  </si>
  <si>
    <t>Kinkokoro Matsumae</t>
  </si>
  <si>
    <t>Kisar Masayoshi</t>
  </si>
  <si>
    <t>Kiyabu Waritai</t>
  </si>
  <si>
    <t>Kiyomi Gima</t>
  </si>
  <si>
    <t>Kokuni Yatsumachi</t>
  </si>
  <si>
    <t>Kotake Kasumu</t>
  </si>
  <si>
    <t>Koyki Kurasno</t>
  </si>
  <si>
    <t>Leonard Ridgway</t>
  </si>
  <si>
    <t>Luo Guang</t>
  </si>
  <si>
    <t>Lyosha Morozov</t>
  </si>
  <si>
    <t>Masanori Shizugata</t>
  </si>
  <si>
    <t>Masayoshi Sera</t>
  </si>
  <si>
    <t>Migimura Okamuradonzai</t>
  </si>
  <si>
    <t>Miho Shingumi</t>
  </si>
  <si>
    <t>Minami Okirasnunipa</t>
  </si>
  <si>
    <t>Namgung Ryung</t>
  </si>
  <si>
    <t>Noah Kain</t>
  </si>
  <si>
    <t>Nonaka Tomiko</t>
  </si>
  <si>
    <t>Nonaka Yoshie</t>
  </si>
  <si>
    <t>Okabe Hideriai</t>
  </si>
  <si>
    <t>Okita Shiori</t>
  </si>
  <si>
    <t>Pirkaike Tsuki</t>
  </si>
  <si>
    <t>Poiya Kanu</t>
  </si>
  <si>
    <t>Ran Sachiko</t>
  </si>
  <si>
    <t>Sadao Nishikawa</t>
  </si>
  <si>
    <t>Seong Lee-min</t>
  </si>
  <si>
    <t>Seong Yun-hee</t>
  </si>
  <si>
    <t>Seta Anramasu</t>
  </si>
  <si>
    <t>Shiba Momoe</t>
  </si>
  <si>
    <t>Siatuy Sanota</t>
  </si>
  <si>
    <t>Sikanna Sapanipa</t>
  </si>
  <si>
    <t>Taiyou Nigate</t>
  </si>
  <si>
    <t>Tian Zhao Bo</t>
  </si>
  <si>
    <t>Tomihisa Shimao</t>
  </si>
  <si>
    <t>Tomio Katayama</t>
  </si>
  <si>
    <t>Tsukuhito Keri</t>
  </si>
  <si>
    <t>Tsuneo Yoneda</t>
  </si>
  <si>
    <t>Tsutomu Hirano</t>
  </si>
  <si>
    <t>Utemaru Naizen</t>
  </si>
  <si>
    <t>Xiang Huang</t>
  </si>
  <si>
    <t>Xiaobo Jiang</t>
  </si>
  <si>
    <t>Xiong Xiaodan</t>
  </si>
  <si>
    <t>Yakuwakka Yayarini</t>
  </si>
  <si>
    <t>Yoshi Toda</t>
  </si>
  <si>
    <t>Yoshida Cho</t>
  </si>
  <si>
    <t>Yoshimura Hideko</t>
  </si>
  <si>
    <t>Yuki Kasukasa</t>
  </si>
  <si>
    <t>Ayala Taiyounokage</t>
  </si>
  <si>
    <t>Ichizaki Namu</t>
  </si>
  <si>
    <t>Juba Kasumu</t>
  </si>
  <si>
    <t>Kenta Hamasaki</t>
  </si>
  <si>
    <t>Soma Umehori</t>
  </si>
  <si>
    <t xml:space="preserve">Tama Tsujikonou </t>
  </si>
  <si>
    <t xml:space="preserve">Teinei Macmillan </t>
  </si>
  <si>
    <t>Title</t>
  </si>
  <si>
    <t>YHP</t>
  </si>
  <si>
    <t>CI</t>
  </si>
  <si>
    <t>FP</t>
  </si>
  <si>
    <t>KJT</t>
  </si>
  <si>
    <t>BU</t>
  </si>
  <si>
    <t>FPI</t>
  </si>
  <si>
    <t>F</t>
  </si>
  <si>
    <t>OP10</t>
  </si>
  <si>
    <t>OP11</t>
  </si>
  <si>
    <t>OP12</t>
  </si>
  <si>
    <t>OP13</t>
  </si>
  <si>
    <t>OP14</t>
  </si>
  <si>
    <t>OP15</t>
  </si>
  <si>
    <t>OP16</t>
  </si>
  <si>
    <t>OP17</t>
  </si>
  <si>
    <t>OP18</t>
  </si>
  <si>
    <t>OP19</t>
  </si>
  <si>
    <t>OP20</t>
  </si>
  <si>
    <t>OP21</t>
  </si>
  <si>
    <t>OP22</t>
  </si>
  <si>
    <t>OP23</t>
  </si>
  <si>
    <t>OP24</t>
  </si>
  <si>
    <t>OP25</t>
  </si>
  <si>
    <t>OP26</t>
  </si>
  <si>
    <t>OP27</t>
  </si>
  <si>
    <t>OP28</t>
  </si>
  <si>
    <t>OP29</t>
  </si>
  <si>
    <t>OP30</t>
  </si>
  <si>
    <t>OP31</t>
  </si>
  <si>
    <t>OP32</t>
  </si>
  <si>
    <t>OP33</t>
  </si>
  <si>
    <t>OP34</t>
  </si>
  <si>
    <t>OP35</t>
  </si>
  <si>
    <t>OP36</t>
  </si>
  <si>
    <t>OP37</t>
  </si>
  <si>
    <t>OP38</t>
  </si>
  <si>
    <t>OP39</t>
  </si>
  <si>
    <t>OP40</t>
  </si>
  <si>
    <t>OP41</t>
  </si>
  <si>
    <t>OP42</t>
  </si>
  <si>
    <t>OP43</t>
  </si>
  <si>
    <t>OP44</t>
  </si>
  <si>
    <t>OP45</t>
  </si>
  <si>
    <t>OP46</t>
  </si>
  <si>
    <t>OP47</t>
  </si>
  <si>
    <t>OP48</t>
  </si>
  <si>
    <t>OP49</t>
  </si>
  <si>
    <t>OP50</t>
  </si>
  <si>
    <t>OP51</t>
  </si>
  <si>
    <t>OP52</t>
  </si>
  <si>
    <t>OP53</t>
  </si>
  <si>
    <t>OP54</t>
  </si>
  <si>
    <t>OP55</t>
  </si>
  <si>
    <t>OP56</t>
  </si>
  <si>
    <t>OP57</t>
  </si>
  <si>
    <t>OP58</t>
  </si>
  <si>
    <t>OP59</t>
  </si>
  <si>
    <t>OP60</t>
  </si>
  <si>
    <t>OP61</t>
  </si>
  <si>
    <t>OP62</t>
  </si>
  <si>
    <t>OP63</t>
  </si>
  <si>
    <t>OP64</t>
  </si>
  <si>
    <t>OP65</t>
  </si>
  <si>
    <t>OP66</t>
  </si>
  <si>
    <t>OP67</t>
  </si>
  <si>
    <t>OP68</t>
  </si>
  <si>
    <t>OP69</t>
  </si>
  <si>
    <t>OP70</t>
  </si>
  <si>
    <t>OP71</t>
  </si>
  <si>
    <t>OP72</t>
  </si>
  <si>
    <t>OP73</t>
  </si>
  <si>
    <t>OP74</t>
  </si>
  <si>
    <t>OP75</t>
  </si>
  <si>
    <t>OP76</t>
  </si>
  <si>
    <t>OP77</t>
  </si>
  <si>
    <t>OP78</t>
  </si>
  <si>
    <t>OP79</t>
  </si>
  <si>
    <t>OP80</t>
  </si>
  <si>
    <t>OP81</t>
  </si>
  <si>
    <t>OP82</t>
  </si>
  <si>
    <t>OP83</t>
  </si>
  <si>
    <t>OP84</t>
  </si>
  <si>
    <t>OP85</t>
  </si>
  <si>
    <t>OP86</t>
  </si>
  <si>
    <t>OP87</t>
  </si>
  <si>
    <t>OP88</t>
  </si>
  <si>
    <t>OP89</t>
  </si>
  <si>
    <t>OP90</t>
  </si>
  <si>
    <t>OP91</t>
  </si>
  <si>
    <t>OP92</t>
  </si>
  <si>
    <t>OP93</t>
  </si>
  <si>
    <t>OP94</t>
  </si>
  <si>
    <t>OP95</t>
  </si>
  <si>
    <t>OP96</t>
  </si>
  <si>
    <t>OP97</t>
  </si>
  <si>
    <t>OP98</t>
  </si>
  <si>
    <t>OP99</t>
  </si>
  <si>
    <t>OP100</t>
  </si>
  <si>
    <t>OP101</t>
  </si>
  <si>
    <t>Minister of Agriculture; Chair of the Committee on Agriculture</t>
  </si>
  <si>
    <t>Minister of Finance; Chair of the Committee on Finance</t>
  </si>
  <si>
    <t>Minister of the Environment; Chair of the Committee on the Environment</t>
  </si>
  <si>
    <t>Minister of Construction and Development; Chair of the Committee on Construction and Development</t>
  </si>
  <si>
    <t>Minister of War; Chair of the Committee on War</t>
  </si>
  <si>
    <t>Minister of Foreign Affairs; Chair of the Committee on Foreign Affairs</t>
  </si>
  <si>
    <t>Minister of Government Administration; Chair of the Committee on Government Administration</t>
  </si>
  <si>
    <t>Suit 1</t>
  </si>
  <si>
    <t>Suit 2</t>
  </si>
  <si>
    <t>Suit 3</t>
  </si>
  <si>
    <t>Affiliation</t>
  </si>
  <si>
    <t>Item ID</t>
  </si>
  <si>
    <t>Item Name</t>
  </si>
  <si>
    <t>Purchase Cost from Funds (Yen)</t>
  </si>
  <si>
    <t>Bonus Condition 1</t>
  </si>
  <si>
    <t>Bonus Condition 2</t>
  </si>
  <si>
    <t>Purchase Cost from XP</t>
  </si>
  <si>
    <t>Party Acronym</t>
  </si>
  <si>
    <t>Prime Minister; Leader of the Yezo Heritage Party</t>
  </si>
  <si>
    <t>President of the National Assembly; Chair of the Committee on the National Assembly; Speaker of the National Assembly; Leader of the Frontier Party</t>
  </si>
  <si>
    <t>Leader of the Country Initiative</t>
  </si>
  <si>
    <t>Leader of the Five Point Independents</t>
  </si>
  <si>
    <t>Leader of the Keizaijiyuutou</t>
  </si>
  <si>
    <t>Minister of Ethics and Prosecution; Chair of the Committee on Ethics and Prosecution; Leader of the Butsutou</t>
  </si>
  <si>
    <t>SH01</t>
  </si>
  <si>
    <t>Commission Policy Research</t>
  </si>
  <si>
    <t>Spend Office Funds to increase one randomly-selected Party-tier booster group's relationship. Available once per Office screen; resets after completion of a level (success or failure).</t>
  </si>
  <si>
    <t>Policy Research Assistant is Tier 1: +1 to the selected Party booster group.</t>
  </si>
  <si>
    <t>Policy Research Assistant is Tier 2: +2 to the selected Party booster group.</t>
  </si>
  <si>
    <t>SH02</t>
  </si>
  <si>
    <t>Commission Press Engagement</t>
  </si>
  <si>
    <t>Spend Office Funds to increase one randomly-selected National-tier booster group's relationship. Available once per Office screen; resets after completion of a level (success or failure).</t>
  </si>
  <si>
    <t>Media Spokesperson is Tier 1: +2 to the selected National booster group.</t>
  </si>
  <si>
    <t>Media Spokesperson is Tier 2: +4 to the selected National booster group.</t>
  </si>
  <si>
    <t>SH03</t>
  </si>
  <si>
    <t>Commission District Engagement</t>
  </si>
  <si>
    <t>Spend Office Funds to increase one randomly-selected Constituency-tier booster group's relationship. Available once per Office screen; resets after completion of a level.</t>
  </si>
  <si>
    <t>District Representative is Tier 1: +2 to the selected Constituency booster group.</t>
  </si>
  <si>
    <t>District Representative is Tier 2: +4 to the selected Constituency booster group.</t>
  </si>
  <si>
    <t>SH04</t>
  </si>
  <si>
    <t>“ね3” Coffee</t>
  </si>
  <si>
    <t>One-use item. Grants +1 energy for the first stage of the next level played.</t>
  </si>
  <si>
    <t>SH05</t>
  </si>
  <si>
    <t>“ミレニ姫” Tea</t>
  </si>
  <si>
    <t>One-use item. Grants +1 gaffe (失言) counter cap for the first stage of the next level played.</t>
  </si>
  <si>
    <t>SH06</t>
  </si>
  <si>
    <t>Paperwork Automation</t>
  </si>
  <si>
    <t>One-use item. Grants +1 card drawn for the first stage of the next level played.</t>
  </si>
  <si>
    <t>SH07</t>
  </si>
  <si>
    <t>Wristwatch</t>
  </si>
  <si>
    <t>One-use item. Grants +1 turn for the first stage of the next level played.</t>
  </si>
  <si>
    <t>SH08</t>
  </si>
  <si>
    <t>Meditation Session</t>
  </si>
  <si>
    <t>One-use item. Grants +1 guard for the first stage of the next level played.</t>
  </si>
  <si>
    <t>SH09</t>
  </si>
  <si>
    <t>Blue Profile Package</t>
  </si>
  <si>
    <t>Cosmetic character profile appearance package. Placeholder; will be replaced by character art later.</t>
  </si>
  <si>
    <t>SH10</t>
  </si>
  <si>
    <t>Red Profile Package</t>
  </si>
  <si>
    <t>SH11</t>
  </si>
  <si>
    <t>Blue Background Package</t>
  </si>
  <si>
    <t>Cosmetic Office background appearance package. Placeholder; will be replaced by artwork later.</t>
  </si>
  <si>
    <t>SH12</t>
  </si>
  <si>
    <t>Red Background Package</t>
  </si>
  <si>
    <t>SH13</t>
  </si>
  <si>
    <t>Unlock Tier 1 Level</t>
  </si>
  <si>
    <t>SH14</t>
  </si>
  <si>
    <t>Unlock Tier 2 Level</t>
  </si>
  <si>
    <t>Base cost to open a Tier 2 level for play.</t>
  </si>
  <si>
    <t>SH15</t>
  </si>
  <si>
    <t>Unlock Random Tier 1 Card</t>
  </si>
  <si>
    <t>Unlocks one new Tier 1 card at random, making it available for the deck.</t>
  </si>
  <si>
    <t>SH16</t>
  </si>
  <si>
    <t>Unlock Random Tier 2 Card</t>
  </si>
  <si>
    <t>Unlocks one new Tier 2 card at random, making it available for the deck.</t>
  </si>
  <si>
    <t>SH17</t>
  </si>
  <si>
    <t>Unlock Random Tier 3 Card</t>
  </si>
  <si>
    <t>Unlocks one new Tier 3 card at random, making it available for the deck.</t>
  </si>
  <si>
    <t>SH18</t>
  </si>
  <si>
    <t>Unlock New Staff Recruitment Tier</t>
  </si>
  <si>
    <t>Unlocks the next tier of staff recruitment, allowing higher-tier staff hires.</t>
  </si>
  <si>
    <t>SH19</t>
  </si>
  <si>
    <t>Increase Office Funds Cap</t>
  </si>
  <si>
    <t>Increases the Office Funds cap by 100,000円. Repeatable.</t>
  </si>
  <si>
    <t>SH20</t>
  </si>
  <si>
    <t>Extra Draw (Level Buff)</t>
  </si>
  <si>
    <t>One-use buff applied for the entire duration of the next level played: +1 card drawn.</t>
  </si>
  <si>
    <t>Stackable up to +2 total per level; each additional stack costs another 50 XP.</t>
  </si>
  <si>
    <t>SH21</t>
  </si>
  <si>
    <t>Extra Energy (Level Buff)</t>
  </si>
  <si>
    <t>One-use buff applied for the entire duration of the next level played: +1 energy.</t>
  </si>
  <si>
    <t>Stackable up to +3 total per level; each additional stack costs another 60 XP.</t>
  </si>
  <si>
    <t>SH22</t>
  </si>
  <si>
    <t>Extra Guard (Level Buff)</t>
  </si>
  <si>
    <t>One-use buff applied for the entire duration of the next level played: +1 guard.</t>
  </si>
  <si>
    <t>Stackable up to +5 total per level; each additional stack costs another 70 XP.</t>
  </si>
  <si>
    <t>SH23</t>
  </si>
  <si>
    <t>Extra Gaffe Counter Cap (Level Buff)</t>
  </si>
  <si>
    <t>One-use buff applied for the entire duration of the next level played: +1 gaffe (失言) counter cap.</t>
  </si>
  <si>
    <t>Stackable up to +5 total per level; each additional stack costs another 80 XP.</t>
  </si>
  <si>
    <t>SH24</t>
  </si>
  <si>
    <t>Extra Turn (Level Buff)</t>
  </si>
  <si>
    <t>One-use buff applied for the entire duration of the next level played: +1 turn on the stage clock.</t>
  </si>
  <si>
    <t>Stackable up to +3 total per level; each additional stack costs another 100 XP.</t>
  </si>
  <si>
    <t>SH25</t>
  </si>
  <si>
    <t>Host National Booster Dinner</t>
  </si>
  <si>
    <t>Host a dinner for a player-selected National-tier booster group.</t>
  </si>
  <si>
    <t>+2 relationship for the selected group.</t>
  </si>
  <si>
    <t>SH26</t>
  </si>
  <si>
    <t>Host District Walking Tour</t>
  </si>
  <si>
    <t>Host a walking tour for a player-selected Constituency-tier booster group.</t>
  </si>
  <si>
    <t>+1 relationship for the selected group.</t>
  </si>
  <si>
    <t>Base cost to open a Tier 1 level for play.</t>
  </si>
  <si>
    <t>4-6</t>
  </si>
  <si>
    <t>OP102</t>
  </si>
  <si>
    <t>Emi Katsuragawa</t>
  </si>
  <si>
    <t>President, District Kōenkai Association</t>
  </si>
  <si>
    <t>4-7</t>
  </si>
  <si>
    <t>OP103</t>
  </si>
  <si>
    <t>Daichi Moribe</t>
  </si>
  <si>
    <t>OP104</t>
  </si>
  <si>
    <t>Haruna Sekiguchi</t>
  </si>
  <si>
    <t>2-3</t>
  </si>
  <si>
    <t>OP105</t>
  </si>
  <si>
    <t>Ryusei Tobata</t>
  </si>
  <si>
    <t>OP106</t>
  </si>
  <si>
    <t>Kanae Isurugi</t>
  </si>
  <si>
    <t>OP107</t>
  </si>
  <si>
    <t>Motoharu Zenke</t>
  </si>
  <si>
    <t>OP108</t>
  </si>
  <si>
    <t>Sachiko Endou</t>
  </si>
  <si>
    <t>OP109</t>
  </si>
  <si>
    <t>Renji Kobata</t>
  </si>
  <si>
    <t>OP110</t>
  </si>
  <si>
    <t>Kenta Aoshima</t>
  </si>
  <si>
    <t>Chief Political Correspondent</t>
  </si>
  <si>
    <t>OP111</t>
  </si>
  <si>
    <t>Reiko Habutae</t>
  </si>
  <si>
    <t>OP112</t>
  </si>
  <si>
    <t>Julian Beckett</t>
  </si>
  <si>
    <t>OP113</t>
  </si>
  <si>
    <t>Miyu Katsuranagi</t>
  </si>
  <si>
    <t>OP114</t>
  </si>
  <si>
    <t>Soutarou Ebina</t>
  </si>
  <si>
    <t>OP115</t>
  </si>
  <si>
    <t>Aoba Shindou</t>
  </si>
  <si>
    <t>OP116</t>
  </si>
  <si>
    <t>Torao Kishibe</t>
  </si>
  <si>
    <t>OP117</t>
  </si>
  <si>
    <t>Nanase Orikuchi</t>
  </si>
  <si>
    <t>OP118</t>
  </si>
  <si>
    <t>Fumihiko Takashiro</t>
  </si>
  <si>
    <t>Senior Lobbyist, Chamber of Commerce</t>
  </si>
  <si>
    <t>OP119</t>
  </si>
  <si>
    <t>Chiyo Hatakenaka</t>
  </si>
  <si>
    <t>OP120</t>
  </si>
  <si>
    <t>Genzou Amamiya</t>
  </si>
  <si>
    <t>OP121</t>
  </si>
  <si>
    <t>Umiko Sagawatari</t>
  </si>
  <si>
    <t>OP122</t>
  </si>
  <si>
    <t>Norio Machimura</t>
  </si>
  <si>
    <t>OP123</t>
  </si>
  <si>
    <t>Yuzuki Handa</t>
  </si>
  <si>
    <t>OP124</t>
  </si>
  <si>
    <t>Kotarou Shishikura</t>
  </si>
  <si>
    <t>OP125</t>
  </si>
  <si>
    <t>Reona Tatebayashi</t>
  </si>
  <si>
    <t>3-4</t>
  </si>
  <si>
    <t>5-8</t>
  </si>
  <si>
    <t>ST17; ST08</t>
  </si>
  <si>
    <t>ST16; ST02</t>
  </si>
  <si>
    <t>ST12; ST01</t>
  </si>
  <si>
    <t>ST16; ST04</t>
  </si>
  <si>
    <t>ST13; ST02</t>
  </si>
  <si>
    <t>ST17; ST01</t>
  </si>
  <si>
    <t>ST09; ST02</t>
  </si>
  <si>
    <t>ST18; ST01; ST08</t>
  </si>
  <si>
    <t>ST17; ST21</t>
  </si>
  <si>
    <t>ST15; ST03</t>
  </si>
  <si>
    <t>ST12; ST21</t>
  </si>
  <si>
    <t>ST15; ST02</t>
  </si>
  <si>
    <t>ST14; ST21</t>
  </si>
  <si>
    <t>ST11; ST02</t>
  </si>
  <si>
    <t>ST14; ST08</t>
  </si>
  <si>
    <t>ST12; ST18; ST06</t>
  </si>
  <si>
    <t>ST17; ST02</t>
  </si>
  <si>
    <t>ST13; ST18; ST06</t>
  </si>
  <si>
    <t>ST10; ST03</t>
  </si>
  <si>
    <t>ST12; ST03</t>
  </si>
  <si>
    <t>ST10; ST18; ST02; ST04; ST06</t>
  </si>
  <si>
    <t>ST12; ST02</t>
  </si>
  <si>
    <t>ST15; ST18; ST08</t>
  </si>
  <si>
    <t>ST14; ST01</t>
  </si>
  <si>
    <t>ST10; ST21</t>
  </si>
  <si>
    <t>ST09; ST01</t>
  </si>
  <si>
    <t>ST13; ST21</t>
  </si>
  <si>
    <t>ST16; ST18; ST06</t>
  </si>
  <si>
    <t>ST10; ST02</t>
  </si>
  <si>
    <t>ST11; ST03</t>
  </si>
  <si>
    <t>ST11; ST04</t>
  </si>
  <si>
    <t>ST11; ST18; ST01</t>
  </si>
  <si>
    <t>ST15; ST21</t>
  </si>
  <si>
    <t>ST09; ST04</t>
  </si>
  <si>
    <t>ST11; ST02; ST04; ST06</t>
  </si>
  <si>
    <t>ST13; ST04</t>
  </si>
  <si>
    <t>ST17; ST18; ST02; ST06; ST08</t>
  </si>
  <si>
    <t>ST09; ST21</t>
  </si>
  <si>
    <t>ST14; ST18; ST01; ST08</t>
  </si>
  <si>
    <t>ST16; ST02; ST06</t>
  </si>
  <si>
    <t>ST09; ST03</t>
  </si>
  <si>
    <t>ST12; ST04</t>
  </si>
  <si>
    <t>ST09; ST18; ST06</t>
  </si>
  <si>
    <t>ST16; ST01</t>
  </si>
  <si>
    <t>ST10; ST01; ST02; ST06</t>
  </si>
  <si>
    <t>Unlocked card must still be purchased with Funds (Yen) before entering the deck.</t>
  </si>
  <si>
    <t>SH27</t>
  </si>
  <si>
    <t>SH28</t>
  </si>
  <si>
    <t>SH29</t>
  </si>
  <si>
    <t>Purchase Random Tier 1 Card</t>
  </si>
  <si>
    <t>Purchase Random Tier 2 Card</t>
  </si>
  <si>
    <t>Purchase Random Tier 3 Card</t>
  </si>
  <si>
    <t>Purchases one new Tier 3 card at random from Tier 3 cards previously unlocked, making it available for the deck.</t>
  </si>
  <si>
    <t>Purchases one new Tier 2 card at random from Tier 2 cards previously unlocked, making it available for the deck.</t>
  </si>
  <si>
    <t>Purchases one new Tier 1 card at random from Tier 1 cards previously unlocked, making it available for the deck.</t>
  </si>
  <si>
    <t>{stage} concluded.</t>
  </si>
  <si>
    <t>Taken care of</t>
  </si>
  <si>
    <t>Chatter fills the National Assembly halls.</t>
  </si>
  <si>
    <t>Your performance is getting attention.</t>
  </si>
  <si>
    <t>Your performance is … stirring up rumors.</t>
  </si>
  <si>
    <t>Source-of-truth data for the rhetoric card battler (Godot). Each tab is one data table the engine reads. IDs are the join keys across tabs (see the ID-prefix list below) — keep IDs stable, rename display text freely.</t>
  </si>
  <si>
    <t>MASTER (v9.22.26 lineage). Boosters, Modifiers, Levels, Staff, Shop and the 101-opponent Opponents roster are filled in; every Combat-mode stage (ST01–ST06, ST08–ST21) has at least one opponent, several opponents appear in more than one stage by design, and ST07 (Office Hours) is intentionally Non-combat and has none. Canon fields still trace back to the Lore Databook; several fields below are flagged as open design decisions rather than final numbers.</t>
  </si>
  <si>
    <t>Global tuning levers (deck shares, XP/Yen scaling, committee sizing) that formulas elsewhere in the workbook reference. 8 levers.</t>
  </si>
  <si>
    <t>The 6 canonical rhetorical Elements/suits (Earnest, Emotional, Appeal, Data Driven, Divisive, Duplicitous) with EN (join key) and JP display names. Referenced by Cards, Opponents, Flavor Text, Affinity and the 5 Question tabs.</t>
  </si>
  <si>
    <t>21 stages (ST01–ST21): 20 Combat + 1 Non-combat (ST07 Office Hours). Per-stage combat stats, audience-segment mix, favored suit (formula, reads Affinity), and win/loss deltas to Jiban/Yen/Reputation/XP/Party support.</t>
  </si>
  <si>
    <t>30 levels (LV01–LV30: Tier 1 and Tier 2). Sequences 1–10 stages per level by Stage ID, XP unlock cost by Policy Research Assistant tier, bonus win-reward ranges, and per-level Win Δ for each of the 16 boosters (BO01–BO16).</t>
  </si>
  <si>
    <t>Suit × Stage power-multiplier grid; feeds each Stage's 'Favored suit' formula.</t>
  </si>
  <si>
    <t>54 cards (Card ID C01–C54), 9 per suit. Core stats (Cost/Self+/Opp−/Guard/Draw/Gaffe) plus a Special/Special value/Special note trio encoding conditional effects (see the Claude Code data guide for the dispatch keys).</t>
  </si>
  <si>
    <t>5 audience segments (Press, Party Members, Constituents, Donors, Bureaucrats/Other) with starting favorability; Stages mix these, Cards target them.</t>
  </si>
  <si>
    <t>31 modifiers (M01–M31), one or more per booster group. Effect is the human-readable description; Effect Type/Target/Value are the machine-readable columns Godot should read instead of parsing the prose.</t>
  </si>
  <si>
    <t>16 booster/organization groups (BO01–BO16) across Party/Constituency/National tiers, each with a comma-separated Linked modifiers list pointing into Modifiers.</t>
  </si>
  <si>
    <t>Shop</t>
  </si>
  <si>
    <t>26 shop items (SH01–SH26): XP-cost, Yen-cost and up to two free-text Bonus Condition fields (staff-tier discounts, stacking buffs, etc.).</t>
  </si>
  <si>
    <t>Staff</t>
  </si>
  <si>
    <t>21 hireable staff rows (SF01–SF21) across 3 roles (Policy Research Assistant, Media Spokesperson, District Representative) × starting/upgrade tier combinations, each with free-text Tier 0/1/2 Reward strings in a '+N for &lt;ID&gt;' pattern.</t>
  </si>
  <si>
    <t>125 opponents (OP01–OP125): Title/Gender/Party/Affiliation, up to 3 ranked suits, and Intent Pattern Range for Attack/Gain/Block (range-string battle AI, '0' = never uses that move). Stage is a semicolon-separated list — most opponents fight in several stages.</t>
  </si>
  <si>
    <t>The 4 core meta-variables (Jiban/Constituency support, Reputation, Funds/Yen, Party support): start value, min/max, and low/high threshold consequences (some reference specific Level IDs by name in free text).</t>
  </si>
  <si>
    <t>Text</t>
  </si>
  <si>
    <t>200-row i18n string catalog (Key/Where/English/Placeholders/Notes) — this is the actual in-game string table, with {placeholder} tokens. Includes explicit 'not built yet' copy for unfinished systems and a reference to an external rules.json default AI pattern.</t>
  </si>
  <si>
    <t>Flavor Text</t>
  </si>
  <si>
    <t>Per-card (C01–C54) dialogue cues by suit, plus live word-count formulas (W1–W5, Max words) — no code needed for the word counts, they're already formulas.</t>
  </si>
  <si>
    <t>Tone Guide</t>
  </si>
  <si>
    <t>Per-suit voice/register rules for writing Flavor Text cues, plus 5 numbered house-style writing rules.</t>
  </si>
  <si>
    <t>Press Questions</t>
  </si>
  <si>
    <t>20 press-conference questions (Q ID) with per-suit S/M/W fit grades, a live 'Strong suits' COUNTIF formula, a live word-count formula, and 3 live sample-answer formulas pulling from Cards.</t>
  </si>
  <si>
    <t>Town Hall Questions</t>
  </si>
  <si>
    <t>Same structure as Press Questions, for the Town Hall stage type.</t>
  </si>
  <si>
    <t>Lobbyist Questions</t>
  </si>
  <si>
    <t>Same structure as Press Questions, for the Lobbyist Meeting stage type.</t>
  </si>
  <si>
    <t>Study Session Questions</t>
  </si>
  <si>
    <t>Same structure as Press Questions, for the Policy Study Session stage type.</t>
  </si>
  <si>
    <t>Media Ambush Questions</t>
  </si>
  <si>
    <t>Same structure as Press Questions, for the Media Ambush stage type.</t>
  </si>
  <si>
    <t>Question Themes</t>
  </si>
  <si>
    <t>KNOWN GAPS / OPEN ITEMS</t>
  </si>
  <si>
    <t>S/M/W grades</t>
  </si>
  <si>
    <t>The 5 Question tabs grade each question S/M/W per suit, but no tab defines the numeric multiplier each grade should apply to a player's answer score. Needs a design call before it can be coded.</t>
  </si>
  <si>
    <t>Booster effect coverage</t>
  </si>
  <si>
    <t>The Text tab's office.not_active_yet string says "six of the fifteen organisations' effects need machinery that is not built" — written when Boosters had 15 rows; there are 16 now (BO01–BO16). Re-check which boosters that note still applies to.</t>
  </si>
  <si>
    <t>Flavor Text cue weighting</t>
  </si>
  <si>
    <t>An earlier design pass specified opponent dialogue should pull Flavor Text cues from a primary/secondary/tertiary/quaternary suit at 55/30/10/5%, assuming 4 ranked suits per opponent. The Opponents tab only ranks 3 suits (Suit 1–3) — that weighting needs to be redone as a 3-way split (or Opponents needs a 4th suit column) before it can drive dialogue selection.</t>
  </si>
  <si>
    <t>Question Themes stage keys</t>
  </si>
  <si>
    <t>Question Themes' 'Asked in' column uses snake_case stage-type keys (town_hall, media_ambush, lobbyist_meeting, press_conference, policy_study) instead of STxx IDs. A mapping table is needed before code can join Question Themes to Stages/Opponents by ID.</t>
  </si>
  <si>
    <t>69 question themes, each linked to a Booster ID and a comma-separated 'Asked in' list.</t>
  </si>
  <si>
    <t>ST04; ST19; ST21</t>
  </si>
  <si>
    <t>ST04; ST05</t>
  </si>
  <si>
    <t>ST20; ST21</t>
  </si>
  <si>
    <t>ST19; ST20</t>
  </si>
  <si>
    <t>ST05; ST20</t>
  </si>
  <si>
    <t>ST04; ST05; ST19</t>
  </si>
  <si>
    <t>ST04; ST05; ST19; ST20</t>
  </si>
  <si>
    <t>ST04; ST05; ST20; ST21</t>
  </si>
  <si>
    <t>ST04; ST21</t>
  </si>
  <si>
    <t>ST04; ST05; ST21</t>
  </si>
  <si>
    <t>office.staff</t>
  </si>
  <si>
    <t>Office · management menu, Recruitment shop title</t>
  </si>
  <si>
    <t>office.staff_blurb</t>
  </si>
  <si>
    <t>Office · Recruitment shop</t>
  </si>
  <si>
    <t>Each role can hold one hire at a time. Hiring and upgrading are paid from Funds.</t>
  </si>
  <si>
    <t>office.staff_candidate</t>
  </si>
  <si>
    <t>Office  ·  Recruitment shop, a vacant role's candidates</t>
  </si>
  <si>
    <t>{name} · {cost} Yen</t>
  </si>
  <si>
    <t>name, cost</t>
  </si>
  <si>
    <t>office.hire</t>
  </si>
  <si>
    <t>Office  ·  Recruitment shop, hire button</t>
  </si>
  <si>
    <t>Hire</t>
  </si>
  <si>
    <t>office.staff_hired</t>
  </si>
  <si>
    <t>Office  ·  Recruitment shop, a filled role</t>
  </si>
  <si>
    <t>{name} · Tier {tier} of {highest}</t>
  </si>
  <si>
    <t>name, tier, highest</t>
  </si>
  <si>
    <t>office.upgrade</t>
  </si>
  <si>
    <t>Office · Recruitment shop, upgrade button</t>
  </si>
  <si>
    <t>Upgrade · {cost} Yen</t>
  </si>
  <si>
    <t>cost</t>
  </si>
  <si>
    <t>office.staff_at_max</t>
  </si>
  <si>
    <t>Office · Recruitment shop, upgrade button when none is left</t>
  </si>
  <si>
    <t>At their highest tier.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</si>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</sst>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\x"/>
  </numFmts>
  <fonts count="40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FF"/>
      <name val="Arial"/>
      <family val="2"/>
    </font>
    <font>
      <b/>
      <sz val="11"/>
      <color rgb="FFFFFFFF"/>
      <name val="Arial"/>
      <family val="2"/>
    </font>
    <font>
      <sz val="11"/>
      <color rgb="FF000000"/>
      <name val="Arial"/>
      <family val="2"/>
    </font>
    <font>
      <sz val="11"/>
      <color rgb="FF0000FF"/>
      <name val="Noto Sans CJK SC"/>
      <family val="2"/>
      <charset val="1"/>
    </font>
    <font>
      <sz val="11"/>
      <color rgb="FF0000FF"/>
      <name val="Noto Sans CJK SC"/>
      <family val="2"/>
    </font>
    <font>
      <b/>
      <sz val="11"/>
      <color rgb="FFFFFFFF"/>
      <name val="Noto Sans CJK SC"/>
      <family val="2"/>
      <charset val="1"/>
    </font>
    <font>
      <i/>
      <sz val="11"/>
      <name val="Arial"/>
      <family val="2"/>
    </font>
    <font>
      <b/>
      <sz val="11"/>
      <name val="Calibri"/>
      <family val="2"/>
    </font>
    <font>
      <b/>
      <sz val="10"/>
      <color rgb="FFFFFFFF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9"/>
      <color rgb="FF404040"/>
      <name val="Arial"/>
      <family val="2"/>
    </font>
    <font>
      <b/>
      <sz val="12"/>
      <name val="Arial"/>
      <family val="2"/>
    </font>
    <font>
      <i/>
      <sz val="9"/>
      <color rgb="FF808080"/>
      <name val="Arial"/>
      <family val="2"/>
    </font>
    <font>
      <i/>
      <sz val="9"/>
      <color rgb="FF404040"/>
      <name val="Arial"/>
      <family val="2"/>
    </font>
    <font>
      <sz val="11"/>
      <color rgb="FF0000FF"/>
      <name val="Arial"/>
      <family val="2"/>
    </font>
    <font>
      <b/>
      <sz val="11"/>
      <color theme="1"/>
      <name val="Calibri"/>
      <family val="2"/>
      <charset val="1"/>
    </font>
    <font>
      <sz val="8"/>
      <name val="Calibri"/>
      <family val="2"/>
      <charset val="1"/>
    </font>
    <font>
      <b/>
      <sz val="11"/>
      <color rgb="FFFFFFFF"/>
      <name val="Arial"/>
      <family val="2"/>
    </font>
    <font>
      <sz val="11"/>
      <color rgb="FF000000"/>
      <name val="Arial"/>
      <family val="2"/>
    </font>
    <font>
      <sz val="11"/>
      <color theme="6"/>
      <name val="Arial"/>
      <family val="2"/>
    </font>
    <font>
      <sz val="11"/>
      <color rgb="FF0000FF"/>
      <name val="Calibri"/>
      <family val="2"/>
      <charset val="1"/>
    </font>
    <font>
      <sz val="11"/>
      <color rgb="FF0000FF"/>
      <name val="Arial"/>
      <family val="2"/>
    </font>
    <font>
      <sz val="11"/>
      <color rgb="FF0000FF"/>
      <name val="Noto Sans CJK SC"/>
    </font>
    <font>
      <b/>
      <sz val="11"/>
      <color rgb="FFFFFFFF"/>
      <name val="Calibri"/>
      <family val="2"/>
    </font>
    <font>
      <b/>
      <sz val="11"/>
      <color rgb="FFFFFFFF"/>
      <name val="Arial"/>
      <family val="2"/>
    </font>
    <font>
      <sz val="11"/>
      <color rgb="FF000000"/>
      <name val="Calibri"/>
      <family val="2"/>
    </font>
    <font>
      <sz val="11"/>
      <color rgb="FF0000FF"/>
      <name val="Calibri"/>
      <family val="2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  <font>
      <sz val="10"/>
      <color theme="1"/>
      <name val="Arial"/>
      <family val="2"/>
    </font>
    <font>
      <sz val="11"/>
      <color rgb="FF0000FF"/>
      <name val="Calibri"/>
    </font>
    <font>
      <sz val="11"/>
      <name val="Calibri"/>
    </font>
    <font>
      <b/>
      <sz val="14"/>
      <name val="Calibri"/>
    </font>
    <font>
      <sz val="10"/>
      <name val="Calibri"/>
    </font>
    <font>
      <b/>
      <sz val="10"/>
      <name val="Calibri"/>
    </font>
    <font>
      <sz val="11"/>
      <color rgb="FF008000"/>
      <name val="Calibri"/>
    </font>
  </fonts>
  <fills count="15">
    <fill>
      <patternFill patternType="none"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7A1F2B"/>
        <bgColor rgb="FF800000"/>
      </patternFill>
    </fill>
    <fill>
      <patternFill patternType="solid">
        <fgColor rgb="FF1F3864"/>
        <bgColor rgb="FF333399"/>
      </patternFill>
    </fill>
    <fill>
      <patternFill patternType="solid">
        <fgColor rgb="FF595959"/>
        <bgColor rgb="FF404040"/>
      </patternFill>
    </fill>
    <fill>
      <patternFill patternType="solid">
        <fgColor rgb="FFE8F1FB"/>
        <bgColor rgb="FFEEEEEE"/>
      </patternFill>
    </fill>
    <fill>
      <patternFill patternType="solid">
        <fgColor rgb="FFFDEDEC"/>
        <bgColor rgb="FFF4ECF7"/>
      </patternFill>
    </fill>
    <fill>
      <patternFill patternType="solid">
        <fgColor rgb="FFEAF4EA"/>
        <bgColor rgb="FFEEEEEE"/>
      </patternFill>
    </fill>
    <fill>
      <patternFill patternType="solid">
        <fgColor rgb="FFFFF7E6"/>
        <bgColor rgb="FFFDEDEC"/>
      </patternFill>
    </fill>
    <fill>
      <patternFill patternType="solid">
        <fgColor rgb="FFF4ECF7"/>
        <bgColor rgb="FFEEEEEE"/>
      </patternFill>
    </fill>
    <fill>
      <patternFill patternType="solid">
        <fgColor rgb="FFEEEEEE"/>
        <bgColor rgb="FFF4ECF7"/>
      </patternFill>
    </fill>
    <fill>
      <patternFill patternType="solid">
        <fgColor rgb="FF7A1F2B"/>
      </patternFill>
    </fill>
    <fill>
      <patternFill patternType="solid">
        <fgColor rgb="FFF2F2F2"/>
      </patternFill>
    </fill>
    <fill>
      <patternFill patternType="solid">
        <fgColor rgb="FFFFFF00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3">
    <xf numFmtId="0" fontId="0" fillId="0" borderId="0"/>
    <xf numFmtId="0" fontId="2" fillId="0" borderId="0"/>
    <xf numFmtId="0" fontId="1" fillId="0" borderId="0"/>
  </cellStyleXfs>
  <cellXfs count="126">
    <xf numFmtId="0" fontId="0" fillId="0" borderId="0" xfId="0"/>
    <xf numFmtId="0" fontId="3" fillId="0" borderId="0" xfId="0" applyFont="1" applyAlignment="1">
      <alignment vertical="top" wrapText="1"/>
    </xf>
    <xf numFmtId="0" fontId="4" fillId="3" borderId="1" xfId="0" applyFont="1" applyFill="1" applyBorder="1" applyAlignment="1">
      <alignment vertical="center" wrapText="1"/>
    </xf>
    <xf numFmtId="0" fontId="5" fillId="0" borderId="1" xfId="0" applyFont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9" fontId="3" fillId="0" borderId="1" xfId="0" applyNumberFormat="1" applyFont="1" applyBorder="1" applyAlignment="1">
      <alignment vertical="top" wrapText="1"/>
    </xf>
    <xf numFmtId="0" fontId="6" fillId="0" borderId="1" xfId="0" applyFont="1" applyBorder="1" applyAlignment="1">
      <alignment vertical="top" wrapText="1"/>
    </xf>
    <xf numFmtId="0" fontId="8" fillId="3" borderId="1" xfId="0" applyFont="1" applyFill="1" applyBorder="1" applyAlignment="1">
      <alignment vertical="center" wrapText="1"/>
    </xf>
    <xf numFmtId="164" fontId="3" fillId="0" borderId="1" xfId="0" applyNumberFormat="1" applyFont="1" applyBorder="1" applyAlignment="1">
      <alignment vertical="top" wrapText="1"/>
    </xf>
    <xf numFmtId="0" fontId="9" fillId="0" borderId="1" xfId="0" applyFont="1" applyBorder="1" applyAlignment="1">
      <alignment vertical="top" wrapText="1"/>
    </xf>
    <xf numFmtId="164" fontId="5" fillId="0" borderId="1" xfId="0" applyNumberFormat="1" applyFont="1" applyBorder="1" applyAlignment="1">
      <alignment vertical="top" wrapText="1"/>
    </xf>
    <xf numFmtId="0" fontId="7" fillId="0" borderId="1" xfId="0" applyFont="1" applyBorder="1" applyAlignment="1">
      <alignment vertical="top" wrapText="1"/>
    </xf>
    <xf numFmtId="0" fontId="10" fillId="0" borderId="0" xfId="0" applyFont="1"/>
    <xf numFmtId="0" fontId="0" fillId="0" borderId="0" xfId="0" applyAlignment="1">
      <alignment vertical="top" wrapText="1"/>
    </xf>
    <xf numFmtId="0" fontId="11" fillId="4" borderId="0" xfId="0" applyFont="1" applyFill="1" applyAlignment="1">
      <alignment horizontal="center" vertical="center" wrapText="1"/>
    </xf>
    <xf numFmtId="0" fontId="11" fillId="5" borderId="0" xfId="0" applyFont="1" applyFill="1" applyAlignment="1">
      <alignment horizontal="center" vertical="center" wrapText="1"/>
    </xf>
    <xf numFmtId="0" fontId="12" fillId="0" borderId="0" xfId="0" applyFont="1"/>
    <xf numFmtId="0" fontId="13" fillId="6" borderId="0" xfId="0" applyFont="1" applyFill="1" applyAlignment="1">
      <alignment horizontal="center" vertical="top"/>
    </xf>
    <xf numFmtId="0" fontId="12" fillId="6" borderId="0" xfId="0" applyFont="1" applyFill="1" applyAlignment="1">
      <alignment horizontal="left" vertical="top"/>
    </xf>
    <xf numFmtId="0" fontId="13" fillId="6" borderId="0" xfId="0" applyFont="1" applyFill="1" applyAlignment="1">
      <alignment horizontal="left" vertical="top"/>
    </xf>
    <xf numFmtId="0" fontId="13" fillId="6" borderId="0" xfId="0" applyFont="1" applyFill="1" applyAlignment="1">
      <alignment horizontal="left" vertical="top" wrapText="1"/>
    </xf>
    <xf numFmtId="0" fontId="14" fillId="0" borderId="0" xfId="0" applyFont="1"/>
    <xf numFmtId="0" fontId="13" fillId="7" borderId="0" xfId="0" applyFont="1" applyFill="1" applyAlignment="1">
      <alignment horizontal="center" vertical="top"/>
    </xf>
    <xf numFmtId="0" fontId="12" fillId="7" borderId="0" xfId="0" applyFont="1" applyFill="1" applyAlignment="1">
      <alignment horizontal="left" vertical="top"/>
    </xf>
    <xf numFmtId="0" fontId="13" fillId="7" borderId="0" xfId="0" applyFont="1" applyFill="1" applyAlignment="1">
      <alignment horizontal="left" vertical="top"/>
    </xf>
    <xf numFmtId="0" fontId="13" fillId="7" borderId="0" xfId="0" applyFont="1" applyFill="1" applyAlignment="1">
      <alignment horizontal="left" vertical="top" wrapText="1"/>
    </xf>
    <xf numFmtId="0" fontId="13" fillId="8" borderId="0" xfId="0" applyFont="1" applyFill="1" applyAlignment="1">
      <alignment horizontal="center" vertical="top"/>
    </xf>
    <xf numFmtId="0" fontId="12" fillId="8" borderId="0" xfId="0" applyFont="1" applyFill="1" applyAlignment="1">
      <alignment horizontal="left" vertical="top"/>
    </xf>
    <xf numFmtId="0" fontId="13" fillId="8" borderId="0" xfId="0" applyFont="1" applyFill="1" applyAlignment="1">
      <alignment horizontal="left" vertical="top"/>
    </xf>
    <xf numFmtId="0" fontId="13" fillId="8" borderId="0" xfId="0" applyFont="1" applyFill="1" applyAlignment="1">
      <alignment horizontal="left" vertical="top" wrapText="1"/>
    </xf>
    <xf numFmtId="0" fontId="13" fillId="9" borderId="0" xfId="0" applyFont="1" applyFill="1" applyAlignment="1">
      <alignment horizontal="center" vertical="top"/>
    </xf>
    <xf numFmtId="0" fontId="12" fillId="9" borderId="0" xfId="0" applyFont="1" applyFill="1" applyAlignment="1">
      <alignment horizontal="left" vertical="top"/>
    </xf>
    <xf numFmtId="0" fontId="13" fillId="9" borderId="0" xfId="0" applyFont="1" applyFill="1" applyAlignment="1">
      <alignment horizontal="left" vertical="top"/>
    </xf>
    <xf numFmtId="0" fontId="13" fillId="9" borderId="0" xfId="0" applyFont="1" applyFill="1" applyAlignment="1">
      <alignment horizontal="left" vertical="top" wrapText="1"/>
    </xf>
    <xf numFmtId="0" fontId="13" fillId="10" borderId="0" xfId="0" applyFont="1" applyFill="1" applyAlignment="1">
      <alignment horizontal="center" vertical="top"/>
    </xf>
    <xf numFmtId="0" fontId="12" fillId="10" borderId="0" xfId="0" applyFont="1" applyFill="1" applyAlignment="1">
      <alignment horizontal="left" vertical="top"/>
    </xf>
    <xf numFmtId="0" fontId="13" fillId="10" borderId="0" xfId="0" applyFont="1" applyFill="1" applyAlignment="1">
      <alignment horizontal="left" vertical="top"/>
    </xf>
    <xf numFmtId="0" fontId="13" fillId="10" borderId="0" xfId="0" applyFont="1" applyFill="1" applyAlignment="1">
      <alignment horizontal="left" vertical="top" wrapText="1"/>
    </xf>
    <xf numFmtId="0" fontId="13" fillId="11" borderId="0" xfId="0" applyFont="1" applyFill="1" applyAlignment="1">
      <alignment horizontal="center" vertical="top"/>
    </xf>
    <xf numFmtId="0" fontId="12" fillId="11" borderId="0" xfId="0" applyFont="1" applyFill="1" applyAlignment="1">
      <alignment horizontal="left" vertical="top"/>
    </xf>
    <xf numFmtId="0" fontId="13" fillId="11" borderId="0" xfId="0" applyFont="1" applyFill="1" applyAlignment="1">
      <alignment horizontal="left" vertical="top"/>
    </xf>
    <xf numFmtId="0" fontId="13" fillId="11" borderId="0" xfId="0" applyFont="1" applyFill="1" applyAlignment="1">
      <alignment horizontal="left" vertical="top" wrapText="1"/>
    </xf>
    <xf numFmtId="0" fontId="15" fillId="0" borderId="0" xfId="0" applyFont="1"/>
    <xf numFmtId="0" fontId="16" fillId="0" borderId="0" xfId="0" applyFont="1"/>
    <xf numFmtId="0" fontId="11" fillId="4" borderId="0" xfId="0" applyFont="1" applyFill="1"/>
    <xf numFmtId="0" fontId="12" fillId="6" borderId="0" xfId="0" applyFont="1" applyFill="1" applyAlignment="1">
      <alignment vertical="top" wrapText="1"/>
    </xf>
    <xf numFmtId="0" fontId="13" fillId="6" borderId="0" xfId="0" applyFont="1" applyFill="1" applyAlignment="1">
      <alignment vertical="top" wrapText="1"/>
    </xf>
    <xf numFmtId="0" fontId="12" fillId="7" borderId="0" xfId="0" applyFont="1" applyFill="1" applyAlignment="1">
      <alignment vertical="top" wrapText="1"/>
    </xf>
    <xf numFmtId="0" fontId="13" fillId="7" borderId="0" xfId="0" applyFont="1" applyFill="1" applyAlignment="1">
      <alignment vertical="top" wrapText="1"/>
    </xf>
    <xf numFmtId="0" fontId="12" fillId="8" borderId="0" xfId="0" applyFont="1" applyFill="1" applyAlignment="1">
      <alignment vertical="top" wrapText="1"/>
    </xf>
    <xf numFmtId="0" fontId="13" fillId="8" borderId="0" xfId="0" applyFont="1" applyFill="1" applyAlignment="1">
      <alignment vertical="top" wrapText="1"/>
    </xf>
    <xf numFmtId="0" fontId="12" fillId="9" borderId="0" xfId="0" applyFont="1" applyFill="1" applyAlignment="1">
      <alignment vertical="top" wrapText="1"/>
    </xf>
    <xf numFmtId="0" fontId="13" fillId="9" borderId="0" xfId="0" applyFont="1" applyFill="1" applyAlignment="1">
      <alignment vertical="top" wrapText="1"/>
    </xf>
    <xf numFmtId="0" fontId="12" fillId="10" borderId="0" xfId="0" applyFont="1" applyFill="1" applyAlignment="1">
      <alignment vertical="top" wrapText="1"/>
    </xf>
    <xf numFmtId="0" fontId="13" fillId="10" borderId="0" xfId="0" applyFont="1" applyFill="1" applyAlignment="1">
      <alignment vertical="top" wrapText="1"/>
    </xf>
    <xf numFmtId="0" fontId="12" fillId="11" borderId="0" xfId="0" applyFont="1" applyFill="1" applyAlignment="1">
      <alignment vertical="top" wrapText="1"/>
    </xf>
    <xf numFmtId="0" fontId="13" fillId="11" borderId="0" xfId="0" applyFont="1" applyFill="1" applyAlignment="1">
      <alignment vertical="top" wrapText="1"/>
    </xf>
    <xf numFmtId="0" fontId="12" fillId="0" borderId="0" xfId="0" applyFont="1" applyAlignment="1">
      <alignment vertical="top" wrapText="1"/>
    </xf>
    <xf numFmtId="0" fontId="13" fillId="0" borderId="0" xfId="0" applyFont="1" applyAlignment="1">
      <alignment vertical="top" wrapText="1"/>
    </xf>
    <xf numFmtId="0" fontId="13" fillId="0" borderId="0" xfId="0" applyFont="1" applyAlignment="1">
      <alignment horizontal="center" vertical="top"/>
    </xf>
    <xf numFmtId="0" fontId="12" fillId="0" borderId="0" xfId="0" applyFont="1" applyAlignment="1">
      <alignment horizontal="left" vertical="top" wrapText="1"/>
    </xf>
    <xf numFmtId="0" fontId="13" fillId="0" borderId="0" xfId="0" applyFont="1" applyAlignment="1">
      <alignment horizontal="left" vertical="top"/>
    </xf>
    <xf numFmtId="0" fontId="13" fillId="0" borderId="0" xfId="0" applyFont="1" applyAlignment="1">
      <alignment horizontal="left" vertical="top" wrapText="1"/>
    </xf>
    <xf numFmtId="0" fontId="12" fillId="0" borderId="0" xfId="0" applyFont="1" applyAlignment="1">
      <alignment horizontal="center"/>
    </xf>
    <xf numFmtId="0" fontId="17" fillId="0" borderId="0" xfId="0" applyFont="1"/>
    <xf numFmtId="0" fontId="18" fillId="0" borderId="1" xfId="0" applyFont="1" applyBorder="1" applyAlignment="1">
      <alignment vertical="top" wrapText="1"/>
    </xf>
    <xf numFmtId="0" fontId="19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8" fillId="0" borderId="2" xfId="0" applyFont="1" applyBorder="1" applyAlignment="1">
      <alignment vertical="top" wrapText="1"/>
    </xf>
    <xf numFmtId="0" fontId="21" fillId="3" borderId="1" xfId="0" applyFont="1" applyFill="1" applyBorder="1" applyAlignment="1">
      <alignment vertical="center" wrapText="1"/>
    </xf>
    <xf numFmtId="0" fontId="0" fillId="0" borderId="0" xfId="0" applyAlignment="1">
      <alignment horizontal="right" vertical="center" wrapText="1"/>
    </xf>
    <xf numFmtId="0" fontId="19" fillId="0" borderId="0" xfId="0" applyFont="1" applyAlignment="1">
      <alignment horizontal="right" vertical="center" wrapText="1"/>
    </xf>
    <xf numFmtId="0" fontId="19" fillId="0" borderId="0" xfId="0" applyFont="1" applyAlignment="1">
      <alignment vertical="center" wrapText="1"/>
    </xf>
    <xf numFmtId="3" fontId="3" fillId="0" borderId="1" xfId="0" applyNumberFormat="1" applyFont="1" applyBorder="1" applyAlignment="1">
      <alignment vertical="top" wrapText="1"/>
    </xf>
    <xf numFmtId="0" fontId="22" fillId="0" borderId="1" xfId="0" applyFont="1" applyBorder="1" applyAlignment="1">
      <alignment vertical="top" wrapText="1"/>
    </xf>
    <xf numFmtId="49" fontId="3" fillId="0" borderId="1" xfId="0" applyNumberFormat="1" applyFont="1" applyBorder="1" applyAlignment="1">
      <alignment vertical="top" wrapText="1"/>
    </xf>
    <xf numFmtId="49" fontId="5" fillId="0" borderId="1" xfId="0" applyNumberFormat="1" applyFont="1" applyBorder="1" applyAlignment="1">
      <alignment vertical="top" wrapText="1"/>
    </xf>
    <xf numFmtId="49" fontId="18" fillId="0" borderId="1" xfId="0" applyNumberFormat="1" applyFont="1" applyBorder="1" applyAlignment="1">
      <alignment vertical="top" wrapText="1"/>
    </xf>
    <xf numFmtId="49" fontId="22" fillId="0" borderId="1" xfId="0" applyNumberFormat="1" applyFont="1" applyBorder="1" applyAlignment="1">
      <alignment vertical="top" wrapText="1"/>
    </xf>
    <xf numFmtId="1" fontId="3" fillId="0" borderId="1" xfId="0" applyNumberFormat="1" applyFont="1" applyBorder="1" applyAlignment="1">
      <alignment vertical="top" wrapText="1"/>
    </xf>
    <xf numFmtId="0" fontId="23" fillId="0" borderId="1" xfId="0" applyFont="1" applyBorder="1" applyAlignment="1">
      <alignment vertical="top" wrapText="1"/>
    </xf>
    <xf numFmtId="0" fontId="24" fillId="0" borderId="0" xfId="0" applyFont="1"/>
    <xf numFmtId="0" fontId="3" fillId="0" borderId="2" xfId="0" applyFont="1" applyBorder="1" applyAlignment="1">
      <alignment vertical="top" wrapText="1"/>
    </xf>
    <xf numFmtId="0" fontId="24" fillId="0" borderId="0" xfId="0" applyFont="1" applyAlignment="1">
      <alignment vertical="center" wrapText="1"/>
    </xf>
    <xf numFmtId="0" fontId="30" fillId="0" borderId="0" xfId="0" applyFont="1"/>
    <xf numFmtId="0" fontId="28" fillId="12" borderId="1" xfId="0" applyFont="1" applyFill="1" applyBorder="1" applyAlignment="1">
      <alignment vertical="center" wrapText="1"/>
    </xf>
    <xf numFmtId="0" fontId="27" fillId="12" borderId="0" xfId="0" applyFont="1" applyFill="1"/>
    <xf numFmtId="49" fontId="25" fillId="0" borderId="1" xfId="0" applyNumberFormat="1" applyFont="1" applyBorder="1" applyAlignment="1">
      <alignment vertical="top" wrapText="1"/>
    </xf>
    <xf numFmtId="49" fontId="25" fillId="0" borderId="0" xfId="0" applyNumberFormat="1" applyFont="1"/>
    <xf numFmtId="49" fontId="25" fillId="0" borderId="2" xfId="0" applyNumberFormat="1" applyFont="1" applyBorder="1" applyAlignment="1">
      <alignment vertical="top" wrapText="1"/>
    </xf>
    <xf numFmtId="0" fontId="25" fillId="0" borderId="0" xfId="0" applyFont="1"/>
    <xf numFmtId="0" fontId="29" fillId="0" borderId="0" xfId="0" applyFont="1"/>
    <xf numFmtId="9" fontId="25" fillId="0" borderId="1" xfId="0" applyNumberFormat="1" applyFont="1" applyBorder="1" applyAlignment="1">
      <alignment vertical="top" wrapText="1"/>
    </xf>
    <xf numFmtId="1" fontId="25" fillId="0" borderId="1" xfId="0" applyNumberFormat="1" applyFont="1" applyBorder="1" applyAlignment="1">
      <alignment vertical="top" wrapText="1"/>
    </xf>
    <xf numFmtId="9" fontId="26" fillId="0" borderId="1" xfId="0" applyNumberFormat="1" applyFont="1" applyBorder="1" applyAlignment="1">
      <alignment vertical="top" wrapText="1"/>
    </xf>
    <xf numFmtId="0" fontId="26" fillId="0" borderId="0" xfId="0" applyFont="1"/>
    <xf numFmtId="1" fontId="25" fillId="0" borderId="0" xfId="0" applyNumberFormat="1" applyFont="1"/>
    <xf numFmtId="0" fontId="25" fillId="0" borderId="1" xfId="0" applyFont="1" applyBorder="1" applyAlignment="1">
      <alignment vertical="top" wrapText="1"/>
    </xf>
    <xf numFmtId="0" fontId="25" fillId="2" borderId="1" xfId="0" applyFont="1" applyFill="1" applyBorder="1" applyAlignment="1">
      <alignment vertical="top" wrapText="1"/>
    </xf>
    <xf numFmtId="0" fontId="31" fillId="12" borderId="0" xfId="0" applyFont="1" applyFill="1" applyAlignment="1">
      <alignment vertical="center" wrapText="1"/>
    </xf>
    <xf numFmtId="3" fontId="30" fillId="0" borderId="0" xfId="0" applyNumberFormat="1" applyFont="1"/>
    <xf numFmtId="0" fontId="32" fillId="0" borderId="0" xfId="0" applyFont="1"/>
    <xf numFmtId="0" fontId="33" fillId="0" borderId="3" xfId="0" applyFont="1" applyBorder="1" applyAlignment="1">
      <alignment wrapText="1"/>
    </xf>
    <xf numFmtId="0" fontId="33" fillId="0" borderId="0" xfId="0" applyFont="1" applyAlignment="1">
      <alignment wrapText="1"/>
    </xf>
    <xf numFmtId="49" fontId="24" fillId="0" borderId="1" xfId="0" applyNumberFormat="1" applyFont="1" applyBorder="1" applyAlignment="1">
      <alignment vertical="top"/>
    </xf>
    <xf numFmtId="0" fontId="0" fillId="0" borderId="3" xfId="0" applyBorder="1"/>
    <xf numFmtId="0" fontId="27" fillId="12" borderId="0" xfId="1" applyFont="1" applyFill="1" applyAlignment="1">
      <alignment vertical="center" wrapText="1"/>
    </xf>
    <xf numFmtId="0" fontId="30" fillId="0" borderId="0" xfId="1" applyFont="1" applyAlignment="1">
      <alignment vertical="top" wrapText="1"/>
    </xf>
    <xf numFmtId="3" fontId="30" fillId="0" borderId="0" xfId="1" applyNumberFormat="1" applyFont="1" applyAlignment="1">
      <alignment vertical="top" wrapText="1"/>
    </xf>
    <xf numFmtId="0" fontId="29" fillId="0" borderId="0" xfId="1" applyFont="1" applyAlignment="1">
      <alignment vertical="top" wrapText="1"/>
    </xf>
    <xf numFmtId="0" fontId="34" fillId="0" borderId="0" xfId="0" applyFont="1" applyAlignment="1">
      <alignment vertical="top" wrapText="1"/>
    </xf>
    <xf numFmtId="0" fontId="34" fillId="0" borderId="1" xfId="0" applyFont="1" applyBorder="1" applyAlignment="1">
      <alignment vertical="top" wrapText="1"/>
    </xf>
    <xf numFmtId="49" fontId="24" fillId="0" borderId="0" xfId="0" applyNumberFormat="1" applyFont="1" applyAlignment="1">
      <alignment vertical="top"/>
    </xf>
    <xf numFmtId="0" fontId="34" fillId="0" borderId="1" xfId="0" applyFont="1" applyBorder="1"/>
    <xf numFmtId="0" fontId="34" fillId="0" borderId="3" xfId="0" applyFont="1" applyBorder="1" applyAlignment="1">
      <alignment wrapText="1"/>
    </xf>
    <xf numFmtId="0" fontId="34" fillId="0" borderId="0" xfId="0" applyFont="1" applyAlignment="1">
      <alignment wrapText="1"/>
    </xf>
    <xf numFmtId="0" fontId="34" fillId="0" borderId="0" xfId="0" applyFont="1"/>
    <xf numFmtId="0" fontId="36" fillId="0" borderId="0" xfId="0" applyFont="1"/>
    <xf numFmtId="0" fontId="35" fillId="0" borderId="0" xfId="0" applyFont="1"/>
    <xf numFmtId="0" fontId="37" fillId="0" borderId="0" xfId="0" applyFont="1"/>
    <xf numFmtId="0" fontId="38" fillId="13" borderId="0" xfId="0" applyFont="1" applyFill="1"/>
    <xf numFmtId="0" fontId="35" fillId="13" borderId="0" xfId="0" applyFont="1" applyFill="1"/>
    <xf numFmtId="0" fontId="39" fillId="0" borderId="0" xfId="0" applyFont="1"/>
    <xf numFmtId="0" fontId="35" fillId="14" borderId="0" xfId="0" applyFont="1" applyFill="1"/>
    <xf numFmtId="0" fontId="10" fillId="0" borderId="0" xfId="2" applyFont="1"/>
    <xf numFmtId="0" fontId="34" fillId="0" borderId="0" xfId="2" applyFont="1"/>
  </cellXfs>
  <cellStyles count="3">
    <cellStyle name="Normal" xfId="0" builtinId="0"/>
    <cellStyle name="Normal 2" xfId="1" xr:uid="{20CC7814-BBEB-46FA-AF44-32BE900F72EA}"/>
    <cellStyle name="Normal 2 2" xfId="2" xr:uid="{8FCE8F55-BA94-4560-9772-E3B1609C2C68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7A1F2B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 /><Relationship Id="rId13" Type="http://schemas.openxmlformats.org/officeDocument/2006/relationships/worksheet" Target="worksheets/sheet13.xml" /><Relationship Id="rId18" Type="http://schemas.openxmlformats.org/officeDocument/2006/relationships/worksheet" Target="worksheets/sheet18.xml" /><Relationship Id="rId26" Type="http://schemas.openxmlformats.org/officeDocument/2006/relationships/sharedStrings" Target="sharedStrings.xml" /><Relationship Id="rId3" Type="http://schemas.openxmlformats.org/officeDocument/2006/relationships/worksheet" Target="worksheets/sheet3.xml" /><Relationship Id="rId21" Type="http://schemas.openxmlformats.org/officeDocument/2006/relationships/worksheet" Target="worksheets/sheet21.xml" /><Relationship Id="rId7" Type="http://schemas.openxmlformats.org/officeDocument/2006/relationships/worksheet" Target="worksheets/sheet7.xml" /><Relationship Id="rId12" Type="http://schemas.openxmlformats.org/officeDocument/2006/relationships/worksheet" Target="worksheets/sheet12.xml" /><Relationship Id="rId17" Type="http://schemas.openxmlformats.org/officeDocument/2006/relationships/worksheet" Target="worksheets/sheet17.xml" /><Relationship Id="rId25" Type="http://schemas.openxmlformats.org/officeDocument/2006/relationships/styles" Target="styles.xml" /><Relationship Id="rId2" Type="http://schemas.openxmlformats.org/officeDocument/2006/relationships/worksheet" Target="worksheets/sheet2.xml" /><Relationship Id="rId16" Type="http://schemas.openxmlformats.org/officeDocument/2006/relationships/worksheet" Target="worksheets/sheet16.xml" /><Relationship Id="rId20" Type="http://schemas.openxmlformats.org/officeDocument/2006/relationships/worksheet" Target="worksheets/sheet20.xml" /><Relationship Id="rId1" Type="http://schemas.openxmlformats.org/officeDocument/2006/relationships/worksheet" Target="worksheets/sheet1.xml" /><Relationship Id="rId6" Type="http://schemas.openxmlformats.org/officeDocument/2006/relationships/worksheet" Target="worksheets/sheet6.xml" /><Relationship Id="rId11" Type="http://schemas.openxmlformats.org/officeDocument/2006/relationships/worksheet" Target="worksheets/sheet11.xml" /><Relationship Id="rId24" Type="http://schemas.openxmlformats.org/officeDocument/2006/relationships/theme" Target="theme/theme1.xml" /><Relationship Id="rId5" Type="http://schemas.openxmlformats.org/officeDocument/2006/relationships/worksheet" Target="worksheets/sheet5.xml" /><Relationship Id="rId15" Type="http://schemas.openxmlformats.org/officeDocument/2006/relationships/worksheet" Target="worksheets/sheet15.xml" /><Relationship Id="rId23" Type="http://schemas.openxmlformats.org/officeDocument/2006/relationships/worksheet" Target="worksheets/sheet23.xml" /><Relationship Id="rId10" Type="http://schemas.openxmlformats.org/officeDocument/2006/relationships/worksheet" Target="worksheets/sheet10.xml" /><Relationship Id="rId19" Type="http://schemas.openxmlformats.org/officeDocument/2006/relationships/worksheet" Target="worksheets/sheet19.xml" /><Relationship Id="rId4" Type="http://schemas.openxmlformats.org/officeDocument/2006/relationships/worksheet" Target="worksheets/sheet4.xml" /><Relationship Id="rId9" Type="http://schemas.openxmlformats.org/officeDocument/2006/relationships/worksheet" Target="worksheets/sheet9.xml" /><Relationship Id="rId14" Type="http://schemas.openxmlformats.org/officeDocument/2006/relationships/worksheet" Target="worksheets/sheet14.xml" /><Relationship Id="rId22" Type="http://schemas.openxmlformats.org/officeDocument/2006/relationships/worksheet" Target="worksheets/sheet22.xml" /><Relationship Id="rId27" Type="http://schemas.openxmlformats.org/officeDocument/2006/relationships/calcChain" Target="calcChain.xml" /><Relationship Id="rId28" Type="http://schemas.openxmlformats.org/officeDocument/2006/relationships/worksheet" Target="worksheets/sheet24.xml" /><Relationship Id="rId29" Type="http://schemas.openxmlformats.org/officeDocument/2006/relationships/worksheet" Target="worksheets/sheet25.xml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B60"/>
  <sheetViews>
    <sheetView zoomScaleNormal="100" workbookViewId="0">
      <selection activeCell="E27" sqref="E27"/>
    </sheetView>
  </sheetViews>
  <sheetFormatPr defaultColWidth="8.7421875" defaultRowHeight="15" x14ac:dyDescent="0.2"/>
  <cols>
    <col min="1" max="1" width="23.9453125" customWidth="1"/>
    <col min="2" max="2" width="94.97265625" customWidth="1"/>
  </cols>
  <sheetData>
    <row r="1" spans="1:2" ht="17.25" customHeight="1" x14ac:dyDescent="0.25">
      <c r="A1" s="117" t="s">
        <v>72</v>
      </c>
      <c r="B1" s="118"/>
    </row>
    <row r="2" spans="1:2" ht="26.25" customHeight="1" x14ac:dyDescent="0.2">
      <c r="A2" s="119" t="s">
        <v>73</v>
      </c>
      <c r="B2" s="118" t="s">
        <v>2771</v>
      </c>
    </row>
    <row r="3" spans="1:2" ht="26.25" customHeight="1" x14ac:dyDescent="0.2">
      <c r="A3" s="119" t="s">
        <v>74</v>
      </c>
      <c r="B3" s="118" t="s">
        <v>2772</v>
      </c>
    </row>
    <row r="4" spans="1:2" ht="15" customHeight="1" x14ac:dyDescent="0.2">
      <c r="A4" s="118"/>
      <c r="B4" s="118"/>
    </row>
    <row r="5" spans="1:2" ht="15" customHeight="1" x14ac:dyDescent="0.2">
      <c r="A5" s="120" t="s">
        <v>75</v>
      </c>
      <c r="B5" s="121"/>
    </row>
    <row r="6" spans="1:2" ht="26.25" customHeight="1" x14ac:dyDescent="0.2">
      <c r="A6" s="119" t="s">
        <v>76</v>
      </c>
      <c r="B6" s="118" t="s">
        <v>2773</v>
      </c>
    </row>
    <row r="7" spans="1:2" ht="15" customHeight="1" x14ac:dyDescent="0.2">
      <c r="A7" s="119" t="s">
        <v>77</v>
      </c>
      <c r="B7" s="118" t="s">
        <v>2774</v>
      </c>
    </row>
    <row r="8" spans="1:2" ht="15" customHeight="1" x14ac:dyDescent="0.2">
      <c r="A8" s="119" t="s">
        <v>80</v>
      </c>
      <c r="B8" s="118" t="s">
        <v>2775</v>
      </c>
    </row>
    <row r="9" spans="1:2" ht="15" customHeight="1" x14ac:dyDescent="0.2">
      <c r="A9" s="119" t="s">
        <v>95</v>
      </c>
      <c r="B9" s="118" t="s">
        <v>2776</v>
      </c>
    </row>
    <row r="10" spans="1:2" ht="15" customHeight="1" x14ac:dyDescent="0.2">
      <c r="A10" s="119" t="s">
        <v>78</v>
      </c>
      <c r="B10" s="118" t="s">
        <v>2777</v>
      </c>
    </row>
    <row r="11" spans="1:2" ht="29.25" customHeight="1" x14ac:dyDescent="0.2">
      <c r="A11" s="119" t="s">
        <v>79</v>
      </c>
      <c r="B11" s="118" t="s">
        <v>2778</v>
      </c>
    </row>
    <row r="12" spans="1:2" ht="15" customHeight="1" x14ac:dyDescent="0.2">
      <c r="A12" s="119" t="s">
        <v>81</v>
      </c>
      <c r="B12" s="118" t="s">
        <v>2779</v>
      </c>
    </row>
    <row r="13" spans="1:2" ht="16.5" customHeight="1" x14ac:dyDescent="0.2">
      <c r="A13" s="119" t="s">
        <v>82</v>
      </c>
      <c r="B13" s="118" t="s">
        <v>2780</v>
      </c>
    </row>
    <row r="14" spans="1:2" ht="15" customHeight="1" x14ac:dyDescent="0.2">
      <c r="A14" s="119" t="s">
        <v>94</v>
      </c>
      <c r="B14" s="118" t="s">
        <v>2781</v>
      </c>
    </row>
    <row r="15" spans="1:2" ht="15" customHeight="1" x14ac:dyDescent="0.2">
      <c r="A15" s="119" t="s">
        <v>2782</v>
      </c>
      <c r="B15" s="118" t="s">
        <v>2783</v>
      </c>
    </row>
    <row r="16" spans="1:2" ht="16.5" customHeight="1" x14ac:dyDescent="0.2">
      <c r="A16" s="119" t="s">
        <v>2784</v>
      </c>
      <c r="B16" s="118" t="s">
        <v>2785</v>
      </c>
    </row>
    <row r="17" spans="1:2" ht="15" customHeight="1" x14ac:dyDescent="0.2">
      <c r="A17" s="119" t="s">
        <v>83</v>
      </c>
      <c r="B17" s="118" t="s">
        <v>2786</v>
      </c>
    </row>
    <row r="18" spans="1:2" ht="15" customHeight="1" x14ac:dyDescent="0.2">
      <c r="A18" s="119" t="s">
        <v>84</v>
      </c>
      <c r="B18" s="118" t="s">
        <v>2787</v>
      </c>
    </row>
    <row r="19" spans="1:2" ht="15" customHeight="1" x14ac:dyDescent="0.2">
      <c r="A19" s="119" t="s">
        <v>2788</v>
      </c>
      <c r="B19" s="118" t="s">
        <v>2789</v>
      </c>
    </row>
    <row r="20" spans="1:2" ht="15" customHeight="1" x14ac:dyDescent="0.2">
      <c r="A20" s="119" t="s">
        <v>2790</v>
      </c>
      <c r="B20" s="118" t="s">
        <v>2791</v>
      </c>
    </row>
    <row r="21" spans="1:2" ht="15" customHeight="1" x14ac:dyDescent="0.2">
      <c r="A21" s="119" t="s">
        <v>2792</v>
      </c>
      <c r="B21" s="118" t="s">
        <v>2793</v>
      </c>
    </row>
    <row r="22" spans="1:2" ht="15" customHeight="1" x14ac:dyDescent="0.2">
      <c r="A22" s="119" t="s">
        <v>2794</v>
      </c>
      <c r="B22" s="118" t="s">
        <v>2795</v>
      </c>
    </row>
    <row r="23" spans="1:2" ht="15" customHeight="1" x14ac:dyDescent="0.2">
      <c r="A23" s="119" t="s">
        <v>2796</v>
      </c>
      <c r="B23" s="118" t="s">
        <v>2797</v>
      </c>
    </row>
    <row r="24" spans="1:2" ht="15" customHeight="1" x14ac:dyDescent="0.2">
      <c r="A24" s="119" t="s">
        <v>2798</v>
      </c>
      <c r="B24" s="118" t="s">
        <v>2799</v>
      </c>
    </row>
    <row r="25" spans="1:2" ht="15" customHeight="1" x14ac:dyDescent="0.2">
      <c r="A25" s="119" t="s">
        <v>2800</v>
      </c>
      <c r="B25" s="118" t="s">
        <v>2801</v>
      </c>
    </row>
    <row r="26" spans="1:2" x14ac:dyDescent="0.2">
      <c r="A26" s="119" t="s">
        <v>2802</v>
      </c>
      <c r="B26" s="118" t="s">
        <v>2803</v>
      </c>
    </row>
    <row r="27" spans="1:2" x14ac:dyDescent="0.2">
      <c r="A27" s="119" t="s">
        <v>2804</v>
      </c>
      <c r="B27" s="118" t="s">
        <v>2814</v>
      </c>
    </row>
    <row r="28" spans="1:2" x14ac:dyDescent="0.2">
      <c r="A28" s="118"/>
      <c r="B28" s="118"/>
    </row>
    <row r="29" spans="1:2" x14ac:dyDescent="0.2">
      <c r="A29" s="120" t="s">
        <v>85</v>
      </c>
      <c r="B29" s="121"/>
    </row>
    <row r="30" spans="1:2" x14ac:dyDescent="0.2">
      <c r="A30" s="119" t="s">
        <v>86</v>
      </c>
      <c r="B30" s="116" t="s">
        <v>87</v>
      </c>
    </row>
    <row r="31" spans="1:2" x14ac:dyDescent="0.2">
      <c r="A31" s="119" t="s">
        <v>88</v>
      </c>
      <c r="B31" s="118" t="s">
        <v>89</v>
      </c>
    </row>
    <row r="32" spans="1:2" x14ac:dyDescent="0.2">
      <c r="A32" s="119" t="s">
        <v>90</v>
      </c>
      <c r="B32" s="122" t="s">
        <v>91</v>
      </c>
    </row>
    <row r="33" spans="1:2" x14ac:dyDescent="0.2">
      <c r="A33" s="119" t="s">
        <v>92</v>
      </c>
      <c r="B33" s="123" t="s">
        <v>93</v>
      </c>
    </row>
    <row r="34" spans="1:2" x14ac:dyDescent="0.2">
      <c r="A34" s="118"/>
      <c r="B34" s="118"/>
    </row>
    <row r="35" spans="1:2" x14ac:dyDescent="0.2">
      <c r="A35" s="120" t="s">
        <v>2805</v>
      </c>
      <c r="B35" s="121"/>
    </row>
    <row r="36" spans="1:2" x14ac:dyDescent="0.2">
      <c r="A36" s="119" t="s">
        <v>2806</v>
      </c>
      <c r="B36" s="118" t="s">
        <v>2807</v>
      </c>
    </row>
    <row r="37" spans="1:2" x14ac:dyDescent="0.2">
      <c r="A37" s="119" t="s">
        <v>2808</v>
      </c>
      <c r="B37" s="118" t="s">
        <v>2809</v>
      </c>
    </row>
    <row r="38" spans="1:2" x14ac:dyDescent="0.2">
      <c r="A38" s="119" t="s">
        <v>2810</v>
      </c>
      <c r="B38" s="118" t="s">
        <v>2811</v>
      </c>
    </row>
    <row r="39" spans="1:2" x14ac:dyDescent="0.2">
      <c r="A39" s="119" t="s">
        <v>2812</v>
      </c>
      <c r="B39" s="118" t="s">
        <v>2813</v>
      </c>
    </row>
    <row r="40" spans="1:2" x14ac:dyDescent="0.2">
      <c r="A40" s="118"/>
      <c r="B40" s="118"/>
    </row>
    <row r="41" spans="1:2" x14ac:dyDescent="0.2">
      <c r="A41" s="118"/>
      <c r="B41" s="118"/>
    </row>
    <row r="42" spans="1:2" x14ac:dyDescent="0.2">
      <c r="A42" s="118"/>
      <c r="B42" s="118"/>
    </row>
    <row r="43" spans="1:2" x14ac:dyDescent="0.2">
      <c r="A43" s="118"/>
      <c r="B43" s="118"/>
    </row>
    <row r="44" spans="1:2" x14ac:dyDescent="0.2">
      <c r="A44" s="118"/>
      <c r="B44" s="118"/>
    </row>
    <row r="45" spans="1:2" x14ac:dyDescent="0.2">
      <c r="A45" s="118"/>
      <c r="B45" s="118"/>
    </row>
    <row r="46" spans="1:2" x14ac:dyDescent="0.2">
      <c r="A46" s="118"/>
      <c r="B46" s="118"/>
    </row>
    <row r="47" spans="1:2" x14ac:dyDescent="0.2">
      <c r="A47" s="118"/>
      <c r="B47" s="118"/>
    </row>
    <row r="48" spans="1:2" x14ac:dyDescent="0.2">
      <c r="A48" s="118"/>
      <c r="B48" s="118"/>
    </row>
    <row r="49" spans="1:2" x14ac:dyDescent="0.2">
      <c r="A49" s="118"/>
      <c r="B49" s="118"/>
    </row>
    <row r="50" spans="1:2" x14ac:dyDescent="0.2">
      <c r="A50" s="118"/>
      <c r="B50" s="118"/>
    </row>
    <row r="51" spans="1:2" x14ac:dyDescent="0.2">
      <c r="A51" s="118"/>
      <c r="B51" s="118"/>
    </row>
    <row r="52" spans="1:2" x14ac:dyDescent="0.2">
      <c r="A52" s="118"/>
      <c r="B52" s="118"/>
    </row>
    <row r="53" spans="1:2" x14ac:dyDescent="0.2">
      <c r="A53" s="118"/>
      <c r="B53" s="118"/>
    </row>
    <row r="54" spans="1:2" x14ac:dyDescent="0.2">
      <c r="A54" s="118"/>
      <c r="B54" s="118"/>
    </row>
    <row r="55" spans="1:2" x14ac:dyDescent="0.2">
      <c r="A55" s="118"/>
      <c r="B55" s="118"/>
    </row>
    <row r="56" spans="1:2" x14ac:dyDescent="0.2">
      <c r="A56" s="118"/>
      <c r="B56" s="118"/>
    </row>
    <row r="57" spans="1:2" x14ac:dyDescent="0.2">
      <c r="A57" s="118"/>
      <c r="B57" s="118"/>
    </row>
    <row r="58" spans="1:2" x14ac:dyDescent="0.2">
      <c r="A58" s="118"/>
      <c r="B58" s="118"/>
    </row>
    <row r="59" spans="1:2" x14ac:dyDescent="0.2">
      <c r="A59" s="118"/>
      <c r="B59" s="118"/>
    </row>
    <row r="60" spans="1:2" x14ac:dyDescent="0.2">
      <c r="A60" s="118"/>
      <c r="B60" s="118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C9"/>
  <sheetViews>
    <sheetView zoomScaleNormal="100" workbookViewId="0">
      <pane ySplit="1" topLeftCell="A7" activePane="bottomLeft" state="frozen"/>
      <selection pane="bottomLeft" activeCell="C18" sqref="C18"/>
    </sheetView>
  </sheetViews>
  <sheetFormatPr defaultColWidth="8.7421875" defaultRowHeight="15" x14ac:dyDescent="0.2"/>
  <cols>
    <col min="1" max="1" width="29.99609375" customWidth="1"/>
    <col min="2" max="2" width="11.97265625" customWidth="1"/>
    <col min="3" max="3" width="69.94921875" customWidth="1"/>
  </cols>
  <sheetData>
    <row r="1" spans="1:3" ht="31.5" customHeight="1" x14ac:dyDescent="0.2">
      <c r="A1" s="2" t="s">
        <v>96</v>
      </c>
      <c r="B1" s="2" t="s">
        <v>97</v>
      </c>
      <c r="C1" s="2" t="s">
        <v>98</v>
      </c>
    </row>
    <row r="2" spans="1:3" ht="15" customHeight="1" x14ac:dyDescent="0.2">
      <c r="A2" s="3" t="s">
        <v>99</v>
      </c>
      <c r="B2" s="4">
        <v>1</v>
      </c>
      <c r="C2" s="3" t="s">
        <v>100</v>
      </c>
    </row>
    <row r="3" spans="1:3" ht="15" customHeight="1" x14ac:dyDescent="0.2">
      <c r="A3" s="3" t="s">
        <v>101</v>
      </c>
      <c r="B3" s="4">
        <v>1.2</v>
      </c>
      <c r="C3" s="3" t="s">
        <v>102</v>
      </c>
    </row>
    <row r="4" spans="1:3" ht="15" customHeight="1" x14ac:dyDescent="0.2">
      <c r="A4" s="3" t="s">
        <v>103</v>
      </c>
      <c r="B4" s="4">
        <v>0.6</v>
      </c>
      <c r="C4" s="3" t="s">
        <v>104</v>
      </c>
    </row>
    <row r="5" spans="1:3" ht="15" customHeight="1" x14ac:dyDescent="0.2">
      <c r="A5" s="3" t="s">
        <v>105</v>
      </c>
      <c r="B5" s="4">
        <v>2</v>
      </c>
      <c r="C5" s="3" t="s">
        <v>106</v>
      </c>
    </row>
    <row r="6" spans="1:3" ht="29.25" customHeight="1" x14ac:dyDescent="0.2">
      <c r="A6" s="3" t="s">
        <v>107</v>
      </c>
      <c r="B6" s="4">
        <v>1.5</v>
      </c>
      <c r="C6" s="3" t="s">
        <v>108</v>
      </c>
    </row>
    <row r="7" spans="1:3" ht="15" customHeight="1" x14ac:dyDescent="0.2">
      <c r="A7" s="3" t="s">
        <v>109</v>
      </c>
      <c r="B7" s="4">
        <v>12</v>
      </c>
      <c r="C7" s="3" t="s">
        <v>110</v>
      </c>
    </row>
    <row r="8" spans="1:3" ht="15" customHeight="1" x14ac:dyDescent="0.2">
      <c r="A8" s="3" t="s">
        <v>111</v>
      </c>
      <c r="B8" s="5">
        <v>0.5</v>
      </c>
      <c r="C8" s="3" t="s">
        <v>112</v>
      </c>
    </row>
    <row r="9" spans="1:3" ht="15" customHeight="1" x14ac:dyDescent="0.2">
      <c r="A9" s="3" t="s">
        <v>113</v>
      </c>
      <c r="B9" s="5">
        <v>0.3</v>
      </c>
      <c r="C9" s="3" t="s">
        <v>114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E7"/>
  <sheetViews>
    <sheetView zoomScaleNormal="100" workbookViewId="0">
      <pane xSplit="1" ySplit="1" topLeftCell="B2" activePane="bottomRight" state="frozen"/>
      <selection pane="bottomLeft" activeCell="A2" sqref="A2"/>
      <selection pane="topRight" activeCell="B1" sqref="B1"/>
      <selection pane="bottomRight" activeCell="D17" sqref="D17"/>
    </sheetView>
  </sheetViews>
  <sheetFormatPr defaultColWidth="8.7421875" defaultRowHeight="15" x14ac:dyDescent="0.2"/>
  <cols>
    <col min="1" max="1" width="18.0234375" customWidth="1"/>
    <col min="2" max="3" width="11.97265625" customWidth="1"/>
    <col min="4" max="4" width="22.05859375" customWidth="1"/>
    <col min="5" max="5" width="10.625" customWidth="1"/>
  </cols>
  <sheetData>
    <row r="1" spans="1:5" ht="31.5" customHeight="1" x14ac:dyDescent="0.2">
      <c r="A1" s="2" t="s">
        <v>115</v>
      </c>
      <c r="B1" s="2" t="s">
        <v>116</v>
      </c>
      <c r="C1" s="2" t="s">
        <v>117</v>
      </c>
      <c r="D1" s="2" t="s">
        <v>118</v>
      </c>
      <c r="E1" s="69" t="s">
        <v>119</v>
      </c>
    </row>
    <row r="2" spans="1:5" ht="16.5" customHeight="1" x14ac:dyDescent="0.35">
      <c r="A2" s="4" t="s">
        <v>120</v>
      </c>
      <c r="B2" s="6" t="s">
        <v>121</v>
      </c>
      <c r="C2" s="4" t="s">
        <v>122</v>
      </c>
      <c r="D2" s="4" t="s">
        <v>123</v>
      </c>
      <c r="E2" s="65" t="s">
        <v>124</v>
      </c>
    </row>
    <row r="3" spans="1:5" ht="16.5" customHeight="1" x14ac:dyDescent="0.35">
      <c r="A3" s="4" t="s">
        <v>125</v>
      </c>
      <c r="B3" s="6" t="s">
        <v>126</v>
      </c>
      <c r="C3" s="4" t="s">
        <v>127</v>
      </c>
      <c r="D3" s="4" t="s">
        <v>128</v>
      </c>
      <c r="E3" s="65" t="s">
        <v>129</v>
      </c>
    </row>
    <row r="4" spans="1:5" ht="16.5" customHeight="1" x14ac:dyDescent="0.35">
      <c r="A4" s="4" t="s">
        <v>130</v>
      </c>
      <c r="B4" s="6" t="s">
        <v>131</v>
      </c>
      <c r="C4" s="4" t="s">
        <v>132</v>
      </c>
      <c r="D4" s="4" t="s">
        <v>133</v>
      </c>
      <c r="E4" s="65" t="s">
        <v>134</v>
      </c>
    </row>
    <row r="5" spans="1:5" ht="16.5" customHeight="1" x14ac:dyDescent="0.35">
      <c r="A5" s="4" t="s">
        <v>135</v>
      </c>
      <c r="B5" s="6" t="s">
        <v>136</v>
      </c>
      <c r="C5" s="4" t="s">
        <v>137</v>
      </c>
      <c r="D5" s="4" t="s">
        <v>138</v>
      </c>
      <c r="E5" s="65" t="s">
        <v>139</v>
      </c>
    </row>
    <row r="6" spans="1:5" ht="16.5" customHeight="1" x14ac:dyDescent="0.35">
      <c r="A6" s="4" t="s">
        <v>140</v>
      </c>
      <c r="B6" s="6" t="s">
        <v>141</v>
      </c>
      <c r="C6" s="4" t="s">
        <v>142</v>
      </c>
      <c r="D6" s="4" t="s">
        <v>143</v>
      </c>
      <c r="E6" s="65" t="s">
        <v>144</v>
      </c>
    </row>
    <row r="7" spans="1:5" ht="16.5" customHeight="1" x14ac:dyDescent="0.35">
      <c r="A7" s="4" t="s">
        <v>145</v>
      </c>
      <c r="B7" s="6" t="s">
        <v>146</v>
      </c>
      <c r="C7" s="4" t="s">
        <v>147</v>
      </c>
      <c r="D7" s="4" t="s">
        <v>148</v>
      </c>
      <c r="E7" s="65" t="s">
        <v>149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P46"/>
  <sheetViews>
    <sheetView zoomScaleNormal="100" workbookViewId="0">
      <pane ySplit="1" topLeftCell="A10" activePane="bottomLeft" state="frozen"/>
      <selection activeCell="G1" sqref="G1"/>
      <selection pane="bottomLeft" activeCell="I24" sqref="I24"/>
    </sheetView>
  </sheetViews>
  <sheetFormatPr defaultColWidth="8.7421875" defaultRowHeight="15" x14ac:dyDescent="0.2"/>
  <cols>
    <col min="1" max="1" width="9.01171875" customWidth="1"/>
    <col min="2" max="2" width="45.6015625" customWidth="1"/>
    <col min="3" max="3" width="11.02734375" customWidth="1"/>
    <col min="4" max="4" width="11.97265625" customWidth="1"/>
    <col min="5" max="5" width="11.02734375" customWidth="1"/>
    <col min="6" max="7" width="11.97265625" customWidth="1"/>
    <col min="8" max="8" width="7.93359375" customWidth="1"/>
    <col min="9" max="9" width="9.01171875" customWidth="1"/>
    <col min="10" max="10" width="7.93359375" customWidth="1"/>
    <col min="11" max="11" width="6.9921875" customWidth="1"/>
    <col min="12" max="12" width="9.953125" customWidth="1"/>
    <col min="13" max="13" width="6.9921875" customWidth="1"/>
    <col min="14" max="18" width="7.93359375" customWidth="1"/>
    <col min="19" max="19" width="9.01171875" customWidth="1"/>
    <col min="20" max="20" width="7.93359375" customWidth="1"/>
    <col min="21" max="23" width="9.01171875" customWidth="1"/>
    <col min="24" max="24" width="13.046875" customWidth="1"/>
    <col min="25" max="25" width="7.93359375" customWidth="1"/>
    <col min="26" max="26" width="9.28125" customWidth="1"/>
    <col min="27" max="28" width="7.93359375" customWidth="1"/>
    <col min="29" max="29" width="9.953125" customWidth="1"/>
  </cols>
  <sheetData>
    <row r="1" spans="1:42" ht="46.5" customHeight="1" x14ac:dyDescent="0.35">
      <c r="A1" s="2" t="s">
        <v>150</v>
      </c>
      <c r="B1" s="69" t="s">
        <v>151</v>
      </c>
      <c r="C1" s="2" t="s">
        <v>152</v>
      </c>
      <c r="D1" s="2" t="s">
        <v>117</v>
      </c>
      <c r="E1" s="2" t="s">
        <v>153</v>
      </c>
      <c r="F1" s="2" t="s">
        <v>154</v>
      </c>
      <c r="G1" s="69" t="s">
        <v>155</v>
      </c>
      <c r="H1" s="2" t="s">
        <v>156</v>
      </c>
      <c r="I1" s="69" t="s">
        <v>157</v>
      </c>
      <c r="J1" s="2" t="s">
        <v>158</v>
      </c>
      <c r="K1" s="2" t="s">
        <v>159</v>
      </c>
      <c r="L1" s="7" t="s">
        <v>160</v>
      </c>
      <c r="M1" s="2" t="s">
        <v>161</v>
      </c>
      <c r="N1" s="7" t="s">
        <v>162</v>
      </c>
      <c r="O1" s="2" t="s">
        <v>163</v>
      </c>
      <c r="P1" s="2" t="s">
        <v>164</v>
      </c>
      <c r="Q1" s="2" t="s">
        <v>165</v>
      </c>
      <c r="R1" s="2" t="s">
        <v>166</v>
      </c>
      <c r="S1" s="2" t="s">
        <v>167</v>
      </c>
      <c r="T1" s="2" t="s">
        <v>168</v>
      </c>
      <c r="U1" s="2" t="s">
        <v>169</v>
      </c>
      <c r="V1" s="69" t="s">
        <v>170</v>
      </c>
      <c r="W1" s="2" t="s">
        <v>171</v>
      </c>
      <c r="X1" s="2" t="s">
        <v>172</v>
      </c>
      <c r="Y1" s="69" t="s">
        <v>173</v>
      </c>
      <c r="Z1" s="2" t="s">
        <v>174</v>
      </c>
      <c r="AA1" s="69" t="s">
        <v>175</v>
      </c>
      <c r="AB1" s="69" t="s">
        <v>176</v>
      </c>
      <c r="AC1" s="2" t="s">
        <v>177</v>
      </c>
      <c r="AD1" s="69" t="s">
        <v>178</v>
      </c>
      <c r="AE1" s="69" t="s">
        <v>179</v>
      </c>
      <c r="AF1" s="69" t="s">
        <v>180</v>
      </c>
      <c r="AG1" s="69" t="s">
        <v>181</v>
      </c>
      <c r="AH1" s="69" t="s">
        <v>182</v>
      </c>
      <c r="AI1" s="2" t="inlineStr">
        <is>
          <t xml:space="preserve">Bar Model</t>
        </is>
      </c>
      <c r="AJ1" s="2" t="inlineStr">
        <is>
          <t xml:space="preserve">Energy Mode</t>
        </is>
      </c>
      <c r="AK1" s="2" t="inlineStr">
        <is>
          <t xml:space="preserve">Energy Pool</t>
        </is>
      </c>
      <c r="AL1" s="2" t="inlineStr">
        <is>
          <t xml:space="preserve">Sequence Mode</t>
        </is>
      </c>
      <c r="AM1" s="2" t="inlineStr">
        <is>
          <t xml:space="preserve">Opponent Count</t>
        </is>
      </c>
      <c r="AN1" s="2" t="inlineStr">
        <is>
          <t xml:space="preserve">Question Pool</t>
        </is>
      </c>
      <c r="AO1" s="2" t="inlineStr">
        <is>
          <t xml:space="preserve">Reputation Affects Start</t>
        </is>
      </c>
      <c r="AP1" s="2" t="inlineStr">
        <is>
          <t xml:space="preserve">Reveal In Briefing</t>
        </is>
      </c>
    </row>
    <row r="2" spans="1:41" ht="26.25" customHeight="1" x14ac:dyDescent="0.2">
      <c r="A2" s="4" t="s">
        <v>183</v>
      </c>
      <c r="B2" s="81" t="s">
        <v>184</v>
      </c>
      <c r="C2" s="81" t="s">
        <v>185</v>
      </c>
      <c r="D2" s="1" t="s">
        <v>186</v>
      </c>
      <c r="E2" s="4" t="s">
        <v>187</v>
      </c>
      <c r="F2" s="4" t="s">
        <v>188</v>
      </c>
      <c r="G2" s="4" t="s">
        <v>189</v>
      </c>
      <c r="H2" s="4">
        <v>35</v>
      </c>
      <c r="I2" s="4">
        <v>20</v>
      </c>
      <c r="J2" s="5">
        <f t="shared" ref="J2:J22" si="0">IF(AND(ISNUMBER(H2),ISNUMBER(I2)),IF(H2=0,"",I2/H2),"varies")</f>
        <v>0.5714285714285714</v>
      </c>
      <c r="K2" s="4">
        <v>7</v>
      </c>
      <c r="L2" s="4">
        <v>3</v>
      </c>
      <c r="M2" s="4">
        <v>5</v>
      </c>
      <c r="N2" s="4">
        <v>5</v>
      </c>
      <c r="O2" s="4">
        <v>1</v>
      </c>
      <c r="P2" s="4">
        <v>5</v>
      </c>
      <c r="Q2" s="5">
        <v>0.1</v>
      </c>
      <c r="R2" s="5">
        <v>0.4</v>
      </c>
      <c r="S2" s="5">
        <v>0</v>
      </c>
      <c r="T2" s="5">
        <v>0</v>
      </c>
      <c r="U2" s="5">
        <v>0.5</v>
      </c>
      <c r="V2" s="5">
        <v>0</v>
      </c>
      <c r="W2" s="5">
        <f t="shared" ref="W2:W22" si="1">SUM(Q2:V2)</f>
        <v>1</v>
      </c>
      <c r="X2" s="4" t="str">
        <f>IF(E2&lt;&gt;"Combat","—",IFERROR(INDEX(Affinity!$A$2:$A$7,MATCH(MAX(INDEX(Affinity!$B$2:$V$7,0,MATCH(A2,Affinity!$B$1:$V$1,0))),INDEX(Affinity!$B$2:$V$7,0,MATCH(A2,Affinity!$B$1:$V$1,0)),0)),"—"))</f>
        <v>Earnest</v>
      </c>
      <c r="Y2" s="4">
        <v>0</v>
      </c>
      <c r="Z2" s="73">
        <v>10000</v>
      </c>
      <c r="AA2" s="4">
        <v>0</v>
      </c>
      <c r="AB2" s="4">
        <v>50</v>
      </c>
      <c r="AC2" s="4">
        <v>0</v>
      </c>
      <c r="AD2" s="4">
        <v>0</v>
      </c>
      <c r="AE2" s="73">
        <v>1000</v>
      </c>
      <c r="AF2" s="4">
        <v>0</v>
      </c>
      <c r="AG2" s="4">
        <v>1</v>
      </c>
      <c r="AH2" s="4">
        <v>0</v>
      </c>
      <c r="AI2" s="4" t="inlineStr">
        <is>
          <t xml:space="preserve">Committee</t>
        </is>
      </c>
      <c r="AJ2" s="4" t="inlineStr">
        <is>
          <t xml:space="preserve">per_turn</t>
        </is>
      </c>
      <c r="AL2" s="4" t="inlineStr">
        <is>
          <t xml:space="preserve">single</t>
        </is>
      </c>
      <c r="AM2" s="4" t="inlineStr">
        <is>
          <t xml:space="preserve">1</t>
        </is>
      </c>
      <c r="AO2" s="4" t="inlineStr">
        <is>
          <t xml:space="preserve">No</t>
        </is>
      </c>
    </row>
    <row r="3" spans="1:41" ht="16.5" customHeight="1" x14ac:dyDescent="0.35">
      <c r="A3" s="4" t="s">
        <v>190</v>
      </c>
      <c r="B3" s="4" t="s">
        <v>191</v>
      </c>
      <c r="C3" s="6" t="s">
        <v>192</v>
      </c>
      <c r="D3" s="4" t="s">
        <v>193</v>
      </c>
      <c r="E3" s="4" t="s">
        <v>187</v>
      </c>
      <c r="F3" s="4" t="s">
        <v>194</v>
      </c>
      <c r="G3" s="4" t="s">
        <v>189</v>
      </c>
      <c r="H3" s="4">
        <v>101</v>
      </c>
      <c r="I3" s="4">
        <v>51</v>
      </c>
      <c r="J3" s="5">
        <f t="shared" si="0"/>
        <v>0.50495049504950495</v>
      </c>
      <c r="K3" s="4">
        <v>8</v>
      </c>
      <c r="L3" s="4">
        <v>3</v>
      </c>
      <c r="M3" s="4">
        <v>5</v>
      </c>
      <c r="N3" s="4">
        <v>6</v>
      </c>
      <c r="O3" s="4">
        <v>40</v>
      </c>
      <c r="P3" s="4">
        <v>40</v>
      </c>
      <c r="Q3" s="5">
        <v>0.2</v>
      </c>
      <c r="R3" s="5">
        <v>0.35</v>
      </c>
      <c r="S3" s="5">
        <v>0.05</v>
      </c>
      <c r="T3" s="5">
        <v>0.15</v>
      </c>
      <c r="U3" s="5">
        <v>0.15</v>
      </c>
      <c r="V3" s="5">
        <v>0.1</v>
      </c>
      <c r="W3" s="5">
        <f t="shared" si="1"/>
        <v>1.0000000000000002</v>
      </c>
      <c r="X3" s="4" t="str">
        <f>IF(E3&lt;&gt;"Combat","—",IFERROR(INDEX(Affinity!$A$2:$A$7,MATCH(MAX(INDEX(Affinity!$B$2:$V$7,0,MATCH(A3,Affinity!$B$1:$V$1,0))),INDEX(Affinity!$B$2:$V$7,0,MATCH(A3,Affinity!$B$1:$V$1,0)),0)),"—"))</f>
        <v>Appeal</v>
      </c>
      <c r="Y3" s="4">
        <v>0</v>
      </c>
      <c r="Z3" s="73">
        <v>20000</v>
      </c>
      <c r="AA3" s="4">
        <v>0</v>
      </c>
      <c r="AB3" s="4">
        <v>50</v>
      </c>
      <c r="AC3" s="4">
        <v>0</v>
      </c>
      <c r="AD3" s="4">
        <v>0</v>
      </c>
      <c r="AE3" s="4">
        <v>0</v>
      </c>
      <c r="AF3" s="4">
        <v>0</v>
      </c>
      <c r="AG3" s="4">
        <v>5</v>
      </c>
      <c r="AH3" s="4">
        <v>0</v>
      </c>
      <c r="AI3" s="4" t="inlineStr">
        <is>
          <t xml:space="preserve">Shared_pool</t>
        </is>
      </c>
      <c r="AJ3" s="4" t="inlineStr">
        <is>
          <t xml:space="preserve">per_turn</t>
        </is>
      </c>
      <c r="AL3" s="4" t="inlineStr">
        <is>
          <t xml:space="preserve">single</t>
        </is>
      </c>
      <c r="AM3" s="4" t="inlineStr">
        <is>
          <t xml:space="preserve">1</t>
        </is>
      </c>
      <c r="AO3" s="4" t="inlineStr">
        <is>
          <t xml:space="preserve">No</t>
        </is>
      </c>
    </row>
    <row r="4" spans="1:41" ht="16.5" customHeight="1" x14ac:dyDescent="0.35">
      <c r="A4" s="4" t="s">
        <v>195</v>
      </c>
      <c r="B4" s="4" t="s">
        <v>196</v>
      </c>
      <c r="C4" s="6" t="s">
        <v>197</v>
      </c>
      <c r="D4" s="4" t="s">
        <v>198</v>
      </c>
      <c r="E4" s="4" t="s">
        <v>187</v>
      </c>
      <c r="F4" s="4" t="s">
        <v>199</v>
      </c>
      <c r="G4" s="4" t="s">
        <v>200</v>
      </c>
      <c r="H4" s="4">
        <v>100</v>
      </c>
      <c r="I4" s="4">
        <v>60</v>
      </c>
      <c r="J4" s="5">
        <f t="shared" si="0"/>
        <v>0.6</v>
      </c>
      <c r="K4" s="4">
        <v>6</v>
      </c>
      <c r="L4" s="4">
        <v>3</v>
      </c>
      <c r="M4" s="4">
        <v>5</v>
      </c>
      <c r="N4" s="4">
        <v>5</v>
      </c>
      <c r="O4" s="4">
        <v>40</v>
      </c>
      <c r="P4" s="4">
        <v>40</v>
      </c>
      <c r="Q4" s="5">
        <v>0</v>
      </c>
      <c r="R4" s="5">
        <v>0.55000000000000004</v>
      </c>
      <c r="S4" s="5">
        <v>0</v>
      </c>
      <c r="T4" s="5">
        <v>0</v>
      </c>
      <c r="U4" s="5">
        <v>0</v>
      </c>
      <c r="V4" s="5">
        <v>0.45</v>
      </c>
      <c r="W4" s="5">
        <f t="shared" si="1"/>
        <v>1</v>
      </c>
      <c r="X4" s="4" t="str">
        <f>IF(E4&lt;&gt;"Combat","—",IFERROR(INDEX(Affinity!$A$2:$A$7,MATCH(MAX(INDEX(Affinity!$B$2:$V$7,0,MATCH(A4,Affinity!$B$1:$V$1,0))),INDEX(Affinity!$B$2:$V$7,0,MATCH(A4,Affinity!$B$1:$V$1,0)),0)),"—"))</f>
        <v>Divisive</v>
      </c>
      <c r="Y4" s="4">
        <v>0</v>
      </c>
      <c r="Z4" s="73">
        <v>10000</v>
      </c>
      <c r="AA4" s="4">
        <v>1</v>
      </c>
      <c r="AB4" s="4">
        <v>70</v>
      </c>
      <c r="AC4" s="4">
        <v>2</v>
      </c>
      <c r="AD4" s="82">
        <v>0</v>
      </c>
      <c r="AE4" s="4">
        <v>0</v>
      </c>
      <c r="AF4" s="82">
        <v>-1</v>
      </c>
      <c r="AG4" s="4">
        <v>1</v>
      </c>
      <c r="AH4" s="82">
        <v>-2</v>
      </c>
      <c r="AI4" s="4" t="inlineStr">
        <is>
          <t xml:space="preserve">Shared_pool</t>
        </is>
      </c>
      <c r="AJ4" s="4" t="inlineStr">
        <is>
          <t xml:space="preserve">per_turn</t>
        </is>
      </c>
      <c r="AL4" s="4" t="inlineStr">
        <is>
          <t xml:space="preserve">single</t>
        </is>
      </c>
      <c r="AM4" s="4" t="inlineStr">
        <is>
          <t xml:space="preserve">1</t>
        </is>
      </c>
      <c r="AO4" s="4" t="inlineStr">
        <is>
          <t xml:space="preserve">No</t>
        </is>
      </c>
    </row>
    <row r="5" spans="1:41" ht="26.25" customHeight="1" x14ac:dyDescent="0.35">
      <c r="A5" s="4" t="s">
        <v>201</v>
      </c>
      <c r="B5" s="4" t="s">
        <v>202</v>
      </c>
      <c r="C5" s="6" t="s">
        <v>203</v>
      </c>
      <c r="D5" s="4" t="s">
        <v>204</v>
      </c>
      <c r="E5" s="4" t="s">
        <v>187</v>
      </c>
      <c r="F5" s="4" t="s">
        <v>205</v>
      </c>
      <c r="G5" s="4" t="s">
        <v>189</v>
      </c>
      <c r="H5" s="4">
        <v>100</v>
      </c>
      <c r="I5" s="4">
        <v>55</v>
      </c>
      <c r="J5" s="5">
        <f t="shared" si="0"/>
        <v>0.55000000000000004</v>
      </c>
      <c r="K5" s="4">
        <v>5</v>
      </c>
      <c r="L5" s="4">
        <v>3</v>
      </c>
      <c r="M5" s="4">
        <v>5</v>
      </c>
      <c r="N5" s="4">
        <v>4</v>
      </c>
      <c r="O5" s="4">
        <v>45</v>
      </c>
      <c r="P5" s="4">
        <v>45</v>
      </c>
      <c r="Q5" s="5">
        <v>0.9</v>
      </c>
      <c r="R5" s="5">
        <v>0</v>
      </c>
      <c r="S5" s="5">
        <v>0</v>
      </c>
      <c r="T5" s="5">
        <v>0</v>
      </c>
      <c r="U5" s="5">
        <v>0.05</v>
      </c>
      <c r="V5" s="5">
        <v>0.05</v>
      </c>
      <c r="W5" s="5">
        <f t="shared" si="1"/>
        <v>1</v>
      </c>
      <c r="X5" s="4" t="str">
        <f>IF(E5&lt;&gt;"Combat","—",IFERROR(INDEX(Affinity!$A$2:$A$7,MATCH(MAX(INDEX(Affinity!$B$2:$V$7,0,MATCH(A5,Affinity!$B$1:$V$1,0))),INDEX(Affinity!$B$2:$V$7,0,MATCH(A5,Affinity!$B$1:$V$1,0)),0)),"—"))</f>
        <v>Appeal</v>
      </c>
      <c r="Y5" s="4">
        <v>1</v>
      </c>
      <c r="Z5" s="73">
        <v>20000</v>
      </c>
      <c r="AA5" s="4">
        <v>1</v>
      </c>
      <c r="AB5" s="4">
        <v>30</v>
      </c>
      <c r="AC5" s="4">
        <v>1</v>
      </c>
      <c r="AD5" s="82">
        <v>0</v>
      </c>
      <c r="AE5" s="4">
        <v>0</v>
      </c>
      <c r="AF5" s="82">
        <v>-2</v>
      </c>
      <c r="AG5" s="4">
        <v>5</v>
      </c>
      <c r="AH5" s="82">
        <v>-2</v>
      </c>
      <c r="AI5" s="4" t="inlineStr">
        <is>
          <t xml:space="preserve">Single</t>
        </is>
      </c>
      <c r="AJ5" s="4" t="inlineStr">
        <is>
          <t xml:space="preserve">per_turn</t>
        </is>
      </c>
      <c r="AL5" s="4" t="inlineStr">
        <is>
          <t xml:space="preserve">single</t>
        </is>
      </c>
      <c r="AM5" s="4" t="inlineStr">
        <is>
          <t xml:space="preserve">1</t>
        </is>
      </c>
      <c r="AN5" s="4" t="inlineStr">
        <is>
          <t xml:space="preserve">press_conference</t>
        </is>
      </c>
      <c r="AO5" s="4" t="inlineStr">
        <is>
          <t xml:space="preserve">Yes</t>
        </is>
      </c>
    </row>
    <row r="6" spans="1:41" ht="26.25" customHeight="1" x14ac:dyDescent="0.35">
      <c r="A6" s="4" t="s">
        <v>206</v>
      </c>
      <c r="B6" s="4" t="s">
        <v>207</v>
      </c>
      <c r="C6" s="6" t="s">
        <v>208</v>
      </c>
      <c r="D6" s="4" t="s">
        <v>209</v>
      </c>
      <c r="E6" s="4" t="s">
        <v>187</v>
      </c>
      <c r="F6" s="4" t="s">
        <v>210</v>
      </c>
      <c r="G6" s="4" t="s">
        <v>200</v>
      </c>
      <c r="H6" s="4">
        <v>100</v>
      </c>
      <c r="I6" s="4">
        <v>60</v>
      </c>
      <c r="J6" s="5">
        <f t="shared" si="0"/>
        <v>0.6</v>
      </c>
      <c r="K6" s="4">
        <v>6</v>
      </c>
      <c r="L6" s="4">
        <v>3</v>
      </c>
      <c r="M6" s="4">
        <v>5</v>
      </c>
      <c r="N6" s="4">
        <v>6</v>
      </c>
      <c r="O6" s="4">
        <v>40</v>
      </c>
      <c r="P6" s="4">
        <v>40</v>
      </c>
      <c r="Q6" s="5">
        <v>0.1</v>
      </c>
      <c r="R6" s="5">
        <v>0.1</v>
      </c>
      <c r="S6" s="5">
        <v>0.7</v>
      </c>
      <c r="T6" s="5">
        <v>0.1</v>
      </c>
      <c r="U6" s="5">
        <v>0</v>
      </c>
      <c r="V6" s="5">
        <v>0</v>
      </c>
      <c r="W6" s="5">
        <f t="shared" si="1"/>
        <v>0.99999999999999989</v>
      </c>
      <c r="X6" s="4" t="str">
        <f>IF(E6&lt;&gt;"Combat","—",IFERROR(INDEX(Affinity!$A$2:$A$7,MATCH(MAX(INDEX(Affinity!$B$2:$V$7,0,MATCH(A6,Affinity!$B$1:$V$1,0))),INDEX(Affinity!$B$2:$V$7,0,MATCH(A6,Affinity!$B$1:$V$1,0)),0)),"—"))</f>
        <v>Earnest</v>
      </c>
      <c r="Y6" s="4">
        <v>5</v>
      </c>
      <c r="Z6" s="73">
        <v>35000</v>
      </c>
      <c r="AA6" s="4">
        <v>1</v>
      </c>
      <c r="AB6" s="4">
        <v>50</v>
      </c>
      <c r="AC6" s="4">
        <v>0</v>
      </c>
      <c r="AD6" s="82">
        <v>-5</v>
      </c>
      <c r="AE6" s="4">
        <v>0</v>
      </c>
      <c r="AF6" s="82">
        <v>-3</v>
      </c>
      <c r="AG6" s="4">
        <v>10</v>
      </c>
      <c r="AH6" s="82">
        <v>0</v>
      </c>
      <c r="AI6" s="4" t="inlineStr">
        <is>
          <t xml:space="preserve">Shared_pool</t>
        </is>
      </c>
      <c r="AJ6" s="4" t="inlineStr">
        <is>
          <t xml:space="preserve">per_turn</t>
        </is>
      </c>
      <c r="AL6" s="4" t="inlineStr">
        <is>
          <t xml:space="preserve">single</t>
        </is>
      </c>
      <c r="AM6" s="4" t="inlineStr">
        <is>
          <t xml:space="preserve">1</t>
        </is>
      </c>
      <c r="AO6" s="4" t="inlineStr">
        <is>
          <t xml:space="preserve">No</t>
        </is>
      </c>
    </row>
    <row r="7" spans="1:41" ht="26.25" customHeight="1" x14ac:dyDescent="0.35">
      <c r="A7" s="4" t="s">
        <v>211</v>
      </c>
      <c r="B7" s="4" t="s">
        <v>212</v>
      </c>
      <c r="C7" s="6" t="s">
        <v>213</v>
      </c>
      <c r="D7" s="4" t="s">
        <v>214</v>
      </c>
      <c r="E7" s="4" t="s">
        <v>187</v>
      </c>
      <c r="F7" s="4" t="s">
        <v>205</v>
      </c>
      <c r="G7" s="4" t="s">
        <v>189</v>
      </c>
      <c r="H7" s="4">
        <v>100</v>
      </c>
      <c r="I7" s="4">
        <v>65</v>
      </c>
      <c r="J7" s="5">
        <f t="shared" si="0"/>
        <v>0.65</v>
      </c>
      <c r="K7" s="4">
        <v>6</v>
      </c>
      <c r="L7" s="4">
        <v>3</v>
      </c>
      <c r="M7" s="4">
        <v>5</v>
      </c>
      <c r="N7" s="4">
        <v>5</v>
      </c>
      <c r="O7" s="4">
        <v>50</v>
      </c>
      <c r="P7" s="4">
        <v>50</v>
      </c>
      <c r="Q7" s="5">
        <v>0.8</v>
      </c>
      <c r="R7" s="5">
        <v>0</v>
      </c>
      <c r="S7" s="5">
        <v>0.2</v>
      </c>
      <c r="T7" s="5">
        <v>0</v>
      </c>
      <c r="U7" s="5">
        <v>0</v>
      </c>
      <c r="V7" s="5">
        <v>0</v>
      </c>
      <c r="W7" s="5">
        <f t="shared" si="1"/>
        <v>1</v>
      </c>
      <c r="X7" s="4" t="str">
        <f>IF(E7&lt;&gt;"Combat","—",IFERROR(INDEX(Affinity!$A$2:$A$7,MATCH(MAX(INDEX(Affinity!$B$2:$V$7,0,MATCH(A7,Affinity!$B$1:$V$1,0))),INDEX(Affinity!$B$2:$V$7,0,MATCH(A7,Affinity!$B$1:$V$1,0)),0)),"—"))</f>
        <v>Appeal</v>
      </c>
      <c r="Y7" s="4">
        <v>3</v>
      </c>
      <c r="Z7" s="73">
        <v>40000</v>
      </c>
      <c r="AA7" s="4">
        <v>2</v>
      </c>
      <c r="AB7" s="4">
        <v>70</v>
      </c>
      <c r="AC7" s="4">
        <v>2</v>
      </c>
      <c r="AD7" s="82">
        <v>-1</v>
      </c>
      <c r="AE7" s="4">
        <v>0</v>
      </c>
      <c r="AF7" s="82">
        <v>-3</v>
      </c>
      <c r="AG7" s="4">
        <v>0</v>
      </c>
      <c r="AH7" s="82">
        <v>-1</v>
      </c>
      <c r="AI7" s="4" t="inlineStr">
        <is>
          <t xml:space="preserve">Survival</t>
        </is>
      </c>
      <c r="AJ7" s="4" t="inlineStr">
        <is>
          <t xml:space="preserve">per_turn</t>
        </is>
      </c>
      <c r="AL7" s="4" t="inlineStr">
        <is>
          <t xml:space="preserve">single</t>
        </is>
      </c>
      <c r="AM7" s="4" t="inlineStr">
        <is>
          <t xml:space="preserve">1</t>
        </is>
      </c>
      <c r="AO7" s="4" t="inlineStr">
        <is>
          <t xml:space="preserve">Yes</t>
        </is>
      </c>
    </row>
    <row r="8" spans="1:41" ht="26.25" customHeight="1" x14ac:dyDescent="0.35">
      <c r="A8" s="4" t="s">
        <v>215</v>
      </c>
      <c r="B8" s="4" t="s">
        <v>216</v>
      </c>
      <c r="C8" s="6" t="s">
        <v>217</v>
      </c>
      <c r="D8" s="4" t="s">
        <v>218</v>
      </c>
      <c r="E8" s="4" t="s">
        <v>219</v>
      </c>
      <c r="F8" s="4" t="s">
        <v>220</v>
      </c>
      <c r="G8" s="4" t="s">
        <v>189</v>
      </c>
      <c r="H8" s="4">
        <v>10</v>
      </c>
      <c r="I8" s="4">
        <v>10</v>
      </c>
      <c r="J8" s="5">
        <f t="shared" si="0"/>
        <v>1</v>
      </c>
      <c r="K8" s="4">
        <v>10</v>
      </c>
      <c r="L8" s="4">
        <v>5</v>
      </c>
      <c r="M8" s="4">
        <v>5</v>
      </c>
      <c r="N8" s="4">
        <v>7</v>
      </c>
      <c r="O8" s="4">
        <v>0</v>
      </c>
      <c r="P8" s="4">
        <v>0</v>
      </c>
      <c r="Q8" s="5">
        <v>0</v>
      </c>
      <c r="R8" s="5">
        <v>0</v>
      </c>
      <c r="S8" s="5">
        <v>0.7</v>
      </c>
      <c r="T8" s="5">
        <v>0.3</v>
      </c>
      <c r="U8" s="5">
        <v>0</v>
      </c>
      <c r="V8" s="5">
        <v>0</v>
      </c>
      <c r="W8" s="5">
        <f t="shared" si="1"/>
        <v>1</v>
      </c>
      <c r="X8" s="4" t="str">
        <f>IF(E8&lt;&gt;"Combat","—",IFERROR(INDEX(Affinity!$A$2:$A$7,MATCH(MAX(INDEX(Affinity!$B$2:$V$7,0,MATCH(A8,Affinity!$B$1:$V$1,0))),INDEX(Affinity!$B$2:$V$7,0,MATCH(A8,Affinity!$B$1:$V$1,0)),0)),"—"))</f>
        <v>—</v>
      </c>
      <c r="Y8" s="4">
        <v>5</v>
      </c>
      <c r="Z8" s="73">
        <v>10000</v>
      </c>
      <c r="AA8" s="4">
        <v>0</v>
      </c>
      <c r="AB8" s="4">
        <v>50</v>
      </c>
      <c r="AC8" s="4">
        <v>0</v>
      </c>
      <c r="AD8" s="82">
        <v>0</v>
      </c>
      <c r="AE8" s="4">
        <v>0</v>
      </c>
      <c r="AF8" s="82">
        <v>0</v>
      </c>
      <c r="AG8" s="4">
        <v>0</v>
      </c>
      <c r="AH8" s="82">
        <v>0</v>
      </c>
      <c r="AI8" s="4" t="inlineStr">
        <is>
          <t xml:space="preserve">Shared_pool</t>
        </is>
      </c>
      <c r="AJ8" s="4" t="inlineStr">
        <is>
          <t xml:space="preserve">per_turn</t>
        </is>
      </c>
      <c r="AL8" s="4" t="inlineStr">
        <is>
          <t xml:space="preserve">single</t>
        </is>
      </c>
      <c r="AM8" s="4" t="inlineStr">
        <is>
          <t xml:space="preserve">1</t>
        </is>
      </c>
      <c r="AO8" s="4" t="inlineStr">
        <is>
          <t xml:space="preserve">No</t>
        </is>
      </c>
    </row>
    <row r="9" spans="1:41" ht="39" customHeight="1" x14ac:dyDescent="0.35">
      <c r="A9" s="4" t="s">
        <v>221</v>
      </c>
      <c r="B9" s="4" t="s">
        <v>222</v>
      </c>
      <c r="C9" s="6" t="s">
        <v>223</v>
      </c>
      <c r="D9" s="4" t="s">
        <v>224</v>
      </c>
      <c r="E9" s="4" t="s">
        <v>187</v>
      </c>
      <c r="F9" s="4" t="s">
        <v>199</v>
      </c>
      <c r="G9" s="4" t="s">
        <v>200</v>
      </c>
      <c r="H9" s="4">
        <v>100</v>
      </c>
      <c r="I9" s="4">
        <v>60</v>
      </c>
      <c r="J9" s="5">
        <f t="shared" si="0"/>
        <v>0.6</v>
      </c>
      <c r="K9" s="4">
        <v>6</v>
      </c>
      <c r="L9" s="4">
        <v>3</v>
      </c>
      <c r="M9" s="4">
        <v>5</v>
      </c>
      <c r="N9" s="4">
        <v>5</v>
      </c>
      <c r="O9" s="4">
        <v>20</v>
      </c>
      <c r="P9" s="4">
        <v>50</v>
      </c>
      <c r="Q9" s="5">
        <v>0</v>
      </c>
      <c r="R9" s="5">
        <v>0.7</v>
      </c>
      <c r="S9" s="5">
        <v>0</v>
      </c>
      <c r="T9" s="5">
        <v>0</v>
      </c>
      <c r="U9" s="5">
        <v>0</v>
      </c>
      <c r="V9" s="5">
        <v>0.3</v>
      </c>
      <c r="W9" s="5">
        <f t="shared" si="1"/>
        <v>1</v>
      </c>
      <c r="X9" s="4" t="str">
        <f>IF(E9&lt;&gt;"Combat","—",IFERROR(INDEX(Affinity!$A$2:$A$7,MATCH(MAX(INDEX(Affinity!$B$2:$V$7,0,MATCH(A9,Affinity!$B$1:$V$1,0))),INDEX(Affinity!$B$2:$V$7,0,MATCH(A9,Affinity!$B$1:$V$1,0)),0)),"—"))</f>
        <v>Divisive</v>
      </c>
      <c r="Y9" s="4">
        <v>0</v>
      </c>
      <c r="Z9" s="73">
        <v>20000</v>
      </c>
      <c r="AA9" s="4">
        <v>2</v>
      </c>
      <c r="AB9" s="4">
        <v>70</v>
      </c>
      <c r="AC9" s="4">
        <v>5</v>
      </c>
      <c r="AD9" s="82">
        <v>0</v>
      </c>
      <c r="AE9" s="4">
        <v>0</v>
      </c>
      <c r="AF9" s="82">
        <v>-3</v>
      </c>
      <c r="AG9" s="4">
        <v>5</v>
      </c>
      <c r="AH9" s="81">
        <v>-5</v>
      </c>
      <c r="AI9" s="4" t="inlineStr">
        <is>
          <t xml:space="preserve">Shared_pool</t>
        </is>
      </c>
      <c r="AJ9" s="4" t="inlineStr">
        <is>
          <t xml:space="preserve">per_turn</t>
        </is>
      </c>
      <c r="AL9" s="4" t="inlineStr">
        <is>
          <t xml:space="preserve">single</t>
        </is>
      </c>
      <c r="AM9" s="4" t="inlineStr">
        <is>
          <t xml:space="preserve">1</t>
        </is>
      </c>
      <c r="AO9" s="4" t="inlineStr">
        <is>
          <t xml:space="preserve">No</t>
        </is>
      </c>
    </row>
    <row r="10" spans="1:41" ht="30" customHeight="1" x14ac:dyDescent="0.2">
      <c r="A10" s="4" t="s">
        <v>225</v>
      </c>
      <c r="B10" s="81" t="s">
        <v>226</v>
      </c>
      <c r="C10" s="83" t="s">
        <v>227</v>
      </c>
      <c r="D10" s="83" t="s">
        <v>228</v>
      </c>
      <c r="E10" s="4" t="s">
        <v>187</v>
      </c>
      <c r="F10" s="4" t="s">
        <v>229</v>
      </c>
      <c r="G10" s="4" t="s">
        <v>200</v>
      </c>
      <c r="H10" s="4">
        <v>100</v>
      </c>
      <c r="I10" s="4">
        <v>60</v>
      </c>
      <c r="J10" s="5">
        <f t="shared" si="0"/>
        <v>0.6</v>
      </c>
      <c r="K10" s="4">
        <v>10</v>
      </c>
      <c r="L10" s="4">
        <v>5</v>
      </c>
      <c r="M10" s="4">
        <v>5</v>
      </c>
      <c r="N10" s="4">
        <v>5</v>
      </c>
      <c r="O10" s="4">
        <v>20</v>
      </c>
      <c r="P10" s="4">
        <v>30</v>
      </c>
      <c r="Q10" s="5">
        <v>0.35</v>
      </c>
      <c r="R10" s="5">
        <v>0.4</v>
      </c>
      <c r="S10" s="5">
        <v>0</v>
      </c>
      <c r="T10" s="5">
        <v>0</v>
      </c>
      <c r="U10" s="5">
        <v>0.1</v>
      </c>
      <c r="V10" s="5">
        <v>0.15</v>
      </c>
      <c r="W10" s="5">
        <f t="shared" si="1"/>
        <v>1</v>
      </c>
      <c r="X10" s="4" t="str">
        <f>IF(E10&lt;&gt;"Combat","—",IFERROR(INDEX(Affinity!$A$2:$A$7,MATCH(MAX(INDEX(Affinity!$B$2:$V$7,0,MATCH(A10,Affinity!$B$1:$V$1,0))),INDEX(Affinity!$B$2:$V$7,0,MATCH(A10,Affinity!$B$1:$V$1,0)),0)),"—"))</f>
        <v>Emotional</v>
      </c>
      <c r="Y10" s="4">
        <v>2</v>
      </c>
      <c r="Z10" s="73">
        <v>20000</v>
      </c>
      <c r="AA10" s="4">
        <v>2</v>
      </c>
      <c r="AB10" s="4">
        <v>50</v>
      </c>
      <c r="AC10" s="4">
        <v>2</v>
      </c>
      <c r="AD10" s="82">
        <v>0</v>
      </c>
      <c r="AE10" s="4">
        <v>0</v>
      </c>
      <c r="AF10" s="82">
        <v>0</v>
      </c>
      <c r="AG10" s="4">
        <v>0</v>
      </c>
      <c r="AH10" s="82">
        <v>0</v>
      </c>
      <c r="AI10" s="4" t="inlineStr">
        <is>
          <t xml:space="preserve">Committee</t>
        </is>
      </c>
      <c r="AJ10" s="4" t="inlineStr">
        <is>
          <t xml:space="preserve">per_turn</t>
        </is>
      </c>
      <c r="AL10" s="4" t="inlineStr">
        <is>
          <t xml:space="preserve">single</t>
        </is>
      </c>
      <c r="AM10" s="4" t="inlineStr">
        <is>
          <t xml:space="preserve">1</t>
        </is>
      </c>
      <c r="AO10" s="4" t="inlineStr">
        <is>
          <t xml:space="preserve">No</t>
        </is>
      </c>
    </row>
    <row r="11" spans="1:41" ht="30" customHeight="1" x14ac:dyDescent="0.2">
      <c r="A11" s="4" t="s">
        <v>230</v>
      </c>
      <c r="B11" s="81" t="s">
        <v>231</v>
      </c>
      <c r="C11" s="83" t="s">
        <v>232</v>
      </c>
      <c r="D11" s="83" t="s">
        <v>233</v>
      </c>
      <c r="E11" s="4" t="s">
        <v>187</v>
      </c>
      <c r="F11" s="4" t="s">
        <v>229</v>
      </c>
      <c r="G11" s="4" t="s">
        <v>200</v>
      </c>
      <c r="H11" s="4">
        <v>100</v>
      </c>
      <c r="I11" s="4">
        <v>51</v>
      </c>
      <c r="J11" s="5">
        <f t="shared" si="0"/>
        <v>0.51</v>
      </c>
      <c r="K11" s="4">
        <v>10</v>
      </c>
      <c r="L11" s="4">
        <v>5</v>
      </c>
      <c r="M11" s="4">
        <v>5</v>
      </c>
      <c r="N11" s="4">
        <v>7</v>
      </c>
      <c r="O11" s="4">
        <v>30</v>
      </c>
      <c r="P11" s="4">
        <v>30</v>
      </c>
      <c r="Q11" s="5">
        <v>0</v>
      </c>
      <c r="R11" s="5">
        <v>0.1</v>
      </c>
      <c r="S11" s="5">
        <v>0.65</v>
      </c>
      <c r="T11" s="5">
        <v>0</v>
      </c>
      <c r="U11" s="5">
        <v>0.2</v>
      </c>
      <c r="V11" s="5">
        <v>0.05</v>
      </c>
      <c r="W11" s="5">
        <f t="shared" si="1"/>
        <v>1</v>
      </c>
      <c r="X11" s="4" t="str">
        <f>IF(E11&lt;&gt;"Combat","—",IFERROR(INDEX(Affinity!$A$2:$A$7,MATCH(MAX(INDEX(Affinity!$B$2:$V$7,0,MATCH(A11,Affinity!$B$1:$V$1,0))),INDEX(Affinity!$B$2:$V$7,0,MATCH(A11,Affinity!$B$1:$V$1,0)),0)),"—"))</f>
        <v>Earnest</v>
      </c>
      <c r="Y11" s="4">
        <v>2</v>
      </c>
      <c r="Z11" s="73">
        <v>10000</v>
      </c>
      <c r="AA11" s="4">
        <v>1</v>
      </c>
      <c r="AB11" s="4">
        <v>50</v>
      </c>
      <c r="AC11" s="4">
        <v>0</v>
      </c>
      <c r="AD11" s="4">
        <v>-1</v>
      </c>
      <c r="AE11" s="73">
        <v>1000</v>
      </c>
      <c r="AF11" s="4">
        <v>0</v>
      </c>
      <c r="AG11" s="4">
        <v>1</v>
      </c>
      <c r="AH11" s="4">
        <v>0</v>
      </c>
      <c r="AI11" s="4" t="inlineStr">
        <is>
          <t xml:space="preserve">Committee</t>
        </is>
      </c>
      <c r="AJ11" s="4" t="inlineStr">
        <is>
          <t xml:space="preserve">per_turn</t>
        </is>
      </c>
      <c r="AL11" s="4" t="inlineStr">
        <is>
          <t xml:space="preserve">single</t>
        </is>
      </c>
      <c r="AM11" s="4" t="inlineStr">
        <is>
          <t xml:space="preserve">1</t>
        </is>
      </c>
      <c r="AO11" s="4" t="inlineStr">
        <is>
          <t xml:space="preserve">No</t>
        </is>
      </c>
    </row>
    <row r="12" spans="1:41" ht="30" customHeight="1" x14ac:dyDescent="0.2">
      <c r="A12" s="4" t="s">
        <v>234</v>
      </c>
      <c r="B12" s="81" t="s">
        <v>235</v>
      </c>
      <c r="C12" s="83" t="s">
        <v>236</v>
      </c>
      <c r="D12" s="83" t="s">
        <v>237</v>
      </c>
      <c r="E12" s="4" t="s">
        <v>187</v>
      </c>
      <c r="F12" s="4" t="s">
        <v>229</v>
      </c>
      <c r="G12" s="4" t="s">
        <v>200</v>
      </c>
      <c r="H12" s="4">
        <v>100</v>
      </c>
      <c r="I12" s="4">
        <v>55</v>
      </c>
      <c r="J12" s="5">
        <f t="shared" si="0"/>
        <v>0.55000000000000004</v>
      </c>
      <c r="K12" s="4">
        <v>10</v>
      </c>
      <c r="L12" s="4">
        <v>3</v>
      </c>
      <c r="M12" s="4">
        <v>5</v>
      </c>
      <c r="N12" s="4">
        <v>5</v>
      </c>
      <c r="O12" s="4">
        <v>25</v>
      </c>
      <c r="P12" s="4">
        <v>25</v>
      </c>
      <c r="Q12" s="5">
        <v>0.55000000000000004</v>
      </c>
      <c r="R12" s="5">
        <v>0</v>
      </c>
      <c r="S12" s="5">
        <v>0.05</v>
      </c>
      <c r="T12" s="5">
        <v>0.25</v>
      </c>
      <c r="U12" s="5">
        <v>0.15</v>
      </c>
      <c r="V12" s="5">
        <v>0</v>
      </c>
      <c r="W12" s="5">
        <f t="shared" si="1"/>
        <v>1</v>
      </c>
      <c r="X12" s="4" t="str">
        <f>IF(E12&lt;&gt;"Combat","—",IFERROR(INDEX(Affinity!$A$2:$A$7,MATCH(MAX(INDEX(Affinity!$B$2:$V$7,0,MATCH(A12,Affinity!$B$1:$V$1,0))),INDEX(Affinity!$B$2:$V$7,0,MATCH(A12,Affinity!$B$1:$V$1,0)),0)),"—"))</f>
        <v>Divisive</v>
      </c>
      <c r="Y12" s="4">
        <v>0</v>
      </c>
      <c r="Z12" s="73">
        <v>10000</v>
      </c>
      <c r="AA12" s="4">
        <v>1</v>
      </c>
      <c r="AB12" s="4">
        <v>30</v>
      </c>
      <c r="AC12" s="4">
        <v>2</v>
      </c>
      <c r="AD12" s="82">
        <v>0</v>
      </c>
      <c r="AE12" s="4">
        <v>0</v>
      </c>
      <c r="AF12" s="82">
        <v>0</v>
      </c>
      <c r="AG12" s="4">
        <v>1</v>
      </c>
      <c r="AH12" s="82">
        <v>0</v>
      </c>
      <c r="AI12" s="4" t="inlineStr">
        <is>
          <t xml:space="preserve">Committee</t>
        </is>
      </c>
      <c r="AJ12" s="4" t="inlineStr">
        <is>
          <t xml:space="preserve">per_turn</t>
        </is>
      </c>
      <c r="AL12" s="4" t="inlineStr">
        <is>
          <t xml:space="preserve">single</t>
        </is>
      </c>
      <c r="AM12" s="4" t="inlineStr">
        <is>
          <t xml:space="preserve">1</t>
        </is>
      </c>
      <c r="AO12" s="4" t="inlineStr">
        <is>
          <t xml:space="preserve">No</t>
        </is>
      </c>
    </row>
    <row r="13" spans="1:41" ht="30" customHeight="1" x14ac:dyDescent="0.2">
      <c r="A13" s="4" t="s">
        <v>238</v>
      </c>
      <c r="B13" s="81" t="s">
        <v>239</v>
      </c>
      <c r="C13" s="83" t="s">
        <v>240</v>
      </c>
      <c r="D13" s="83" t="s">
        <v>241</v>
      </c>
      <c r="E13" s="4" t="s">
        <v>187</v>
      </c>
      <c r="F13" s="4" t="s">
        <v>229</v>
      </c>
      <c r="G13" s="4" t="s">
        <v>200</v>
      </c>
      <c r="H13" s="4">
        <v>100</v>
      </c>
      <c r="I13" s="4">
        <v>70</v>
      </c>
      <c r="J13" s="5">
        <f t="shared" si="0"/>
        <v>0.7</v>
      </c>
      <c r="K13" s="4">
        <v>10</v>
      </c>
      <c r="L13" s="4">
        <v>4</v>
      </c>
      <c r="M13" s="4">
        <v>5</v>
      </c>
      <c r="N13" s="4">
        <v>7</v>
      </c>
      <c r="O13" s="4">
        <v>35</v>
      </c>
      <c r="P13" s="4">
        <v>30</v>
      </c>
      <c r="Q13" s="5">
        <v>0</v>
      </c>
      <c r="R13" s="5">
        <v>0.5</v>
      </c>
      <c r="S13" s="5">
        <v>0</v>
      </c>
      <c r="T13" s="5">
        <v>0</v>
      </c>
      <c r="U13" s="5">
        <v>0.5</v>
      </c>
      <c r="V13" s="5">
        <v>0</v>
      </c>
      <c r="W13" s="5">
        <f t="shared" si="1"/>
        <v>1</v>
      </c>
      <c r="X13" s="4" t="str">
        <f>IF(E13&lt;&gt;"Combat","—",IFERROR(INDEX(Affinity!$A$2:$A$7,MATCH(MAX(INDEX(Affinity!$B$2:$V$7,0,MATCH(A13,Affinity!$B$1:$V$1,0))),INDEX(Affinity!$B$2:$V$7,0,MATCH(A13,Affinity!$B$1:$V$1,0)),0)),"—"))</f>
        <v>Data Driven</v>
      </c>
      <c r="Y13" s="4">
        <v>0</v>
      </c>
      <c r="Z13" s="73">
        <v>10000</v>
      </c>
      <c r="AA13" s="4">
        <v>1</v>
      </c>
      <c r="AB13" s="4">
        <v>20</v>
      </c>
      <c r="AC13" s="4">
        <v>3</v>
      </c>
      <c r="AD13" s="82">
        <v>0</v>
      </c>
      <c r="AE13" s="4">
        <v>0</v>
      </c>
      <c r="AF13" s="82">
        <v>0</v>
      </c>
      <c r="AG13" s="4">
        <v>1</v>
      </c>
      <c r="AH13" s="82">
        <v>0</v>
      </c>
      <c r="AI13" s="4" t="inlineStr">
        <is>
          <t xml:space="preserve">Committee</t>
        </is>
      </c>
      <c r="AJ13" s="4" t="inlineStr">
        <is>
          <t xml:space="preserve">per_turn</t>
        </is>
      </c>
      <c r="AL13" s="4" t="inlineStr">
        <is>
          <t xml:space="preserve">single</t>
        </is>
      </c>
      <c r="AM13" s="4" t="inlineStr">
        <is>
          <t xml:space="preserve">1</t>
        </is>
      </c>
      <c r="AO13" s="4" t="inlineStr">
        <is>
          <t xml:space="preserve">No</t>
        </is>
      </c>
    </row>
    <row r="14" spans="1:41" ht="30" customHeight="1" x14ac:dyDescent="0.2">
      <c r="A14" s="4" t="s">
        <v>242</v>
      </c>
      <c r="B14" s="81" t="s">
        <v>243</v>
      </c>
      <c r="C14" s="83" t="s">
        <v>244</v>
      </c>
      <c r="D14" s="83" t="s">
        <v>245</v>
      </c>
      <c r="E14" s="4" t="s">
        <v>187</v>
      </c>
      <c r="F14" s="4" t="s">
        <v>229</v>
      </c>
      <c r="G14" s="4" t="s">
        <v>200</v>
      </c>
      <c r="H14" s="4">
        <v>100</v>
      </c>
      <c r="I14" s="4">
        <v>51</v>
      </c>
      <c r="J14" s="5">
        <f t="shared" si="0"/>
        <v>0.51</v>
      </c>
      <c r="K14" s="4">
        <v>10</v>
      </c>
      <c r="L14" s="4">
        <v>5</v>
      </c>
      <c r="M14" s="4">
        <v>5</v>
      </c>
      <c r="N14" s="4">
        <v>7</v>
      </c>
      <c r="O14" s="4">
        <v>30</v>
      </c>
      <c r="P14" s="4">
        <v>30</v>
      </c>
      <c r="Q14" s="5">
        <v>0</v>
      </c>
      <c r="R14" s="5">
        <v>0.2</v>
      </c>
      <c r="S14" s="5">
        <v>0.6</v>
      </c>
      <c r="T14" s="5">
        <v>0</v>
      </c>
      <c r="U14" s="5">
        <v>0</v>
      </c>
      <c r="V14" s="5">
        <v>0.2</v>
      </c>
      <c r="W14" s="5">
        <f t="shared" si="1"/>
        <v>1</v>
      </c>
      <c r="X14" s="4" t="str">
        <f>IF(E14&lt;&gt;"Combat","—",IFERROR(INDEX(Affinity!$A$2:$A$7,MATCH(MAX(INDEX(Affinity!$B$2:$V$7,0,MATCH(A14,Affinity!$B$1:$V$1,0))),INDEX(Affinity!$B$2:$V$7,0,MATCH(A14,Affinity!$B$1:$V$1,0)),0)),"—"))</f>
        <v>Emotional</v>
      </c>
      <c r="Y14" s="4">
        <v>1</v>
      </c>
      <c r="Z14" s="73">
        <v>10000</v>
      </c>
      <c r="AA14" s="4">
        <v>1</v>
      </c>
      <c r="AB14" s="4">
        <v>50</v>
      </c>
      <c r="AC14" s="4">
        <v>0</v>
      </c>
      <c r="AD14" s="4">
        <v>-1</v>
      </c>
      <c r="AE14" s="73">
        <v>1000</v>
      </c>
      <c r="AF14" s="4">
        <v>0</v>
      </c>
      <c r="AG14" s="4">
        <v>1</v>
      </c>
      <c r="AH14" s="4">
        <v>0</v>
      </c>
      <c r="AI14" s="4" t="inlineStr">
        <is>
          <t xml:space="preserve">Committee</t>
        </is>
      </c>
      <c r="AJ14" s="4" t="inlineStr">
        <is>
          <t xml:space="preserve">per_turn</t>
        </is>
      </c>
      <c r="AL14" s="4" t="inlineStr">
        <is>
          <t xml:space="preserve">single</t>
        </is>
      </c>
      <c r="AM14" s="4" t="inlineStr">
        <is>
          <t xml:space="preserve">1</t>
        </is>
      </c>
      <c r="AO14" s="4" t="inlineStr">
        <is>
          <t xml:space="preserve">No</t>
        </is>
      </c>
    </row>
    <row r="15" spans="1:41" ht="30" customHeight="1" x14ac:dyDescent="0.2">
      <c r="A15" s="4" t="s">
        <v>246</v>
      </c>
      <c r="B15" s="81" t="s">
        <v>247</v>
      </c>
      <c r="C15" s="83" t="s">
        <v>248</v>
      </c>
      <c r="D15" s="83" t="s">
        <v>249</v>
      </c>
      <c r="E15" s="4" t="s">
        <v>187</v>
      </c>
      <c r="F15" s="4" t="s">
        <v>229</v>
      </c>
      <c r="G15" s="4" t="s">
        <v>200</v>
      </c>
      <c r="H15" s="4">
        <v>100</v>
      </c>
      <c r="I15" s="4">
        <v>60</v>
      </c>
      <c r="J15" s="5">
        <f t="shared" si="0"/>
        <v>0.6</v>
      </c>
      <c r="K15" s="4">
        <v>10</v>
      </c>
      <c r="L15" s="4">
        <v>4</v>
      </c>
      <c r="M15" s="4">
        <v>5</v>
      </c>
      <c r="N15" s="4">
        <v>5</v>
      </c>
      <c r="O15" s="4">
        <v>25</v>
      </c>
      <c r="P15" s="4">
        <v>30</v>
      </c>
      <c r="Q15" s="5">
        <v>0.4</v>
      </c>
      <c r="R15" s="5">
        <v>0.2</v>
      </c>
      <c r="S15" s="5">
        <v>0</v>
      </c>
      <c r="T15" s="5">
        <v>0.2</v>
      </c>
      <c r="U15" s="5">
        <v>0.2</v>
      </c>
      <c r="V15" s="5">
        <v>0</v>
      </c>
      <c r="W15" s="5">
        <f t="shared" si="1"/>
        <v>1</v>
      </c>
      <c r="X15" s="4" t="str">
        <f>IF(E15&lt;&gt;"Combat","—",IFERROR(INDEX(Affinity!$A$2:$A$7,MATCH(MAX(INDEX(Affinity!$B$2:$V$7,0,MATCH(A15,Affinity!$B$1:$V$1,0))),INDEX(Affinity!$B$2:$V$7,0,MATCH(A15,Affinity!$B$1:$V$1,0)),0)),"—"))</f>
        <v>Appeal</v>
      </c>
      <c r="Y15" s="4">
        <v>0</v>
      </c>
      <c r="Z15" s="73">
        <v>20000</v>
      </c>
      <c r="AA15" s="4">
        <v>2</v>
      </c>
      <c r="AB15" s="4">
        <v>50</v>
      </c>
      <c r="AC15" s="4">
        <v>2</v>
      </c>
      <c r="AD15" s="82">
        <v>0</v>
      </c>
      <c r="AE15" s="4">
        <v>0</v>
      </c>
      <c r="AF15" s="82">
        <v>0</v>
      </c>
      <c r="AG15" s="4">
        <v>1</v>
      </c>
      <c r="AH15" s="82">
        <v>0</v>
      </c>
      <c r="AI15" s="4" t="inlineStr">
        <is>
          <t xml:space="preserve">Committee</t>
        </is>
      </c>
      <c r="AJ15" s="4" t="inlineStr">
        <is>
          <t xml:space="preserve">per_turn</t>
        </is>
      </c>
      <c r="AL15" s="4" t="inlineStr">
        <is>
          <t xml:space="preserve">single</t>
        </is>
      </c>
      <c r="AM15" s="4" t="inlineStr">
        <is>
          <t xml:space="preserve">1</t>
        </is>
      </c>
      <c r="AO15" s="4" t="inlineStr">
        <is>
          <t xml:space="preserve">No</t>
        </is>
      </c>
    </row>
    <row r="16" spans="1:41" ht="45" customHeight="1" x14ac:dyDescent="0.2">
      <c r="A16" s="4" t="s">
        <v>250</v>
      </c>
      <c r="B16" s="81" t="s">
        <v>251</v>
      </c>
      <c r="C16" s="83" t="s">
        <v>252</v>
      </c>
      <c r="D16" s="83" t="s">
        <v>253</v>
      </c>
      <c r="E16" s="4" t="s">
        <v>187</v>
      </c>
      <c r="F16" s="4" t="s">
        <v>229</v>
      </c>
      <c r="G16" s="4" t="s">
        <v>200</v>
      </c>
      <c r="H16" s="4">
        <v>100</v>
      </c>
      <c r="I16" s="4">
        <v>55</v>
      </c>
      <c r="J16" s="5">
        <f t="shared" si="0"/>
        <v>0.55000000000000004</v>
      </c>
      <c r="K16" s="4">
        <v>10</v>
      </c>
      <c r="L16" s="4">
        <v>3</v>
      </c>
      <c r="M16" s="4">
        <v>5</v>
      </c>
      <c r="N16" s="4">
        <v>5</v>
      </c>
      <c r="O16" s="4">
        <v>30</v>
      </c>
      <c r="P16" s="4">
        <v>35</v>
      </c>
      <c r="Q16" s="5">
        <v>0.2</v>
      </c>
      <c r="R16" s="5">
        <v>0</v>
      </c>
      <c r="S16" s="5">
        <v>0.2</v>
      </c>
      <c r="T16" s="5">
        <v>0.2</v>
      </c>
      <c r="U16" s="5">
        <v>0.2</v>
      </c>
      <c r="V16" s="5">
        <v>0.2</v>
      </c>
      <c r="W16" s="5">
        <f t="shared" si="1"/>
        <v>1</v>
      </c>
      <c r="X16" s="4" t="str">
        <f>IF(E16&lt;&gt;"Combat","—",IFERROR(INDEX(Affinity!$A$2:$A$7,MATCH(MAX(INDEX(Affinity!$B$2:$V$7,0,MATCH(A16,Affinity!$B$1:$V$1,0))),INDEX(Affinity!$B$2:$V$7,0,MATCH(A16,Affinity!$B$1:$V$1,0)),0)),"—"))</f>
        <v>Duplicitous</v>
      </c>
      <c r="Y16" s="4">
        <v>3</v>
      </c>
      <c r="Z16" s="73">
        <v>40000</v>
      </c>
      <c r="AA16" s="4">
        <v>3</v>
      </c>
      <c r="AB16" s="4">
        <v>100</v>
      </c>
      <c r="AC16" s="4">
        <v>3</v>
      </c>
      <c r="AD16" s="82">
        <v>-2</v>
      </c>
      <c r="AE16" s="4">
        <v>0</v>
      </c>
      <c r="AF16" s="82">
        <v>0</v>
      </c>
      <c r="AG16" s="4">
        <v>2</v>
      </c>
      <c r="AH16" s="82">
        <v>0</v>
      </c>
      <c r="AI16" s="4" t="inlineStr">
        <is>
          <t xml:space="preserve">Committee</t>
        </is>
      </c>
      <c r="AJ16" s="4" t="inlineStr">
        <is>
          <t xml:space="preserve">per_turn</t>
        </is>
      </c>
      <c r="AL16" s="4" t="inlineStr">
        <is>
          <t xml:space="preserve">single</t>
        </is>
      </c>
      <c r="AM16" s="4" t="inlineStr">
        <is>
          <t xml:space="preserve">1</t>
        </is>
      </c>
      <c r="AO16" s="4" t="inlineStr">
        <is>
          <t xml:space="preserve">No</t>
        </is>
      </c>
    </row>
    <row r="17" spans="1:41" ht="30" customHeight="1" x14ac:dyDescent="0.2">
      <c r="A17" s="4" t="s">
        <v>254</v>
      </c>
      <c r="B17" s="81" t="s">
        <v>255</v>
      </c>
      <c r="C17" s="83" t="s">
        <v>256</v>
      </c>
      <c r="D17" s="83" t="s">
        <v>257</v>
      </c>
      <c r="E17" s="4" t="s">
        <v>187</v>
      </c>
      <c r="F17" s="4" t="s">
        <v>229</v>
      </c>
      <c r="G17" s="4" t="s">
        <v>200</v>
      </c>
      <c r="H17" s="4">
        <v>100</v>
      </c>
      <c r="I17" s="4">
        <v>65</v>
      </c>
      <c r="J17" s="5">
        <f t="shared" si="0"/>
        <v>0.65</v>
      </c>
      <c r="K17" s="4">
        <v>10</v>
      </c>
      <c r="L17" s="4">
        <v>4</v>
      </c>
      <c r="M17" s="4">
        <v>5</v>
      </c>
      <c r="N17" s="4">
        <v>3</v>
      </c>
      <c r="O17" s="4">
        <v>35</v>
      </c>
      <c r="P17" s="4">
        <v>40</v>
      </c>
      <c r="Q17" s="5">
        <v>0.25</v>
      </c>
      <c r="R17" s="5">
        <v>0</v>
      </c>
      <c r="S17" s="5">
        <v>0</v>
      </c>
      <c r="T17" s="5">
        <v>0.35</v>
      </c>
      <c r="U17" s="5">
        <v>0.4</v>
      </c>
      <c r="V17" s="5">
        <v>0</v>
      </c>
      <c r="W17" s="5">
        <f t="shared" si="1"/>
        <v>1</v>
      </c>
      <c r="X17" s="4" t="str">
        <f>IF(E17&lt;&gt;"Combat","—",IFERROR(INDEX(Affinity!$A$2:$A$7,MATCH(MAX(INDEX(Affinity!$B$2:$V$7,0,MATCH(A17,Affinity!$B$1:$V$1,0))),INDEX(Affinity!$B$2:$V$7,0,MATCH(A17,Affinity!$B$1:$V$1,0)),0)),"—"))</f>
        <v>Data Driven</v>
      </c>
      <c r="Y17" s="4">
        <v>1</v>
      </c>
      <c r="Z17" s="73">
        <v>50000</v>
      </c>
      <c r="AA17" s="4">
        <v>5</v>
      </c>
      <c r="AB17" s="4">
        <v>100</v>
      </c>
      <c r="AC17" s="4">
        <v>5</v>
      </c>
      <c r="AD17" s="82">
        <v>0</v>
      </c>
      <c r="AE17" s="4">
        <v>0</v>
      </c>
      <c r="AF17" s="82">
        <v>0</v>
      </c>
      <c r="AG17" s="4">
        <v>2</v>
      </c>
      <c r="AH17" s="82">
        <v>0</v>
      </c>
      <c r="AI17" s="4" t="inlineStr">
        <is>
          <t xml:space="preserve">Committee</t>
        </is>
      </c>
      <c r="AJ17" s="4" t="inlineStr">
        <is>
          <t xml:space="preserve">per_turn</t>
        </is>
      </c>
      <c r="AL17" s="4" t="inlineStr">
        <is>
          <t xml:space="preserve">single</t>
        </is>
      </c>
      <c r="AM17" s="4" t="inlineStr">
        <is>
          <t xml:space="preserve">1</t>
        </is>
      </c>
      <c r="AO17" s="4" t="inlineStr">
        <is>
          <t xml:space="preserve">No</t>
        </is>
      </c>
    </row>
    <row r="18" spans="1:41" ht="30" customHeight="1" x14ac:dyDescent="0.2">
      <c r="A18" s="4" t="s">
        <v>258</v>
      </c>
      <c r="B18" s="81" t="s">
        <v>259</v>
      </c>
      <c r="C18" s="83" t="s">
        <v>260</v>
      </c>
      <c r="D18" s="83" t="s">
        <v>261</v>
      </c>
      <c r="E18" s="4" t="s">
        <v>187</v>
      </c>
      <c r="F18" s="4" t="s">
        <v>229</v>
      </c>
      <c r="G18" s="4" t="s">
        <v>200</v>
      </c>
      <c r="H18" s="4">
        <v>100</v>
      </c>
      <c r="I18" s="4">
        <v>60</v>
      </c>
      <c r="J18" s="5">
        <f t="shared" si="0"/>
        <v>0.6</v>
      </c>
      <c r="K18" s="4">
        <v>10</v>
      </c>
      <c r="L18" s="4">
        <v>5</v>
      </c>
      <c r="M18" s="4">
        <v>5</v>
      </c>
      <c r="N18" s="4">
        <v>5</v>
      </c>
      <c r="O18" s="4">
        <v>30</v>
      </c>
      <c r="P18" s="4">
        <v>40</v>
      </c>
      <c r="Q18" s="5">
        <v>0.15</v>
      </c>
      <c r="R18" s="5">
        <v>0</v>
      </c>
      <c r="S18" s="5">
        <v>0.1</v>
      </c>
      <c r="T18" s="5">
        <v>0.1</v>
      </c>
      <c r="U18" s="5">
        <v>0.65</v>
      </c>
      <c r="V18" s="5">
        <v>0</v>
      </c>
      <c r="W18" s="5">
        <f t="shared" si="1"/>
        <v>1</v>
      </c>
      <c r="X18" s="4" t="str">
        <f>IF(E18&lt;&gt;"Combat","—",IFERROR(INDEX(Affinity!$A$2:$A$7,MATCH(MAX(INDEX(Affinity!$B$2:$V$7,0,MATCH(A18,Affinity!$B$1:$V$1,0))),INDEX(Affinity!$B$2:$V$7,0,MATCH(A18,Affinity!$B$1:$V$1,0)),0)),"—"))</f>
        <v>Data Driven</v>
      </c>
      <c r="Y18" s="4">
        <v>1</v>
      </c>
      <c r="Z18" s="73">
        <v>50000</v>
      </c>
      <c r="AA18" s="4">
        <v>5</v>
      </c>
      <c r="AB18" s="4">
        <v>50</v>
      </c>
      <c r="AC18" s="4">
        <v>5</v>
      </c>
      <c r="AD18" s="82">
        <v>0</v>
      </c>
      <c r="AE18" s="4">
        <v>0</v>
      </c>
      <c r="AF18" s="82">
        <v>0</v>
      </c>
      <c r="AG18" s="4">
        <v>2</v>
      </c>
      <c r="AH18" s="82">
        <v>0</v>
      </c>
      <c r="AI18" s="4" t="inlineStr">
        <is>
          <t xml:space="preserve">Committee</t>
        </is>
      </c>
      <c r="AJ18" s="4" t="inlineStr">
        <is>
          <t xml:space="preserve">per_turn</t>
        </is>
      </c>
      <c r="AL18" s="4" t="inlineStr">
        <is>
          <t xml:space="preserve">single</t>
        </is>
      </c>
      <c r="AM18" s="4" t="inlineStr">
        <is>
          <t xml:space="preserve">1</t>
        </is>
      </c>
      <c r="AO18" s="4" t="inlineStr">
        <is>
          <t xml:space="preserve">No</t>
        </is>
      </c>
    </row>
    <row r="19" spans="1:41" ht="30" customHeight="1" x14ac:dyDescent="0.2">
      <c r="A19" s="4" t="s">
        <v>262</v>
      </c>
      <c r="B19" s="81" t="s">
        <v>263</v>
      </c>
      <c r="C19" s="83" t="s">
        <v>264</v>
      </c>
      <c r="D19" s="83" t="s">
        <v>265</v>
      </c>
      <c r="E19" s="4" t="s">
        <v>187</v>
      </c>
      <c r="F19" s="4" t="s">
        <v>266</v>
      </c>
      <c r="G19" s="4" t="s">
        <v>200</v>
      </c>
      <c r="H19" s="4">
        <v>100</v>
      </c>
      <c r="I19" s="4">
        <v>100</v>
      </c>
      <c r="J19" s="5">
        <f t="shared" si="0"/>
        <v>1</v>
      </c>
      <c r="K19" s="4">
        <v>10</v>
      </c>
      <c r="L19" s="82">
        <v>7</v>
      </c>
      <c r="M19" s="4">
        <v>5</v>
      </c>
      <c r="N19" s="82">
        <v>3</v>
      </c>
      <c r="O19" s="81">
        <v>20</v>
      </c>
      <c r="P19" s="81">
        <v>50</v>
      </c>
      <c r="Q19" s="5">
        <v>0</v>
      </c>
      <c r="R19" s="5">
        <v>0.1</v>
      </c>
      <c r="S19" s="5">
        <v>0</v>
      </c>
      <c r="T19" s="5">
        <v>0</v>
      </c>
      <c r="U19" s="5">
        <v>0</v>
      </c>
      <c r="V19" s="5">
        <v>0.9</v>
      </c>
      <c r="W19" s="5">
        <f t="shared" si="1"/>
        <v>1</v>
      </c>
      <c r="X19" s="4" t="str">
        <f>IF(E19&lt;&gt;"Combat","—",IFERROR(INDEX(Affinity!$A$2:$A$7,MATCH(MAX(INDEX(Affinity!$B$2:$V$7,0,MATCH(A19,Affinity!$B$1:$V$1,0))),INDEX(Affinity!$B$2:$V$7,0,MATCH(A19,Affinity!$B$1:$V$1,0)),0)),"—"))</f>
        <v>Data Driven</v>
      </c>
      <c r="Y19" s="4">
        <v>0</v>
      </c>
      <c r="Z19" s="73">
        <v>100000</v>
      </c>
      <c r="AA19" s="4">
        <v>15</v>
      </c>
      <c r="AB19" s="4">
        <v>200</v>
      </c>
      <c r="AC19" s="4">
        <v>15</v>
      </c>
      <c r="AD19" s="4">
        <v>0</v>
      </c>
      <c r="AE19" s="73">
        <v>0</v>
      </c>
      <c r="AF19" s="4">
        <v>-1</v>
      </c>
      <c r="AG19" s="4">
        <v>20</v>
      </c>
      <c r="AH19" s="4">
        <v>-10</v>
      </c>
      <c r="AI19" s="4" t="inlineStr">
        <is>
          <t xml:space="preserve">Committee</t>
        </is>
      </c>
      <c r="AJ19" s="4" t="inlineStr">
        <is>
          <t xml:space="preserve">per_turn</t>
        </is>
      </c>
      <c r="AL19" s="4" t="inlineStr">
        <is>
          <t xml:space="preserve">single</t>
        </is>
      </c>
      <c r="AM19" s="4" t="inlineStr">
        <is>
          <t xml:space="preserve">1</t>
        </is>
      </c>
      <c r="AO19" s="4" t="inlineStr">
        <is>
          <t xml:space="preserve">No</t>
        </is>
      </c>
    </row>
    <row r="20" spans="1:42" ht="30" customHeight="1" x14ac:dyDescent="0.2">
      <c r="A20" s="4" t="s">
        <v>267</v>
      </c>
      <c r="B20" s="81" t="s">
        <v>268</v>
      </c>
      <c r="C20" s="83" t="s">
        <v>269</v>
      </c>
      <c r="D20" s="83" t="s">
        <v>270</v>
      </c>
      <c r="E20" s="4" t="s">
        <v>187</v>
      </c>
      <c r="F20" s="4" t="s">
        <v>205</v>
      </c>
      <c r="G20" s="4" t="s">
        <v>200</v>
      </c>
      <c r="H20" s="4">
        <v>50</v>
      </c>
      <c r="I20" s="4">
        <v>30</v>
      </c>
      <c r="J20" s="5">
        <f t="shared" si="0"/>
        <v>0.6</v>
      </c>
      <c r="K20" s="4">
        <v>5</v>
      </c>
      <c r="L20" s="82">
        <v>3</v>
      </c>
      <c r="M20" s="4">
        <v>3</v>
      </c>
      <c r="N20" s="82">
        <v>2</v>
      </c>
      <c r="O20" s="81">
        <v>5</v>
      </c>
      <c r="P20" s="81">
        <v>15</v>
      </c>
      <c r="Q20" s="5">
        <v>1</v>
      </c>
      <c r="R20" s="5">
        <v>0</v>
      </c>
      <c r="S20" s="5">
        <v>0</v>
      </c>
      <c r="T20" s="5">
        <v>0</v>
      </c>
      <c r="U20" s="5">
        <v>0</v>
      </c>
      <c r="V20" s="5">
        <v>0</v>
      </c>
      <c r="W20" s="5">
        <f t="shared" si="1"/>
        <v>1</v>
      </c>
      <c r="X20" s="4" t="str">
        <f>IF(E20&lt;&gt;"Combat","—",IFERROR(INDEX(Affinity!$A$2:$A$7,MATCH(MAX(INDEX(Affinity!$B$2:$V$7,0,MATCH(A20,Affinity!$B$1:$V$1,0))),INDEX(Affinity!$B$2:$V$7,0,MATCH(A20,Affinity!$B$1:$V$1,0)),0)),"—"))</f>
        <v>Emotional</v>
      </c>
      <c r="Y20" s="4">
        <v>2</v>
      </c>
      <c r="Z20" s="73">
        <v>15000</v>
      </c>
      <c r="AA20" s="4">
        <v>3</v>
      </c>
      <c r="AB20" s="4">
        <v>70</v>
      </c>
      <c r="AC20" s="4">
        <v>1</v>
      </c>
      <c r="AD20" s="4">
        <v>-1</v>
      </c>
      <c r="AE20" s="73">
        <v>0</v>
      </c>
      <c r="AF20" s="4">
        <v>-1</v>
      </c>
      <c r="AG20" s="4">
        <v>5</v>
      </c>
      <c r="AH20" s="4">
        <v>-5</v>
      </c>
      <c r="AI20" s="4" t="inlineStr">
        <is>
          <t xml:space="preserve">Shared_pool</t>
        </is>
      </c>
      <c r="AJ20" s="4" t="inlineStr">
        <is>
          <t xml:space="preserve">per_turn</t>
        </is>
      </c>
      <c r="AL20" s="4" t="inlineStr">
        <is>
          <t xml:space="preserve">single</t>
        </is>
      </c>
      <c r="AM20" s="4" t="inlineStr">
        <is>
          <t xml:space="preserve">1</t>
        </is>
      </c>
      <c r="AN20" s="4" t="inlineStr">
        <is>
          <t xml:space="preserve">media_ambush</t>
        </is>
      </c>
      <c r="AO20" s="4" t="inlineStr">
        <is>
          <t xml:space="preserve">No</t>
        </is>
      </c>
      <c r="AP20" s="4" t="inlineStr">
        <is>
          <t xml:space="preserve">No</t>
        </is>
      </c>
    </row>
    <row r="21" spans="1:41" ht="30" customHeight="1" x14ac:dyDescent="0.2">
      <c r="A21" s="4" t="s">
        <v>271</v>
      </c>
      <c r="B21" s="81" t="s">
        <v>272</v>
      </c>
      <c r="C21" s="83" t="s">
        <v>273</v>
      </c>
      <c r="D21" s="83" t="s">
        <v>274</v>
      </c>
      <c r="E21" s="4" t="s">
        <v>187</v>
      </c>
      <c r="F21" s="4" t="s">
        <v>210</v>
      </c>
      <c r="G21" s="4" t="s">
        <v>200</v>
      </c>
      <c r="H21" s="4">
        <v>50</v>
      </c>
      <c r="I21" s="4">
        <v>25</v>
      </c>
      <c r="J21" s="5">
        <f t="shared" si="0"/>
        <v>0.5</v>
      </c>
      <c r="K21" s="4">
        <v>7</v>
      </c>
      <c r="L21" s="82">
        <v>3</v>
      </c>
      <c r="M21" s="4">
        <v>5</v>
      </c>
      <c r="N21" s="82">
        <v>6</v>
      </c>
      <c r="O21" s="81">
        <v>5</v>
      </c>
      <c r="P21" s="81">
        <v>15</v>
      </c>
      <c r="Q21" s="5">
        <v>0</v>
      </c>
      <c r="R21" s="5">
        <v>0</v>
      </c>
      <c r="S21" s="5">
        <v>0</v>
      </c>
      <c r="T21" s="5">
        <v>1</v>
      </c>
      <c r="U21" s="5">
        <v>0</v>
      </c>
      <c r="V21" s="5">
        <v>0</v>
      </c>
      <c r="W21" s="5">
        <f t="shared" si="1"/>
        <v>1</v>
      </c>
      <c r="X21" s="4" t="str">
        <f>IF(E21&lt;&gt;"Combat","—",IFERROR(INDEX(Affinity!$A$2:$A$7,MATCH(MAX(INDEX(Affinity!$B$2:$V$7,0,MATCH(A21,Affinity!$B$1:$V$1,0))),INDEX(Affinity!$B$2:$V$7,0,MATCH(A21,Affinity!$B$1:$V$1,0)),0)),"—"))</f>
        <v>Appeal</v>
      </c>
      <c r="Y21" s="4">
        <v>0</v>
      </c>
      <c r="Z21" s="73">
        <v>20000</v>
      </c>
      <c r="AA21" s="4">
        <v>0</v>
      </c>
      <c r="AB21" s="4">
        <v>30</v>
      </c>
      <c r="AC21" s="4">
        <v>0</v>
      </c>
      <c r="AD21" s="4">
        <v>0</v>
      </c>
      <c r="AE21" s="73">
        <v>0</v>
      </c>
      <c r="AF21" s="4">
        <v>0</v>
      </c>
      <c r="AG21" s="4">
        <v>0</v>
      </c>
      <c r="AH21" s="4">
        <v>-1</v>
      </c>
      <c r="AI21" s="4" t="inlineStr">
        <is>
          <t xml:space="preserve">Shared_pool</t>
        </is>
      </c>
      <c r="AJ21" s="4" t="inlineStr">
        <is>
          <t xml:space="preserve">per_turn</t>
        </is>
      </c>
      <c r="AL21" s="4" t="inlineStr">
        <is>
          <t xml:space="preserve">single</t>
        </is>
      </c>
      <c r="AM21" s="4" t="inlineStr">
        <is>
          <t xml:space="preserve">1</t>
        </is>
      </c>
      <c r="AN21" s="4" t="inlineStr">
        <is>
          <t xml:space="preserve">lobbyist_meeting</t>
        </is>
      </c>
      <c r="AO21" s="4" t="inlineStr">
        <is>
          <t xml:space="preserve">No</t>
        </is>
      </c>
    </row>
    <row r="22" spans="1:41" ht="30" customHeight="1" x14ac:dyDescent="0.2">
      <c r="A22" s="4" t="s">
        <v>275</v>
      </c>
      <c r="B22" s="81" t="s">
        <v>276</v>
      </c>
      <c r="C22" s="83" t="s">
        <v>277</v>
      </c>
      <c r="D22" s="83" t="s">
        <v>278</v>
      </c>
      <c r="E22" s="4" t="s">
        <v>187</v>
      </c>
      <c r="F22" s="4" t="s">
        <v>266</v>
      </c>
      <c r="G22" s="4" t="s">
        <v>200</v>
      </c>
      <c r="H22" s="4">
        <v>50</v>
      </c>
      <c r="I22" s="4">
        <v>35</v>
      </c>
      <c r="J22" s="5">
        <f t="shared" si="0"/>
        <v>0.7</v>
      </c>
      <c r="K22" s="4">
        <v>10</v>
      </c>
      <c r="L22" s="82">
        <v>5</v>
      </c>
      <c r="M22" s="4">
        <v>5</v>
      </c>
      <c r="N22" s="82">
        <v>10</v>
      </c>
      <c r="O22" s="81">
        <v>1</v>
      </c>
      <c r="P22" s="81">
        <v>10</v>
      </c>
      <c r="Q22" s="5">
        <v>0</v>
      </c>
      <c r="R22" s="5">
        <v>0</v>
      </c>
      <c r="S22" s="5">
        <v>0</v>
      </c>
      <c r="T22" s="5">
        <v>0</v>
      </c>
      <c r="U22" s="5">
        <v>0.8</v>
      </c>
      <c r="V22" s="5">
        <v>0.2</v>
      </c>
      <c r="W22" s="5">
        <f t="shared" si="1"/>
        <v>1</v>
      </c>
      <c r="X22" s="4" t="str">
        <f>IF(E22&lt;&gt;"Combat","—",IFERROR(INDEX(Affinity!$A$2:$A$7,MATCH(MAX(INDEX(Affinity!$B$2:$V$7,0,MATCH(A22,Affinity!$B$1:$V$1,0))),INDEX(Affinity!$B$2:$V$7,0,MATCH(A22,Affinity!$B$1:$V$1,0)),0)),"—"))</f>
        <v>Earnest</v>
      </c>
      <c r="Y22" s="4">
        <v>1</v>
      </c>
      <c r="Z22" s="73">
        <v>15000</v>
      </c>
      <c r="AA22" s="4">
        <v>1</v>
      </c>
      <c r="AB22" s="4">
        <v>70</v>
      </c>
      <c r="AC22" s="4">
        <v>1</v>
      </c>
      <c r="AD22" s="4">
        <v>0</v>
      </c>
      <c r="AE22" s="73">
        <v>0</v>
      </c>
      <c r="AF22" s="4">
        <v>0</v>
      </c>
      <c r="AG22" s="4">
        <v>5</v>
      </c>
      <c r="AH22" s="4">
        <v>0</v>
      </c>
      <c r="AI22" s="4" t="inlineStr">
        <is>
          <t xml:space="preserve">Shared_pool</t>
        </is>
      </c>
      <c r="AJ22" s="4" t="inlineStr">
        <is>
          <t xml:space="preserve">per_turn</t>
        </is>
      </c>
      <c r="AL22" s="4" t="inlineStr">
        <is>
          <t xml:space="preserve">single</t>
        </is>
      </c>
      <c r="AM22" s="4" t="inlineStr">
        <is>
          <t xml:space="preserve">1</t>
        </is>
      </c>
      <c r="AN22" s="4" t="inlineStr">
        <is>
          <t xml:space="preserve">policy_study</t>
        </is>
      </c>
      <c r="AO22" s="4" t="inlineStr">
        <is>
          <t xml:space="preserve">No</t>
        </is>
      </c>
    </row>
    <row r="23" spans="1:34" x14ac:dyDescent="0.2">
      <c r="A23" s="81"/>
      <c r="B23" s="81"/>
      <c r="C23" s="81"/>
      <c r="D23" s="81"/>
      <c r="E23" s="81"/>
      <c r="F23" s="81"/>
      <c r="G23" s="81"/>
      <c r="H23" s="81"/>
      <c r="I23" s="81"/>
      <c r="J23" s="81"/>
      <c r="K23" s="81"/>
      <c r="L23" s="81"/>
      <c r="M23" s="81"/>
      <c r="N23" s="81"/>
      <c r="O23" s="81"/>
      <c r="P23" s="81"/>
      <c r="Q23" s="81"/>
      <c r="R23" s="81"/>
      <c r="S23" s="81"/>
      <c r="T23" s="81"/>
      <c r="U23" s="81"/>
      <c r="V23" s="81"/>
      <c r="W23" s="81"/>
      <c r="X23" s="81"/>
      <c r="Y23" s="81"/>
      <c r="Z23" s="81"/>
      <c r="AA23" s="81"/>
      <c r="AB23" s="81"/>
      <c r="AC23" s="81"/>
      <c r="AD23" s="81"/>
      <c r="AE23" s="81"/>
      <c r="AF23" s="81"/>
      <c r="AG23" s="81"/>
      <c r="AH23" s="81"/>
    </row>
    <row r="24" spans="1:34" x14ac:dyDescent="0.2">
      <c r="A24" s="81"/>
      <c r="B24" s="81"/>
      <c r="C24" s="81"/>
      <c r="D24" s="81"/>
      <c r="E24" s="81"/>
      <c r="F24" s="81"/>
      <c r="G24" s="81"/>
      <c r="H24" s="81"/>
      <c r="I24" s="81"/>
      <c r="J24" s="81"/>
      <c r="K24" s="81"/>
      <c r="L24" s="81"/>
      <c r="M24" s="81"/>
      <c r="N24" s="81"/>
      <c r="O24" s="81"/>
      <c r="P24" s="81"/>
      <c r="Q24" s="81"/>
      <c r="R24" s="81"/>
      <c r="S24" s="81"/>
      <c r="T24" s="81"/>
      <c r="U24" s="81"/>
      <c r="V24" s="81"/>
      <c r="W24" s="81"/>
      <c r="X24" s="81"/>
      <c r="Y24" s="81"/>
      <c r="Z24" s="81"/>
      <c r="AA24" s="81"/>
      <c r="AB24" s="81"/>
      <c r="AC24" s="81"/>
      <c r="AD24" s="81"/>
      <c r="AE24" s="81"/>
      <c r="AF24" s="81"/>
      <c r="AG24" s="81"/>
      <c r="AH24" s="81"/>
    </row>
    <row r="25" spans="1:34" x14ac:dyDescent="0.2">
      <c r="A25" s="81"/>
      <c r="B25" s="81"/>
      <c r="C25" s="81"/>
      <c r="D25" s="81"/>
      <c r="E25" s="81"/>
      <c r="F25" s="81"/>
      <c r="G25" s="81"/>
      <c r="H25" s="81"/>
      <c r="I25" s="81"/>
      <c r="J25" s="81"/>
      <c r="K25" s="81"/>
      <c r="L25" s="81"/>
      <c r="M25" s="81"/>
      <c r="N25" s="81"/>
      <c r="O25" s="81"/>
      <c r="P25" s="81"/>
      <c r="Q25" s="81"/>
      <c r="R25" s="81"/>
      <c r="S25" s="81"/>
      <c r="T25" s="81"/>
      <c r="U25" s="81"/>
      <c r="V25" s="81"/>
      <c r="W25" s="81"/>
      <c r="X25" s="81"/>
      <c r="Y25" s="81"/>
      <c r="Z25" s="81"/>
      <c r="AA25" s="81"/>
      <c r="AB25" s="81"/>
      <c r="AC25" s="81"/>
      <c r="AD25" s="81"/>
      <c r="AE25" s="81"/>
      <c r="AF25" s="81"/>
      <c r="AG25" s="81"/>
      <c r="AH25" s="81"/>
    </row>
    <row r="26" spans="1:34" x14ac:dyDescent="0.2">
      <c r="A26" s="81"/>
      <c r="B26" s="81"/>
      <c r="C26" s="81"/>
      <c r="D26" s="81"/>
      <c r="E26" s="81"/>
      <c r="F26" s="81"/>
      <c r="G26" s="81"/>
      <c r="H26" s="81"/>
      <c r="I26" s="81"/>
      <c r="J26" s="81"/>
      <c r="K26" s="81"/>
      <c r="L26" s="81"/>
      <c r="M26" s="81"/>
      <c r="N26" s="81"/>
      <c r="O26" s="81"/>
      <c r="P26" s="81"/>
      <c r="Q26" s="81"/>
      <c r="R26" s="81"/>
      <c r="S26" s="81"/>
      <c r="T26" s="81"/>
      <c r="U26" s="81"/>
      <c r="V26" s="81"/>
      <c r="W26" s="81"/>
      <c r="X26" s="81"/>
      <c r="Y26" s="81"/>
      <c r="Z26" s="81"/>
      <c r="AA26" s="81"/>
      <c r="AB26" s="81"/>
      <c r="AC26" s="81"/>
      <c r="AD26" s="81"/>
      <c r="AE26" s="81"/>
      <c r="AF26" s="81"/>
      <c r="AG26" s="81"/>
      <c r="AH26" s="81"/>
    </row>
    <row r="27" spans="1:34" x14ac:dyDescent="0.2">
      <c r="A27" s="81"/>
      <c r="B27" s="81"/>
      <c r="C27" s="81"/>
      <c r="D27" s="81"/>
      <c r="E27" s="81"/>
      <c r="F27" s="81"/>
      <c r="G27" s="81"/>
      <c r="H27" s="81"/>
      <c r="I27" s="81"/>
      <c r="J27" s="81"/>
      <c r="K27" s="81"/>
      <c r="L27" s="81"/>
      <c r="M27" s="81"/>
      <c r="N27" s="81"/>
      <c r="O27" s="81"/>
      <c r="P27" s="81"/>
      <c r="Q27" s="81"/>
      <c r="R27" s="81"/>
      <c r="S27" s="81"/>
      <c r="T27" s="81"/>
      <c r="U27" s="81"/>
      <c r="V27" s="81"/>
      <c r="W27" s="81"/>
      <c r="X27" s="81"/>
      <c r="Y27" s="81"/>
      <c r="Z27" s="81"/>
      <c r="AA27" s="81"/>
      <c r="AB27" s="81"/>
      <c r="AC27" s="81"/>
      <c r="AD27" s="81"/>
      <c r="AE27" s="81"/>
      <c r="AF27" s="81"/>
      <c r="AG27" s="81"/>
      <c r="AH27" s="81"/>
    </row>
    <row r="28" spans="1:34" x14ac:dyDescent="0.2">
      <c r="A28" s="81"/>
      <c r="B28" s="81"/>
      <c r="C28" s="81"/>
      <c r="D28" s="81"/>
      <c r="E28" s="81"/>
      <c r="F28" s="81"/>
      <c r="G28" s="81"/>
      <c r="H28" s="81"/>
      <c r="I28" s="81"/>
      <c r="J28" s="81"/>
      <c r="K28" s="81"/>
      <c r="L28" s="81"/>
      <c r="M28" s="81"/>
      <c r="N28" s="81"/>
      <c r="O28" s="81"/>
      <c r="P28" s="81"/>
      <c r="Q28" s="81"/>
      <c r="R28" s="81"/>
      <c r="S28" s="81"/>
      <c r="T28" s="81"/>
      <c r="U28" s="81"/>
      <c r="V28" s="81"/>
      <c r="W28" s="81"/>
      <c r="X28" s="81"/>
      <c r="Y28" s="81"/>
      <c r="Z28" s="81"/>
      <c r="AA28" s="81"/>
      <c r="AB28" s="81"/>
      <c r="AC28" s="81"/>
      <c r="AD28" s="81"/>
      <c r="AE28" s="81"/>
      <c r="AF28" s="81"/>
      <c r="AG28" s="81"/>
      <c r="AH28" s="81"/>
    </row>
    <row r="29" spans="1:34" x14ac:dyDescent="0.2">
      <c r="A29" s="81"/>
      <c r="B29" s="81"/>
      <c r="C29" s="81"/>
      <c r="D29" s="81"/>
      <c r="E29" s="81"/>
      <c r="F29" s="81"/>
      <c r="G29" s="81"/>
      <c r="H29" s="81"/>
      <c r="I29" s="81"/>
      <c r="J29" s="81"/>
      <c r="K29" s="81"/>
      <c r="L29" s="81"/>
      <c r="M29" s="81"/>
      <c r="N29" s="81"/>
      <c r="O29" s="81"/>
      <c r="P29" s="81"/>
      <c r="Q29" s="81"/>
      <c r="R29" s="81"/>
      <c r="S29" s="81"/>
      <c r="T29" s="81"/>
      <c r="U29" s="81"/>
      <c r="V29" s="81"/>
      <c r="W29" s="81"/>
      <c r="X29" s="81"/>
      <c r="Y29" s="81"/>
      <c r="Z29" s="81"/>
      <c r="AA29" s="81"/>
      <c r="AB29" s="81"/>
      <c r="AC29" s="81"/>
      <c r="AD29" s="81"/>
      <c r="AE29" s="81"/>
      <c r="AF29" s="81"/>
      <c r="AG29" s="81"/>
      <c r="AH29" s="81"/>
    </row>
    <row r="30" spans="1:34" x14ac:dyDescent="0.2">
      <c r="A30" s="81"/>
      <c r="B30" s="81"/>
      <c r="C30" s="81"/>
      <c r="D30" s="81"/>
      <c r="E30" s="81"/>
      <c r="F30" s="81"/>
      <c r="G30" s="81"/>
      <c r="H30" s="81"/>
      <c r="I30" s="81"/>
      <c r="J30" s="81"/>
      <c r="K30" s="81"/>
      <c r="L30" s="81"/>
      <c r="M30" s="81"/>
      <c r="N30" s="81"/>
      <c r="O30" s="81"/>
      <c r="P30" s="81"/>
      <c r="Q30" s="81"/>
      <c r="R30" s="81"/>
      <c r="S30" s="81"/>
      <c r="T30" s="81"/>
      <c r="U30" s="81"/>
      <c r="V30" s="81"/>
      <c r="W30" s="81"/>
      <c r="X30" s="81"/>
      <c r="Y30" s="81"/>
      <c r="Z30" s="81"/>
      <c r="AA30" s="81"/>
      <c r="AB30" s="81"/>
      <c r="AC30" s="81"/>
      <c r="AD30" s="81"/>
      <c r="AE30" s="81"/>
      <c r="AF30" s="81"/>
      <c r="AG30" s="81"/>
      <c r="AH30" s="81"/>
    </row>
    <row r="31" spans="1:34" x14ac:dyDescent="0.2">
      <c r="A31" s="81"/>
      <c r="B31" s="81"/>
      <c r="C31" s="81"/>
      <c r="D31" s="81"/>
      <c r="E31" s="81"/>
      <c r="F31" s="81"/>
      <c r="G31" s="81"/>
      <c r="H31" s="81"/>
      <c r="I31" s="81"/>
      <c r="J31" s="81"/>
      <c r="K31" s="81"/>
      <c r="L31" s="81"/>
      <c r="M31" s="81"/>
      <c r="N31" s="81"/>
      <c r="O31" s="81"/>
      <c r="P31" s="81"/>
      <c r="Q31" s="81"/>
      <c r="R31" s="81"/>
      <c r="S31" s="81"/>
      <c r="T31" s="81"/>
      <c r="U31" s="81"/>
      <c r="V31" s="81"/>
      <c r="W31" s="81"/>
      <c r="X31" s="81"/>
      <c r="Y31" s="81"/>
      <c r="Z31" s="81"/>
      <c r="AA31" s="81"/>
      <c r="AB31" s="81"/>
      <c r="AC31" s="81"/>
      <c r="AD31" s="81"/>
      <c r="AE31" s="81"/>
      <c r="AF31" s="81"/>
      <c r="AG31" s="81"/>
      <c r="AH31" s="81"/>
    </row>
    <row r="32" spans="1:34" x14ac:dyDescent="0.2">
      <c r="A32" s="81"/>
      <c r="B32" s="81"/>
      <c r="C32" s="81"/>
      <c r="D32" s="81"/>
      <c r="E32" s="81"/>
      <c r="F32" s="81"/>
      <c r="G32" s="81"/>
      <c r="H32" s="81"/>
      <c r="I32" s="81"/>
      <c r="J32" s="81"/>
      <c r="K32" s="81"/>
      <c r="L32" s="81"/>
      <c r="M32" s="81"/>
      <c r="N32" s="81"/>
      <c r="O32" s="81"/>
      <c r="P32" s="81"/>
      <c r="Q32" s="81"/>
      <c r="R32" s="81"/>
      <c r="S32" s="81"/>
      <c r="T32" s="81"/>
      <c r="U32" s="81"/>
      <c r="V32" s="81"/>
      <c r="W32" s="81"/>
      <c r="X32" s="81"/>
      <c r="Y32" s="81"/>
      <c r="Z32" s="81"/>
      <c r="AA32" s="81"/>
      <c r="AB32" s="81"/>
      <c r="AC32" s="81"/>
      <c r="AD32" s="81"/>
      <c r="AE32" s="81"/>
      <c r="AF32" s="81"/>
      <c r="AG32" s="81"/>
      <c r="AH32" s="81"/>
    </row>
    <row r="33" spans="1:34" x14ac:dyDescent="0.2">
      <c r="A33" s="81"/>
      <c r="B33" s="81"/>
      <c r="C33" s="81"/>
      <c r="D33" s="81"/>
      <c r="E33" s="81"/>
      <c r="F33" s="81"/>
      <c r="G33" s="81"/>
      <c r="H33" s="81"/>
      <c r="I33" s="81"/>
      <c r="J33" s="81"/>
      <c r="K33" s="81"/>
      <c r="L33" s="81"/>
      <c r="M33" s="81"/>
      <c r="N33" s="81"/>
      <c r="O33" s="81"/>
      <c r="P33" s="81"/>
      <c r="Q33" s="81"/>
      <c r="R33" s="81"/>
      <c r="S33" s="81"/>
      <c r="T33" s="81"/>
      <c r="U33" s="81"/>
      <c r="V33" s="81"/>
      <c r="W33" s="81"/>
      <c r="X33" s="81"/>
      <c r="Y33" s="81"/>
      <c r="Z33" s="81"/>
      <c r="AA33" s="81"/>
      <c r="AB33" s="81"/>
      <c r="AC33" s="81"/>
      <c r="AD33" s="81"/>
      <c r="AE33" s="81"/>
      <c r="AF33" s="81"/>
      <c r="AG33" s="81"/>
      <c r="AH33" s="81"/>
    </row>
    <row r="34" spans="1:34" x14ac:dyDescent="0.2">
      <c r="A34" s="81"/>
      <c r="B34" s="81"/>
      <c r="C34" s="81"/>
      <c r="D34" s="81"/>
      <c r="E34" s="81"/>
      <c r="F34" s="81"/>
      <c r="G34" s="81"/>
      <c r="H34" s="81"/>
      <c r="I34" s="81"/>
      <c r="J34" s="81"/>
      <c r="K34" s="81"/>
      <c r="L34" s="81"/>
      <c r="M34" s="81"/>
      <c r="N34" s="81"/>
      <c r="O34" s="81"/>
      <c r="P34" s="81"/>
      <c r="Q34" s="81"/>
      <c r="R34" s="81"/>
      <c r="S34" s="81"/>
      <c r="T34" s="81"/>
      <c r="U34" s="81"/>
      <c r="V34" s="81"/>
      <c r="W34" s="81"/>
      <c r="X34" s="81"/>
      <c r="Y34" s="81"/>
      <c r="Z34" s="81"/>
      <c r="AA34" s="81"/>
      <c r="AB34" s="81"/>
      <c r="AC34" s="81"/>
      <c r="AD34" s="81"/>
      <c r="AE34" s="81"/>
      <c r="AF34" s="81"/>
      <c r="AG34" s="81"/>
      <c r="AH34" s="81"/>
    </row>
    <row r="35" spans="1:34" x14ac:dyDescent="0.2">
      <c r="A35" s="81"/>
      <c r="B35" s="81"/>
      <c r="C35" s="81"/>
      <c r="D35" s="81"/>
      <c r="E35" s="81"/>
      <c r="F35" s="81"/>
      <c r="G35" s="81"/>
      <c r="H35" s="81"/>
      <c r="I35" s="81"/>
      <c r="J35" s="81"/>
      <c r="K35" s="81"/>
      <c r="L35" s="81"/>
      <c r="M35" s="81"/>
      <c r="N35" s="81"/>
      <c r="O35" s="81"/>
      <c r="P35" s="81"/>
      <c r="Q35" s="81"/>
      <c r="R35" s="81"/>
      <c r="S35" s="81"/>
      <c r="T35" s="81"/>
      <c r="U35" s="81"/>
      <c r="V35" s="81"/>
      <c r="W35" s="81"/>
      <c r="X35" s="81"/>
      <c r="Y35" s="81"/>
      <c r="Z35" s="81"/>
      <c r="AA35" s="81"/>
      <c r="AB35" s="81"/>
      <c r="AC35" s="81"/>
      <c r="AD35" s="81"/>
      <c r="AE35" s="81"/>
      <c r="AF35" s="81"/>
      <c r="AG35" s="81"/>
      <c r="AH35" s="81"/>
    </row>
    <row r="36" spans="1:34" x14ac:dyDescent="0.2">
      <c r="A36" s="81"/>
      <c r="B36" s="81"/>
      <c r="C36" s="81"/>
      <c r="D36" s="81"/>
      <c r="E36" s="81"/>
      <c r="F36" s="81"/>
      <c r="G36" s="81"/>
      <c r="H36" s="81"/>
      <c r="I36" s="81"/>
      <c r="J36" s="81"/>
      <c r="K36" s="81"/>
      <c r="L36" s="81"/>
      <c r="M36" s="81"/>
      <c r="N36" s="81"/>
      <c r="O36" s="81"/>
      <c r="P36" s="81"/>
      <c r="Q36" s="81"/>
      <c r="R36" s="81"/>
      <c r="S36" s="81"/>
      <c r="T36" s="81"/>
      <c r="U36" s="81"/>
      <c r="V36" s="81"/>
      <c r="W36" s="81"/>
      <c r="X36" s="81"/>
      <c r="Y36" s="81"/>
      <c r="Z36" s="81"/>
      <c r="AA36" s="81"/>
      <c r="AB36" s="81"/>
      <c r="AC36" s="81"/>
      <c r="AD36" s="81"/>
      <c r="AE36" s="81"/>
      <c r="AF36" s="81"/>
      <c r="AG36" s="81"/>
      <c r="AH36" s="81"/>
    </row>
    <row r="37" spans="1:34" x14ac:dyDescent="0.2">
      <c r="A37" s="81"/>
      <c r="B37" s="81"/>
      <c r="C37" s="81"/>
      <c r="D37" s="81"/>
      <c r="E37" s="81"/>
      <c r="F37" s="81"/>
      <c r="G37" s="81"/>
      <c r="H37" s="81"/>
      <c r="I37" s="81"/>
      <c r="J37" s="81"/>
      <c r="K37" s="81"/>
      <c r="L37" s="81"/>
      <c r="M37" s="81"/>
      <c r="N37" s="81"/>
      <c r="O37" s="81"/>
      <c r="P37" s="81"/>
      <c r="Q37" s="81"/>
      <c r="R37" s="81"/>
      <c r="S37" s="81"/>
      <c r="T37" s="81"/>
      <c r="U37" s="81"/>
      <c r="V37" s="81"/>
      <c r="W37" s="81"/>
      <c r="X37" s="81"/>
      <c r="Y37" s="81"/>
      <c r="Z37" s="81"/>
      <c r="AA37" s="81"/>
      <c r="AB37" s="81"/>
      <c r="AC37" s="81"/>
      <c r="AD37" s="81"/>
      <c r="AE37" s="81"/>
      <c r="AF37" s="81"/>
      <c r="AG37" s="81"/>
      <c r="AH37" s="81"/>
    </row>
    <row r="38" spans="1:34" x14ac:dyDescent="0.2">
      <c r="A38" s="81"/>
      <c r="B38" s="81"/>
      <c r="C38" s="81"/>
      <c r="D38" s="81"/>
      <c r="E38" s="81"/>
      <c r="F38" s="81"/>
      <c r="G38" s="81"/>
      <c r="H38" s="81"/>
      <c r="I38" s="81"/>
      <c r="J38" s="81"/>
      <c r="K38" s="81"/>
      <c r="L38" s="81"/>
      <c r="M38" s="81"/>
      <c r="N38" s="81"/>
      <c r="O38" s="81"/>
      <c r="P38" s="81"/>
      <c r="Q38" s="81"/>
      <c r="R38" s="81"/>
      <c r="S38" s="81"/>
      <c r="T38" s="81"/>
      <c r="U38" s="81"/>
      <c r="V38" s="81"/>
      <c r="W38" s="81"/>
      <c r="X38" s="81"/>
      <c r="Y38" s="81"/>
      <c r="Z38" s="81"/>
      <c r="AA38" s="81"/>
      <c r="AB38" s="81"/>
      <c r="AC38" s="81"/>
      <c r="AD38" s="81"/>
      <c r="AE38" s="81"/>
      <c r="AF38" s="81"/>
      <c r="AG38" s="81"/>
      <c r="AH38" s="81"/>
    </row>
    <row r="39" spans="1:34" x14ac:dyDescent="0.2">
      <c r="A39" s="81"/>
      <c r="B39" s="81"/>
      <c r="C39" s="81"/>
      <c r="D39" s="81"/>
      <c r="E39" s="81"/>
      <c r="F39" s="81"/>
      <c r="G39" s="81"/>
      <c r="H39" s="81"/>
      <c r="I39" s="81"/>
      <c r="J39" s="81"/>
      <c r="K39" s="81"/>
      <c r="L39" s="81"/>
      <c r="M39" s="81"/>
      <c r="N39" s="81"/>
      <c r="O39" s="81"/>
      <c r="P39" s="81"/>
      <c r="Q39" s="81"/>
      <c r="R39" s="81"/>
      <c r="S39" s="81"/>
      <c r="T39" s="81"/>
      <c r="U39" s="81"/>
      <c r="V39" s="81"/>
      <c r="W39" s="81"/>
      <c r="X39" s="81"/>
      <c r="Y39" s="81"/>
      <c r="Z39" s="81"/>
      <c r="AA39" s="81"/>
      <c r="AB39" s="81"/>
      <c r="AC39" s="81"/>
      <c r="AD39" s="81"/>
      <c r="AE39" s="81"/>
      <c r="AF39" s="81"/>
      <c r="AG39" s="81"/>
      <c r="AH39" s="81"/>
    </row>
    <row r="40" spans="1:34" x14ac:dyDescent="0.2">
      <c r="A40" s="81"/>
      <c r="B40" s="81"/>
      <c r="C40" s="81"/>
      <c r="D40" s="81"/>
      <c r="E40" s="81"/>
      <c r="F40" s="81"/>
      <c r="G40" s="81"/>
      <c r="H40" s="81"/>
      <c r="I40" s="81"/>
      <c r="J40" s="81"/>
      <c r="K40" s="81"/>
      <c r="L40" s="81"/>
      <c r="M40" s="81"/>
      <c r="N40" s="81"/>
      <c r="O40" s="81"/>
      <c r="P40" s="81"/>
      <c r="Q40" s="81"/>
      <c r="R40" s="81"/>
      <c r="S40" s="81"/>
      <c r="T40" s="81"/>
      <c r="U40" s="81"/>
      <c r="V40" s="81"/>
      <c r="W40" s="81"/>
      <c r="X40" s="81"/>
      <c r="Y40" s="81"/>
      <c r="Z40" s="81"/>
      <c r="AA40" s="81"/>
      <c r="AB40" s="81"/>
      <c r="AC40" s="81"/>
      <c r="AD40" s="81"/>
      <c r="AE40" s="81"/>
      <c r="AF40" s="81"/>
      <c r="AG40" s="81"/>
      <c r="AH40" s="81"/>
    </row>
    <row r="41" spans="1:34" x14ac:dyDescent="0.2">
      <c r="A41" s="81"/>
      <c r="B41" s="81"/>
      <c r="C41" s="81"/>
      <c r="D41" s="81"/>
      <c r="E41" s="81"/>
      <c r="F41" s="81"/>
      <c r="G41" s="81"/>
      <c r="H41" s="81"/>
      <c r="I41" s="81"/>
      <c r="J41" s="81"/>
      <c r="K41" s="81"/>
      <c r="L41" s="81"/>
      <c r="M41" s="81"/>
      <c r="N41" s="81"/>
      <c r="O41" s="81"/>
      <c r="P41" s="81"/>
      <c r="Q41" s="81"/>
      <c r="R41" s="81"/>
      <c r="S41" s="81"/>
      <c r="T41" s="81"/>
      <c r="U41" s="81"/>
      <c r="V41" s="81"/>
      <c r="W41" s="81"/>
      <c r="X41" s="81"/>
      <c r="Y41" s="81"/>
      <c r="Z41" s="81"/>
      <c r="AA41" s="81"/>
      <c r="AB41" s="81"/>
      <c r="AC41" s="81"/>
      <c r="AD41" s="81"/>
      <c r="AE41" s="81"/>
      <c r="AF41" s="81"/>
      <c r="AG41" s="81"/>
      <c r="AH41" s="81"/>
    </row>
    <row r="42" spans="1:34" x14ac:dyDescent="0.2">
      <c r="A42" s="81"/>
      <c r="B42" s="81"/>
      <c r="C42" s="81"/>
      <c r="D42" s="81"/>
      <c r="E42" s="81"/>
      <c r="F42" s="81"/>
      <c r="G42" s="81"/>
      <c r="H42" s="81"/>
      <c r="I42" s="81"/>
      <c r="J42" s="81"/>
      <c r="K42" s="81"/>
      <c r="L42" s="81"/>
      <c r="M42" s="81"/>
      <c r="N42" s="81"/>
      <c r="O42" s="81"/>
      <c r="P42" s="81"/>
      <c r="Q42" s="81"/>
      <c r="R42" s="81"/>
      <c r="S42" s="81"/>
      <c r="T42" s="81"/>
      <c r="U42" s="81"/>
      <c r="V42" s="81"/>
      <c r="W42" s="81"/>
      <c r="X42" s="81"/>
      <c r="Y42" s="81"/>
      <c r="Z42" s="81"/>
      <c r="AA42" s="81"/>
      <c r="AB42" s="81"/>
      <c r="AC42" s="81"/>
      <c r="AD42" s="81"/>
      <c r="AE42" s="81"/>
      <c r="AF42" s="81"/>
      <c r="AG42" s="81"/>
      <c r="AH42" s="81"/>
    </row>
    <row r="43" spans="1:34" x14ac:dyDescent="0.2">
      <c r="A43" s="81"/>
      <c r="B43" s="81"/>
      <c r="C43" s="81"/>
      <c r="D43" s="81"/>
      <c r="E43" s="81"/>
      <c r="F43" s="81"/>
      <c r="G43" s="81"/>
      <c r="H43" s="81"/>
      <c r="I43" s="81"/>
      <c r="J43" s="81"/>
      <c r="K43" s="81"/>
      <c r="L43" s="81"/>
      <c r="M43" s="81"/>
      <c r="N43" s="81"/>
      <c r="O43" s="81"/>
      <c r="P43" s="81"/>
      <c r="Q43" s="81"/>
      <c r="R43" s="81"/>
      <c r="S43" s="81"/>
      <c r="T43" s="81"/>
      <c r="U43" s="81"/>
      <c r="V43" s="81"/>
      <c r="W43" s="81"/>
      <c r="X43" s="81"/>
      <c r="Y43" s="81"/>
      <c r="Z43" s="81"/>
      <c r="AA43" s="81"/>
      <c r="AB43" s="81"/>
      <c r="AC43" s="81"/>
      <c r="AD43" s="81"/>
      <c r="AE43" s="81"/>
      <c r="AF43" s="81"/>
      <c r="AG43" s="81"/>
      <c r="AH43" s="81"/>
    </row>
    <row r="44" spans="1:34" x14ac:dyDescent="0.2">
      <c r="A44" s="81"/>
      <c r="B44" s="81"/>
      <c r="C44" s="81"/>
      <c r="D44" s="81"/>
      <c r="E44" s="81"/>
      <c r="F44" s="81"/>
      <c r="G44" s="81"/>
      <c r="H44" s="81"/>
      <c r="I44" s="81"/>
      <c r="J44" s="81"/>
      <c r="K44" s="81"/>
      <c r="L44" s="81"/>
      <c r="M44" s="81"/>
      <c r="N44" s="81"/>
      <c r="O44" s="81"/>
      <c r="P44" s="81"/>
      <c r="Q44" s="81"/>
      <c r="R44" s="81"/>
      <c r="S44" s="81"/>
      <c r="T44" s="81"/>
      <c r="U44" s="81"/>
      <c r="V44" s="81"/>
      <c r="W44" s="81"/>
      <c r="X44" s="81"/>
      <c r="Y44" s="81"/>
      <c r="Z44" s="81"/>
      <c r="AA44" s="81"/>
      <c r="AB44" s="81"/>
      <c r="AC44" s="81"/>
      <c r="AD44" s="81"/>
      <c r="AE44" s="81"/>
      <c r="AF44" s="81"/>
      <c r="AG44" s="81"/>
      <c r="AH44" s="81"/>
    </row>
    <row r="45" spans="1:34" x14ac:dyDescent="0.2">
      <c r="A45" s="81"/>
      <c r="B45" s="81"/>
      <c r="C45" s="81"/>
      <c r="D45" s="81"/>
      <c r="E45" s="81"/>
      <c r="F45" s="81"/>
      <c r="G45" s="81"/>
      <c r="H45" s="81"/>
      <c r="I45" s="81"/>
      <c r="J45" s="81"/>
      <c r="K45" s="81"/>
      <c r="L45" s="81"/>
      <c r="M45" s="81"/>
      <c r="N45" s="81"/>
      <c r="O45" s="81"/>
      <c r="P45" s="81"/>
      <c r="Q45" s="81"/>
      <c r="R45" s="81"/>
      <c r="S45" s="81"/>
      <c r="T45" s="81"/>
      <c r="U45" s="81"/>
      <c r="V45" s="81"/>
      <c r="W45" s="81"/>
      <c r="X45" s="81"/>
      <c r="Y45" s="81"/>
      <c r="Z45" s="81"/>
      <c r="AA45" s="81"/>
      <c r="AB45" s="81"/>
      <c r="AC45" s="81"/>
      <c r="AD45" s="81"/>
      <c r="AE45" s="81"/>
      <c r="AF45" s="81"/>
      <c r="AG45" s="81"/>
      <c r="AH45" s="81"/>
    </row>
    <row r="46" spans="1:34" x14ac:dyDescent="0.2">
      <c r="A46" s="81"/>
      <c r="B46" s="81"/>
      <c r="C46" s="81"/>
      <c r="D46" s="81"/>
      <c r="E46" s="81"/>
      <c r="F46" s="81"/>
      <c r="G46" s="81"/>
      <c r="H46" s="81"/>
      <c r="I46" s="81"/>
      <c r="J46" s="81"/>
      <c r="K46" s="81"/>
      <c r="L46" s="81"/>
      <c r="M46" s="81"/>
      <c r="N46" s="81"/>
      <c r="O46" s="81"/>
      <c r="P46" s="81"/>
      <c r="Q46" s="81"/>
      <c r="R46" s="81"/>
      <c r="S46" s="81"/>
      <c r="T46" s="81"/>
      <c r="U46" s="81"/>
      <c r="V46" s="81"/>
      <c r="W46" s="81"/>
      <c r="X46" s="81"/>
      <c r="Y46" s="81"/>
      <c r="Z46" s="81"/>
      <c r="AA46" s="81"/>
      <c r="AB46" s="81"/>
      <c r="AC46" s="81"/>
      <c r="AD46" s="81"/>
      <c r="AE46" s="81"/>
      <c r="AF46" s="81"/>
      <c r="AG46" s="81"/>
      <c r="AH46" s="81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M31"/>
  <sheetViews>
    <sheetView workbookViewId="0">
      <pane ySplit="1" topLeftCell="A11" activePane="bottomLeft" state="frozen"/>
      <selection activeCell="G1" sqref="G1"/>
      <selection pane="bottomLeft" activeCell="T33" sqref="T33"/>
    </sheetView>
  </sheetViews>
  <sheetFormatPr defaultRowHeight="15" x14ac:dyDescent="0.2"/>
  <cols>
    <col min="19" max="19" width="9.55078125" bestFit="1" customWidth="1"/>
    <col min="34" max="39" width="9.953125" customWidth="1"/>
  </cols>
  <sheetData>
    <row r="1" spans="1:39" ht="80.25" customHeight="1" x14ac:dyDescent="0.2">
      <c r="A1" s="69" t="s">
        <v>279</v>
      </c>
      <c r="B1" s="69" t="s">
        <v>280</v>
      </c>
      <c r="C1" s="69" t="s">
        <v>281</v>
      </c>
      <c r="D1" s="69" t="s">
        <v>282</v>
      </c>
      <c r="E1" s="69" t="s">
        <v>283</v>
      </c>
      <c r="F1" s="69" t="s">
        <v>284</v>
      </c>
      <c r="G1" s="69" t="s">
        <v>285</v>
      </c>
      <c r="H1" s="69" t="s">
        <v>286</v>
      </c>
      <c r="I1" s="69" t="s">
        <v>287</v>
      </c>
      <c r="J1" s="69" t="s">
        <v>288</v>
      </c>
      <c r="K1" s="69" t="s">
        <v>289</v>
      </c>
      <c r="L1" s="69" t="s">
        <v>290</v>
      </c>
      <c r="M1" s="69" t="s">
        <v>291</v>
      </c>
      <c r="N1" s="69" t="s">
        <v>292</v>
      </c>
      <c r="O1" s="69" t="s">
        <v>293</v>
      </c>
      <c r="P1" s="69" t="s">
        <v>294</v>
      </c>
      <c r="Q1" s="69" t="s">
        <v>295</v>
      </c>
      <c r="R1" s="69" t="s">
        <v>296</v>
      </c>
      <c r="S1" s="69" t="s">
        <v>297</v>
      </c>
      <c r="T1" s="69" t="s">
        <v>298</v>
      </c>
      <c r="U1" s="69" t="s">
        <v>299</v>
      </c>
      <c r="V1" s="69" t="s">
        <v>300</v>
      </c>
      <c r="W1" s="69" t="s">
        <v>301</v>
      </c>
      <c r="X1" s="69" t="s">
        <v>302</v>
      </c>
      <c r="Y1" s="69" t="s">
        <v>303</v>
      </c>
      <c r="Z1" s="69" t="s">
        <v>304</v>
      </c>
      <c r="AA1" s="69" t="s">
        <v>305</v>
      </c>
      <c r="AB1" s="69" t="s">
        <v>306</v>
      </c>
      <c r="AC1" s="69" t="s">
        <v>307</v>
      </c>
      <c r="AD1" s="69" t="s">
        <v>308</v>
      </c>
      <c r="AE1" s="69" t="s">
        <v>309</v>
      </c>
      <c r="AF1" s="69" t="s">
        <v>310</v>
      </c>
      <c r="AG1" s="69" t="s">
        <v>311</v>
      </c>
      <c r="AH1" s="85" t="s">
        <v>312</v>
      </c>
      <c r="AI1" s="85" t="s">
        <v>313</v>
      </c>
      <c r="AJ1" s="86" t="s">
        <v>314</v>
      </c>
      <c r="AK1" s="86" t="s">
        <v>315</v>
      </c>
      <c r="AL1" s="86" t="s">
        <v>316</v>
      </c>
      <c r="AM1" s="86" t="s">
        <v>317</v>
      </c>
    </row>
    <row r="2" spans="1:39" ht="57" customHeight="1" x14ac:dyDescent="0.2">
      <c r="A2" s="65" t="s">
        <v>318</v>
      </c>
      <c r="B2" s="65" t="s">
        <v>319</v>
      </c>
      <c r="C2" s="65">
        <v>2</v>
      </c>
      <c r="D2" s="65">
        <v>0</v>
      </c>
      <c r="E2" s="65">
        <v>0</v>
      </c>
      <c r="F2" s="65">
        <v>0</v>
      </c>
      <c r="G2" s="65">
        <v>0</v>
      </c>
      <c r="H2" s="65">
        <v>0</v>
      </c>
      <c r="I2" s="65" t="s">
        <v>206</v>
      </c>
      <c r="J2" s="74" t="s">
        <v>13</v>
      </c>
      <c r="K2" s="74" t="s">
        <v>13</v>
      </c>
      <c r="L2" s="74" t="s">
        <v>13</v>
      </c>
      <c r="M2" s="74" t="s">
        <v>13</v>
      </c>
      <c r="N2" s="74" t="s">
        <v>13</v>
      </c>
      <c r="O2" s="74" t="s">
        <v>13</v>
      </c>
      <c r="P2" s="74" t="s">
        <v>13</v>
      </c>
      <c r="Q2" s="74" t="s">
        <v>13</v>
      </c>
      <c r="R2" s="74" t="s">
        <v>13</v>
      </c>
      <c r="S2" s="75" t="s">
        <v>320</v>
      </c>
      <c r="T2" s="75" t="s">
        <v>320</v>
      </c>
      <c r="U2" s="76" t="s">
        <v>320</v>
      </c>
      <c r="V2" s="76" t="s">
        <v>320</v>
      </c>
      <c r="W2" s="75" t="s">
        <v>321</v>
      </c>
      <c r="X2" s="77" t="s">
        <v>320</v>
      </c>
      <c r="Y2" s="77" t="s">
        <v>320</v>
      </c>
      <c r="Z2" s="77" t="s">
        <v>322</v>
      </c>
      <c r="AA2" s="77" t="s">
        <v>322</v>
      </c>
      <c r="AB2" s="78" t="s">
        <v>320</v>
      </c>
      <c r="AC2" s="78" t="s">
        <v>322</v>
      </c>
      <c r="AD2" s="77" t="s">
        <v>320</v>
      </c>
      <c r="AE2" s="77" t="s">
        <v>320</v>
      </c>
      <c r="AF2" s="77" t="s">
        <v>320</v>
      </c>
      <c r="AG2" s="77" t="s">
        <v>320</v>
      </c>
      <c r="AH2" s="87" t="s">
        <v>320</v>
      </c>
      <c r="AI2" s="87" t="s">
        <v>320</v>
      </c>
      <c r="AJ2" s="87" t="s">
        <v>320</v>
      </c>
      <c r="AK2" s="88" t="s">
        <v>320</v>
      </c>
      <c r="AL2" s="88" t="s">
        <v>320</v>
      </c>
      <c r="AM2" s="88" t="s">
        <v>320</v>
      </c>
    </row>
    <row r="3" spans="1:39" ht="42.75" customHeight="1" x14ac:dyDescent="0.2">
      <c r="A3" s="65" t="s">
        <v>323</v>
      </c>
      <c r="B3" s="65" t="s">
        <v>324</v>
      </c>
      <c r="C3" s="65">
        <v>1</v>
      </c>
      <c r="D3" s="65">
        <v>0</v>
      </c>
      <c r="E3" s="65">
        <v>0</v>
      </c>
      <c r="F3" s="65">
        <v>0</v>
      </c>
      <c r="G3" s="65">
        <v>0</v>
      </c>
      <c r="H3" s="65">
        <v>0</v>
      </c>
      <c r="I3" s="65" t="s">
        <v>271</v>
      </c>
      <c r="J3" s="65" t="s">
        <v>267</v>
      </c>
      <c r="K3" s="74" t="s">
        <v>13</v>
      </c>
      <c r="L3" s="74" t="s">
        <v>13</v>
      </c>
      <c r="M3" s="74" t="s">
        <v>13</v>
      </c>
      <c r="N3" s="74" t="s">
        <v>13</v>
      </c>
      <c r="O3" s="74" t="s">
        <v>13</v>
      </c>
      <c r="P3" s="74" t="s">
        <v>13</v>
      </c>
      <c r="Q3" s="74" t="s">
        <v>13</v>
      </c>
      <c r="R3" s="74" t="s">
        <v>13</v>
      </c>
      <c r="S3" s="75" t="s">
        <v>320</v>
      </c>
      <c r="T3" s="75" t="s">
        <v>320</v>
      </c>
      <c r="U3" s="76" t="s">
        <v>320</v>
      </c>
      <c r="V3" s="76" t="s">
        <v>320</v>
      </c>
      <c r="W3" s="75" t="s">
        <v>321</v>
      </c>
      <c r="X3" s="77" t="s">
        <v>320</v>
      </c>
      <c r="Y3" s="77" t="s">
        <v>320</v>
      </c>
      <c r="Z3" s="77" t="s">
        <v>320</v>
      </c>
      <c r="AA3" s="77" t="s">
        <v>320</v>
      </c>
      <c r="AB3" s="78" t="s">
        <v>320</v>
      </c>
      <c r="AC3" s="78" t="s">
        <v>320</v>
      </c>
      <c r="AD3" s="77" t="s">
        <v>320</v>
      </c>
      <c r="AE3" s="77" t="s">
        <v>320</v>
      </c>
      <c r="AF3" s="77" t="s">
        <v>320</v>
      </c>
      <c r="AG3" s="77" t="s">
        <v>320</v>
      </c>
      <c r="AH3" s="87" t="s">
        <v>320</v>
      </c>
      <c r="AI3" s="87" t="s">
        <v>320</v>
      </c>
      <c r="AJ3" s="87" t="s">
        <v>320</v>
      </c>
      <c r="AK3" s="88" t="s">
        <v>320</v>
      </c>
      <c r="AL3" s="88" t="s">
        <v>320</v>
      </c>
      <c r="AM3" s="88" t="s">
        <v>320</v>
      </c>
    </row>
    <row r="4" spans="1:39" ht="57" customHeight="1" x14ac:dyDescent="0.2">
      <c r="A4" s="65" t="s">
        <v>325</v>
      </c>
      <c r="B4" s="65" t="s">
        <v>326</v>
      </c>
      <c r="C4" s="65">
        <v>3</v>
      </c>
      <c r="D4" s="65">
        <v>0</v>
      </c>
      <c r="E4" s="65">
        <v>0</v>
      </c>
      <c r="F4" s="65">
        <v>0</v>
      </c>
      <c r="G4" s="65">
        <v>0</v>
      </c>
      <c r="H4" s="65">
        <v>0</v>
      </c>
      <c r="I4" s="65" t="s">
        <v>206</v>
      </c>
      <c r="J4" s="65" t="s">
        <v>271</v>
      </c>
      <c r="K4" s="65" t="s">
        <v>275</v>
      </c>
      <c r="L4" s="74" t="s">
        <v>13</v>
      </c>
      <c r="M4" s="74" t="s">
        <v>13</v>
      </c>
      <c r="N4" s="74" t="s">
        <v>13</v>
      </c>
      <c r="O4" s="74" t="s">
        <v>13</v>
      </c>
      <c r="P4" s="74" t="s">
        <v>13</v>
      </c>
      <c r="Q4" s="74" t="s">
        <v>13</v>
      </c>
      <c r="R4" s="74" t="s">
        <v>13</v>
      </c>
      <c r="S4" s="75" t="s">
        <v>320</v>
      </c>
      <c r="T4" s="75" t="s">
        <v>320</v>
      </c>
      <c r="U4" s="76" t="s">
        <v>320</v>
      </c>
      <c r="V4" s="76" t="s">
        <v>320</v>
      </c>
      <c r="W4" s="75" t="s">
        <v>321</v>
      </c>
      <c r="X4" s="77" t="s">
        <v>320</v>
      </c>
      <c r="Y4" s="77" t="s">
        <v>322</v>
      </c>
      <c r="Z4" s="77" t="s">
        <v>320</v>
      </c>
      <c r="AA4" s="77" t="s">
        <v>320</v>
      </c>
      <c r="AB4" s="78" t="s">
        <v>327</v>
      </c>
      <c r="AC4" s="78" t="s">
        <v>320</v>
      </c>
      <c r="AD4" s="77" t="s">
        <v>320</v>
      </c>
      <c r="AE4" s="77" t="s">
        <v>320</v>
      </c>
      <c r="AF4" s="77" t="s">
        <v>322</v>
      </c>
      <c r="AG4" s="77" t="s">
        <v>320</v>
      </c>
      <c r="AH4" s="87" t="s">
        <v>320</v>
      </c>
      <c r="AI4" s="87" t="s">
        <v>320</v>
      </c>
      <c r="AJ4" s="87" t="s">
        <v>320</v>
      </c>
      <c r="AK4" s="88" t="s">
        <v>320</v>
      </c>
      <c r="AL4" s="88" t="s">
        <v>320</v>
      </c>
      <c r="AM4" s="88" t="s">
        <v>320</v>
      </c>
    </row>
    <row r="5" spans="1:39" ht="99.75" customHeight="1" x14ac:dyDescent="0.2">
      <c r="A5" s="65" t="s">
        <v>328</v>
      </c>
      <c r="B5" s="65" t="s">
        <v>329</v>
      </c>
      <c r="C5" s="65">
        <v>3</v>
      </c>
      <c r="D5" s="65">
        <v>0</v>
      </c>
      <c r="E5" s="65">
        <v>0</v>
      </c>
      <c r="F5" s="65">
        <v>0</v>
      </c>
      <c r="G5" s="65">
        <v>0</v>
      </c>
      <c r="H5" s="65">
        <v>0</v>
      </c>
      <c r="I5" s="65" t="s">
        <v>195</v>
      </c>
      <c r="J5" s="65" t="s">
        <v>201</v>
      </c>
      <c r="K5" s="65" t="s">
        <v>230</v>
      </c>
      <c r="L5" s="74" t="s">
        <v>13</v>
      </c>
      <c r="M5" s="74" t="s">
        <v>13</v>
      </c>
      <c r="N5" s="74" t="s">
        <v>13</v>
      </c>
      <c r="O5" s="74" t="s">
        <v>13</v>
      </c>
      <c r="P5" s="74" t="s">
        <v>13</v>
      </c>
      <c r="Q5" s="74" t="s">
        <v>13</v>
      </c>
      <c r="R5" s="74" t="s">
        <v>13</v>
      </c>
      <c r="S5" s="77" t="s">
        <v>330</v>
      </c>
      <c r="T5" s="77" t="s">
        <v>331</v>
      </c>
      <c r="U5" s="78" t="s">
        <v>332</v>
      </c>
      <c r="V5" s="76" t="s">
        <v>320</v>
      </c>
      <c r="W5" s="75" t="s">
        <v>321</v>
      </c>
      <c r="X5" s="77" t="s">
        <v>320</v>
      </c>
      <c r="Y5" s="77" t="s">
        <v>320</v>
      </c>
      <c r="Z5" s="77" t="s">
        <v>322</v>
      </c>
      <c r="AA5" s="77" t="s">
        <v>322</v>
      </c>
      <c r="AB5" s="78" t="s">
        <v>320</v>
      </c>
      <c r="AC5" s="78" t="s">
        <v>322</v>
      </c>
      <c r="AD5" s="77" t="s">
        <v>320</v>
      </c>
      <c r="AE5" s="77" t="s">
        <v>320</v>
      </c>
      <c r="AF5" s="77" t="s">
        <v>320</v>
      </c>
      <c r="AG5" s="77" t="s">
        <v>333</v>
      </c>
      <c r="AH5" s="87" t="s">
        <v>320</v>
      </c>
      <c r="AI5" s="87" t="s">
        <v>320</v>
      </c>
      <c r="AJ5" s="87" t="s">
        <v>320</v>
      </c>
      <c r="AK5" s="88" t="s">
        <v>320</v>
      </c>
      <c r="AL5" s="88" t="s">
        <v>320</v>
      </c>
      <c r="AM5" s="88" t="s">
        <v>320</v>
      </c>
    </row>
    <row r="6" spans="1:39" ht="28.5" customHeight="1" x14ac:dyDescent="0.2">
      <c r="A6" s="65" t="s">
        <v>334</v>
      </c>
      <c r="B6" s="65" t="s">
        <v>335</v>
      </c>
      <c r="C6" s="65">
        <v>5</v>
      </c>
      <c r="D6" s="65">
        <v>0</v>
      </c>
      <c r="E6" s="65">
        <v>0</v>
      </c>
      <c r="F6" s="65">
        <v>0</v>
      </c>
      <c r="G6" s="65">
        <v>0</v>
      </c>
      <c r="H6" s="65">
        <v>0</v>
      </c>
      <c r="I6" s="65" t="s">
        <v>201</v>
      </c>
      <c r="J6" s="65" t="s">
        <v>211</v>
      </c>
      <c r="K6" s="65" t="s">
        <v>195</v>
      </c>
      <c r="L6" s="65" t="s">
        <v>206</v>
      </c>
      <c r="M6" s="65" t="s">
        <v>267</v>
      </c>
      <c r="N6" s="65" t="s">
        <v>211</v>
      </c>
      <c r="O6" s="74" t="s">
        <v>13</v>
      </c>
      <c r="P6" s="74" t="s">
        <v>13</v>
      </c>
      <c r="Q6" s="74" t="s">
        <v>13</v>
      </c>
      <c r="R6" s="74" t="s">
        <v>13</v>
      </c>
      <c r="S6" s="75" t="s">
        <v>320</v>
      </c>
      <c r="T6" s="77" t="s">
        <v>336</v>
      </c>
      <c r="U6" s="76" t="s">
        <v>337</v>
      </c>
      <c r="V6" s="76" t="s">
        <v>338</v>
      </c>
      <c r="W6" s="77" t="s">
        <v>339</v>
      </c>
      <c r="X6" s="77" t="s">
        <v>320</v>
      </c>
      <c r="Y6" s="77" t="s">
        <v>327</v>
      </c>
      <c r="Z6" s="77" t="s">
        <v>332</v>
      </c>
      <c r="AA6" s="77" t="s">
        <v>322</v>
      </c>
      <c r="AB6" s="78" t="s">
        <v>322</v>
      </c>
      <c r="AC6" s="78" t="s">
        <v>327</v>
      </c>
      <c r="AD6" s="77" t="s">
        <v>322</v>
      </c>
      <c r="AE6" s="77" t="s">
        <v>340</v>
      </c>
      <c r="AF6" s="77" t="s">
        <v>322</v>
      </c>
      <c r="AG6" s="77" t="s">
        <v>327</v>
      </c>
      <c r="AH6" s="87" t="s">
        <v>320</v>
      </c>
      <c r="AI6" s="87" t="s">
        <v>320</v>
      </c>
      <c r="AJ6" s="87" t="s">
        <v>320</v>
      </c>
      <c r="AK6" s="88" t="s">
        <v>320</v>
      </c>
      <c r="AL6" s="88" t="s">
        <v>320</v>
      </c>
      <c r="AM6" s="88" t="s">
        <v>320</v>
      </c>
    </row>
    <row r="7" spans="1:39" ht="99.75" customHeight="1" x14ac:dyDescent="0.2">
      <c r="A7" s="65" t="s">
        <v>341</v>
      </c>
      <c r="B7" s="65" t="s">
        <v>342</v>
      </c>
      <c r="C7" s="65">
        <v>7</v>
      </c>
      <c r="D7" s="65">
        <v>0</v>
      </c>
      <c r="E7" s="65">
        <v>0</v>
      </c>
      <c r="F7" s="65">
        <v>0</v>
      </c>
      <c r="G7" s="65">
        <v>0</v>
      </c>
      <c r="H7" s="65">
        <v>0</v>
      </c>
      <c r="I7" s="65" t="s">
        <v>195</v>
      </c>
      <c r="J7" s="65" t="s">
        <v>201</v>
      </c>
      <c r="K7" s="65" t="s">
        <v>271</v>
      </c>
      <c r="L7" s="65" t="s">
        <v>275</v>
      </c>
      <c r="M7" s="65" t="s">
        <v>195</v>
      </c>
      <c r="N7" s="65" t="s">
        <v>242</v>
      </c>
      <c r="O7" s="65" t="s">
        <v>190</v>
      </c>
      <c r="P7" s="74" t="s">
        <v>13</v>
      </c>
      <c r="Q7" s="74" t="s">
        <v>13</v>
      </c>
      <c r="R7" s="74" t="s">
        <v>13</v>
      </c>
      <c r="S7" s="77" t="s">
        <v>330</v>
      </c>
      <c r="T7" s="77" t="s">
        <v>343</v>
      </c>
      <c r="U7" s="76" t="s">
        <v>320</v>
      </c>
      <c r="V7" s="76" t="s">
        <v>344</v>
      </c>
      <c r="W7" s="77" t="s">
        <v>345</v>
      </c>
      <c r="X7" s="77" t="s">
        <v>330</v>
      </c>
      <c r="Y7" s="77" t="s">
        <v>330</v>
      </c>
      <c r="Z7" s="77" t="s">
        <v>322</v>
      </c>
      <c r="AA7" s="77" t="s">
        <v>322</v>
      </c>
      <c r="AB7" s="78" t="s">
        <v>320</v>
      </c>
      <c r="AC7" s="78" t="s">
        <v>322</v>
      </c>
      <c r="AD7" s="77" t="s">
        <v>327</v>
      </c>
      <c r="AE7" s="77" t="s">
        <v>322</v>
      </c>
      <c r="AF7" s="77" t="s">
        <v>327</v>
      </c>
      <c r="AG7" s="77" t="s">
        <v>327</v>
      </c>
      <c r="AH7" s="87" t="s">
        <v>320</v>
      </c>
      <c r="AI7" s="87" t="s">
        <v>320</v>
      </c>
      <c r="AJ7" s="87" t="s">
        <v>320</v>
      </c>
      <c r="AK7" s="88" t="s">
        <v>320</v>
      </c>
      <c r="AL7" s="88" t="s">
        <v>320</v>
      </c>
      <c r="AM7" s="88" t="s">
        <v>320</v>
      </c>
    </row>
    <row r="8" spans="1:39" ht="99.75" customHeight="1" x14ac:dyDescent="0.2">
      <c r="A8" s="65" t="s">
        <v>346</v>
      </c>
      <c r="B8" s="65" t="s">
        <v>347</v>
      </c>
      <c r="C8" s="65">
        <v>10</v>
      </c>
      <c r="D8" s="65">
        <v>0</v>
      </c>
      <c r="E8" s="65">
        <v>25</v>
      </c>
      <c r="F8" s="65">
        <v>20</v>
      </c>
      <c r="G8" s="65">
        <v>10</v>
      </c>
      <c r="H8" s="65">
        <v>0</v>
      </c>
      <c r="I8" s="65" t="s">
        <v>271</v>
      </c>
      <c r="J8" s="65" t="s">
        <v>275</v>
      </c>
      <c r="K8" s="65" t="s">
        <v>195</v>
      </c>
      <c r="L8" s="65" t="s">
        <v>211</v>
      </c>
      <c r="M8" s="65" t="s">
        <v>250</v>
      </c>
      <c r="N8" s="65" t="s">
        <v>190</v>
      </c>
      <c r="O8" s="65" t="s">
        <v>267</v>
      </c>
      <c r="P8" s="74" t="s">
        <v>13</v>
      </c>
      <c r="Q8" s="74" t="s">
        <v>13</v>
      </c>
      <c r="R8" s="74" t="s">
        <v>13</v>
      </c>
      <c r="S8" s="77" t="s">
        <v>327</v>
      </c>
      <c r="T8" s="77" t="s">
        <v>348</v>
      </c>
      <c r="U8" s="76" t="s">
        <v>320</v>
      </c>
      <c r="V8" s="76" t="s">
        <v>344</v>
      </c>
      <c r="W8" s="77" t="s">
        <v>349</v>
      </c>
      <c r="X8" s="77" t="s">
        <v>330</v>
      </c>
      <c r="Y8" s="77" t="s">
        <v>330</v>
      </c>
      <c r="Z8" s="77" t="s">
        <v>320</v>
      </c>
      <c r="AA8" s="77" t="s">
        <v>327</v>
      </c>
      <c r="AB8" s="78" t="s">
        <v>330</v>
      </c>
      <c r="AC8" s="78" t="s">
        <v>320</v>
      </c>
      <c r="AD8" s="78" t="s">
        <v>327</v>
      </c>
      <c r="AE8" s="78" t="s">
        <v>320</v>
      </c>
      <c r="AF8" s="78" t="s">
        <v>350</v>
      </c>
      <c r="AG8" s="77" t="s">
        <v>320</v>
      </c>
      <c r="AH8" s="87" t="s">
        <v>320</v>
      </c>
      <c r="AI8" s="87" t="s">
        <v>320</v>
      </c>
      <c r="AJ8" s="87" t="s">
        <v>320</v>
      </c>
      <c r="AK8" s="88" t="s">
        <v>320</v>
      </c>
      <c r="AL8" s="88" t="s">
        <v>320</v>
      </c>
      <c r="AM8" s="88" t="s">
        <v>320</v>
      </c>
    </row>
    <row r="9" spans="1:39" ht="71.25" customHeight="1" x14ac:dyDescent="0.2">
      <c r="A9" s="65" t="s">
        <v>351</v>
      </c>
      <c r="B9" s="65" t="s">
        <v>352</v>
      </c>
      <c r="C9" s="65">
        <v>15</v>
      </c>
      <c r="D9" s="65">
        <v>0</v>
      </c>
      <c r="E9" s="65">
        <v>50</v>
      </c>
      <c r="F9" s="65">
        <v>25</v>
      </c>
      <c r="G9" s="65">
        <v>15</v>
      </c>
      <c r="H9" s="68">
        <v>10</v>
      </c>
      <c r="I9" s="65" t="s">
        <v>201</v>
      </c>
      <c r="J9" s="65" t="s">
        <v>190</v>
      </c>
      <c r="K9" s="65" t="s">
        <v>201</v>
      </c>
      <c r="L9" s="65" t="s">
        <v>190</v>
      </c>
      <c r="M9" s="65" t="s">
        <v>267</v>
      </c>
      <c r="N9" s="65" t="s">
        <v>190</v>
      </c>
      <c r="O9" s="74" t="s">
        <v>13</v>
      </c>
      <c r="P9" s="74" t="s">
        <v>13</v>
      </c>
      <c r="Q9" s="74" t="s">
        <v>13</v>
      </c>
      <c r="R9" s="74" t="s">
        <v>13</v>
      </c>
      <c r="S9" s="75" t="s">
        <v>320</v>
      </c>
      <c r="T9" s="77" t="s">
        <v>353</v>
      </c>
      <c r="U9" s="76" t="s">
        <v>354</v>
      </c>
      <c r="V9" s="76" t="s">
        <v>355</v>
      </c>
      <c r="W9" s="77" t="s">
        <v>356</v>
      </c>
      <c r="X9" s="77" t="s">
        <v>357</v>
      </c>
      <c r="Y9" s="77" t="s">
        <v>357</v>
      </c>
      <c r="Z9" s="77" t="s">
        <v>320</v>
      </c>
      <c r="AA9" s="65">
        <v>0</v>
      </c>
      <c r="AB9" s="77" t="s">
        <v>320</v>
      </c>
      <c r="AC9" s="77" t="s">
        <v>320</v>
      </c>
      <c r="AD9" s="77" t="s">
        <v>327</v>
      </c>
      <c r="AE9" s="77" t="s">
        <v>358</v>
      </c>
      <c r="AF9" s="77" t="s">
        <v>320</v>
      </c>
      <c r="AG9" s="77" t="s">
        <v>320</v>
      </c>
      <c r="AH9" s="87" t="s">
        <v>320</v>
      </c>
      <c r="AI9" s="87" t="s">
        <v>320</v>
      </c>
      <c r="AJ9" s="87" t="s">
        <v>320</v>
      </c>
      <c r="AK9" s="88" t="s">
        <v>320</v>
      </c>
      <c r="AL9" s="88" t="s">
        <v>320</v>
      </c>
      <c r="AM9" s="88" t="s">
        <v>320</v>
      </c>
    </row>
    <row r="10" spans="1:39" ht="57" customHeight="1" x14ac:dyDescent="0.2">
      <c r="A10" s="65" t="s">
        <v>359</v>
      </c>
      <c r="B10" s="68" t="s">
        <v>360</v>
      </c>
      <c r="C10" s="68">
        <v>15</v>
      </c>
      <c r="D10" s="65">
        <v>0</v>
      </c>
      <c r="E10" s="65">
        <v>50</v>
      </c>
      <c r="F10" s="65">
        <v>25</v>
      </c>
      <c r="G10" s="65">
        <v>15</v>
      </c>
      <c r="H10" s="68">
        <v>10</v>
      </c>
      <c r="I10" s="65" t="s">
        <v>183</v>
      </c>
      <c r="J10" s="65" t="s">
        <v>230</v>
      </c>
      <c r="K10" s="65" t="s">
        <v>275</v>
      </c>
      <c r="L10" s="65" t="s">
        <v>258</v>
      </c>
      <c r="M10" s="65" t="s">
        <v>183</v>
      </c>
      <c r="N10" s="65" t="s">
        <v>246</v>
      </c>
      <c r="O10" s="74" t="s">
        <v>13</v>
      </c>
      <c r="P10" s="74" t="s">
        <v>13</v>
      </c>
      <c r="Q10" s="74" t="s">
        <v>13</v>
      </c>
      <c r="R10" s="74" t="s">
        <v>13</v>
      </c>
      <c r="S10" s="75" t="s">
        <v>320</v>
      </c>
      <c r="T10" s="77" t="s">
        <v>343</v>
      </c>
      <c r="U10" s="76" t="s">
        <v>361</v>
      </c>
      <c r="V10" s="76" t="s">
        <v>362</v>
      </c>
      <c r="W10" s="77" t="s">
        <v>363</v>
      </c>
      <c r="X10" s="77" t="s">
        <v>327</v>
      </c>
      <c r="Y10" s="77" t="s">
        <v>364</v>
      </c>
      <c r="Z10" s="77" t="s">
        <v>320</v>
      </c>
      <c r="AA10" s="77" t="s">
        <v>320</v>
      </c>
      <c r="AB10" s="77" t="s">
        <v>320</v>
      </c>
      <c r="AC10" s="77" t="s">
        <v>320</v>
      </c>
      <c r="AD10" s="77" t="s">
        <v>320</v>
      </c>
      <c r="AE10" s="77" t="s">
        <v>320</v>
      </c>
      <c r="AF10" s="77" t="s">
        <v>320</v>
      </c>
      <c r="AG10" s="77" t="s">
        <v>320</v>
      </c>
      <c r="AH10" s="88" t="s">
        <v>320</v>
      </c>
      <c r="AI10" s="88" t="s">
        <v>320</v>
      </c>
      <c r="AJ10" s="89" t="s">
        <v>320</v>
      </c>
      <c r="AK10" s="88" t="s">
        <v>320</v>
      </c>
      <c r="AL10" s="88" t="s">
        <v>320</v>
      </c>
      <c r="AM10" s="88" t="s">
        <v>320</v>
      </c>
    </row>
    <row r="11" spans="1:39" ht="99.75" customHeight="1" x14ac:dyDescent="0.2">
      <c r="A11" s="65" t="s">
        <v>365</v>
      </c>
      <c r="B11" s="68" t="s">
        <v>366</v>
      </c>
      <c r="C11" s="68">
        <v>20</v>
      </c>
      <c r="D11" s="65">
        <v>0</v>
      </c>
      <c r="E11" s="65">
        <v>50</v>
      </c>
      <c r="F11" s="65">
        <v>25</v>
      </c>
      <c r="G11" s="65">
        <v>15</v>
      </c>
      <c r="H11" s="68">
        <v>10</v>
      </c>
      <c r="I11" s="65" t="s">
        <v>206</v>
      </c>
      <c r="J11" s="65" t="s">
        <v>201</v>
      </c>
      <c r="K11" s="65" t="s">
        <v>206</v>
      </c>
      <c r="L11" s="65" t="s">
        <v>275</v>
      </c>
      <c r="M11" s="65" t="s">
        <v>271</v>
      </c>
      <c r="N11" s="65" t="s">
        <v>275</v>
      </c>
      <c r="O11" s="65" t="s">
        <v>183</v>
      </c>
      <c r="P11" s="65" t="s">
        <v>211</v>
      </c>
      <c r="Q11" s="65" t="s">
        <v>250</v>
      </c>
      <c r="R11" s="65" t="s">
        <v>190</v>
      </c>
      <c r="S11" s="77" t="s">
        <v>367</v>
      </c>
      <c r="T11" s="77" t="s">
        <v>368</v>
      </c>
      <c r="U11" s="78" t="s">
        <v>369</v>
      </c>
      <c r="V11" s="78" t="s">
        <v>370</v>
      </c>
      <c r="W11" s="77" t="s">
        <v>371</v>
      </c>
      <c r="X11" s="77" t="s">
        <v>320</v>
      </c>
      <c r="Y11" s="77" t="s">
        <v>320</v>
      </c>
      <c r="Z11" s="77" t="s">
        <v>372</v>
      </c>
      <c r="AA11" s="77" t="s">
        <v>373</v>
      </c>
      <c r="AB11" s="78" t="s">
        <v>358</v>
      </c>
      <c r="AC11" s="78" t="s">
        <v>374</v>
      </c>
      <c r="AD11" s="77" t="s">
        <v>375</v>
      </c>
      <c r="AE11" s="77" t="s">
        <v>320</v>
      </c>
      <c r="AF11" s="65">
        <v>0</v>
      </c>
      <c r="AG11" s="77" t="s">
        <v>376</v>
      </c>
      <c r="AH11" s="88" t="s">
        <v>320</v>
      </c>
      <c r="AI11" s="88" t="s">
        <v>320</v>
      </c>
      <c r="AJ11" s="89" t="s">
        <v>320</v>
      </c>
      <c r="AK11" s="88" t="s">
        <v>320</v>
      </c>
      <c r="AL11" s="88" t="s">
        <v>320</v>
      </c>
      <c r="AM11" s="88" t="s">
        <v>320</v>
      </c>
    </row>
    <row r="12" spans="1:39" x14ac:dyDescent="0.2">
      <c r="A12" s="65" t="s">
        <v>377</v>
      </c>
      <c r="B12" s="90" t="s">
        <v>378</v>
      </c>
      <c r="C12" s="90">
        <v>5</v>
      </c>
      <c r="D12" s="65">
        <v>1</v>
      </c>
      <c r="E12" s="65">
        <v>150</v>
      </c>
      <c r="F12" s="65">
        <v>100</v>
      </c>
      <c r="G12" s="65">
        <v>50</v>
      </c>
      <c r="H12" s="65">
        <v>10</v>
      </c>
      <c r="I12" s="90" t="s">
        <v>215</v>
      </c>
      <c r="J12" s="90" t="s">
        <v>206</v>
      </c>
      <c r="K12" s="90" t="s">
        <v>275</v>
      </c>
      <c r="L12" s="74" t="s">
        <v>13</v>
      </c>
      <c r="M12" s="74" t="s">
        <v>13</v>
      </c>
      <c r="N12" s="74" t="s">
        <v>13</v>
      </c>
      <c r="O12" s="74" t="s">
        <v>13</v>
      </c>
      <c r="P12" s="74" t="s">
        <v>13</v>
      </c>
      <c r="Q12" s="74" t="s">
        <v>13</v>
      </c>
      <c r="R12" s="74" t="s">
        <v>13</v>
      </c>
      <c r="S12" s="88" t="s">
        <v>322</v>
      </c>
      <c r="T12" s="88" t="s">
        <v>379</v>
      </c>
      <c r="U12" s="88" t="s">
        <v>380</v>
      </c>
      <c r="V12" s="88" t="s">
        <v>381</v>
      </c>
      <c r="W12" s="88" t="s">
        <v>382</v>
      </c>
      <c r="X12" s="88" t="s">
        <v>320</v>
      </c>
      <c r="Y12" s="88" t="s">
        <v>320</v>
      </c>
      <c r="Z12" s="88" t="s">
        <v>322</v>
      </c>
      <c r="AA12" s="88" t="s">
        <v>320</v>
      </c>
      <c r="AB12" s="88" t="s">
        <v>320</v>
      </c>
      <c r="AC12" s="88" t="s">
        <v>320</v>
      </c>
      <c r="AD12" s="88" t="s">
        <v>320</v>
      </c>
      <c r="AE12" s="88" t="s">
        <v>320</v>
      </c>
      <c r="AF12" s="88" t="s">
        <v>320</v>
      </c>
      <c r="AG12" s="88" t="s">
        <v>320</v>
      </c>
      <c r="AH12" s="88" t="s">
        <v>373</v>
      </c>
      <c r="AI12" s="88" t="s">
        <v>320</v>
      </c>
      <c r="AJ12" s="88" t="s">
        <v>320</v>
      </c>
      <c r="AK12" s="88" t="s">
        <v>320</v>
      </c>
      <c r="AL12" s="88" t="s">
        <v>320</v>
      </c>
      <c r="AM12" s="88" t="s">
        <v>320</v>
      </c>
    </row>
    <row r="13" spans="1:39" x14ac:dyDescent="0.2">
      <c r="A13" s="65" t="s">
        <v>383</v>
      </c>
      <c r="B13" s="90" t="s">
        <v>384</v>
      </c>
      <c r="C13" s="90">
        <v>6</v>
      </c>
      <c r="D13" s="65">
        <v>1</v>
      </c>
      <c r="E13" s="65">
        <v>150</v>
      </c>
      <c r="F13" s="65">
        <v>100</v>
      </c>
      <c r="G13" s="65">
        <v>50</v>
      </c>
      <c r="H13" s="65">
        <v>10</v>
      </c>
      <c r="I13" s="90" t="s">
        <v>215</v>
      </c>
      <c r="J13" s="90" t="s">
        <v>206</v>
      </c>
      <c r="K13" s="90" t="s">
        <v>230</v>
      </c>
      <c r="L13" s="90" t="s">
        <v>250</v>
      </c>
      <c r="M13" s="74" t="s">
        <v>13</v>
      </c>
      <c r="N13" s="74" t="s">
        <v>13</v>
      </c>
      <c r="O13" s="74" t="s">
        <v>13</v>
      </c>
      <c r="P13" s="74" t="s">
        <v>13</v>
      </c>
      <c r="Q13" s="74" t="s">
        <v>13</v>
      </c>
      <c r="R13" s="74" t="s">
        <v>13</v>
      </c>
      <c r="S13" s="88" t="s">
        <v>327</v>
      </c>
      <c r="T13" s="88" t="s">
        <v>385</v>
      </c>
      <c r="U13" s="88" t="s">
        <v>333</v>
      </c>
      <c r="V13" s="88" t="s">
        <v>386</v>
      </c>
      <c r="W13" s="88" t="s">
        <v>387</v>
      </c>
      <c r="X13" s="88" t="s">
        <v>320</v>
      </c>
      <c r="Y13" s="88" t="s">
        <v>320</v>
      </c>
      <c r="Z13" s="88" t="s">
        <v>322</v>
      </c>
      <c r="AA13" s="88" t="s">
        <v>320</v>
      </c>
      <c r="AB13" s="88" t="s">
        <v>320</v>
      </c>
      <c r="AC13" s="88" t="s">
        <v>380</v>
      </c>
      <c r="AD13" s="88" t="s">
        <v>320</v>
      </c>
      <c r="AE13" s="88" t="s">
        <v>320</v>
      </c>
      <c r="AF13" s="88" t="s">
        <v>320</v>
      </c>
      <c r="AG13" s="88" t="s">
        <v>320</v>
      </c>
      <c r="AH13" s="88" t="s">
        <v>320</v>
      </c>
      <c r="AI13" s="88" t="s">
        <v>373</v>
      </c>
      <c r="AJ13" s="88" t="s">
        <v>320</v>
      </c>
      <c r="AK13" s="88" t="s">
        <v>320</v>
      </c>
      <c r="AL13" s="88" t="s">
        <v>320</v>
      </c>
      <c r="AM13" s="88" t="s">
        <v>320</v>
      </c>
    </row>
    <row r="14" spans="1:39" x14ac:dyDescent="0.2">
      <c r="A14" s="65" t="s">
        <v>388</v>
      </c>
      <c r="B14" s="90" t="s">
        <v>389</v>
      </c>
      <c r="C14" s="90">
        <v>6</v>
      </c>
      <c r="D14" s="65">
        <v>1</v>
      </c>
      <c r="E14" s="65">
        <v>150</v>
      </c>
      <c r="F14" s="65">
        <v>100</v>
      </c>
      <c r="G14" s="65">
        <v>50</v>
      </c>
      <c r="H14" s="65">
        <v>10</v>
      </c>
      <c r="I14" s="90" t="s">
        <v>271</v>
      </c>
      <c r="J14" s="90" t="s">
        <v>190</v>
      </c>
      <c r="K14" s="90" t="s">
        <v>254</v>
      </c>
      <c r="L14" s="90" t="s">
        <v>250</v>
      </c>
      <c r="M14" s="74" t="s">
        <v>13</v>
      </c>
      <c r="N14" s="74" t="s">
        <v>13</v>
      </c>
      <c r="O14" s="74" t="s">
        <v>13</v>
      </c>
      <c r="P14" s="74" t="s">
        <v>13</v>
      </c>
      <c r="Q14" s="74" t="s">
        <v>13</v>
      </c>
      <c r="R14" s="74" t="s">
        <v>13</v>
      </c>
      <c r="S14" s="88" t="s">
        <v>327</v>
      </c>
      <c r="T14" s="88" t="s">
        <v>390</v>
      </c>
      <c r="U14" s="88" t="s">
        <v>333</v>
      </c>
      <c r="V14" s="88" t="s">
        <v>386</v>
      </c>
      <c r="W14" s="88" t="s">
        <v>387</v>
      </c>
      <c r="X14" s="88" t="s">
        <v>320</v>
      </c>
      <c r="Y14" s="88" t="s">
        <v>320</v>
      </c>
      <c r="Z14" s="88" t="s">
        <v>320</v>
      </c>
      <c r="AA14" s="88" t="s">
        <v>320</v>
      </c>
      <c r="AB14" s="88" t="s">
        <v>380</v>
      </c>
      <c r="AC14" s="88" t="s">
        <v>320</v>
      </c>
      <c r="AD14" s="88" t="s">
        <v>320</v>
      </c>
      <c r="AE14" s="88" t="s">
        <v>320</v>
      </c>
      <c r="AF14" s="88" t="s">
        <v>320</v>
      </c>
      <c r="AG14" s="88" t="s">
        <v>320</v>
      </c>
      <c r="AH14" s="88" t="s">
        <v>320</v>
      </c>
      <c r="AI14" s="88" t="s">
        <v>320</v>
      </c>
      <c r="AJ14" s="88" t="s">
        <v>373</v>
      </c>
      <c r="AK14" s="88" t="s">
        <v>320</v>
      </c>
      <c r="AL14" s="88" t="s">
        <v>320</v>
      </c>
      <c r="AM14" s="88" t="s">
        <v>320</v>
      </c>
    </row>
    <row r="15" spans="1:39" x14ac:dyDescent="0.2">
      <c r="A15" s="65" t="s">
        <v>391</v>
      </c>
      <c r="B15" s="90" t="s">
        <v>392</v>
      </c>
      <c r="C15" s="90">
        <v>8</v>
      </c>
      <c r="D15" s="65">
        <v>1</v>
      </c>
      <c r="E15" s="65">
        <v>150</v>
      </c>
      <c r="F15" s="65">
        <v>100</v>
      </c>
      <c r="G15" s="65">
        <v>50</v>
      </c>
      <c r="H15" s="65">
        <v>10</v>
      </c>
      <c r="I15" s="90" t="s">
        <v>215</v>
      </c>
      <c r="J15" s="90" t="s">
        <v>271</v>
      </c>
      <c r="K15" s="90" t="s">
        <v>250</v>
      </c>
      <c r="L15" s="90" t="s">
        <v>258</v>
      </c>
      <c r="M15" s="90" t="s">
        <v>190</v>
      </c>
      <c r="N15" s="74" t="s">
        <v>13</v>
      </c>
      <c r="O15" s="74" t="s">
        <v>13</v>
      </c>
      <c r="P15" s="74" t="s">
        <v>13</v>
      </c>
      <c r="Q15" s="74" t="s">
        <v>13</v>
      </c>
      <c r="R15" s="74" t="s">
        <v>13</v>
      </c>
      <c r="S15" s="88" t="s">
        <v>327</v>
      </c>
      <c r="T15" s="88" t="s">
        <v>393</v>
      </c>
      <c r="U15" s="88" t="s">
        <v>333</v>
      </c>
      <c r="V15" s="88" t="s">
        <v>394</v>
      </c>
      <c r="W15" s="88" t="s">
        <v>371</v>
      </c>
      <c r="X15" s="88" t="s">
        <v>320</v>
      </c>
      <c r="Y15" s="88" t="s">
        <v>320</v>
      </c>
      <c r="Z15" s="88" t="s">
        <v>320</v>
      </c>
      <c r="AA15" s="88" t="s">
        <v>380</v>
      </c>
      <c r="AB15" s="88" t="s">
        <v>320</v>
      </c>
      <c r="AC15" s="88" t="s">
        <v>320</v>
      </c>
      <c r="AD15" s="88" t="s">
        <v>320</v>
      </c>
      <c r="AE15" s="88" t="s">
        <v>320</v>
      </c>
      <c r="AF15" s="88" t="s">
        <v>320</v>
      </c>
      <c r="AG15" s="88" t="s">
        <v>320</v>
      </c>
      <c r="AH15" s="88" t="s">
        <v>320</v>
      </c>
      <c r="AI15" s="88" t="s">
        <v>320</v>
      </c>
      <c r="AJ15" s="88" t="s">
        <v>320</v>
      </c>
      <c r="AK15" s="88" t="s">
        <v>373</v>
      </c>
      <c r="AL15" s="88" t="s">
        <v>320</v>
      </c>
      <c r="AM15" s="88" t="s">
        <v>320</v>
      </c>
    </row>
    <row r="16" spans="1:39" x14ac:dyDescent="0.2">
      <c r="A16" s="65" t="s">
        <v>395</v>
      </c>
      <c r="B16" s="90" t="s">
        <v>396</v>
      </c>
      <c r="C16" s="90">
        <v>10</v>
      </c>
      <c r="D16" s="65">
        <v>1</v>
      </c>
      <c r="E16" s="65">
        <v>150</v>
      </c>
      <c r="F16" s="65">
        <v>100</v>
      </c>
      <c r="G16" s="65">
        <v>50</v>
      </c>
      <c r="H16" s="65">
        <v>10</v>
      </c>
      <c r="I16" s="90" t="s">
        <v>195</v>
      </c>
      <c r="J16" s="90" t="s">
        <v>211</v>
      </c>
      <c r="K16" s="90" t="s">
        <v>246</v>
      </c>
      <c r="L16" s="90" t="s">
        <v>262</v>
      </c>
      <c r="M16" s="90" t="s">
        <v>201</v>
      </c>
      <c r="N16" s="90" t="s">
        <v>190</v>
      </c>
      <c r="O16" s="74" t="s">
        <v>13</v>
      </c>
      <c r="P16" s="74" t="s">
        <v>13</v>
      </c>
      <c r="Q16" s="74" t="s">
        <v>13</v>
      </c>
      <c r="R16" s="74" t="s">
        <v>13</v>
      </c>
      <c r="S16" s="88" t="s">
        <v>333</v>
      </c>
      <c r="T16" s="88" t="s">
        <v>397</v>
      </c>
      <c r="U16" s="88" t="s">
        <v>373</v>
      </c>
      <c r="V16" s="88" t="s">
        <v>398</v>
      </c>
      <c r="W16" s="88" t="s">
        <v>399</v>
      </c>
      <c r="X16" s="88" t="s">
        <v>380</v>
      </c>
      <c r="Y16" s="88" t="s">
        <v>320</v>
      </c>
      <c r="Z16" s="88" t="s">
        <v>320</v>
      </c>
      <c r="AA16" s="88" t="s">
        <v>320</v>
      </c>
      <c r="AB16" s="88" t="s">
        <v>320</v>
      </c>
      <c r="AC16" s="88" t="s">
        <v>320</v>
      </c>
      <c r="AD16" s="88" t="s">
        <v>320</v>
      </c>
      <c r="AE16" s="88" t="s">
        <v>322</v>
      </c>
      <c r="AF16" s="88" t="s">
        <v>320</v>
      </c>
      <c r="AG16" s="88" t="s">
        <v>320</v>
      </c>
      <c r="AH16" s="88" t="s">
        <v>320</v>
      </c>
      <c r="AI16" s="88" t="s">
        <v>320</v>
      </c>
      <c r="AJ16" s="88" t="s">
        <v>320</v>
      </c>
      <c r="AK16" s="88" t="s">
        <v>320</v>
      </c>
      <c r="AL16" s="88" t="s">
        <v>373</v>
      </c>
      <c r="AM16" s="88" t="s">
        <v>320</v>
      </c>
    </row>
    <row r="17" spans="1:39" x14ac:dyDescent="0.2">
      <c r="A17" s="65" t="s">
        <v>400</v>
      </c>
      <c r="B17" s="90" t="s">
        <v>401</v>
      </c>
      <c r="C17" s="90">
        <v>12</v>
      </c>
      <c r="D17" s="65">
        <v>1</v>
      </c>
      <c r="E17" s="65">
        <v>150</v>
      </c>
      <c r="F17" s="65">
        <v>100</v>
      </c>
      <c r="G17" s="65">
        <v>50</v>
      </c>
      <c r="H17" s="65">
        <v>10</v>
      </c>
      <c r="I17" s="90" t="s">
        <v>201</v>
      </c>
      <c r="J17" s="90" t="s">
        <v>211</v>
      </c>
      <c r="K17" s="90" t="s">
        <v>238</v>
      </c>
      <c r="L17" s="90" t="s">
        <v>254</v>
      </c>
      <c r="M17" s="90" t="s">
        <v>258</v>
      </c>
      <c r="N17" s="90" t="s">
        <v>275</v>
      </c>
      <c r="O17" s="90" t="s">
        <v>267</v>
      </c>
      <c r="P17" s="90" t="s">
        <v>190</v>
      </c>
      <c r="Q17" s="74" t="s">
        <v>13</v>
      </c>
      <c r="R17" s="74" t="s">
        <v>13</v>
      </c>
      <c r="S17" s="88" t="s">
        <v>333</v>
      </c>
      <c r="T17" s="88" t="s">
        <v>402</v>
      </c>
      <c r="U17" s="88" t="s">
        <v>357</v>
      </c>
      <c r="V17" s="88" t="s">
        <v>403</v>
      </c>
      <c r="W17" s="88" t="s">
        <v>404</v>
      </c>
      <c r="X17" s="88" t="s">
        <v>320</v>
      </c>
      <c r="Y17" s="88" t="s">
        <v>320</v>
      </c>
      <c r="Z17" s="88" t="s">
        <v>320</v>
      </c>
      <c r="AA17" s="88" t="s">
        <v>320</v>
      </c>
      <c r="AB17" s="88" t="s">
        <v>322</v>
      </c>
      <c r="AC17" s="88" t="s">
        <v>320</v>
      </c>
      <c r="AD17" s="88" t="s">
        <v>320</v>
      </c>
      <c r="AE17" s="88" t="s">
        <v>380</v>
      </c>
      <c r="AF17" s="88" t="s">
        <v>320</v>
      </c>
      <c r="AG17" s="88" t="s">
        <v>320</v>
      </c>
      <c r="AH17" s="88" t="s">
        <v>320</v>
      </c>
      <c r="AI17" s="88" t="s">
        <v>320</v>
      </c>
      <c r="AJ17" s="88" t="s">
        <v>320</v>
      </c>
      <c r="AK17" s="88" t="s">
        <v>320</v>
      </c>
      <c r="AL17" s="88" t="s">
        <v>320</v>
      </c>
      <c r="AM17" s="88" t="s">
        <v>373</v>
      </c>
    </row>
    <row r="18" spans="1:39" x14ac:dyDescent="0.2">
      <c r="A18" s="65" t="s">
        <v>405</v>
      </c>
      <c r="B18" s="90" t="s">
        <v>406</v>
      </c>
      <c r="C18" s="90">
        <v>14</v>
      </c>
      <c r="D18" s="65">
        <v>1</v>
      </c>
      <c r="E18" s="65">
        <v>150</v>
      </c>
      <c r="F18" s="65">
        <v>100</v>
      </c>
      <c r="G18" s="65">
        <v>50</v>
      </c>
      <c r="H18" s="65">
        <v>10</v>
      </c>
      <c r="I18" s="90" t="s">
        <v>215</v>
      </c>
      <c r="J18" s="90" t="s">
        <v>206</v>
      </c>
      <c r="K18" s="90" t="s">
        <v>275</v>
      </c>
      <c r="L18" s="90" t="s">
        <v>206</v>
      </c>
      <c r="M18" s="90" t="s">
        <v>230</v>
      </c>
      <c r="N18" s="90" t="s">
        <v>250</v>
      </c>
      <c r="O18" s="90" t="s">
        <v>201</v>
      </c>
      <c r="P18" s="90" t="s">
        <v>267</v>
      </c>
      <c r="Q18" s="90" t="s">
        <v>190</v>
      </c>
      <c r="R18" s="74" t="s">
        <v>13</v>
      </c>
      <c r="S18" s="88" t="s">
        <v>374</v>
      </c>
      <c r="T18" s="88" t="s">
        <v>407</v>
      </c>
      <c r="U18" s="88" t="s">
        <v>357</v>
      </c>
      <c r="V18" s="88" t="s">
        <v>408</v>
      </c>
      <c r="W18" s="88" t="s">
        <v>409</v>
      </c>
      <c r="X18" s="88" t="s">
        <v>320</v>
      </c>
      <c r="Y18" s="88" t="s">
        <v>320</v>
      </c>
      <c r="Z18" s="88" t="s">
        <v>322</v>
      </c>
      <c r="AA18" s="88" t="s">
        <v>320</v>
      </c>
      <c r="AB18" s="88" t="s">
        <v>320</v>
      </c>
      <c r="AC18" s="88" t="s">
        <v>322</v>
      </c>
      <c r="AD18" s="88" t="s">
        <v>320</v>
      </c>
      <c r="AE18" s="88" t="s">
        <v>320</v>
      </c>
      <c r="AF18" s="88" t="s">
        <v>320</v>
      </c>
      <c r="AG18" s="88" t="s">
        <v>320</v>
      </c>
      <c r="AH18" s="88" t="s">
        <v>333</v>
      </c>
      <c r="AI18" s="88" t="s">
        <v>333</v>
      </c>
      <c r="AJ18" s="88" t="s">
        <v>320</v>
      </c>
      <c r="AK18" s="88" t="s">
        <v>320</v>
      </c>
      <c r="AL18" s="88" t="s">
        <v>320</v>
      </c>
      <c r="AM18" s="88" t="s">
        <v>320</v>
      </c>
    </row>
    <row r="19" spans="1:39" x14ac:dyDescent="0.2">
      <c r="A19" s="65" t="s">
        <v>410</v>
      </c>
      <c r="B19" s="90" t="s">
        <v>411</v>
      </c>
      <c r="C19" s="90">
        <v>15</v>
      </c>
      <c r="D19" s="65">
        <v>1</v>
      </c>
      <c r="E19" s="65">
        <v>150</v>
      </c>
      <c r="F19" s="65">
        <v>100</v>
      </c>
      <c r="G19" s="65">
        <v>50</v>
      </c>
      <c r="H19" s="65">
        <v>10</v>
      </c>
      <c r="I19" s="90" t="s">
        <v>271</v>
      </c>
      <c r="J19" s="90" t="s">
        <v>190</v>
      </c>
      <c r="K19" s="90" t="s">
        <v>254</v>
      </c>
      <c r="L19" s="90" t="s">
        <v>250</v>
      </c>
      <c r="M19" s="90" t="s">
        <v>258</v>
      </c>
      <c r="N19" s="90" t="s">
        <v>271</v>
      </c>
      <c r="O19" s="90" t="s">
        <v>190</v>
      </c>
      <c r="P19" s="90" t="s">
        <v>267</v>
      </c>
      <c r="Q19" s="90" t="s">
        <v>201</v>
      </c>
      <c r="R19" s="90" t="s">
        <v>190</v>
      </c>
      <c r="S19" s="88" t="s">
        <v>373</v>
      </c>
      <c r="T19" s="88" t="s">
        <v>412</v>
      </c>
      <c r="U19" s="88" t="s">
        <v>375</v>
      </c>
      <c r="V19" s="88" t="s">
        <v>413</v>
      </c>
      <c r="W19" s="88" t="s">
        <v>414</v>
      </c>
      <c r="X19" s="88" t="s">
        <v>320</v>
      </c>
      <c r="Y19" s="88" t="s">
        <v>320</v>
      </c>
      <c r="Z19" s="88" t="s">
        <v>320</v>
      </c>
      <c r="AA19" s="88" t="s">
        <v>322</v>
      </c>
      <c r="AB19" s="88" t="s">
        <v>322</v>
      </c>
      <c r="AC19" s="88" t="s">
        <v>320</v>
      </c>
      <c r="AD19" s="88" t="s">
        <v>320</v>
      </c>
      <c r="AE19" s="88" t="s">
        <v>320</v>
      </c>
      <c r="AF19" s="88" t="s">
        <v>320</v>
      </c>
      <c r="AG19" s="88" t="s">
        <v>320</v>
      </c>
      <c r="AH19" s="88" t="s">
        <v>320</v>
      </c>
      <c r="AI19" s="88" t="s">
        <v>320</v>
      </c>
      <c r="AJ19" s="88" t="s">
        <v>333</v>
      </c>
      <c r="AK19" s="88" t="s">
        <v>333</v>
      </c>
      <c r="AL19" s="88" t="s">
        <v>320</v>
      </c>
      <c r="AM19" s="88" t="s">
        <v>320</v>
      </c>
    </row>
    <row r="20" spans="1:39" x14ac:dyDescent="0.2">
      <c r="A20" s="65" t="s">
        <v>415</v>
      </c>
      <c r="B20" s="90" t="s">
        <v>416</v>
      </c>
      <c r="C20" s="90">
        <v>15</v>
      </c>
      <c r="D20" s="65">
        <v>1</v>
      </c>
      <c r="E20" s="65">
        <v>150</v>
      </c>
      <c r="F20" s="65">
        <v>100</v>
      </c>
      <c r="G20" s="65">
        <v>50</v>
      </c>
      <c r="H20" s="65">
        <v>10</v>
      </c>
      <c r="I20" s="90" t="s">
        <v>195</v>
      </c>
      <c r="J20" s="90" t="s">
        <v>211</v>
      </c>
      <c r="K20" s="90" t="s">
        <v>262</v>
      </c>
      <c r="L20" s="90" t="s">
        <v>246</v>
      </c>
      <c r="M20" s="90" t="s">
        <v>201</v>
      </c>
      <c r="N20" s="90" t="s">
        <v>238</v>
      </c>
      <c r="O20" s="90" t="s">
        <v>254</v>
      </c>
      <c r="P20" s="90" t="s">
        <v>258</v>
      </c>
      <c r="Q20" s="90" t="s">
        <v>275</v>
      </c>
      <c r="R20" s="90" t="s">
        <v>190</v>
      </c>
      <c r="S20" s="88" t="s">
        <v>373</v>
      </c>
      <c r="T20" s="88" t="s">
        <v>412</v>
      </c>
      <c r="U20" s="88" t="s">
        <v>375</v>
      </c>
      <c r="V20" s="88" t="s">
        <v>413</v>
      </c>
      <c r="W20" s="88" t="s">
        <v>414</v>
      </c>
      <c r="X20" s="88" t="s">
        <v>322</v>
      </c>
      <c r="Y20" s="88" t="s">
        <v>320</v>
      </c>
      <c r="Z20" s="88" t="s">
        <v>320</v>
      </c>
      <c r="AA20" s="88" t="s">
        <v>320</v>
      </c>
      <c r="AB20" s="88" t="s">
        <v>320</v>
      </c>
      <c r="AC20" s="88" t="s">
        <v>320</v>
      </c>
      <c r="AD20" s="88" t="s">
        <v>320</v>
      </c>
      <c r="AE20" s="88" t="s">
        <v>322</v>
      </c>
      <c r="AF20" s="88" t="s">
        <v>320</v>
      </c>
      <c r="AG20" s="88" t="s">
        <v>320</v>
      </c>
      <c r="AH20" s="88" t="s">
        <v>320</v>
      </c>
      <c r="AI20" s="88" t="s">
        <v>320</v>
      </c>
      <c r="AJ20" s="88" t="s">
        <v>320</v>
      </c>
      <c r="AK20" s="88" t="s">
        <v>320</v>
      </c>
      <c r="AL20" s="88" t="s">
        <v>333</v>
      </c>
      <c r="AM20" s="88" t="s">
        <v>333</v>
      </c>
    </row>
    <row r="21" spans="1:39" x14ac:dyDescent="0.2">
      <c r="A21" s="65" t="s">
        <v>417</v>
      </c>
      <c r="B21" s="90" t="s">
        <v>418</v>
      </c>
      <c r="C21" s="90">
        <v>10</v>
      </c>
      <c r="D21" s="65">
        <v>2</v>
      </c>
      <c r="E21" s="65">
        <v>300</v>
      </c>
      <c r="F21" s="65">
        <v>250</v>
      </c>
      <c r="G21" s="65">
        <v>200</v>
      </c>
      <c r="H21" s="65">
        <v>100</v>
      </c>
      <c r="I21" s="90" t="s">
        <v>275</v>
      </c>
      <c r="J21" s="90" t="s">
        <v>221</v>
      </c>
      <c r="K21" s="90" t="s">
        <v>195</v>
      </c>
      <c r="L21" s="90" t="s">
        <v>190</v>
      </c>
      <c r="M21" s="74" t="s">
        <v>13</v>
      </c>
      <c r="N21" s="74" t="s">
        <v>13</v>
      </c>
      <c r="O21" s="74" t="s">
        <v>13</v>
      </c>
      <c r="P21" s="74" t="s">
        <v>13</v>
      </c>
      <c r="Q21" s="74" t="s">
        <v>13</v>
      </c>
      <c r="R21" s="74" t="s">
        <v>13</v>
      </c>
      <c r="S21" s="88" t="s">
        <v>357</v>
      </c>
      <c r="T21" s="88" t="s">
        <v>419</v>
      </c>
      <c r="U21" s="88" t="s">
        <v>420</v>
      </c>
      <c r="V21" s="88" t="s">
        <v>421</v>
      </c>
      <c r="W21" s="88" t="s">
        <v>414</v>
      </c>
      <c r="X21" s="88" t="s">
        <v>320</v>
      </c>
      <c r="Y21" s="88" t="s">
        <v>327</v>
      </c>
      <c r="Z21" s="88" t="s">
        <v>320</v>
      </c>
      <c r="AA21" s="88" t="s">
        <v>320</v>
      </c>
      <c r="AB21" s="88" t="s">
        <v>320</v>
      </c>
      <c r="AC21" s="88" t="s">
        <v>320</v>
      </c>
      <c r="AD21" s="88" t="s">
        <v>320</v>
      </c>
      <c r="AE21" s="88" t="s">
        <v>320</v>
      </c>
      <c r="AF21" s="88" t="s">
        <v>373</v>
      </c>
      <c r="AG21" s="88" t="s">
        <v>320</v>
      </c>
      <c r="AH21" s="88" t="s">
        <v>357</v>
      </c>
      <c r="AI21" s="88" t="s">
        <v>320</v>
      </c>
      <c r="AJ21" s="88" t="s">
        <v>320</v>
      </c>
      <c r="AK21" s="88" t="s">
        <v>320</v>
      </c>
      <c r="AL21" s="88" t="s">
        <v>320</v>
      </c>
      <c r="AM21" s="88" t="s">
        <v>320</v>
      </c>
    </row>
    <row r="22" spans="1:39" x14ac:dyDescent="0.2">
      <c r="A22" s="65" t="s">
        <v>422</v>
      </c>
      <c r="B22" s="90" t="s">
        <v>423</v>
      </c>
      <c r="C22" s="90">
        <v>12</v>
      </c>
      <c r="D22" s="65">
        <v>2</v>
      </c>
      <c r="E22" s="65">
        <v>300</v>
      </c>
      <c r="F22" s="65">
        <v>250</v>
      </c>
      <c r="G22" s="65">
        <v>200</v>
      </c>
      <c r="H22" s="65">
        <v>100</v>
      </c>
      <c r="I22" s="90" t="s">
        <v>206</v>
      </c>
      <c r="J22" s="90" t="s">
        <v>230</v>
      </c>
      <c r="K22" s="90" t="s">
        <v>250</v>
      </c>
      <c r="L22" s="90" t="s">
        <v>221</v>
      </c>
      <c r="M22" s="90" t="s">
        <v>190</v>
      </c>
      <c r="N22" s="74" t="s">
        <v>13</v>
      </c>
      <c r="O22" s="74" t="s">
        <v>13</v>
      </c>
      <c r="P22" s="74" t="s">
        <v>13</v>
      </c>
      <c r="Q22" s="74" t="s">
        <v>13</v>
      </c>
      <c r="R22" s="74" t="s">
        <v>13</v>
      </c>
      <c r="S22" s="88" t="s">
        <v>357</v>
      </c>
      <c r="T22" s="88" t="s">
        <v>424</v>
      </c>
      <c r="U22" s="88" t="s">
        <v>420</v>
      </c>
      <c r="V22" s="88" t="s">
        <v>425</v>
      </c>
      <c r="W22" s="88" t="s">
        <v>426</v>
      </c>
      <c r="X22" s="88" t="s">
        <v>320</v>
      </c>
      <c r="Y22" s="88" t="s">
        <v>320</v>
      </c>
      <c r="Z22" s="88" t="s">
        <v>327</v>
      </c>
      <c r="AA22" s="88" t="s">
        <v>320</v>
      </c>
      <c r="AB22" s="88" t="s">
        <v>320</v>
      </c>
      <c r="AC22" s="88" t="s">
        <v>373</v>
      </c>
      <c r="AD22" s="88" t="s">
        <v>320</v>
      </c>
      <c r="AE22" s="88" t="s">
        <v>320</v>
      </c>
      <c r="AF22" s="88" t="s">
        <v>320</v>
      </c>
      <c r="AG22" s="88" t="s">
        <v>320</v>
      </c>
      <c r="AH22" s="88" t="s">
        <v>320</v>
      </c>
      <c r="AI22" s="88" t="s">
        <v>357</v>
      </c>
      <c r="AJ22" s="88" t="s">
        <v>320</v>
      </c>
      <c r="AK22" s="88" t="s">
        <v>320</v>
      </c>
      <c r="AL22" s="88" t="s">
        <v>320</v>
      </c>
      <c r="AM22" s="88" t="s">
        <v>320</v>
      </c>
    </row>
    <row r="23" spans="1:39" x14ac:dyDescent="0.2">
      <c r="A23" s="65" t="s">
        <v>427</v>
      </c>
      <c r="B23" s="90" t="s">
        <v>428</v>
      </c>
      <c r="C23" s="90">
        <v>15</v>
      </c>
      <c r="D23" s="65">
        <v>2</v>
      </c>
      <c r="E23" s="65">
        <v>300</v>
      </c>
      <c r="F23" s="65">
        <v>250</v>
      </c>
      <c r="G23" s="65">
        <v>200</v>
      </c>
      <c r="H23" s="65">
        <v>100</v>
      </c>
      <c r="I23" s="90" t="s">
        <v>271</v>
      </c>
      <c r="J23" s="90" t="s">
        <v>190</v>
      </c>
      <c r="K23" s="90" t="s">
        <v>254</v>
      </c>
      <c r="L23" s="90" t="s">
        <v>201</v>
      </c>
      <c r="M23" s="90" t="s">
        <v>211</v>
      </c>
      <c r="N23" s="90" t="s">
        <v>250</v>
      </c>
      <c r="O23" s="90" t="s">
        <v>190</v>
      </c>
      <c r="P23" s="74" t="s">
        <v>13</v>
      </c>
      <c r="Q23" s="74" t="s">
        <v>13</v>
      </c>
      <c r="R23" s="74" t="s">
        <v>13</v>
      </c>
      <c r="S23" s="88" t="s">
        <v>375</v>
      </c>
      <c r="T23" s="88" t="s">
        <v>429</v>
      </c>
      <c r="U23" s="88" t="s">
        <v>430</v>
      </c>
      <c r="V23" s="88" t="s">
        <v>431</v>
      </c>
      <c r="W23" s="88" t="s">
        <v>432</v>
      </c>
      <c r="X23" s="88" t="s">
        <v>322</v>
      </c>
      <c r="Y23" s="88" t="s">
        <v>320</v>
      </c>
      <c r="Z23" s="88" t="s">
        <v>320</v>
      </c>
      <c r="AA23" s="88" t="s">
        <v>320</v>
      </c>
      <c r="AB23" s="88" t="s">
        <v>373</v>
      </c>
      <c r="AC23" s="88" t="s">
        <v>320</v>
      </c>
      <c r="AD23" s="88" t="s">
        <v>320</v>
      </c>
      <c r="AE23" s="88" t="s">
        <v>320</v>
      </c>
      <c r="AF23" s="88" t="s">
        <v>320</v>
      </c>
      <c r="AG23" s="88" t="s">
        <v>320</v>
      </c>
      <c r="AH23" s="88" t="s">
        <v>320</v>
      </c>
      <c r="AI23" s="88" t="s">
        <v>320</v>
      </c>
      <c r="AJ23" s="88" t="s">
        <v>357</v>
      </c>
      <c r="AK23" s="88" t="s">
        <v>320</v>
      </c>
      <c r="AL23" s="88" t="s">
        <v>320</v>
      </c>
      <c r="AM23" s="88" t="s">
        <v>320</v>
      </c>
    </row>
    <row r="24" spans="1:39" x14ac:dyDescent="0.2">
      <c r="A24" s="65" t="s">
        <v>433</v>
      </c>
      <c r="B24" s="90" t="s">
        <v>434</v>
      </c>
      <c r="C24" s="90">
        <v>20</v>
      </c>
      <c r="D24" s="65">
        <v>2</v>
      </c>
      <c r="E24" s="65">
        <v>300</v>
      </c>
      <c r="F24" s="65">
        <v>250</v>
      </c>
      <c r="G24" s="65">
        <v>200</v>
      </c>
      <c r="H24" s="65">
        <v>100</v>
      </c>
      <c r="I24" s="90" t="s">
        <v>215</v>
      </c>
      <c r="J24" s="90" t="s">
        <v>271</v>
      </c>
      <c r="K24" s="90" t="s">
        <v>258</v>
      </c>
      <c r="L24" s="90" t="s">
        <v>250</v>
      </c>
      <c r="M24" s="90" t="s">
        <v>190</v>
      </c>
      <c r="N24" s="90" t="s">
        <v>201</v>
      </c>
      <c r="O24" s="90" t="s">
        <v>267</v>
      </c>
      <c r="P24" s="90" t="s">
        <v>221</v>
      </c>
      <c r="Q24" s="90" t="s">
        <v>254</v>
      </c>
      <c r="R24" s="90" t="s">
        <v>190</v>
      </c>
      <c r="S24" s="88" t="s">
        <v>430</v>
      </c>
      <c r="T24" s="88" t="s">
        <v>435</v>
      </c>
      <c r="U24" s="88" t="s">
        <v>436</v>
      </c>
      <c r="V24" s="88" t="s">
        <v>437</v>
      </c>
      <c r="W24" s="88" t="s">
        <v>438</v>
      </c>
      <c r="X24" s="88" t="s">
        <v>320</v>
      </c>
      <c r="Y24" s="88" t="s">
        <v>320</v>
      </c>
      <c r="Z24" s="88" t="s">
        <v>320</v>
      </c>
      <c r="AA24" s="88" t="s">
        <v>357</v>
      </c>
      <c r="AB24" s="88" t="s">
        <v>327</v>
      </c>
      <c r="AC24" s="88" t="s">
        <v>320</v>
      </c>
      <c r="AD24" s="88" t="s">
        <v>320</v>
      </c>
      <c r="AE24" s="88" t="s">
        <v>320</v>
      </c>
      <c r="AF24" s="88" t="s">
        <v>320</v>
      </c>
      <c r="AG24" s="88" t="s">
        <v>320</v>
      </c>
      <c r="AH24" s="88" t="s">
        <v>320</v>
      </c>
      <c r="AI24" s="88" t="s">
        <v>320</v>
      </c>
      <c r="AJ24" s="88" t="s">
        <v>320</v>
      </c>
      <c r="AK24" s="88" t="s">
        <v>375</v>
      </c>
      <c r="AL24" s="88" t="s">
        <v>320</v>
      </c>
      <c r="AM24" s="88" t="s">
        <v>320</v>
      </c>
    </row>
    <row r="25" spans="1:39" x14ac:dyDescent="0.2">
      <c r="A25" s="65" t="s">
        <v>439</v>
      </c>
      <c r="B25" s="90" t="s">
        <v>440</v>
      </c>
      <c r="C25" s="90">
        <v>20</v>
      </c>
      <c r="D25" s="65">
        <v>2</v>
      </c>
      <c r="E25" s="65">
        <v>300</v>
      </c>
      <c r="F25" s="65">
        <v>250</v>
      </c>
      <c r="G25" s="65">
        <v>200</v>
      </c>
      <c r="H25" s="65">
        <v>100</v>
      </c>
      <c r="I25" s="90" t="s">
        <v>195</v>
      </c>
      <c r="J25" s="90" t="s">
        <v>221</v>
      </c>
      <c r="K25" s="90" t="s">
        <v>262</v>
      </c>
      <c r="L25" s="90" t="s">
        <v>246</v>
      </c>
      <c r="M25" s="90" t="s">
        <v>211</v>
      </c>
      <c r="N25" s="90" t="s">
        <v>201</v>
      </c>
      <c r="O25" s="90" t="s">
        <v>234</v>
      </c>
      <c r="P25" s="90" t="s">
        <v>190</v>
      </c>
      <c r="Q25" s="90" t="s">
        <v>267</v>
      </c>
      <c r="R25" s="90" t="s">
        <v>190</v>
      </c>
      <c r="S25" s="88" t="s">
        <v>430</v>
      </c>
      <c r="T25" s="88" t="s">
        <v>435</v>
      </c>
      <c r="U25" s="88" t="s">
        <v>436</v>
      </c>
      <c r="V25" s="88" t="s">
        <v>437</v>
      </c>
      <c r="W25" s="88" t="s">
        <v>438</v>
      </c>
      <c r="X25" s="88" t="s">
        <v>327</v>
      </c>
      <c r="Y25" s="88" t="s">
        <v>357</v>
      </c>
      <c r="Z25" s="88" t="s">
        <v>320</v>
      </c>
      <c r="AA25" s="88" t="s">
        <v>320</v>
      </c>
      <c r="AB25" s="88" t="s">
        <v>320</v>
      </c>
      <c r="AC25" s="88" t="s">
        <v>320</v>
      </c>
      <c r="AD25" s="88" t="s">
        <v>320</v>
      </c>
      <c r="AE25" s="88" t="s">
        <v>320</v>
      </c>
      <c r="AF25" s="88" t="s">
        <v>320</v>
      </c>
      <c r="AG25" s="88" t="s">
        <v>320</v>
      </c>
      <c r="AH25" s="88" t="s">
        <v>320</v>
      </c>
      <c r="AI25" s="88" t="s">
        <v>320</v>
      </c>
      <c r="AJ25" s="88" t="s">
        <v>320</v>
      </c>
      <c r="AK25" s="88" t="s">
        <v>320</v>
      </c>
      <c r="AL25" s="88" t="s">
        <v>375</v>
      </c>
      <c r="AM25" s="88" t="s">
        <v>320</v>
      </c>
    </row>
    <row r="26" spans="1:39" x14ac:dyDescent="0.2">
      <c r="A26" s="65" t="s">
        <v>441</v>
      </c>
      <c r="B26" s="90" t="s">
        <v>442</v>
      </c>
      <c r="C26" s="90">
        <v>20</v>
      </c>
      <c r="D26" s="65">
        <v>2</v>
      </c>
      <c r="E26" s="65">
        <v>300</v>
      </c>
      <c r="F26" s="65">
        <v>250</v>
      </c>
      <c r="G26" s="65">
        <v>200</v>
      </c>
      <c r="H26" s="65">
        <v>100</v>
      </c>
      <c r="I26" s="90" t="s">
        <v>201</v>
      </c>
      <c r="J26" s="90" t="s">
        <v>211</v>
      </c>
      <c r="K26" s="90" t="s">
        <v>267</v>
      </c>
      <c r="L26" s="90" t="s">
        <v>238</v>
      </c>
      <c r="M26" s="90" t="s">
        <v>254</v>
      </c>
      <c r="N26" s="90" t="s">
        <v>258</v>
      </c>
      <c r="O26" s="90" t="s">
        <v>275</v>
      </c>
      <c r="P26" s="90" t="s">
        <v>190</v>
      </c>
      <c r="Q26" s="90" t="s">
        <v>221</v>
      </c>
      <c r="R26" s="90" t="s">
        <v>262</v>
      </c>
      <c r="S26" s="88" t="s">
        <v>430</v>
      </c>
      <c r="T26" s="88" t="s">
        <v>435</v>
      </c>
      <c r="U26" s="88" t="s">
        <v>436</v>
      </c>
      <c r="V26" s="88" t="s">
        <v>437</v>
      </c>
      <c r="W26" s="88" t="s">
        <v>438</v>
      </c>
      <c r="X26" s="88" t="s">
        <v>320</v>
      </c>
      <c r="Y26" s="88" t="s">
        <v>320</v>
      </c>
      <c r="Z26" s="88" t="s">
        <v>320</v>
      </c>
      <c r="AA26" s="88" t="s">
        <v>320</v>
      </c>
      <c r="AB26" s="88" t="s">
        <v>320</v>
      </c>
      <c r="AC26" s="88" t="s">
        <v>320</v>
      </c>
      <c r="AD26" s="88" t="s">
        <v>320</v>
      </c>
      <c r="AE26" s="88" t="s">
        <v>357</v>
      </c>
      <c r="AF26" s="88" t="s">
        <v>327</v>
      </c>
      <c r="AG26" s="88" t="s">
        <v>320</v>
      </c>
      <c r="AH26" s="88" t="s">
        <v>320</v>
      </c>
      <c r="AI26" s="88" t="s">
        <v>320</v>
      </c>
      <c r="AJ26" s="88" t="s">
        <v>320</v>
      </c>
      <c r="AK26" s="88" t="s">
        <v>320</v>
      </c>
      <c r="AL26" s="88" t="s">
        <v>320</v>
      </c>
      <c r="AM26" s="88" t="s">
        <v>375</v>
      </c>
    </row>
    <row r="27" spans="1:39" x14ac:dyDescent="0.2">
      <c r="A27" s="90" t="s">
        <v>443</v>
      </c>
      <c r="B27" s="90" t="s">
        <v>444</v>
      </c>
      <c r="C27" s="90">
        <v>5</v>
      </c>
      <c r="D27" s="90">
        <v>1</v>
      </c>
      <c r="E27" s="90">
        <v>150</v>
      </c>
      <c r="F27" s="90">
        <v>100</v>
      </c>
      <c r="G27" s="90">
        <v>50</v>
      </c>
      <c r="H27" s="90">
        <v>10</v>
      </c>
      <c r="I27" s="90" t="s">
        <v>215</v>
      </c>
      <c r="J27" s="90" t="s">
        <v>206</v>
      </c>
      <c r="K27" s="90" t="s">
        <v>271</v>
      </c>
      <c r="L27" s="91" t="s">
        <v>13</v>
      </c>
      <c r="M27" s="91" t="s">
        <v>13</v>
      </c>
      <c r="N27" s="91" t="s">
        <v>13</v>
      </c>
      <c r="O27" s="91" t="s">
        <v>13</v>
      </c>
      <c r="P27" s="91" t="s">
        <v>13</v>
      </c>
      <c r="Q27" s="91" t="s">
        <v>13</v>
      </c>
      <c r="R27" s="91" t="s">
        <v>13</v>
      </c>
      <c r="S27" s="88" t="s">
        <v>322</v>
      </c>
      <c r="T27" s="88" t="s">
        <v>445</v>
      </c>
      <c r="U27" s="88" t="s">
        <v>380</v>
      </c>
      <c r="V27" s="88" t="s">
        <v>446</v>
      </c>
      <c r="W27" s="88" t="s">
        <v>447</v>
      </c>
      <c r="X27" s="88" t="s">
        <v>320</v>
      </c>
      <c r="Y27" s="88" t="s">
        <v>320</v>
      </c>
      <c r="Z27" s="88" t="s">
        <v>320</v>
      </c>
      <c r="AA27" s="88" t="s">
        <v>320</v>
      </c>
      <c r="AB27" s="88" t="s">
        <v>320</v>
      </c>
      <c r="AC27" s="88" t="s">
        <v>320</v>
      </c>
      <c r="AD27" s="88" t="s">
        <v>320</v>
      </c>
      <c r="AE27" s="88" t="s">
        <v>320</v>
      </c>
      <c r="AF27" s="88" t="s">
        <v>320</v>
      </c>
      <c r="AG27" s="88" t="s">
        <v>320</v>
      </c>
      <c r="AH27" s="88" t="s">
        <v>322</v>
      </c>
      <c r="AI27" s="88" t="s">
        <v>322</v>
      </c>
      <c r="AJ27" s="88" t="s">
        <v>322</v>
      </c>
      <c r="AK27" s="88" t="s">
        <v>322</v>
      </c>
      <c r="AL27" s="88" t="s">
        <v>322</v>
      </c>
      <c r="AM27" s="88" t="s">
        <v>322</v>
      </c>
    </row>
    <row r="28" spans="1:39" x14ac:dyDescent="0.2">
      <c r="A28" s="90" t="s">
        <v>448</v>
      </c>
      <c r="B28" s="90" t="s">
        <v>449</v>
      </c>
      <c r="C28" s="90">
        <v>13</v>
      </c>
      <c r="D28" s="90">
        <v>2</v>
      </c>
      <c r="E28" s="90">
        <v>300</v>
      </c>
      <c r="F28" s="90">
        <v>250</v>
      </c>
      <c r="G28" s="90">
        <v>200</v>
      </c>
      <c r="H28" s="90">
        <v>100</v>
      </c>
      <c r="I28" s="90" t="s">
        <v>215</v>
      </c>
      <c r="J28" s="90" t="s">
        <v>275</v>
      </c>
      <c r="K28" s="90" t="s">
        <v>242</v>
      </c>
      <c r="L28" s="90" t="s">
        <v>230</v>
      </c>
      <c r="M28" s="90" t="s">
        <v>206</v>
      </c>
      <c r="N28" s="90" t="s">
        <v>190</v>
      </c>
      <c r="O28" s="91" t="s">
        <v>13</v>
      </c>
      <c r="P28" s="91" t="s">
        <v>13</v>
      </c>
      <c r="Q28" s="91" t="s">
        <v>13</v>
      </c>
      <c r="R28" s="91" t="s">
        <v>13</v>
      </c>
      <c r="S28" s="88" t="s">
        <v>357</v>
      </c>
      <c r="T28" s="88" t="s">
        <v>424</v>
      </c>
      <c r="U28" s="88" t="s">
        <v>420</v>
      </c>
      <c r="V28" s="88" t="s">
        <v>425</v>
      </c>
      <c r="W28" s="88" t="s">
        <v>426</v>
      </c>
      <c r="X28" s="88" t="s">
        <v>320</v>
      </c>
      <c r="Y28" s="88" t="s">
        <v>320</v>
      </c>
      <c r="Z28" s="88" t="s">
        <v>320</v>
      </c>
      <c r="AA28" s="88" t="s">
        <v>320</v>
      </c>
      <c r="AB28" s="88" t="s">
        <v>320</v>
      </c>
      <c r="AC28" s="88" t="s">
        <v>320</v>
      </c>
      <c r="AD28" s="88" t="s">
        <v>327</v>
      </c>
      <c r="AE28" s="88" t="s">
        <v>320</v>
      </c>
      <c r="AF28" s="88" t="s">
        <v>320</v>
      </c>
      <c r="AG28" s="88" t="s">
        <v>373</v>
      </c>
      <c r="AH28" s="88" t="s">
        <v>357</v>
      </c>
      <c r="AI28" s="88" t="s">
        <v>320</v>
      </c>
      <c r="AJ28" s="88" t="s">
        <v>320</v>
      </c>
      <c r="AK28" s="88" t="s">
        <v>320</v>
      </c>
      <c r="AL28" s="88" t="s">
        <v>320</v>
      </c>
      <c r="AM28" s="88" t="s">
        <v>320</v>
      </c>
    </row>
    <row r="29" spans="1:39" x14ac:dyDescent="0.2">
      <c r="A29" s="90" t="s">
        <v>450</v>
      </c>
      <c r="B29" s="90" t="s">
        <v>451</v>
      </c>
      <c r="C29" s="90">
        <v>15</v>
      </c>
      <c r="D29" s="90">
        <v>2</v>
      </c>
      <c r="E29" s="90">
        <v>300</v>
      </c>
      <c r="F29" s="90">
        <v>250</v>
      </c>
      <c r="G29" s="90">
        <v>200</v>
      </c>
      <c r="H29" s="90">
        <v>100</v>
      </c>
      <c r="I29" s="90" t="s">
        <v>206</v>
      </c>
      <c r="J29" s="90" t="s">
        <v>215</v>
      </c>
      <c r="K29" s="90" t="s">
        <v>230</v>
      </c>
      <c r="L29" s="90" t="s">
        <v>250</v>
      </c>
      <c r="M29" s="90" t="s">
        <v>195</v>
      </c>
      <c r="N29" s="90" t="s">
        <v>221</v>
      </c>
      <c r="O29" s="90" t="s">
        <v>190</v>
      </c>
      <c r="P29" s="91" t="s">
        <v>13</v>
      </c>
      <c r="Q29" s="91" t="s">
        <v>13</v>
      </c>
      <c r="R29" s="91" t="s">
        <v>13</v>
      </c>
      <c r="S29" s="88" t="s">
        <v>375</v>
      </c>
      <c r="T29" s="88" t="s">
        <v>429</v>
      </c>
      <c r="U29" s="88" t="s">
        <v>430</v>
      </c>
      <c r="V29" s="88" t="s">
        <v>431</v>
      </c>
      <c r="W29" s="88" t="s">
        <v>432</v>
      </c>
      <c r="X29" s="88" t="s">
        <v>320</v>
      </c>
      <c r="Y29" s="88" t="s">
        <v>320</v>
      </c>
      <c r="Z29" s="88" t="s">
        <v>373</v>
      </c>
      <c r="AA29" s="88" t="s">
        <v>320</v>
      </c>
      <c r="AB29" s="88" t="s">
        <v>320</v>
      </c>
      <c r="AC29" s="88" t="s">
        <v>327</v>
      </c>
      <c r="AD29" s="88" t="s">
        <v>320</v>
      </c>
      <c r="AE29" s="88" t="s">
        <v>320</v>
      </c>
      <c r="AF29" s="88" t="s">
        <v>320</v>
      </c>
      <c r="AG29" s="88" t="s">
        <v>320</v>
      </c>
      <c r="AH29" s="88" t="s">
        <v>320</v>
      </c>
      <c r="AI29" s="88" t="s">
        <v>357</v>
      </c>
      <c r="AJ29" s="88" t="s">
        <v>320</v>
      </c>
      <c r="AK29" s="88" t="s">
        <v>320</v>
      </c>
      <c r="AL29" s="88" t="s">
        <v>320</v>
      </c>
      <c r="AM29" s="88" t="s">
        <v>320</v>
      </c>
    </row>
    <row r="30" spans="1:39" x14ac:dyDescent="0.2">
      <c r="A30" s="90" t="s">
        <v>452</v>
      </c>
      <c r="B30" s="90" t="s">
        <v>453</v>
      </c>
      <c r="C30" s="90">
        <v>17</v>
      </c>
      <c r="D30" s="90">
        <v>2</v>
      </c>
      <c r="E30" s="90">
        <v>300</v>
      </c>
      <c r="F30" s="90">
        <v>250</v>
      </c>
      <c r="G30" s="90">
        <v>200</v>
      </c>
      <c r="H30" s="90">
        <v>100</v>
      </c>
      <c r="I30" s="90" t="s">
        <v>271</v>
      </c>
      <c r="J30" s="90" t="s">
        <v>190</v>
      </c>
      <c r="K30" s="90" t="s">
        <v>254</v>
      </c>
      <c r="L30" s="90" t="s">
        <v>250</v>
      </c>
      <c r="M30" s="90" t="s">
        <v>258</v>
      </c>
      <c r="N30" s="90" t="s">
        <v>201</v>
      </c>
      <c r="O30" s="90" t="s">
        <v>267</v>
      </c>
      <c r="P30" s="90" t="s">
        <v>262</v>
      </c>
      <c r="Q30" s="91" t="s">
        <v>13</v>
      </c>
      <c r="R30" s="91" t="s">
        <v>13</v>
      </c>
      <c r="S30" s="88" t="s">
        <v>420</v>
      </c>
      <c r="T30" s="88" t="s">
        <v>454</v>
      </c>
      <c r="U30" s="88" t="s">
        <v>455</v>
      </c>
      <c r="V30" s="88" t="s">
        <v>456</v>
      </c>
      <c r="W30" s="88" t="s">
        <v>457</v>
      </c>
      <c r="X30" s="88" t="s">
        <v>320</v>
      </c>
      <c r="Y30" s="88" t="s">
        <v>320</v>
      </c>
      <c r="Z30" s="88" t="s">
        <v>320</v>
      </c>
      <c r="AA30" s="88" t="s">
        <v>327</v>
      </c>
      <c r="AB30" s="88" t="s">
        <v>327</v>
      </c>
      <c r="AC30" s="88" t="s">
        <v>320</v>
      </c>
      <c r="AD30" s="88" t="s">
        <v>320</v>
      </c>
      <c r="AE30" s="88" t="s">
        <v>320</v>
      </c>
      <c r="AF30" s="88" t="s">
        <v>320</v>
      </c>
      <c r="AG30" s="88" t="s">
        <v>320</v>
      </c>
      <c r="AH30" s="88" t="s">
        <v>320</v>
      </c>
      <c r="AI30" s="88" t="s">
        <v>320</v>
      </c>
      <c r="AJ30" s="88" t="s">
        <v>375</v>
      </c>
      <c r="AK30" s="88" t="s">
        <v>375</v>
      </c>
      <c r="AL30" s="88" t="s">
        <v>320</v>
      </c>
      <c r="AM30" s="88" t="s">
        <v>320</v>
      </c>
    </row>
    <row r="31" spans="1:39" x14ac:dyDescent="0.2">
      <c r="A31" s="90" t="s">
        <v>458</v>
      </c>
      <c r="B31" s="90" t="s">
        <v>459</v>
      </c>
      <c r="C31" s="90">
        <v>18</v>
      </c>
      <c r="D31" s="90">
        <v>2</v>
      </c>
      <c r="E31" s="90">
        <v>300</v>
      </c>
      <c r="F31" s="90">
        <v>250</v>
      </c>
      <c r="G31" s="90">
        <v>200</v>
      </c>
      <c r="H31" s="90">
        <v>100</v>
      </c>
      <c r="I31" s="90" t="s">
        <v>195</v>
      </c>
      <c r="J31" s="90" t="s">
        <v>262</v>
      </c>
      <c r="K31" s="90" t="s">
        <v>211</v>
      </c>
      <c r="L31" s="90" t="s">
        <v>201</v>
      </c>
      <c r="M31" s="90" t="s">
        <v>238</v>
      </c>
      <c r="N31" s="90" t="s">
        <v>254</v>
      </c>
      <c r="O31" s="90" t="s">
        <v>258</v>
      </c>
      <c r="P31" s="90" t="s">
        <v>221</v>
      </c>
      <c r="Q31" s="90" t="s">
        <v>190</v>
      </c>
      <c r="R31" s="91" t="s">
        <v>13</v>
      </c>
      <c r="S31" s="88" t="s">
        <v>436</v>
      </c>
      <c r="T31" s="88" t="s">
        <v>460</v>
      </c>
      <c r="U31" s="88" t="s">
        <v>461</v>
      </c>
      <c r="V31" s="88" t="s">
        <v>462</v>
      </c>
      <c r="W31" s="88" t="s">
        <v>463</v>
      </c>
      <c r="X31" s="88" t="s">
        <v>333</v>
      </c>
      <c r="Y31" s="88" t="s">
        <v>320</v>
      </c>
      <c r="Z31" s="88" t="s">
        <v>320</v>
      </c>
      <c r="AA31" s="88" t="s">
        <v>320</v>
      </c>
      <c r="AB31" s="88" t="s">
        <v>320</v>
      </c>
      <c r="AC31" s="88" t="s">
        <v>320</v>
      </c>
      <c r="AD31" s="88" t="s">
        <v>320</v>
      </c>
      <c r="AE31" s="88" t="s">
        <v>333</v>
      </c>
      <c r="AF31" s="88" t="s">
        <v>320</v>
      </c>
      <c r="AG31" s="88" t="s">
        <v>320</v>
      </c>
      <c r="AH31" s="88" t="s">
        <v>320</v>
      </c>
      <c r="AI31" s="88" t="s">
        <v>320</v>
      </c>
      <c r="AJ31" s="88" t="s">
        <v>320</v>
      </c>
      <c r="AK31" s="88" t="s">
        <v>320</v>
      </c>
      <c r="AL31" s="88" t="s">
        <v>375</v>
      </c>
      <c r="AM31" s="88" t="s">
        <v>375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5"/>
  <dimension ref="A1:Z29"/>
  <sheetViews>
    <sheetView zoomScaleNormal="100" workbookViewId="0">
      <pane xSplit="1" ySplit="1" topLeftCell="B2" activePane="bottomRight" state="frozen"/>
      <selection pane="bottomLeft" activeCell="A2" sqref="A2"/>
      <selection pane="topRight" activeCell="B1" sqref="B1"/>
      <selection pane="bottomRight" activeCell="S14" sqref="S14"/>
    </sheetView>
  </sheetViews>
  <sheetFormatPr defaultColWidth="8.7421875" defaultRowHeight="15" x14ac:dyDescent="0.2"/>
  <cols>
    <col min="1" max="1" width="16.0078125" customWidth="1"/>
    <col min="2" max="8" width="11.97265625" customWidth="1"/>
    <col min="10" max="10" width="11.8359375" customWidth="1"/>
    <col min="11" max="11" width="8.47265625" customWidth="1"/>
    <col min="12" max="12" width="6.9921875" customWidth="1"/>
    <col min="13" max="13" width="6.3203125" customWidth="1"/>
    <col min="14" max="14" width="15.33203125" customWidth="1"/>
    <col min="15" max="15" width="15.6015625" customWidth="1"/>
    <col min="16" max="16" width="14.390625" customWidth="1"/>
    <col min="17" max="17" width="15.6015625" customWidth="1"/>
    <col min="18" max="18" width="18.83203125" customWidth="1"/>
    <col min="19" max="19" width="17.21875" customWidth="1"/>
    <col min="20" max="20" width="17.890625" customWidth="1"/>
  </cols>
  <sheetData>
    <row r="1" spans="1:26" ht="31.5" customHeight="1" x14ac:dyDescent="0.2">
      <c r="A1" s="2" t="s">
        <v>464</v>
      </c>
      <c r="B1" s="2" t="s">
        <v>183</v>
      </c>
      <c r="C1" s="2" t="s">
        <v>190</v>
      </c>
      <c r="D1" s="2" t="s">
        <v>195</v>
      </c>
      <c r="E1" s="2" t="s">
        <v>201</v>
      </c>
      <c r="F1" s="2" t="s">
        <v>206</v>
      </c>
      <c r="G1" s="2" t="s">
        <v>211</v>
      </c>
      <c r="H1" s="2" t="s">
        <v>215</v>
      </c>
      <c r="I1" s="2" t="s">
        <v>221</v>
      </c>
      <c r="J1" s="2" t="s">
        <v>225</v>
      </c>
      <c r="K1" s="2" t="s">
        <v>230</v>
      </c>
      <c r="L1" s="2" t="s">
        <v>234</v>
      </c>
      <c r="M1" s="2" t="s">
        <v>238</v>
      </c>
      <c r="N1" s="2" t="s">
        <v>242</v>
      </c>
      <c r="O1" s="2" t="s">
        <v>246</v>
      </c>
      <c r="P1" s="2" t="s">
        <v>250</v>
      </c>
      <c r="Q1" s="2" t="s">
        <v>254</v>
      </c>
      <c r="R1" s="2" t="s">
        <v>258</v>
      </c>
      <c r="S1" s="2" t="s">
        <v>262</v>
      </c>
      <c r="T1" s="2" t="s">
        <v>267</v>
      </c>
      <c r="U1" s="2" t="s">
        <v>271</v>
      </c>
      <c r="V1" s="2" t="s">
        <v>275</v>
      </c>
      <c r="W1" s="2"/>
      <c r="X1" s="2"/>
      <c r="Y1" s="2"/>
      <c r="Z1" s="2"/>
    </row>
    <row r="2" spans="1:26" ht="15" customHeight="1" x14ac:dyDescent="0.2">
      <c r="A2" s="4" t="s">
        <v>120</v>
      </c>
      <c r="B2" s="4">
        <v>1.3</v>
      </c>
      <c r="C2" s="4">
        <v>1</v>
      </c>
      <c r="D2" s="4">
        <v>1</v>
      </c>
      <c r="E2" s="4">
        <v>1</v>
      </c>
      <c r="F2" s="4">
        <v>1.3</v>
      </c>
      <c r="G2" s="4">
        <v>0.8</v>
      </c>
      <c r="H2" s="4">
        <v>1.3</v>
      </c>
      <c r="I2" s="4">
        <v>1</v>
      </c>
      <c r="J2" s="4">
        <v>1</v>
      </c>
      <c r="K2" s="4">
        <v>1.3</v>
      </c>
      <c r="L2" s="4">
        <v>1</v>
      </c>
      <c r="M2" s="4">
        <v>1.1000000000000001</v>
      </c>
      <c r="N2" s="4">
        <v>1</v>
      </c>
      <c r="O2" s="4">
        <v>1</v>
      </c>
      <c r="P2" s="4">
        <v>0.8</v>
      </c>
      <c r="Q2" s="4">
        <v>0.8</v>
      </c>
      <c r="R2" s="4">
        <v>1.1000000000000001</v>
      </c>
      <c r="S2" s="4">
        <v>1</v>
      </c>
      <c r="T2" s="4">
        <v>0.8</v>
      </c>
      <c r="U2" s="4">
        <v>0.8</v>
      </c>
      <c r="V2" s="4">
        <v>1.3</v>
      </c>
      <c r="W2" s="8"/>
      <c r="X2" s="8"/>
      <c r="Y2" s="8"/>
      <c r="Z2" s="8"/>
    </row>
    <row r="3" spans="1:26" ht="15" customHeight="1" x14ac:dyDescent="0.2">
      <c r="A3" s="4" t="s">
        <v>125</v>
      </c>
      <c r="B3" s="4">
        <v>1</v>
      </c>
      <c r="C3" s="4">
        <v>1.1000000000000001</v>
      </c>
      <c r="D3" s="4">
        <v>0.8</v>
      </c>
      <c r="E3" s="4">
        <v>1.1000000000000001</v>
      </c>
      <c r="F3" s="4">
        <v>1.1000000000000001</v>
      </c>
      <c r="G3" s="4">
        <v>1.1000000000000001</v>
      </c>
      <c r="H3" s="4">
        <v>1</v>
      </c>
      <c r="I3" s="4">
        <v>0.8</v>
      </c>
      <c r="J3" s="4">
        <v>1.3</v>
      </c>
      <c r="K3" s="4">
        <v>1</v>
      </c>
      <c r="L3" s="4">
        <v>1.1000000000000001</v>
      </c>
      <c r="M3" s="4">
        <v>0.8</v>
      </c>
      <c r="N3" s="4">
        <v>1.3</v>
      </c>
      <c r="O3" s="4">
        <v>0.8</v>
      </c>
      <c r="P3" s="4">
        <v>1</v>
      </c>
      <c r="Q3" s="4">
        <v>0.8</v>
      </c>
      <c r="R3" s="4">
        <v>0.8</v>
      </c>
      <c r="S3" s="4">
        <v>0.8</v>
      </c>
      <c r="T3" s="4">
        <v>1.3</v>
      </c>
      <c r="U3" s="4">
        <v>0.8</v>
      </c>
      <c r="V3" s="4">
        <v>0.8</v>
      </c>
      <c r="W3" s="8"/>
      <c r="X3" s="8"/>
      <c r="Y3" s="8"/>
      <c r="Z3" s="8"/>
    </row>
    <row r="4" spans="1:26" ht="15" customHeight="1" x14ac:dyDescent="0.2">
      <c r="A4" s="4" t="s">
        <v>130</v>
      </c>
      <c r="B4" s="4">
        <v>1.1000000000000001</v>
      </c>
      <c r="C4" s="4">
        <v>1.3</v>
      </c>
      <c r="D4" s="4">
        <v>1.1000000000000001</v>
      </c>
      <c r="E4" s="4">
        <v>1.3</v>
      </c>
      <c r="F4" s="4">
        <v>1</v>
      </c>
      <c r="G4" s="4">
        <v>1.3</v>
      </c>
      <c r="H4" s="4">
        <v>1.1000000000000001</v>
      </c>
      <c r="I4" s="4">
        <v>1.1000000000000001</v>
      </c>
      <c r="J4" s="4">
        <v>0.8</v>
      </c>
      <c r="K4" s="4">
        <v>1</v>
      </c>
      <c r="L4" s="4">
        <v>1</v>
      </c>
      <c r="M4" s="4">
        <v>1</v>
      </c>
      <c r="N4" s="4">
        <v>0.8</v>
      </c>
      <c r="O4" s="4">
        <v>1.3</v>
      </c>
      <c r="P4" s="4">
        <v>0.8</v>
      </c>
      <c r="Q4" s="4">
        <v>1</v>
      </c>
      <c r="R4" s="4">
        <v>1</v>
      </c>
      <c r="S4" s="4">
        <v>1.1000000000000001</v>
      </c>
      <c r="T4" s="4">
        <v>1.1000000000000001</v>
      </c>
      <c r="U4" s="4">
        <v>1.3</v>
      </c>
      <c r="V4" s="4">
        <v>1</v>
      </c>
      <c r="W4" s="8"/>
      <c r="X4" s="8"/>
      <c r="Y4" s="8"/>
      <c r="Z4" s="8"/>
    </row>
    <row r="5" spans="1:26" ht="15" customHeight="1" x14ac:dyDescent="0.2">
      <c r="A5" s="4" t="s">
        <v>135</v>
      </c>
      <c r="B5" s="4">
        <v>1</v>
      </c>
      <c r="C5" s="4">
        <v>0.8</v>
      </c>
      <c r="D5" s="4">
        <v>0.8</v>
      </c>
      <c r="E5" s="4">
        <v>0.8</v>
      </c>
      <c r="F5" s="4">
        <v>0.8</v>
      </c>
      <c r="G5" s="4">
        <v>0.8</v>
      </c>
      <c r="H5" s="4">
        <v>0.8</v>
      </c>
      <c r="I5" s="4">
        <v>0.8</v>
      </c>
      <c r="J5" s="4">
        <v>1.1000000000000001</v>
      </c>
      <c r="K5" s="4">
        <v>1.1000000000000001</v>
      </c>
      <c r="L5" s="4">
        <v>0.8</v>
      </c>
      <c r="M5" s="4">
        <v>1.3</v>
      </c>
      <c r="N5" s="4">
        <v>1</v>
      </c>
      <c r="O5" s="4">
        <v>1.1000000000000001</v>
      </c>
      <c r="P5" s="4">
        <v>1.1000000000000001</v>
      </c>
      <c r="Q5" s="4">
        <v>1.3</v>
      </c>
      <c r="R5" s="4">
        <v>1.3</v>
      </c>
      <c r="S5" s="4">
        <v>1.3</v>
      </c>
      <c r="T5" s="4">
        <v>0.8</v>
      </c>
      <c r="U5" s="4">
        <v>1</v>
      </c>
      <c r="V5" s="4">
        <v>1.1000000000000001</v>
      </c>
      <c r="W5" s="8"/>
      <c r="X5" s="8"/>
      <c r="Y5" s="8"/>
      <c r="Z5" s="8"/>
    </row>
    <row r="6" spans="1:26" ht="15" customHeight="1" x14ac:dyDescent="0.2">
      <c r="A6" s="4" t="s">
        <v>140</v>
      </c>
      <c r="B6" s="4">
        <v>0.8</v>
      </c>
      <c r="C6" s="4">
        <v>1</v>
      </c>
      <c r="D6" s="4">
        <v>1.3</v>
      </c>
      <c r="E6" s="4">
        <v>1</v>
      </c>
      <c r="F6" s="4">
        <v>0.8</v>
      </c>
      <c r="G6" s="4">
        <v>1</v>
      </c>
      <c r="H6" s="4">
        <v>0.8</v>
      </c>
      <c r="I6" s="4">
        <v>1.3</v>
      </c>
      <c r="J6" s="4">
        <v>0.8</v>
      </c>
      <c r="K6" s="4">
        <v>0.8</v>
      </c>
      <c r="L6" s="4">
        <v>1.3</v>
      </c>
      <c r="M6" s="4">
        <v>0.8</v>
      </c>
      <c r="N6" s="4">
        <v>1.1000000000000001</v>
      </c>
      <c r="O6" s="4">
        <v>0.8</v>
      </c>
      <c r="P6" s="4">
        <v>1</v>
      </c>
      <c r="Q6" s="4">
        <v>1</v>
      </c>
      <c r="R6" s="4">
        <v>0.8</v>
      </c>
      <c r="S6" s="4">
        <v>0.8</v>
      </c>
      <c r="T6" s="4">
        <v>1</v>
      </c>
      <c r="U6" s="4">
        <v>1</v>
      </c>
      <c r="V6" s="4">
        <v>0.8</v>
      </c>
      <c r="W6" s="8"/>
      <c r="X6" s="8"/>
      <c r="Y6" s="8"/>
      <c r="Z6" s="8"/>
    </row>
    <row r="7" spans="1:26" ht="15" customHeight="1" x14ac:dyDescent="0.2">
      <c r="A7" s="4" t="s">
        <v>145</v>
      </c>
      <c r="B7" s="4">
        <v>0.8</v>
      </c>
      <c r="C7" s="4">
        <v>0.8</v>
      </c>
      <c r="D7" s="4">
        <v>1</v>
      </c>
      <c r="E7" s="4">
        <v>0.8</v>
      </c>
      <c r="F7" s="4">
        <v>1</v>
      </c>
      <c r="G7" s="4">
        <v>1</v>
      </c>
      <c r="H7" s="4">
        <v>1</v>
      </c>
      <c r="I7" s="4">
        <v>1</v>
      </c>
      <c r="J7" s="4">
        <v>1</v>
      </c>
      <c r="K7" s="4">
        <v>0.8</v>
      </c>
      <c r="L7" s="4">
        <v>0.8</v>
      </c>
      <c r="M7" s="4">
        <v>1</v>
      </c>
      <c r="N7" s="4">
        <v>0.8</v>
      </c>
      <c r="O7" s="4">
        <v>1</v>
      </c>
      <c r="P7" s="4">
        <v>1.3</v>
      </c>
      <c r="Q7" s="4">
        <v>1.1000000000000001</v>
      </c>
      <c r="R7" s="4">
        <v>1</v>
      </c>
      <c r="S7" s="4">
        <v>1</v>
      </c>
      <c r="T7" s="4">
        <v>1</v>
      </c>
      <c r="U7" s="4">
        <v>1.1000000000000001</v>
      </c>
      <c r="V7" s="4">
        <v>1</v>
      </c>
      <c r="W7" s="8"/>
      <c r="X7" s="8"/>
      <c r="Y7" s="8"/>
      <c r="Z7" s="8"/>
    </row>
    <row r="9" spans="1:26" ht="26.25" customHeight="1" x14ac:dyDescent="0.2">
      <c r="A9" s="9" t="s">
        <v>465</v>
      </c>
      <c r="B9" s="3" t="str">
        <f>IFERROR(INDEX(Stages!$B$2:$B$22,MATCH(B$1,Stages!$A$2:$A$9,0)),"")</f>
        <v>Special Committee</v>
      </c>
      <c r="C9" s="3" t="str">
        <f>IFERROR(INDEX(Stages!$B$2:$B$22,MATCH(C$1,Stages!$A$2:$A$9,0)),"")</f>
        <v>Floor Debate</v>
      </c>
      <c r="D9" s="3" t="str">
        <f>IFERROR(INDEX(Stages!$B$2:$B$22,MATCH(D$1,Stages!$A$2:$A$9,0)),"")</f>
        <v>Party Caucus</v>
      </c>
      <c r="E9" s="3" t="str">
        <f>IFERROR(INDEX(Stages!$B$2:$B$22,MATCH(E$1,Stages!$A$2:$A$9,0)),"")</f>
        <v>Press Conference</v>
      </c>
      <c r="F9" s="3" t="str">
        <f>IFERROR(INDEX(Stages!$B$2:$B$22,MATCH(F$1,Stages!$A$2:$A$9,0)),"")</f>
        <v>Town Hall</v>
      </c>
      <c r="G9" s="3" t="str">
        <f>IFERROR(INDEX(Stages!$B$2:$B$22,MATCH(G$1,Stages!$A$2:$A$9,0)),"")</f>
        <v>TV Debate</v>
      </c>
      <c r="H9" s="3" t="str">
        <f>IFERROR(INDEX(Stages!$B$2:$B$22,MATCH(H$1,Stages!$A$2:$A$9,0)),"")</f>
        <v>Office Hours</v>
      </c>
      <c r="I9" s="3" t="str">
        <f>IFERROR(INDEX(Stages!$B$2:$B$22,MATCH(I$1,Stages!$A$2:$A$9,0)),"")</f>
        <v>Party Steering Committee</v>
      </c>
      <c r="J9" s="3" t="str">
        <f>Stages!B10</f>
        <v>Committee on Ethics and Prosecution</v>
      </c>
      <c r="K9" s="3" t="str">
        <f>Stages!B11</f>
        <v>Committee on the Environment</v>
      </c>
      <c r="L9" s="3" t="str">
        <f>Stages!B12</f>
        <v>Committee on War</v>
      </c>
      <c r="M9" s="3" t="str">
        <f>Stages!B13</f>
        <v>Committee on the National Assembly</v>
      </c>
      <c r="N9" s="3" t="str">
        <f>Stages!B14</f>
        <v>Committee on Agriculture</v>
      </c>
      <c r="O9" s="3" t="str">
        <f>Stages!B15</f>
        <v>Committee on Foreign Affairs</v>
      </c>
      <c r="P9" s="3" t="str">
        <f>Stages!B16</f>
        <v>Committee on Construction and Development</v>
      </c>
      <c r="Q9" s="3" t="str">
        <f>Stages!B17</f>
        <v>Committee on Finance</v>
      </c>
      <c r="R9" s="3" t="str">
        <f>Stages!B18</f>
        <v>Committee on Government Administration</v>
      </c>
      <c r="S9" s="3" t="str">
        <f>Stages!B19</f>
        <v>Committee of the Cabinet</v>
      </c>
      <c r="T9" s="3" t="str">
        <f>Stages!B20</f>
        <v>Media Ambush</v>
      </c>
      <c r="U9" s="3" t="str">
        <f>Stages!B21</f>
        <v>Lobbyist Meeting</v>
      </c>
      <c r="V9" s="3" t="str">
        <f>Stages!B22</f>
        <v>Policy Study Session</v>
      </c>
      <c r="W9" s="3"/>
      <c r="X9" s="3"/>
      <c r="Y9" s="3"/>
      <c r="Z9" s="3"/>
    </row>
    <row r="10" spans="1:26" ht="15" customHeight="1" x14ac:dyDescent="0.2">
      <c r="A10" s="9" t="s">
        <v>466</v>
      </c>
      <c r="B10" s="10">
        <f t="shared" ref="B10:V10" si="0">AVERAGE(B2:B7)</f>
        <v>1</v>
      </c>
      <c r="C10" s="10">
        <f t="shared" si="0"/>
        <v>1</v>
      </c>
      <c r="D10" s="10">
        <f t="shared" si="0"/>
        <v>1</v>
      </c>
      <c r="E10" s="10">
        <f t="shared" si="0"/>
        <v>1</v>
      </c>
      <c r="F10" s="10">
        <f t="shared" si="0"/>
        <v>1</v>
      </c>
      <c r="G10" s="10">
        <f t="shared" si="0"/>
        <v>1</v>
      </c>
      <c r="H10" s="10">
        <f t="shared" si="0"/>
        <v>1</v>
      </c>
      <c r="I10" s="10">
        <f t="shared" si="0"/>
        <v>1</v>
      </c>
      <c r="J10" s="10">
        <f t="shared" si="0"/>
        <v>0.99999999999999989</v>
      </c>
      <c r="K10" s="10">
        <f t="shared" si="0"/>
        <v>1</v>
      </c>
      <c r="L10" s="10">
        <f t="shared" si="0"/>
        <v>1</v>
      </c>
      <c r="M10" s="10">
        <f t="shared" si="0"/>
        <v>1</v>
      </c>
      <c r="N10" s="10">
        <f t="shared" si="0"/>
        <v>0.99999999999999989</v>
      </c>
      <c r="O10" s="10">
        <f t="shared" si="0"/>
        <v>1</v>
      </c>
      <c r="P10" s="10">
        <f t="shared" si="0"/>
        <v>1</v>
      </c>
      <c r="Q10" s="10">
        <f t="shared" si="0"/>
        <v>1</v>
      </c>
      <c r="R10" s="10">
        <f t="shared" si="0"/>
        <v>1</v>
      </c>
      <c r="S10" s="10">
        <f t="shared" si="0"/>
        <v>1</v>
      </c>
      <c r="T10" s="10">
        <f t="shared" si="0"/>
        <v>1</v>
      </c>
      <c r="U10" s="10">
        <f t="shared" si="0"/>
        <v>1</v>
      </c>
      <c r="V10" s="10">
        <f t="shared" si="0"/>
        <v>1</v>
      </c>
      <c r="W10" s="10"/>
      <c r="X10" s="10"/>
      <c r="Y10" s="10"/>
      <c r="Z10" s="10"/>
    </row>
    <row r="14" spans="1:26" x14ac:dyDescent="0.2">
      <c r="A14" s="66"/>
      <c r="B14" s="71"/>
      <c r="C14" s="71"/>
      <c r="D14" s="71"/>
      <c r="E14" s="71"/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</row>
    <row r="15" spans="1:26" x14ac:dyDescent="0.2">
      <c r="A15" s="72"/>
      <c r="B15" s="70"/>
      <c r="C15" s="70"/>
      <c r="D15" s="70"/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</row>
    <row r="16" spans="1:26" x14ac:dyDescent="0.2">
      <c r="A16" s="72"/>
      <c r="B16" s="70"/>
      <c r="C16" s="70"/>
      <c r="D16" s="70"/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</row>
    <row r="17" spans="1:22" x14ac:dyDescent="0.2">
      <c r="A17" s="72"/>
      <c r="B17" s="70"/>
      <c r="C17" s="70"/>
      <c r="D17" s="70"/>
      <c r="E17" s="70"/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</row>
    <row r="18" spans="1:22" x14ac:dyDescent="0.2">
      <c r="A18" s="72"/>
      <c r="B18" s="70"/>
      <c r="C18" s="70"/>
      <c r="D18" s="70"/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</row>
    <row r="19" spans="1:22" x14ac:dyDescent="0.2">
      <c r="A19" s="72"/>
      <c r="B19" s="70"/>
      <c r="C19" s="70"/>
      <c r="D19" s="70"/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</row>
    <row r="20" spans="1:22" x14ac:dyDescent="0.2">
      <c r="A20" s="72"/>
      <c r="B20" s="70"/>
      <c r="C20" s="70"/>
      <c r="D20" s="70"/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</row>
    <row r="21" spans="1:22" x14ac:dyDescent="0.2">
      <c r="B21" s="67"/>
    </row>
    <row r="23" spans="1:22" x14ac:dyDescent="0.2">
      <c r="A23" s="66"/>
      <c r="B23" s="71"/>
      <c r="C23" s="71"/>
      <c r="D23" s="71"/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</row>
    <row r="24" spans="1:22" x14ac:dyDescent="0.2">
      <c r="A24" s="72"/>
      <c r="B24" s="70"/>
      <c r="C24" s="70"/>
      <c r="D24" s="70"/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</row>
    <row r="25" spans="1:22" x14ac:dyDescent="0.2">
      <c r="A25" s="72"/>
      <c r="B25" s="70"/>
      <c r="C25" s="70"/>
      <c r="D25" s="70"/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1"/>
      <c r="U25" s="70"/>
      <c r="V25" s="70"/>
    </row>
    <row r="26" spans="1:22" x14ac:dyDescent="0.2">
      <c r="A26" s="72"/>
      <c r="B26" s="70"/>
      <c r="C26" s="71"/>
      <c r="D26" s="70"/>
      <c r="E26" s="71"/>
      <c r="F26" s="70"/>
      <c r="G26" s="71"/>
      <c r="H26" s="70"/>
      <c r="I26" s="70"/>
      <c r="J26" s="70"/>
      <c r="K26" s="70"/>
      <c r="L26" s="70"/>
      <c r="M26" s="70"/>
      <c r="N26" s="70"/>
      <c r="O26" s="71"/>
      <c r="P26" s="70"/>
      <c r="Q26" s="70"/>
      <c r="R26" s="70"/>
      <c r="S26" s="70"/>
      <c r="T26" s="70"/>
      <c r="U26" s="71"/>
      <c r="V26" s="70"/>
    </row>
    <row r="27" spans="1:22" x14ac:dyDescent="0.2">
      <c r="A27" s="72"/>
      <c r="B27" s="70"/>
      <c r="C27" s="70"/>
      <c r="D27" s="70"/>
      <c r="E27" s="70"/>
      <c r="F27" s="70"/>
      <c r="G27" s="70"/>
      <c r="H27" s="70"/>
      <c r="I27" s="70"/>
      <c r="J27" s="70"/>
      <c r="K27" s="70"/>
      <c r="L27" s="71"/>
      <c r="M27" s="71"/>
      <c r="N27" s="70"/>
      <c r="O27" s="70"/>
      <c r="P27" s="71"/>
      <c r="Q27" s="71"/>
      <c r="R27" s="71"/>
      <c r="S27" s="71"/>
      <c r="T27" s="70"/>
      <c r="U27" s="70"/>
      <c r="V27" s="70"/>
    </row>
    <row r="28" spans="1:22" x14ac:dyDescent="0.2">
      <c r="A28" s="72"/>
      <c r="B28" s="70"/>
      <c r="C28" s="70"/>
      <c r="D28" s="71"/>
      <c r="E28" s="70"/>
      <c r="F28" s="70"/>
      <c r="G28" s="70"/>
      <c r="H28" s="70"/>
      <c r="I28" s="71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</row>
    <row r="29" spans="1:22" x14ac:dyDescent="0.2">
      <c r="A29" s="72"/>
      <c r="B29" s="70"/>
      <c r="C29" s="70"/>
      <c r="D29" s="70"/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1"/>
      <c r="R29" s="70"/>
      <c r="S29" s="70"/>
      <c r="T29" s="70"/>
      <c r="U29" s="71"/>
      <c r="V29" s="70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6"/>
  <dimension ref="A1:S55"/>
  <sheetViews>
    <sheetView workbookViewId="0">
      <selection activeCell="H10" sqref="H10"/>
    </sheetView>
  </sheetViews>
  <sheetFormatPr defaultRowHeight="15" x14ac:dyDescent="0.2"/>
  <cols>
    <col min="17" max="17" width="38.875" customWidth="1"/>
  </cols>
  <sheetData>
    <row r="1" spans="1:19" x14ac:dyDescent="0.2">
      <c r="A1" t="s">
        <v>467</v>
      </c>
      <c r="B1" t="s">
        <v>468</v>
      </c>
      <c r="C1" t="s">
        <v>469</v>
      </c>
      <c r="D1" t="s">
        <v>117</v>
      </c>
      <c r="E1" t="s">
        <v>470</v>
      </c>
      <c r="F1" t="s">
        <v>116</v>
      </c>
      <c r="G1" t="s">
        <v>471</v>
      </c>
      <c r="H1" t="s">
        <v>472</v>
      </c>
      <c r="I1" t="s">
        <v>473</v>
      </c>
      <c r="J1" t="s">
        <v>474</v>
      </c>
      <c r="K1" t="s">
        <v>475</v>
      </c>
      <c r="L1" t="s">
        <v>476</v>
      </c>
      <c r="M1" t="s">
        <v>477</v>
      </c>
      <c r="N1" t="s">
        <v>478</v>
      </c>
      <c r="O1" t="s">
        <v>479</v>
      </c>
      <c r="P1" t="s">
        <v>480</v>
      </c>
      <c r="Q1" t="s">
        <v>481</v>
      </c>
      <c r="R1" t="s">
        <v>482</v>
      </c>
      <c r="S1" t="s">
        <v>483</v>
      </c>
    </row>
    <row r="2" spans="1:19" x14ac:dyDescent="0.2">
      <c r="A2" t="s">
        <v>517</v>
      </c>
      <c r="B2" t="s">
        <v>518</v>
      </c>
      <c r="C2" t="s">
        <v>519</v>
      </c>
      <c r="D2" t="s">
        <v>520</v>
      </c>
      <c r="E2" t="s">
        <v>120</v>
      </c>
      <c r="F2" t="s">
        <v>121</v>
      </c>
      <c r="G2" t="s">
        <v>501</v>
      </c>
      <c r="H2">
        <v>1</v>
      </c>
      <c r="I2">
        <v>0</v>
      </c>
      <c r="J2">
        <v>0</v>
      </c>
      <c r="K2">
        <v>0</v>
      </c>
      <c r="L2">
        <v>0</v>
      </c>
      <c r="M2">
        <v>-2</v>
      </c>
      <c r="N2" t="s">
        <v>489</v>
      </c>
      <c r="O2" t="s">
        <v>521</v>
      </c>
      <c r="P2">
        <v>1</v>
      </c>
    </row>
    <row r="3" spans="1:19" x14ac:dyDescent="0.2">
      <c r="A3" t="s">
        <v>554</v>
      </c>
      <c r="B3" t="s">
        <v>555</v>
      </c>
      <c r="C3" t="s">
        <v>556</v>
      </c>
      <c r="D3" t="s">
        <v>557</v>
      </c>
      <c r="E3" t="s">
        <v>125</v>
      </c>
      <c r="F3" t="s">
        <v>126</v>
      </c>
      <c r="G3" t="s">
        <v>501</v>
      </c>
      <c r="H3">
        <v>1</v>
      </c>
      <c r="I3">
        <v>1</v>
      </c>
      <c r="J3">
        <v>0</v>
      </c>
      <c r="K3">
        <v>0</v>
      </c>
      <c r="L3">
        <v>1</v>
      </c>
      <c r="M3">
        <v>0</v>
      </c>
      <c r="N3" t="s">
        <v>489</v>
      </c>
      <c r="O3" t="s">
        <v>558</v>
      </c>
      <c r="P3">
        <v>1</v>
      </c>
    </row>
    <row r="4" spans="1:19" x14ac:dyDescent="0.2">
      <c r="A4" t="s">
        <v>564</v>
      </c>
      <c r="B4" t="s">
        <v>565</v>
      </c>
      <c r="C4" t="s">
        <v>566</v>
      </c>
      <c r="D4" t="s">
        <v>567</v>
      </c>
      <c r="E4" t="s">
        <v>125</v>
      </c>
      <c r="F4" t="s">
        <v>126</v>
      </c>
      <c r="G4" t="s">
        <v>488</v>
      </c>
      <c r="H4">
        <v>1</v>
      </c>
      <c r="I4">
        <v>4</v>
      </c>
      <c r="J4">
        <v>0</v>
      </c>
      <c r="K4">
        <v>0</v>
      </c>
      <c r="L4">
        <v>0</v>
      </c>
      <c r="M4">
        <v>1</v>
      </c>
      <c r="N4" t="s">
        <v>568</v>
      </c>
      <c r="O4" t="s">
        <v>569</v>
      </c>
      <c r="P4">
        <v>1</v>
      </c>
      <c r="Q4" t="s">
        <v>534</v>
      </c>
      <c r="R4">
        <v>2</v>
      </c>
      <c r="S4" t="s">
        <v>570</v>
      </c>
    </row>
    <row r="5" spans="1:19" x14ac:dyDescent="0.2">
      <c r="A5" t="s">
        <v>605</v>
      </c>
      <c r="B5" t="s">
        <v>606</v>
      </c>
      <c r="C5" t="s">
        <v>607</v>
      </c>
      <c r="D5" t="s">
        <v>608</v>
      </c>
      <c r="E5" t="s">
        <v>130</v>
      </c>
      <c r="F5" t="s">
        <v>131</v>
      </c>
      <c r="G5" t="s">
        <v>609</v>
      </c>
      <c r="H5">
        <v>1</v>
      </c>
      <c r="I5">
        <v>2</v>
      </c>
      <c r="J5">
        <v>0</v>
      </c>
      <c r="K5">
        <v>0</v>
      </c>
      <c r="L5">
        <v>0</v>
      </c>
      <c r="M5">
        <v>0</v>
      </c>
      <c r="N5" t="s">
        <v>489</v>
      </c>
      <c r="O5" t="s">
        <v>610</v>
      </c>
      <c r="P5">
        <v>2</v>
      </c>
      <c r="Q5" t="s">
        <v>611</v>
      </c>
      <c r="R5">
        <v>2</v>
      </c>
      <c r="S5" t="s">
        <v>612</v>
      </c>
    </row>
    <row r="6" spans="1:19" x14ac:dyDescent="0.2">
      <c r="A6" t="s">
        <v>625</v>
      </c>
      <c r="B6" t="s">
        <v>626</v>
      </c>
      <c r="C6" t="s">
        <v>627</v>
      </c>
      <c r="D6" t="s">
        <v>628</v>
      </c>
      <c r="E6" t="s">
        <v>130</v>
      </c>
      <c r="F6" t="s">
        <v>131</v>
      </c>
      <c r="G6" t="s">
        <v>609</v>
      </c>
      <c r="H6">
        <v>1</v>
      </c>
      <c r="I6">
        <v>2</v>
      </c>
      <c r="J6">
        <v>0</v>
      </c>
      <c r="K6">
        <v>0</v>
      </c>
      <c r="L6">
        <v>0</v>
      </c>
      <c r="M6">
        <v>0</v>
      </c>
      <c r="N6" t="s">
        <v>629</v>
      </c>
      <c r="O6" t="s">
        <v>630</v>
      </c>
      <c r="P6">
        <v>2</v>
      </c>
      <c r="Q6" t="s">
        <v>631</v>
      </c>
      <c r="R6">
        <v>1</v>
      </c>
      <c r="S6" t="s">
        <v>632</v>
      </c>
    </row>
    <row r="7" spans="1:19" x14ac:dyDescent="0.2">
      <c r="A7" t="s">
        <v>638</v>
      </c>
      <c r="B7" t="s">
        <v>639</v>
      </c>
      <c r="C7" t="s">
        <v>640</v>
      </c>
      <c r="D7" t="s">
        <v>641</v>
      </c>
      <c r="E7" t="s">
        <v>130</v>
      </c>
      <c r="F7" t="s">
        <v>131</v>
      </c>
      <c r="G7" t="s">
        <v>501</v>
      </c>
      <c r="H7">
        <v>1</v>
      </c>
      <c r="I7">
        <v>1</v>
      </c>
      <c r="J7">
        <v>0</v>
      </c>
      <c r="K7">
        <v>0</v>
      </c>
      <c r="L7">
        <v>1</v>
      </c>
      <c r="M7">
        <v>0</v>
      </c>
      <c r="N7" t="s">
        <v>568</v>
      </c>
      <c r="O7" t="s">
        <v>642</v>
      </c>
      <c r="P7">
        <v>1</v>
      </c>
      <c r="Q7" t="s">
        <v>534</v>
      </c>
      <c r="R7">
        <v>2</v>
      </c>
      <c r="S7" t="s">
        <v>570</v>
      </c>
    </row>
    <row r="8" spans="1:19" x14ac:dyDescent="0.2">
      <c r="A8" t="s">
        <v>654</v>
      </c>
      <c r="B8" t="s">
        <v>655</v>
      </c>
      <c r="C8" t="s">
        <v>656</v>
      </c>
      <c r="D8" t="s">
        <v>657</v>
      </c>
      <c r="E8" t="s">
        <v>135</v>
      </c>
      <c r="F8" t="s">
        <v>136</v>
      </c>
      <c r="G8" t="s">
        <v>501</v>
      </c>
      <c r="H8">
        <v>1</v>
      </c>
      <c r="I8">
        <v>0</v>
      </c>
      <c r="J8">
        <v>1</v>
      </c>
      <c r="K8">
        <v>0</v>
      </c>
      <c r="L8">
        <v>1</v>
      </c>
      <c r="M8">
        <v>0</v>
      </c>
      <c r="N8" t="s">
        <v>658</v>
      </c>
      <c r="O8" t="s">
        <v>659</v>
      </c>
      <c r="P8">
        <v>0</v>
      </c>
    </row>
    <row r="9" spans="1:19" x14ac:dyDescent="0.2">
      <c r="A9" t="s">
        <v>689</v>
      </c>
      <c r="B9" t="s">
        <v>690</v>
      </c>
      <c r="C9" t="s">
        <v>691</v>
      </c>
      <c r="D9" t="s">
        <v>692</v>
      </c>
      <c r="E9" t="s">
        <v>135</v>
      </c>
      <c r="F9" t="s">
        <v>136</v>
      </c>
      <c r="G9" t="s">
        <v>526</v>
      </c>
      <c r="H9">
        <v>1</v>
      </c>
      <c r="I9">
        <v>0</v>
      </c>
      <c r="J9">
        <v>2</v>
      </c>
      <c r="K9">
        <v>0</v>
      </c>
      <c r="L9">
        <v>0</v>
      </c>
      <c r="M9">
        <v>0</v>
      </c>
      <c r="N9" t="s">
        <v>681</v>
      </c>
      <c r="O9" t="s">
        <v>693</v>
      </c>
      <c r="P9">
        <v>1</v>
      </c>
      <c r="R9">
        <v>3</v>
      </c>
    </row>
    <row r="10" spans="1:19" x14ac:dyDescent="0.2">
      <c r="A10" t="s">
        <v>699</v>
      </c>
      <c r="B10" t="s">
        <v>700</v>
      </c>
      <c r="C10" t="s">
        <v>701</v>
      </c>
      <c r="D10" t="s">
        <v>702</v>
      </c>
      <c r="E10" t="s">
        <v>140</v>
      </c>
      <c r="F10" t="s">
        <v>141</v>
      </c>
      <c r="G10" t="s">
        <v>526</v>
      </c>
      <c r="H10">
        <v>1</v>
      </c>
      <c r="I10">
        <v>0</v>
      </c>
      <c r="J10">
        <v>3</v>
      </c>
      <c r="K10">
        <v>0</v>
      </c>
      <c r="L10">
        <v>0</v>
      </c>
      <c r="M10">
        <v>1</v>
      </c>
      <c r="N10" t="s">
        <v>489</v>
      </c>
      <c r="O10" t="s">
        <v>703</v>
      </c>
      <c r="P10">
        <v>1</v>
      </c>
    </row>
    <row r="11" spans="1:19" x14ac:dyDescent="0.2">
      <c r="A11" t="s">
        <v>484</v>
      </c>
      <c r="B11" t="s">
        <v>485</v>
      </c>
      <c r="C11" t="s">
        <v>486</v>
      </c>
      <c r="D11" t="s">
        <v>487</v>
      </c>
      <c r="E11" t="s">
        <v>120</v>
      </c>
      <c r="F11" t="s">
        <v>121</v>
      </c>
      <c r="G11" t="s">
        <v>488</v>
      </c>
      <c r="H11">
        <v>2</v>
      </c>
      <c r="I11">
        <v>4</v>
      </c>
      <c r="J11">
        <v>0</v>
      </c>
      <c r="K11">
        <v>0</v>
      </c>
      <c r="L11">
        <v>0</v>
      </c>
      <c r="M11">
        <v>0</v>
      </c>
      <c r="N11" t="s">
        <v>489</v>
      </c>
      <c r="O11" t="s">
        <v>490</v>
      </c>
      <c r="P11">
        <v>2</v>
      </c>
    </row>
    <row r="12" spans="1:19" x14ac:dyDescent="0.2">
      <c r="A12" t="s">
        <v>491</v>
      </c>
      <c r="B12" t="s">
        <v>492</v>
      </c>
      <c r="C12" t="s">
        <v>493</v>
      </c>
      <c r="D12" t="s">
        <v>494</v>
      </c>
      <c r="E12" t="s">
        <v>120</v>
      </c>
      <c r="F12" t="s">
        <v>121</v>
      </c>
      <c r="G12" t="s">
        <v>495</v>
      </c>
      <c r="H12">
        <v>1</v>
      </c>
      <c r="I12">
        <v>1</v>
      </c>
      <c r="J12">
        <v>0</v>
      </c>
      <c r="K12">
        <v>4</v>
      </c>
      <c r="L12">
        <v>0</v>
      </c>
      <c r="M12">
        <v>0</v>
      </c>
      <c r="N12" t="s">
        <v>489</v>
      </c>
      <c r="O12" t="s">
        <v>496</v>
      </c>
      <c r="P12">
        <v>0</v>
      </c>
    </row>
    <row r="13" spans="1:19" x14ac:dyDescent="0.2">
      <c r="A13" t="s">
        <v>497</v>
      </c>
      <c r="B13" t="s">
        <v>498</v>
      </c>
      <c r="C13" t="s">
        <v>499</v>
      </c>
      <c r="D13" t="s">
        <v>500</v>
      </c>
      <c r="E13" t="s">
        <v>120</v>
      </c>
      <c r="F13" t="s">
        <v>121</v>
      </c>
      <c r="G13" t="s">
        <v>501</v>
      </c>
      <c r="H13">
        <v>1</v>
      </c>
      <c r="I13">
        <v>2</v>
      </c>
      <c r="J13">
        <v>0</v>
      </c>
      <c r="K13">
        <v>0</v>
      </c>
      <c r="L13">
        <v>0</v>
      </c>
      <c r="M13">
        <v>-2</v>
      </c>
      <c r="N13" t="s">
        <v>489</v>
      </c>
      <c r="O13" t="s">
        <v>502</v>
      </c>
      <c r="P13">
        <v>2</v>
      </c>
    </row>
    <row r="14" spans="1:19" x14ac:dyDescent="0.2">
      <c r="A14" t="s">
        <v>510</v>
      </c>
      <c r="B14" t="s">
        <v>511</v>
      </c>
      <c r="C14" t="s">
        <v>512</v>
      </c>
      <c r="D14" t="s">
        <v>513</v>
      </c>
      <c r="E14" t="s">
        <v>120</v>
      </c>
      <c r="F14" t="s">
        <v>121</v>
      </c>
      <c r="G14" t="s">
        <v>488</v>
      </c>
      <c r="H14">
        <v>2</v>
      </c>
      <c r="I14">
        <v>5</v>
      </c>
      <c r="J14">
        <v>0</v>
      </c>
      <c r="K14">
        <v>0</v>
      </c>
      <c r="L14">
        <v>0</v>
      </c>
      <c r="M14">
        <v>0</v>
      </c>
      <c r="N14" t="s">
        <v>489</v>
      </c>
      <c r="O14" t="s">
        <v>514</v>
      </c>
      <c r="P14">
        <v>2</v>
      </c>
      <c r="Q14" t="s">
        <v>515</v>
      </c>
      <c r="R14">
        <v>2</v>
      </c>
      <c r="S14" t="s">
        <v>516</v>
      </c>
    </row>
    <row r="15" spans="1:19" x14ac:dyDescent="0.2">
      <c r="A15" t="s">
        <v>522</v>
      </c>
      <c r="B15" t="s">
        <v>523</v>
      </c>
      <c r="C15" t="s">
        <v>524</v>
      </c>
      <c r="D15" t="s">
        <v>525</v>
      </c>
      <c r="E15" t="s">
        <v>120</v>
      </c>
      <c r="F15" t="s">
        <v>121</v>
      </c>
      <c r="G15" t="s">
        <v>526</v>
      </c>
      <c r="H15">
        <v>2</v>
      </c>
      <c r="I15">
        <v>3</v>
      </c>
      <c r="J15">
        <v>2</v>
      </c>
      <c r="K15">
        <v>0</v>
      </c>
      <c r="L15">
        <v>0</v>
      </c>
      <c r="M15">
        <v>0</v>
      </c>
      <c r="N15" t="s">
        <v>489</v>
      </c>
      <c r="O15" t="s">
        <v>527</v>
      </c>
      <c r="P15">
        <v>2</v>
      </c>
    </row>
    <row r="16" spans="1:19" x14ac:dyDescent="0.2">
      <c r="A16" t="s">
        <v>528</v>
      </c>
      <c r="B16" t="s">
        <v>529</v>
      </c>
      <c r="C16" t="s">
        <v>530</v>
      </c>
      <c r="D16" t="s">
        <v>531</v>
      </c>
      <c r="E16" t="s">
        <v>120</v>
      </c>
      <c r="F16" t="s">
        <v>121</v>
      </c>
      <c r="G16" t="s">
        <v>501</v>
      </c>
      <c r="H16">
        <v>2</v>
      </c>
      <c r="I16">
        <v>3</v>
      </c>
      <c r="J16">
        <v>0</v>
      </c>
      <c r="K16">
        <v>0</v>
      </c>
      <c r="L16">
        <v>1</v>
      </c>
      <c r="M16">
        <v>0</v>
      </c>
      <c r="N16" t="s">
        <v>532</v>
      </c>
      <c r="O16" t="s">
        <v>533</v>
      </c>
      <c r="P16">
        <v>1</v>
      </c>
      <c r="Q16" t="s">
        <v>534</v>
      </c>
      <c r="R16">
        <v>2</v>
      </c>
      <c r="S16" t="s">
        <v>535</v>
      </c>
    </row>
    <row r="17" spans="1:19" x14ac:dyDescent="0.2">
      <c r="A17" t="s">
        <v>542</v>
      </c>
      <c r="B17" t="s">
        <v>543</v>
      </c>
      <c r="C17" t="s">
        <v>544</v>
      </c>
      <c r="D17" t="s">
        <v>545</v>
      </c>
      <c r="E17" t="s">
        <v>125</v>
      </c>
      <c r="F17" t="s">
        <v>126</v>
      </c>
      <c r="G17" t="s">
        <v>488</v>
      </c>
      <c r="H17">
        <v>2</v>
      </c>
      <c r="I17">
        <v>5</v>
      </c>
      <c r="J17">
        <v>0</v>
      </c>
      <c r="K17">
        <v>0</v>
      </c>
      <c r="L17">
        <v>0</v>
      </c>
      <c r="M17">
        <v>1</v>
      </c>
      <c r="N17" t="s">
        <v>489</v>
      </c>
      <c r="O17" t="s">
        <v>546</v>
      </c>
      <c r="P17">
        <v>0</v>
      </c>
    </row>
    <row r="18" spans="1:19" x14ac:dyDescent="0.2">
      <c r="A18" t="s">
        <v>547</v>
      </c>
      <c r="B18" t="s">
        <v>548</v>
      </c>
      <c r="C18" t="s">
        <v>549</v>
      </c>
      <c r="D18" t="s">
        <v>550</v>
      </c>
      <c r="E18" t="s">
        <v>125</v>
      </c>
      <c r="F18" t="s">
        <v>126</v>
      </c>
      <c r="G18" t="s">
        <v>488</v>
      </c>
      <c r="H18">
        <v>2</v>
      </c>
      <c r="I18">
        <v>4</v>
      </c>
      <c r="J18">
        <v>0</v>
      </c>
      <c r="K18">
        <v>0</v>
      </c>
      <c r="L18">
        <v>0</v>
      </c>
      <c r="M18">
        <v>0</v>
      </c>
      <c r="N18" t="s">
        <v>532</v>
      </c>
      <c r="O18" t="s">
        <v>551</v>
      </c>
      <c r="P18">
        <v>2</v>
      </c>
      <c r="Q18" t="s">
        <v>552</v>
      </c>
      <c r="S18" t="s">
        <v>553</v>
      </c>
    </row>
    <row r="19" spans="1:19" x14ac:dyDescent="0.2">
      <c r="A19" t="s">
        <v>571</v>
      </c>
      <c r="B19" t="s">
        <v>572</v>
      </c>
      <c r="C19" t="s">
        <v>573</v>
      </c>
      <c r="D19" t="s">
        <v>574</v>
      </c>
      <c r="E19" t="s">
        <v>125</v>
      </c>
      <c r="F19" t="s">
        <v>126</v>
      </c>
      <c r="G19" t="s">
        <v>526</v>
      </c>
      <c r="H19">
        <v>2</v>
      </c>
      <c r="I19">
        <v>1</v>
      </c>
      <c r="J19">
        <v>5</v>
      </c>
      <c r="K19">
        <v>0</v>
      </c>
      <c r="L19">
        <v>0</v>
      </c>
      <c r="M19">
        <v>2</v>
      </c>
      <c r="N19" t="s">
        <v>489</v>
      </c>
      <c r="O19" t="s">
        <v>575</v>
      </c>
      <c r="P19">
        <v>2</v>
      </c>
    </row>
    <row r="20" spans="1:19" x14ac:dyDescent="0.2">
      <c r="A20" t="s">
        <v>576</v>
      </c>
      <c r="B20" t="s">
        <v>577</v>
      </c>
      <c r="C20" t="s">
        <v>578</v>
      </c>
      <c r="D20" t="s">
        <v>579</v>
      </c>
      <c r="E20" t="s">
        <v>125</v>
      </c>
      <c r="F20" t="s">
        <v>126</v>
      </c>
      <c r="G20" t="s">
        <v>488</v>
      </c>
      <c r="H20">
        <v>2</v>
      </c>
      <c r="I20">
        <v>5</v>
      </c>
      <c r="J20">
        <v>2</v>
      </c>
      <c r="K20">
        <v>0</v>
      </c>
      <c r="L20">
        <v>0</v>
      </c>
      <c r="M20">
        <v>1</v>
      </c>
      <c r="N20" t="s">
        <v>489</v>
      </c>
      <c r="O20" t="s">
        <v>580</v>
      </c>
      <c r="P20">
        <v>2</v>
      </c>
    </row>
    <row r="21" spans="1:19" x14ac:dyDescent="0.2">
      <c r="A21" t="s">
        <v>581</v>
      </c>
      <c r="B21" t="s">
        <v>582</v>
      </c>
      <c r="C21" t="s">
        <v>583</v>
      </c>
      <c r="D21" t="s">
        <v>584</v>
      </c>
      <c r="E21" t="s">
        <v>125</v>
      </c>
      <c r="F21" t="s">
        <v>126</v>
      </c>
      <c r="G21" t="s">
        <v>501</v>
      </c>
      <c r="H21">
        <v>2</v>
      </c>
      <c r="I21">
        <v>3</v>
      </c>
      <c r="J21">
        <v>0</v>
      </c>
      <c r="K21">
        <v>0</v>
      </c>
      <c r="L21">
        <v>1</v>
      </c>
      <c r="M21">
        <v>0</v>
      </c>
      <c r="N21" t="s">
        <v>489</v>
      </c>
      <c r="O21" t="s">
        <v>585</v>
      </c>
      <c r="P21">
        <v>1</v>
      </c>
      <c r="Q21" t="s">
        <v>586</v>
      </c>
      <c r="R21">
        <v>3</v>
      </c>
      <c r="S21" t="s">
        <v>587</v>
      </c>
    </row>
    <row r="22" spans="1:19" x14ac:dyDescent="0.2">
      <c r="A22" t="s">
        <v>588</v>
      </c>
      <c r="B22" t="s">
        <v>589</v>
      </c>
      <c r="C22" t="s">
        <v>590</v>
      </c>
      <c r="D22" t="s">
        <v>591</v>
      </c>
      <c r="E22" t="s">
        <v>125</v>
      </c>
      <c r="F22" t="s">
        <v>126</v>
      </c>
      <c r="G22" t="s">
        <v>488</v>
      </c>
      <c r="H22">
        <v>2</v>
      </c>
      <c r="I22">
        <v>7</v>
      </c>
      <c r="J22">
        <v>0</v>
      </c>
      <c r="K22">
        <v>0</v>
      </c>
      <c r="L22">
        <v>0</v>
      </c>
      <c r="M22">
        <v>1</v>
      </c>
      <c r="N22" t="s">
        <v>532</v>
      </c>
      <c r="O22" t="s">
        <v>592</v>
      </c>
      <c r="P22">
        <v>2</v>
      </c>
      <c r="Q22" t="s">
        <v>534</v>
      </c>
      <c r="R22">
        <v>3</v>
      </c>
      <c r="S22" t="s">
        <v>593</v>
      </c>
    </row>
    <row r="23" spans="1:19" x14ac:dyDescent="0.2">
      <c r="A23" t="s">
        <v>594</v>
      </c>
      <c r="B23" t="s">
        <v>595</v>
      </c>
      <c r="C23" t="s">
        <v>596</v>
      </c>
      <c r="D23" t="s">
        <v>597</v>
      </c>
      <c r="E23" t="s">
        <v>130</v>
      </c>
      <c r="F23" t="s">
        <v>131</v>
      </c>
      <c r="G23" t="s">
        <v>488</v>
      </c>
      <c r="H23">
        <v>2</v>
      </c>
      <c r="I23">
        <v>4</v>
      </c>
      <c r="J23">
        <v>0</v>
      </c>
      <c r="K23">
        <v>0</v>
      </c>
      <c r="L23">
        <v>0</v>
      </c>
      <c r="M23">
        <v>0</v>
      </c>
      <c r="N23" t="s">
        <v>568</v>
      </c>
      <c r="O23" t="s">
        <v>598</v>
      </c>
      <c r="P23">
        <v>0</v>
      </c>
      <c r="Q23" t="s">
        <v>534</v>
      </c>
      <c r="R23">
        <v>2</v>
      </c>
      <c r="S23" t="s">
        <v>570</v>
      </c>
    </row>
    <row r="24" spans="1:19" x14ac:dyDescent="0.2">
      <c r="A24" t="s">
        <v>599</v>
      </c>
      <c r="B24" t="s">
        <v>600</v>
      </c>
      <c r="C24" t="s">
        <v>601</v>
      </c>
      <c r="D24" t="s">
        <v>602</v>
      </c>
      <c r="E24" t="s">
        <v>130</v>
      </c>
      <c r="F24" t="s">
        <v>131</v>
      </c>
      <c r="G24" t="s">
        <v>488</v>
      </c>
      <c r="H24">
        <v>2</v>
      </c>
      <c r="I24">
        <v>4</v>
      </c>
      <c r="J24">
        <v>0</v>
      </c>
      <c r="K24">
        <v>0</v>
      </c>
      <c r="L24">
        <v>0</v>
      </c>
      <c r="M24">
        <v>0</v>
      </c>
      <c r="N24" t="s">
        <v>532</v>
      </c>
      <c r="O24" t="s">
        <v>603</v>
      </c>
      <c r="P24">
        <v>2</v>
      </c>
      <c r="Q24" t="s">
        <v>534</v>
      </c>
      <c r="R24">
        <v>2</v>
      </c>
      <c r="S24" t="s">
        <v>604</v>
      </c>
    </row>
    <row r="25" spans="1:19" x14ac:dyDescent="0.2">
      <c r="A25" t="s">
        <v>613</v>
      </c>
      <c r="B25" t="s">
        <v>614</v>
      </c>
      <c r="C25" t="s">
        <v>615</v>
      </c>
      <c r="D25" t="s">
        <v>616</v>
      </c>
      <c r="E25" t="s">
        <v>130</v>
      </c>
      <c r="F25" t="s">
        <v>131</v>
      </c>
      <c r="G25" t="s">
        <v>501</v>
      </c>
      <c r="H25">
        <v>1</v>
      </c>
      <c r="I25">
        <v>0</v>
      </c>
      <c r="J25">
        <v>0</v>
      </c>
      <c r="K25">
        <v>0</v>
      </c>
      <c r="L25">
        <v>2</v>
      </c>
      <c r="M25">
        <v>0</v>
      </c>
      <c r="N25" t="s">
        <v>489</v>
      </c>
      <c r="O25" t="s">
        <v>617</v>
      </c>
      <c r="P25">
        <v>2</v>
      </c>
      <c r="Q25" t="s">
        <v>618</v>
      </c>
      <c r="S25" t="s">
        <v>619</v>
      </c>
    </row>
    <row r="26" spans="1:19" x14ac:dyDescent="0.2">
      <c r="A26" t="s">
        <v>620</v>
      </c>
      <c r="B26" t="s">
        <v>621</v>
      </c>
      <c r="C26" t="s">
        <v>622</v>
      </c>
      <c r="D26" t="s">
        <v>623</v>
      </c>
      <c r="E26" t="s">
        <v>130</v>
      </c>
      <c r="F26" t="s">
        <v>131</v>
      </c>
      <c r="G26" t="s">
        <v>488</v>
      </c>
      <c r="H26">
        <v>2</v>
      </c>
      <c r="I26">
        <v>4</v>
      </c>
      <c r="J26">
        <v>1</v>
      </c>
      <c r="K26">
        <v>0</v>
      </c>
      <c r="L26">
        <v>0</v>
      </c>
      <c r="M26">
        <v>0</v>
      </c>
      <c r="N26" t="s">
        <v>568</v>
      </c>
      <c r="O26" t="s">
        <v>624</v>
      </c>
      <c r="P26">
        <v>2</v>
      </c>
    </row>
    <row r="27" spans="1:19" x14ac:dyDescent="0.2">
      <c r="A27" t="s">
        <v>649</v>
      </c>
      <c r="B27" t="s">
        <v>650</v>
      </c>
      <c r="C27" t="s">
        <v>651</v>
      </c>
      <c r="D27" t="s">
        <v>652</v>
      </c>
      <c r="E27" t="s">
        <v>135</v>
      </c>
      <c r="F27" t="s">
        <v>136</v>
      </c>
      <c r="G27" t="s">
        <v>526</v>
      </c>
      <c r="H27">
        <v>1</v>
      </c>
      <c r="I27">
        <v>0</v>
      </c>
      <c r="J27">
        <v>3</v>
      </c>
      <c r="K27">
        <v>0</v>
      </c>
      <c r="L27">
        <v>0</v>
      </c>
      <c r="M27">
        <v>0</v>
      </c>
      <c r="N27" t="s">
        <v>489</v>
      </c>
      <c r="O27" t="s">
        <v>653</v>
      </c>
      <c r="P27">
        <v>2</v>
      </c>
    </row>
    <row r="28" spans="1:19" x14ac:dyDescent="0.2">
      <c r="A28" t="s">
        <v>660</v>
      </c>
      <c r="B28" t="s">
        <v>661</v>
      </c>
      <c r="C28" t="s">
        <v>662</v>
      </c>
      <c r="D28" t="s">
        <v>663</v>
      </c>
      <c r="E28" t="s">
        <v>135</v>
      </c>
      <c r="F28" t="s">
        <v>136</v>
      </c>
      <c r="G28" t="s">
        <v>526</v>
      </c>
      <c r="H28">
        <v>2</v>
      </c>
      <c r="I28">
        <v>0</v>
      </c>
      <c r="J28">
        <v>5</v>
      </c>
      <c r="K28">
        <v>0</v>
      </c>
      <c r="L28">
        <v>0</v>
      </c>
      <c r="M28">
        <v>0</v>
      </c>
      <c r="N28" t="s">
        <v>489</v>
      </c>
      <c r="O28" t="s">
        <v>664</v>
      </c>
      <c r="P28">
        <v>2</v>
      </c>
      <c r="R28">
        <v>2</v>
      </c>
    </row>
    <row r="29" spans="1:19" x14ac:dyDescent="0.2">
      <c r="A29" t="s">
        <v>672</v>
      </c>
      <c r="B29" t="s">
        <v>673</v>
      </c>
      <c r="C29" t="s">
        <v>674</v>
      </c>
      <c r="D29" t="s">
        <v>675</v>
      </c>
      <c r="E29" t="s">
        <v>135</v>
      </c>
      <c r="F29" t="s">
        <v>136</v>
      </c>
      <c r="G29" t="s">
        <v>526</v>
      </c>
      <c r="H29">
        <v>2</v>
      </c>
      <c r="I29">
        <v>1</v>
      </c>
      <c r="J29">
        <v>4</v>
      </c>
      <c r="K29">
        <v>0</v>
      </c>
      <c r="L29">
        <v>0</v>
      </c>
      <c r="M29">
        <v>0</v>
      </c>
      <c r="N29" t="s">
        <v>629</v>
      </c>
      <c r="O29" t="s">
        <v>676</v>
      </c>
      <c r="P29">
        <v>2</v>
      </c>
    </row>
    <row r="30" spans="1:19" x14ac:dyDescent="0.2">
      <c r="A30" t="s">
        <v>677</v>
      </c>
      <c r="B30" t="s">
        <v>678</v>
      </c>
      <c r="C30" t="s">
        <v>679</v>
      </c>
      <c r="D30" t="s">
        <v>680</v>
      </c>
      <c r="E30" t="s">
        <v>135</v>
      </c>
      <c r="F30" t="s">
        <v>136</v>
      </c>
      <c r="G30" t="s">
        <v>501</v>
      </c>
      <c r="H30">
        <v>1</v>
      </c>
      <c r="I30">
        <v>1</v>
      </c>
      <c r="J30">
        <v>0</v>
      </c>
      <c r="K30">
        <v>0</v>
      </c>
      <c r="L30">
        <v>1</v>
      </c>
      <c r="M30">
        <v>-1</v>
      </c>
      <c r="N30" t="s">
        <v>681</v>
      </c>
      <c r="O30" t="s">
        <v>682</v>
      </c>
      <c r="P30">
        <v>3</v>
      </c>
    </row>
    <row r="31" spans="1:19" x14ac:dyDescent="0.2">
      <c r="A31" t="s">
        <v>683</v>
      </c>
      <c r="B31" t="s">
        <v>684</v>
      </c>
      <c r="C31" t="s">
        <v>685</v>
      </c>
      <c r="D31" t="s">
        <v>686</v>
      </c>
      <c r="E31" t="s">
        <v>135</v>
      </c>
      <c r="F31" t="s">
        <v>136</v>
      </c>
      <c r="G31" t="s">
        <v>501</v>
      </c>
      <c r="H31">
        <v>1</v>
      </c>
      <c r="I31">
        <v>0</v>
      </c>
      <c r="J31">
        <v>3</v>
      </c>
      <c r="K31">
        <v>0</v>
      </c>
      <c r="L31">
        <v>1</v>
      </c>
      <c r="M31">
        <v>0</v>
      </c>
      <c r="N31" t="s">
        <v>658</v>
      </c>
      <c r="O31" t="s">
        <v>687</v>
      </c>
      <c r="P31">
        <v>2</v>
      </c>
      <c r="Q31" t="s">
        <v>670</v>
      </c>
      <c r="R31">
        <v>2</v>
      </c>
      <c r="S31" t="s">
        <v>688</v>
      </c>
    </row>
    <row r="32" spans="1:19" x14ac:dyDescent="0.2">
      <c r="A32" t="s">
        <v>704</v>
      </c>
      <c r="B32" t="s">
        <v>705</v>
      </c>
      <c r="C32" t="s">
        <v>706</v>
      </c>
      <c r="D32" t="s">
        <v>707</v>
      </c>
      <c r="E32" t="s">
        <v>140</v>
      </c>
      <c r="F32" t="s">
        <v>141</v>
      </c>
      <c r="G32" t="s">
        <v>526</v>
      </c>
      <c r="H32">
        <v>2</v>
      </c>
      <c r="I32">
        <v>3</v>
      </c>
      <c r="J32">
        <v>3</v>
      </c>
      <c r="K32">
        <v>0</v>
      </c>
      <c r="L32">
        <v>0</v>
      </c>
      <c r="M32">
        <v>1</v>
      </c>
      <c r="N32" t="s">
        <v>568</v>
      </c>
      <c r="O32" t="s">
        <v>708</v>
      </c>
      <c r="P32">
        <v>2</v>
      </c>
      <c r="Q32" t="s">
        <v>534</v>
      </c>
      <c r="R32">
        <v>2</v>
      </c>
      <c r="S32" t="s">
        <v>570</v>
      </c>
    </row>
    <row r="33" spans="1:19" x14ac:dyDescent="0.2">
      <c r="A33" t="s">
        <v>709</v>
      </c>
      <c r="B33" t="s">
        <v>710</v>
      </c>
      <c r="C33" t="s">
        <v>711</v>
      </c>
      <c r="D33" t="s">
        <v>712</v>
      </c>
      <c r="E33" t="s">
        <v>140</v>
      </c>
      <c r="F33" t="s">
        <v>141</v>
      </c>
      <c r="G33" t="s">
        <v>488</v>
      </c>
      <c r="H33">
        <v>2</v>
      </c>
      <c r="I33">
        <v>5</v>
      </c>
      <c r="J33">
        <v>2</v>
      </c>
      <c r="K33">
        <v>0</v>
      </c>
      <c r="L33">
        <v>0</v>
      </c>
      <c r="M33">
        <v>2</v>
      </c>
      <c r="N33" t="s">
        <v>532</v>
      </c>
      <c r="O33" t="s">
        <v>713</v>
      </c>
      <c r="P33">
        <v>0</v>
      </c>
      <c r="Q33" t="s">
        <v>534</v>
      </c>
      <c r="R33">
        <v>2</v>
      </c>
      <c r="S33" t="s">
        <v>535</v>
      </c>
    </row>
    <row r="34" spans="1:19" x14ac:dyDescent="0.2">
      <c r="A34" t="s">
        <v>714</v>
      </c>
      <c r="B34" t="s">
        <v>715</v>
      </c>
      <c r="C34" t="s">
        <v>716</v>
      </c>
      <c r="D34" t="s">
        <v>717</v>
      </c>
      <c r="E34" t="s">
        <v>140</v>
      </c>
      <c r="F34" t="s">
        <v>141</v>
      </c>
      <c r="G34" t="s">
        <v>526</v>
      </c>
      <c r="H34">
        <v>2</v>
      </c>
      <c r="I34">
        <v>0</v>
      </c>
      <c r="J34">
        <v>7</v>
      </c>
      <c r="K34">
        <v>0</v>
      </c>
      <c r="L34">
        <v>0</v>
      </c>
      <c r="M34">
        <v>2</v>
      </c>
      <c r="N34" t="s">
        <v>568</v>
      </c>
      <c r="O34" t="s">
        <v>718</v>
      </c>
      <c r="P34">
        <v>2</v>
      </c>
    </row>
    <row r="35" spans="1:19" x14ac:dyDescent="0.2">
      <c r="A35" t="s">
        <v>719</v>
      </c>
      <c r="B35" t="s">
        <v>720</v>
      </c>
      <c r="C35" t="s">
        <v>721</v>
      </c>
      <c r="D35" t="s">
        <v>722</v>
      </c>
      <c r="E35" t="s">
        <v>140</v>
      </c>
      <c r="F35" t="s">
        <v>141</v>
      </c>
      <c r="G35" t="s">
        <v>526</v>
      </c>
      <c r="H35">
        <v>2</v>
      </c>
      <c r="I35">
        <v>0</v>
      </c>
      <c r="J35">
        <v>6</v>
      </c>
      <c r="K35">
        <v>0</v>
      </c>
      <c r="L35">
        <v>0</v>
      </c>
      <c r="M35">
        <v>2</v>
      </c>
      <c r="N35" t="s">
        <v>489</v>
      </c>
      <c r="O35" t="s">
        <v>723</v>
      </c>
      <c r="P35">
        <v>2</v>
      </c>
    </row>
    <row r="36" spans="1:19" x14ac:dyDescent="0.2">
      <c r="A36" t="s">
        <v>724</v>
      </c>
      <c r="B36" t="s">
        <v>725</v>
      </c>
      <c r="C36" t="s">
        <v>726</v>
      </c>
      <c r="D36" t="s">
        <v>727</v>
      </c>
      <c r="E36" t="s">
        <v>140</v>
      </c>
      <c r="F36" t="s">
        <v>141</v>
      </c>
      <c r="G36" t="s">
        <v>526</v>
      </c>
      <c r="H36">
        <v>2</v>
      </c>
      <c r="I36">
        <v>2</v>
      </c>
      <c r="J36">
        <v>3</v>
      </c>
      <c r="K36">
        <v>0</v>
      </c>
      <c r="L36">
        <v>0</v>
      </c>
      <c r="M36">
        <v>1</v>
      </c>
      <c r="N36" t="s">
        <v>532</v>
      </c>
      <c r="O36" t="s">
        <v>728</v>
      </c>
      <c r="P36">
        <v>2</v>
      </c>
      <c r="Q36" t="s">
        <v>534</v>
      </c>
      <c r="R36">
        <v>2</v>
      </c>
      <c r="S36" t="s">
        <v>535</v>
      </c>
    </row>
    <row r="37" spans="1:19" x14ac:dyDescent="0.2">
      <c r="A37" t="s">
        <v>729</v>
      </c>
      <c r="B37" t="s">
        <v>730</v>
      </c>
      <c r="C37" t="s">
        <v>731</v>
      </c>
      <c r="D37" t="s">
        <v>732</v>
      </c>
      <c r="E37" t="s">
        <v>140</v>
      </c>
      <c r="F37" t="s">
        <v>141</v>
      </c>
      <c r="G37" t="s">
        <v>526</v>
      </c>
      <c r="H37">
        <v>2</v>
      </c>
      <c r="I37">
        <v>2</v>
      </c>
      <c r="J37">
        <v>5</v>
      </c>
      <c r="K37">
        <v>0</v>
      </c>
      <c r="L37">
        <v>0</v>
      </c>
      <c r="M37">
        <v>3</v>
      </c>
      <c r="N37" t="s">
        <v>568</v>
      </c>
      <c r="O37" t="s">
        <v>733</v>
      </c>
      <c r="P37">
        <v>2</v>
      </c>
      <c r="Q37" t="s">
        <v>534</v>
      </c>
      <c r="R37">
        <v>3</v>
      </c>
      <c r="S37" t="s">
        <v>648</v>
      </c>
    </row>
    <row r="38" spans="1:19" x14ac:dyDescent="0.2">
      <c r="A38" t="s">
        <v>734</v>
      </c>
      <c r="B38" t="s">
        <v>735</v>
      </c>
      <c r="C38" t="s">
        <v>736</v>
      </c>
      <c r="D38" t="s">
        <v>737</v>
      </c>
      <c r="E38" t="s">
        <v>140</v>
      </c>
      <c r="F38" t="s">
        <v>141</v>
      </c>
      <c r="G38" t="s">
        <v>501</v>
      </c>
      <c r="H38">
        <v>2</v>
      </c>
      <c r="I38">
        <v>3</v>
      </c>
      <c r="J38">
        <v>2</v>
      </c>
      <c r="K38">
        <v>0</v>
      </c>
      <c r="L38">
        <v>1</v>
      </c>
      <c r="M38">
        <v>1</v>
      </c>
      <c r="N38" t="s">
        <v>681</v>
      </c>
      <c r="O38" t="s">
        <v>738</v>
      </c>
      <c r="P38">
        <v>2</v>
      </c>
      <c r="Q38" t="s">
        <v>534</v>
      </c>
      <c r="R38">
        <v>2</v>
      </c>
      <c r="S38" t="s">
        <v>739</v>
      </c>
    </row>
    <row r="39" spans="1:19" x14ac:dyDescent="0.2">
      <c r="A39" t="s">
        <v>745</v>
      </c>
      <c r="B39" t="s">
        <v>746</v>
      </c>
      <c r="C39" t="s">
        <v>747</v>
      </c>
      <c r="D39" t="s">
        <v>748</v>
      </c>
      <c r="E39" t="s">
        <v>145</v>
      </c>
      <c r="F39" t="s">
        <v>146</v>
      </c>
      <c r="G39" t="s">
        <v>495</v>
      </c>
      <c r="H39">
        <v>2</v>
      </c>
      <c r="I39">
        <v>3</v>
      </c>
      <c r="J39">
        <v>0</v>
      </c>
      <c r="K39">
        <v>5</v>
      </c>
      <c r="L39">
        <v>0</v>
      </c>
      <c r="M39">
        <v>2</v>
      </c>
      <c r="N39" t="s">
        <v>681</v>
      </c>
      <c r="O39" t="s">
        <v>749</v>
      </c>
      <c r="P39">
        <v>2</v>
      </c>
    </row>
    <row r="40" spans="1:19" x14ac:dyDescent="0.2">
      <c r="A40" t="s">
        <v>750</v>
      </c>
      <c r="B40" t="s">
        <v>751</v>
      </c>
      <c r="C40" t="s">
        <v>752</v>
      </c>
      <c r="D40" t="s">
        <v>753</v>
      </c>
      <c r="E40" t="s">
        <v>145</v>
      </c>
      <c r="F40" t="s">
        <v>146</v>
      </c>
      <c r="G40" t="s">
        <v>495</v>
      </c>
      <c r="H40">
        <v>1</v>
      </c>
      <c r="I40">
        <v>0</v>
      </c>
      <c r="J40">
        <v>0</v>
      </c>
      <c r="K40">
        <v>5</v>
      </c>
      <c r="L40">
        <v>1</v>
      </c>
      <c r="M40">
        <v>2</v>
      </c>
      <c r="N40" t="s">
        <v>681</v>
      </c>
      <c r="O40" t="s">
        <v>754</v>
      </c>
      <c r="P40">
        <v>1</v>
      </c>
    </row>
    <row r="41" spans="1:19" x14ac:dyDescent="0.2">
      <c r="A41" t="s">
        <v>755</v>
      </c>
      <c r="B41" t="s">
        <v>756</v>
      </c>
      <c r="C41" t="s">
        <v>757</v>
      </c>
      <c r="D41" t="s">
        <v>758</v>
      </c>
      <c r="E41" t="s">
        <v>145</v>
      </c>
      <c r="F41" t="s">
        <v>146</v>
      </c>
      <c r="G41" t="s">
        <v>526</v>
      </c>
      <c r="H41">
        <v>1</v>
      </c>
      <c r="I41">
        <v>2</v>
      </c>
      <c r="J41">
        <v>3</v>
      </c>
      <c r="K41">
        <v>0</v>
      </c>
      <c r="L41">
        <v>0</v>
      </c>
      <c r="M41">
        <v>1</v>
      </c>
      <c r="N41" t="s">
        <v>681</v>
      </c>
      <c r="O41" t="s">
        <v>759</v>
      </c>
      <c r="P41">
        <v>0</v>
      </c>
    </row>
    <row r="42" spans="1:19" x14ac:dyDescent="0.2">
      <c r="A42" t="s">
        <v>760</v>
      </c>
      <c r="B42" t="s">
        <v>761</v>
      </c>
      <c r="C42" t="s">
        <v>762</v>
      </c>
      <c r="D42" t="s">
        <v>763</v>
      </c>
      <c r="E42" t="s">
        <v>145</v>
      </c>
      <c r="F42" t="s">
        <v>146</v>
      </c>
      <c r="G42" t="s">
        <v>488</v>
      </c>
      <c r="H42">
        <v>2</v>
      </c>
      <c r="I42">
        <v>7</v>
      </c>
      <c r="J42">
        <v>0</v>
      </c>
      <c r="K42">
        <v>0</v>
      </c>
      <c r="L42">
        <v>0</v>
      </c>
      <c r="M42">
        <v>1</v>
      </c>
      <c r="N42" t="s">
        <v>629</v>
      </c>
      <c r="O42" t="s">
        <v>764</v>
      </c>
      <c r="P42">
        <v>2</v>
      </c>
      <c r="Q42" t="s">
        <v>534</v>
      </c>
      <c r="R42">
        <v>3</v>
      </c>
      <c r="S42" t="s">
        <v>765</v>
      </c>
    </row>
    <row r="43" spans="1:19" x14ac:dyDescent="0.2">
      <c r="A43" t="s">
        <v>766</v>
      </c>
      <c r="B43" t="s">
        <v>767</v>
      </c>
      <c r="C43" t="s">
        <v>768</v>
      </c>
      <c r="D43" t="s">
        <v>769</v>
      </c>
      <c r="E43" t="s">
        <v>145</v>
      </c>
      <c r="F43" t="s">
        <v>146</v>
      </c>
      <c r="G43" t="s">
        <v>495</v>
      </c>
      <c r="H43">
        <v>1</v>
      </c>
      <c r="I43">
        <v>1</v>
      </c>
      <c r="J43">
        <v>2</v>
      </c>
      <c r="K43">
        <v>5</v>
      </c>
      <c r="L43">
        <v>0</v>
      </c>
      <c r="M43">
        <v>2</v>
      </c>
      <c r="N43" t="s">
        <v>681</v>
      </c>
      <c r="O43" t="s">
        <v>770</v>
      </c>
      <c r="P43">
        <v>2</v>
      </c>
    </row>
    <row r="44" spans="1:19" x14ac:dyDescent="0.2">
      <c r="A44" t="s">
        <v>771</v>
      </c>
      <c r="B44" t="s">
        <v>772</v>
      </c>
      <c r="C44" t="s">
        <v>773</v>
      </c>
      <c r="D44" t="s">
        <v>774</v>
      </c>
      <c r="E44" t="s">
        <v>145</v>
      </c>
      <c r="F44" t="s">
        <v>146</v>
      </c>
      <c r="G44" t="s">
        <v>526</v>
      </c>
      <c r="H44">
        <v>2</v>
      </c>
      <c r="I44">
        <v>1</v>
      </c>
      <c r="J44">
        <v>4</v>
      </c>
      <c r="K44">
        <v>0</v>
      </c>
      <c r="L44">
        <v>0</v>
      </c>
      <c r="M44">
        <v>1</v>
      </c>
      <c r="N44" t="s">
        <v>681</v>
      </c>
      <c r="O44" t="s">
        <v>775</v>
      </c>
      <c r="P44">
        <v>2</v>
      </c>
      <c r="Q44" t="s">
        <v>534</v>
      </c>
      <c r="R44">
        <v>2</v>
      </c>
      <c r="S44" t="s">
        <v>739</v>
      </c>
    </row>
    <row r="45" spans="1:19" x14ac:dyDescent="0.2">
      <c r="A45" t="s">
        <v>776</v>
      </c>
      <c r="B45" t="s">
        <v>777</v>
      </c>
      <c r="C45" t="s">
        <v>778</v>
      </c>
      <c r="D45" t="s">
        <v>779</v>
      </c>
      <c r="E45" t="s">
        <v>145</v>
      </c>
      <c r="F45" t="s">
        <v>146</v>
      </c>
      <c r="G45" t="s">
        <v>501</v>
      </c>
      <c r="H45">
        <v>2</v>
      </c>
      <c r="I45">
        <v>4</v>
      </c>
      <c r="J45">
        <v>0</v>
      </c>
      <c r="K45">
        <v>0</v>
      </c>
      <c r="L45">
        <v>1</v>
      </c>
      <c r="M45">
        <v>1</v>
      </c>
      <c r="N45" t="s">
        <v>658</v>
      </c>
      <c r="O45" t="s">
        <v>780</v>
      </c>
      <c r="P45">
        <v>2</v>
      </c>
      <c r="Q45" t="s">
        <v>534</v>
      </c>
      <c r="R45">
        <v>2</v>
      </c>
      <c r="S45" t="s">
        <v>781</v>
      </c>
    </row>
    <row r="46" spans="1:19" x14ac:dyDescent="0.2">
      <c r="A46" t="s">
        <v>782</v>
      </c>
      <c r="B46" t="s">
        <v>783</v>
      </c>
      <c r="C46" t="s">
        <v>784</v>
      </c>
      <c r="D46" t="s">
        <v>785</v>
      </c>
      <c r="E46" t="s">
        <v>145</v>
      </c>
      <c r="F46" t="s">
        <v>146</v>
      </c>
      <c r="G46" t="s">
        <v>488</v>
      </c>
      <c r="H46">
        <v>2</v>
      </c>
      <c r="I46">
        <v>7</v>
      </c>
      <c r="J46">
        <v>0</v>
      </c>
      <c r="K46">
        <v>0</v>
      </c>
      <c r="L46">
        <v>0</v>
      </c>
      <c r="M46">
        <v>2</v>
      </c>
      <c r="N46" t="s">
        <v>489</v>
      </c>
      <c r="O46" t="s">
        <v>786</v>
      </c>
      <c r="P46">
        <v>3</v>
      </c>
      <c r="Q46" t="s">
        <v>586</v>
      </c>
      <c r="R46">
        <v>3</v>
      </c>
      <c r="S46" t="s">
        <v>587</v>
      </c>
    </row>
    <row r="47" spans="1:19" x14ac:dyDescent="0.2">
      <c r="A47" t="s">
        <v>787</v>
      </c>
      <c r="B47" t="s">
        <v>788</v>
      </c>
      <c r="C47" t="s">
        <v>789</v>
      </c>
      <c r="D47" t="s">
        <v>790</v>
      </c>
      <c r="E47" t="s">
        <v>145</v>
      </c>
      <c r="F47" t="s">
        <v>146</v>
      </c>
      <c r="G47" t="s">
        <v>495</v>
      </c>
      <c r="H47">
        <v>2</v>
      </c>
      <c r="I47">
        <v>5</v>
      </c>
      <c r="J47">
        <v>0</v>
      </c>
      <c r="K47">
        <v>2</v>
      </c>
      <c r="L47">
        <v>0</v>
      </c>
      <c r="M47">
        <v>1</v>
      </c>
      <c r="N47" t="s">
        <v>681</v>
      </c>
      <c r="O47" t="s">
        <v>791</v>
      </c>
      <c r="P47">
        <v>2</v>
      </c>
    </row>
    <row r="48" spans="1:19" x14ac:dyDescent="0.2">
      <c r="A48" t="s">
        <v>503</v>
      </c>
      <c r="B48" t="s">
        <v>504</v>
      </c>
      <c r="C48" t="s">
        <v>505</v>
      </c>
      <c r="D48" t="s">
        <v>506</v>
      </c>
      <c r="E48" t="s">
        <v>120</v>
      </c>
      <c r="F48" t="s">
        <v>121</v>
      </c>
      <c r="G48" t="s">
        <v>488</v>
      </c>
      <c r="H48">
        <v>3</v>
      </c>
      <c r="I48">
        <v>6</v>
      </c>
      <c r="J48">
        <v>0</v>
      </c>
      <c r="K48">
        <v>0</v>
      </c>
      <c r="L48">
        <v>0</v>
      </c>
      <c r="M48">
        <v>0</v>
      </c>
      <c r="N48" t="s">
        <v>489</v>
      </c>
      <c r="O48" t="s">
        <v>507</v>
      </c>
      <c r="P48">
        <v>3</v>
      </c>
      <c r="Q48" t="s">
        <v>508</v>
      </c>
      <c r="R48">
        <v>2</v>
      </c>
      <c r="S48" t="s">
        <v>509</v>
      </c>
    </row>
    <row r="49" spans="1:19" x14ac:dyDescent="0.2">
      <c r="A49" t="s">
        <v>536</v>
      </c>
      <c r="B49" t="s">
        <v>537</v>
      </c>
      <c r="C49" t="s">
        <v>538</v>
      </c>
      <c r="D49" t="s">
        <v>539</v>
      </c>
      <c r="E49" t="s">
        <v>120</v>
      </c>
      <c r="F49" t="s">
        <v>121</v>
      </c>
      <c r="G49" t="s">
        <v>488</v>
      </c>
      <c r="H49">
        <v>3</v>
      </c>
      <c r="I49">
        <v>6</v>
      </c>
      <c r="J49">
        <v>2</v>
      </c>
      <c r="K49">
        <v>0</v>
      </c>
      <c r="L49">
        <v>0</v>
      </c>
      <c r="M49">
        <v>0</v>
      </c>
      <c r="N49" t="s">
        <v>489</v>
      </c>
      <c r="O49" t="s">
        <v>540</v>
      </c>
      <c r="P49">
        <v>3</v>
      </c>
      <c r="Q49" t="s">
        <v>515</v>
      </c>
      <c r="R49">
        <v>3</v>
      </c>
      <c r="S49" t="s">
        <v>541</v>
      </c>
    </row>
    <row r="50" spans="1:19" x14ac:dyDescent="0.2">
      <c r="A50" t="s">
        <v>559</v>
      </c>
      <c r="B50" t="s">
        <v>560</v>
      </c>
      <c r="C50" t="s">
        <v>561</v>
      </c>
      <c r="D50" t="s">
        <v>562</v>
      </c>
      <c r="E50" t="s">
        <v>125</v>
      </c>
      <c r="F50" t="s">
        <v>126</v>
      </c>
      <c r="G50" t="s">
        <v>488</v>
      </c>
      <c r="H50">
        <v>3</v>
      </c>
      <c r="I50">
        <v>9</v>
      </c>
      <c r="J50">
        <v>0</v>
      </c>
      <c r="K50">
        <v>0</v>
      </c>
      <c r="L50">
        <v>0</v>
      </c>
      <c r="M50">
        <v>2</v>
      </c>
      <c r="N50" t="s">
        <v>489</v>
      </c>
      <c r="O50" t="s">
        <v>563</v>
      </c>
      <c r="P50">
        <v>3</v>
      </c>
    </row>
    <row r="51" spans="1:19" x14ac:dyDescent="0.2">
      <c r="A51" t="s">
        <v>633</v>
      </c>
      <c r="B51" t="s">
        <v>634</v>
      </c>
      <c r="C51" t="s">
        <v>635</v>
      </c>
      <c r="D51" t="s">
        <v>636</v>
      </c>
      <c r="E51" t="s">
        <v>130</v>
      </c>
      <c r="F51" t="s">
        <v>131</v>
      </c>
      <c r="G51" t="s">
        <v>488</v>
      </c>
      <c r="H51">
        <v>3</v>
      </c>
      <c r="I51">
        <v>6</v>
      </c>
      <c r="J51">
        <v>2</v>
      </c>
      <c r="K51">
        <v>0</v>
      </c>
      <c r="L51">
        <v>0</v>
      </c>
      <c r="M51">
        <v>0</v>
      </c>
      <c r="N51" t="s">
        <v>489</v>
      </c>
      <c r="O51" t="s">
        <v>637</v>
      </c>
      <c r="P51">
        <v>3</v>
      </c>
    </row>
    <row r="52" spans="1:19" x14ac:dyDescent="0.2">
      <c r="A52" t="s">
        <v>643</v>
      </c>
      <c r="B52" t="s">
        <v>644</v>
      </c>
      <c r="C52" t="s">
        <v>645</v>
      </c>
      <c r="D52" t="s">
        <v>646</v>
      </c>
      <c r="E52" t="s">
        <v>130</v>
      </c>
      <c r="F52" t="s">
        <v>131</v>
      </c>
      <c r="G52" t="s">
        <v>488</v>
      </c>
      <c r="H52">
        <v>3</v>
      </c>
      <c r="I52">
        <v>7</v>
      </c>
      <c r="J52">
        <v>1</v>
      </c>
      <c r="K52">
        <v>0</v>
      </c>
      <c r="L52">
        <v>0</v>
      </c>
      <c r="M52">
        <v>0</v>
      </c>
      <c r="N52" t="s">
        <v>568</v>
      </c>
      <c r="O52" t="s">
        <v>647</v>
      </c>
      <c r="P52">
        <v>3</v>
      </c>
      <c r="Q52" t="s">
        <v>534</v>
      </c>
      <c r="R52">
        <v>3</v>
      </c>
      <c r="S52" t="s">
        <v>648</v>
      </c>
    </row>
    <row r="53" spans="1:19" x14ac:dyDescent="0.2">
      <c r="A53" t="s">
        <v>665</v>
      </c>
      <c r="B53" t="s">
        <v>666</v>
      </c>
      <c r="C53" t="s">
        <v>667</v>
      </c>
      <c r="D53" t="s">
        <v>668</v>
      </c>
      <c r="E53" t="s">
        <v>135</v>
      </c>
      <c r="F53" t="s">
        <v>136</v>
      </c>
      <c r="G53" t="s">
        <v>526</v>
      </c>
      <c r="H53">
        <v>3</v>
      </c>
      <c r="I53">
        <v>0</v>
      </c>
      <c r="J53">
        <v>6</v>
      </c>
      <c r="K53">
        <v>0</v>
      </c>
      <c r="L53">
        <v>0</v>
      </c>
      <c r="M53">
        <v>0</v>
      </c>
      <c r="N53" t="s">
        <v>658</v>
      </c>
      <c r="O53" t="s">
        <v>669</v>
      </c>
      <c r="P53">
        <v>3</v>
      </c>
      <c r="Q53" t="s">
        <v>670</v>
      </c>
      <c r="R53">
        <v>3</v>
      </c>
      <c r="S53" t="s">
        <v>671</v>
      </c>
    </row>
    <row r="54" spans="1:19" x14ac:dyDescent="0.2">
      <c r="A54" t="s">
        <v>694</v>
      </c>
      <c r="B54" t="s">
        <v>695</v>
      </c>
      <c r="C54" t="s">
        <v>696</v>
      </c>
      <c r="D54" t="s">
        <v>697</v>
      </c>
      <c r="E54" t="s">
        <v>135</v>
      </c>
      <c r="F54" t="s">
        <v>136</v>
      </c>
      <c r="G54" t="s">
        <v>526</v>
      </c>
      <c r="H54">
        <v>3</v>
      </c>
      <c r="I54">
        <v>0</v>
      </c>
      <c r="J54">
        <v>6</v>
      </c>
      <c r="K54">
        <v>0</v>
      </c>
      <c r="L54">
        <v>0</v>
      </c>
      <c r="M54">
        <v>-1</v>
      </c>
      <c r="N54" t="s">
        <v>658</v>
      </c>
      <c r="O54" t="s">
        <v>698</v>
      </c>
      <c r="P54">
        <v>3</v>
      </c>
      <c r="R54">
        <v>3</v>
      </c>
    </row>
    <row r="55" spans="1:19" x14ac:dyDescent="0.2">
      <c r="A55" t="s">
        <v>740</v>
      </c>
      <c r="B55" t="s">
        <v>741</v>
      </c>
      <c r="C55" t="s">
        <v>742</v>
      </c>
      <c r="D55" t="s">
        <v>743</v>
      </c>
      <c r="E55" t="s">
        <v>140</v>
      </c>
      <c r="F55" t="s">
        <v>141</v>
      </c>
      <c r="G55" t="s">
        <v>526</v>
      </c>
      <c r="H55">
        <v>3</v>
      </c>
      <c r="I55">
        <v>0</v>
      </c>
      <c r="J55">
        <v>9</v>
      </c>
      <c r="K55">
        <v>0</v>
      </c>
      <c r="L55">
        <v>0</v>
      </c>
      <c r="M55">
        <v>3</v>
      </c>
      <c r="N55" t="s">
        <v>489</v>
      </c>
      <c r="O55" t="s">
        <v>744</v>
      </c>
      <c r="P55">
        <v>3</v>
      </c>
      <c r="Q55" t="s">
        <v>670</v>
      </c>
      <c r="R55">
        <v>3</v>
      </c>
      <c r="S55" t="s">
        <v>671</v>
      </c>
    </row>
  </sheetData>
  <autoFilter ref="A1:S55" xr:uid="{00000000-0001-0000-0600-000000000000}">
    <sortState xmlns:xlrd2="http://schemas.microsoft.com/office/spreadsheetml/2017/richdata2" ref="A2:S55">
      <sortCondition ref="H1:H55"/>
    </sortState>
  </autoFilter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F6"/>
  <sheetViews>
    <sheetView zoomScaleNormal="100" workbookViewId="0">
      <pane xSplit="1" ySplit="1" topLeftCell="B2" activePane="bottomRight" state="frozen"/>
      <selection pane="bottomLeft" activeCell="A2" sqref="A2"/>
      <selection pane="topRight" activeCell="B1" sqref="B1"/>
      <selection pane="bottomRight" activeCell="E10" sqref="E10"/>
    </sheetView>
  </sheetViews>
  <sheetFormatPr defaultColWidth="8.7421875" defaultRowHeight="15" x14ac:dyDescent="0.2"/>
  <cols>
    <col min="1" max="1" width="9.953125" customWidth="1"/>
    <col min="2" max="2" width="13.98828125" customWidth="1"/>
    <col min="3" max="3" width="9.953125" customWidth="1"/>
    <col min="4" max="4" width="11.97265625" customWidth="1"/>
    <col min="5" max="5" width="59.99609375" customWidth="1"/>
    <col min="6" max="6" width="16.6796875" customWidth="1"/>
  </cols>
  <sheetData>
    <row r="1" spans="1:6" ht="31.5" customHeight="1" x14ac:dyDescent="0.2">
      <c r="A1" s="2" t="s">
        <v>792</v>
      </c>
      <c r="B1" s="2" t="s">
        <v>793</v>
      </c>
      <c r="C1" s="2" t="s">
        <v>794</v>
      </c>
      <c r="D1" s="2" t="s">
        <v>117</v>
      </c>
      <c r="E1" s="2" t="s">
        <v>795</v>
      </c>
      <c r="F1" s="2" t="s">
        <v>796</v>
      </c>
    </row>
    <row r="2" spans="1:6" ht="16.5" customHeight="1" x14ac:dyDescent="0.35">
      <c r="A2" s="4" t="s">
        <v>797</v>
      </c>
      <c r="B2" s="4" t="s">
        <v>681</v>
      </c>
      <c r="C2" s="6" t="s">
        <v>798</v>
      </c>
      <c r="D2" s="4" t="s">
        <v>799</v>
      </c>
      <c r="E2" s="4" t="s">
        <v>800</v>
      </c>
      <c r="F2" s="4">
        <v>5</v>
      </c>
    </row>
    <row r="3" spans="1:6" ht="16.5" customHeight="1" x14ac:dyDescent="0.35">
      <c r="A3" s="4" t="s">
        <v>801</v>
      </c>
      <c r="B3" s="4" t="s">
        <v>568</v>
      </c>
      <c r="C3" s="6" t="s">
        <v>802</v>
      </c>
      <c r="D3" s="4" t="s">
        <v>803</v>
      </c>
      <c r="E3" s="4" t="s">
        <v>804</v>
      </c>
      <c r="F3" s="4">
        <v>10</v>
      </c>
    </row>
    <row r="4" spans="1:6" ht="16.5" customHeight="1" x14ac:dyDescent="0.35">
      <c r="A4" s="4" t="s">
        <v>805</v>
      </c>
      <c r="B4" s="4" t="s">
        <v>532</v>
      </c>
      <c r="C4" s="6" t="s">
        <v>806</v>
      </c>
      <c r="D4" s="4" t="s">
        <v>807</v>
      </c>
      <c r="E4" s="4" t="s">
        <v>808</v>
      </c>
      <c r="F4" s="4">
        <v>15</v>
      </c>
    </row>
    <row r="5" spans="1:6" ht="16.5" customHeight="1" x14ac:dyDescent="0.35">
      <c r="A5" s="4" t="s">
        <v>809</v>
      </c>
      <c r="B5" s="4" t="s">
        <v>629</v>
      </c>
      <c r="C5" s="6" t="s">
        <v>810</v>
      </c>
      <c r="D5" s="4" t="s">
        <v>811</v>
      </c>
      <c r="E5" s="4" t="s">
        <v>812</v>
      </c>
      <c r="F5" s="4">
        <v>5</v>
      </c>
    </row>
    <row r="6" spans="1:6" ht="16.5" customHeight="1" x14ac:dyDescent="0.35">
      <c r="A6" s="4" t="s">
        <v>813</v>
      </c>
      <c r="B6" s="4" t="s">
        <v>658</v>
      </c>
      <c r="C6" s="6" t="s">
        <v>814</v>
      </c>
      <c r="D6" s="4" t="s">
        <v>815</v>
      </c>
      <c r="E6" s="4" t="s">
        <v>816</v>
      </c>
      <c r="F6" s="4">
        <v>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M32"/>
  <sheetViews>
    <sheetView zoomScaleNormal="100" workbookViewId="0">
      <pane xSplit="1" ySplit="1" topLeftCell="B2" activePane="bottomRight" state="frozen"/>
      <selection pane="bottomLeft" activeCell="A2" sqref="A2"/>
      <selection pane="topRight" activeCell="B1" sqref="B1"/>
      <selection pane="bottomRight" activeCell="K13" sqref="K13"/>
    </sheetView>
  </sheetViews>
  <sheetFormatPr defaultColWidth="8.7421875" defaultRowHeight="15" x14ac:dyDescent="0.2"/>
  <cols>
    <col min="1" max="1" width="7.93359375" customWidth="1"/>
    <col min="2" max="2" width="25.9609375" customWidth="1"/>
    <col min="3" max="3" width="16.0078125" customWidth="1"/>
    <col min="4" max="4" width="22.05859375" customWidth="1"/>
    <col min="5" max="5" width="13.046875" customWidth="1"/>
    <col min="6" max="6" width="9.01171875" customWidth="1"/>
    <col min="7" max="7" width="45.0625" customWidth="1"/>
    <col min="8" max="8" width="15.33203125" customWidth="1"/>
    <col min="9" max="9" width="13.44921875" customWidth="1"/>
    <col min="10" max="10" width="12.64453125" customWidth="1"/>
    <col min="11" max="11" width="20.04296875" customWidth="1"/>
    <col min="12" max="12" width="13.98828125" customWidth="1"/>
    <col min="13" max="13" width="13.046875" customWidth="1"/>
  </cols>
  <sheetData>
    <row r="1" spans="1:13" ht="31.5" customHeight="1" x14ac:dyDescent="0.2">
      <c r="A1" s="2" t="s">
        <v>817</v>
      </c>
      <c r="B1" s="2" t="s">
        <v>468</v>
      </c>
      <c r="C1" s="2" t="s">
        <v>469</v>
      </c>
      <c r="D1" s="2" t="s">
        <v>117</v>
      </c>
      <c r="E1" s="2" t="s">
        <v>818</v>
      </c>
      <c r="F1" s="2" t="s">
        <v>819</v>
      </c>
      <c r="G1" s="2" t="s">
        <v>820</v>
      </c>
      <c r="H1" s="2" t="s">
        <v>821</v>
      </c>
      <c r="I1" s="2" t="s">
        <v>822</v>
      </c>
      <c r="J1" s="2" t="s">
        <v>823</v>
      </c>
      <c r="K1" s="86" t="s">
        <v>824</v>
      </c>
      <c r="L1" s="86" t="s">
        <v>825</v>
      </c>
      <c r="M1" s="86" t="s">
        <v>826</v>
      </c>
    </row>
    <row r="2" spans="1:13" ht="16.5" customHeight="1" x14ac:dyDescent="0.35">
      <c r="A2" s="4" t="s">
        <v>827</v>
      </c>
      <c r="B2" s="4" t="s">
        <v>828</v>
      </c>
      <c r="C2" s="6" t="s">
        <v>829</v>
      </c>
      <c r="D2" s="4" t="s">
        <v>830</v>
      </c>
      <c r="E2" s="4" t="s">
        <v>805</v>
      </c>
      <c r="F2" s="5">
        <v>0.65</v>
      </c>
      <c r="G2" s="75" t="s">
        <v>831</v>
      </c>
      <c r="H2" s="79">
        <v>10</v>
      </c>
      <c r="I2" s="79">
        <v>0</v>
      </c>
      <c r="J2" s="79">
        <v>0</v>
      </c>
      <c r="K2" s="90" t="s">
        <v>832</v>
      </c>
      <c r="L2" s="90" t="s">
        <v>833</v>
      </c>
      <c r="M2" s="90">
        <v>10</v>
      </c>
    </row>
    <row r="3" spans="1:13" ht="16.5" customHeight="1" x14ac:dyDescent="0.35">
      <c r="A3" s="4" t="s">
        <v>834</v>
      </c>
      <c r="B3" s="4" t="s">
        <v>835</v>
      </c>
      <c r="C3" s="6" t="s">
        <v>836</v>
      </c>
      <c r="D3" s="4" t="s">
        <v>837</v>
      </c>
      <c r="E3" s="4" t="s">
        <v>809</v>
      </c>
      <c r="F3" s="5">
        <v>0.65</v>
      </c>
      <c r="G3" s="75" t="s">
        <v>838</v>
      </c>
      <c r="H3" s="79">
        <v>10</v>
      </c>
      <c r="I3" s="79">
        <v>0</v>
      </c>
      <c r="J3" s="79">
        <v>0</v>
      </c>
      <c r="K3" s="90" t="s">
        <v>832</v>
      </c>
      <c r="L3" s="90" t="s">
        <v>839</v>
      </c>
      <c r="M3" s="90">
        <v>1500</v>
      </c>
    </row>
    <row r="4" spans="1:13" ht="16.5" customHeight="1" x14ac:dyDescent="0.35">
      <c r="A4" s="4" t="s">
        <v>840</v>
      </c>
      <c r="B4" s="4" t="s">
        <v>841</v>
      </c>
      <c r="C4" s="6" t="s">
        <v>842</v>
      </c>
      <c r="D4" s="4" t="s">
        <v>843</v>
      </c>
      <c r="E4" s="4" t="s">
        <v>797</v>
      </c>
      <c r="F4" s="5">
        <v>0.35</v>
      </c>
      <c r="G4" s="4" t="s">
        <v>844</v>
      </c>
      <c r="H4" s="79">
        <v>5</v>
      </c>
      <c r="I4" s="79">
        <v>0</v>
      </c>
      <c r="J4" s="4">
        <v>25000</v>
      </c>
      <c r="K4" s="90" t="s">
        <v>845</v>
      </c>
      <c r="L4" s="90" t="s">
        <v>201</v>
      </c>
      <c r="M4" s="90">
        <v>5</v>
      </c>
    </row>
    <row r="5" spans="1:13" ht="16.5" customHeight="1" x14ac:dyDescent="0.35">
      <c r="A5" s="4" t="s">
        <v>846</v>
      </c>
      <c r="B5" s="4" t="s">
        <v>847</v>
      </c>
      <c r="C5" s="6" t="s">
        <v>848</v>
      </c>
      <c r="D5" s="4" t="s">
        <v>849</v>
      </c>
      <c r="E5" s="4" t="s">
        <v>797</v>
      </c>
      <c r="F5" s="92">
        <v>0.5</v>
      </c>
      <c r="G5" s="87" t="s">
        <v>850</v>
      </c>
      <c r="H5" s="93">
        <v>5</v>
      </c>
      <c r="I5" s="93">
        <v>0</v>
      </c>
      <c r="J5" s="93">
        <v>15000</v>
      </c>
      <c r="K5" s="90" t="s">
        <v>845</v>
      </c>
      <c r="L5" s="90" t="s">
        <v>211</v>
      </c>
      <c r="M5" s="90">
        <v>10</v>
      </c>
    </row>
    <row r="6" spans="1:13" ht="26.25" customHeight="1" x14ac:dyDescent="0.35">
      <c r="A6" s="4" t="s">
        <v>851</v>
      </c>
      <c r="B6" s="4" t="s">
        <v>852</v>
      </c>
      <c r="C6" s="6" t="s">
        <v>853</v>
      </c>
      <c r="D6" s="4" t="s">
        <v>854</v>
      </c>
      <c r="E6" s="4" t="s">
        <v>855</v>
      </c>
      <c r="F6" s="93">
        <v>15</v>
      </c>
      <c r="G6" s="87" t="s">
        <v>856</v>
      </c>
      <c r="H6" s="93">
        <v>5</v>
      </c>
      <c r="I6" s="93">
        <v>5</v>
      </c>
      <c r="J6" s="93">
        <v>0</v>
      </c>
      <c r="K6" s="90" t="s">
        <v>832</v>
      </c>
      <c r="L6" s="90" t="s">
        <v>839</v>
      </c>
      <c r="M6" s="90">
        <v>1000</v>
      </c>
    </row>
    <row r="7" spans="1:13" ht="26.25" customHeight="1" x14ac:dyDescent="0.35">
      <c r="A7" s="4" t="s">
        <v>857</v>
      </c>
      <c r="B7" s="4" t="s">
        <v>858</v>
      </c>
      <c r="C7" s="6" t="s">
        <v>859</v>
      </c>
      <c r="D7" s="4" t="s">
        <v>860</v>
      </c>
      <c r="E7" s="4" t="s">
        <v>861</v>
      </c>
      <c r="F7" s="93">
        <v>20</v>
      </c>
      <c r="G7" s="87" t="s">
        <v>862</v>
      </c>
      <c r="H7" s="93">
        <v>5</v>
      </c>
      <c r="I7" s="93">
        <v>0</v>
      </c>
      <c r="J7" s="93">
        <v>0</v>
      </c>
      <c r="K7" s="90" t="s">
        <v>832</v>
      </c>
      <c r="L7" s="90" t="s">
        <v>833</v>
      </c>
      <c r="M7" s="90">
        <v>15</v>
      </c>
    </row>
    <row r="8" spans="1:13" ht="32.25" customHeight="1" x14ac:dyDescent="0.35">
      <c r="A8" s="4" t="s">
        <v>863</v>
      </c>
      <c r="B8" s="4" t="s">
        <v>864</v>
      </c>
      <c r="C8" s="6" t="s">
        <v>865</v>
      </c>
      <c r="D8" s="4" t="s">
        <v>866</v>
      </c>
      <c r="E8" s="4" t="s">
        <v>867</v>
      </c>
      <c r="F8" s="93">
        <v>15</v>
      </c>
      <c r="G8" s="87" t="s">
        <v>868</v>
      </c>
      <c r="H8" s="93">
        <v>15</v>
      </c>
      <c r="I8" s="93">
        <v>0</v>
      </c>
      <c r="J8" s="93">
        <v>20000</v>
      </c>
      <c r="K8" s="90" t="s">
        <v>869</v>
      </c>
      <c r="L8" s="90" t="s">
        <v>211</v>
      </c>
      <c r="M8" s="90">
        <v>1</v>
      </c>
    </row>
    <row r="9" spans="1:13" ht="16.5" customHeight="1" x14ac:dyDescent="0.35">
      <c r="A9" s="4" t="s">
        <v>870</v>
      </c>
      <c r="B9" s="4" t="s">
        <v>871</v>
      </c>
      <c r="C9" s="6" t="s">
        <v>872</v>
      </c>
      <c r="D9" s="4" t="s">
        <v>873</v>
      </c>
      <c r="E9" s="4" t="s">
        <v>874</v>
      </c>
      <c r="F9" s="93">
        <v>10</v>
      </c>
      <c r="G9" s="87" t="s">
        <v>875</v>
      </c>
      <c r="H9" s="93">
        <v>0</v>
      </c>
      <c r="I9" s="93">
        <v>10</v>
      </c>
      <c r="J9" s="93">
        <v>0</v>
      </c>
      <c r="K9" s="90" t="s">
        <v>845</v>
      </c>
      <c r="L9" s="90" t="s">
        <v>195</v>
      </c>
      <c r="M9" s="90">
        <v>10</v>
      </c>
    </row>
    <row r="10" spans="1:13" ht="26.25" customHeight="1" x14ac:dyDescent="0.35">
      <c r="A10" s="4" t="s">
        <v>876</v>
      </c>
      <c r="B10" s="4" t="s">
        <v>877</v>
      </c>
      <c r="C10" s="6" t="s">
        <v>878</v>
      </c>
      <c r="D10" s="4" t="s">
        <v>879</v>
      </c>
      <c r="E10" s="4" t="s">
        <v>801</v>
      </c>
      <c r="F10" s="92">
        <v>0.6</v>
      </c>
      <c r="G10" s="87" t="s">
        <v>880</v>
      </c>
      <c r="H10" s="93">
        <v>0</v>
      </c>
      <c r="I10" s="93">
        <v>10</v>
      </c>
      <c r="J10" s="93">
        <v>0</v>
      </c>
      <c r="K10" s="90" t="s">
        <v>832</v>
      </c>
      <c r="L10" s="90" t="s">
        <v>881</v>
      </c>
      <c r="M10" s="90">
        <v>5</v>
      </c>
    </row>
    <row r="11" spans="1:13" ht="39" customHeight="1" x14ac:dyDescent="0.35">
      <c r="A11" s="4" t="s">
        <v>882</v>
      </c>
      <c r="B11" s="4" t="s">
        <v>883</v>
      </c>
      <c r="C11" s="6" t="s">
        <v>884</v>
      </c>
      <c r="D11" s="4" t="s">
        <v>885</v>
      </c>
      <c r="E11" s="4" t="s">
        <v>886</v>
      </c>
      <c r="F11" s="93">
        <v>5</v>
      </c>
      <c r="G11" s="87" t="s">
        <v>887</v>
      </c>
      <c r="H11" s="93">
        <v>0</v>
      </c>
      <c r="I11" s="93">
        <v>0</v>
      </c>
      <c r="J11" s="93">
        <v>10000</v>
      </c>
      <c r="K11" s="90" t="s">
        <v>888</v>
      </c>
      <c r="L11" s="90" t="s">
        <v>889</v>
      </c>
      <c r="M11" s="90">
        <v>0.1</v>
      </c>
    </row>
    <row r="12" spans="1:13" ht="26.85" customHeight="1" x14ac:dyDescent="0.35">
      <c r="A12" s="4" t="s">
        <v>890</v>
      </c>
      <c r="B12" s="4" t="s">
        <v>891</v>
      </c>
      <c r="C12" s="11" t="s">
        <v>892</v>
      </c>
      <c r="D12" s="4" t="s">
        <v>893</v>
      </c>
      <c r="E12" s="4" t="s">
        <v>886</v>
      </c>
      <c r="F12" s="93">
        <v>20</v>
      </c>
      <c r="G12" s="87" t="s">
        <v>894</v>
      </c>
      <c r="H12" s="93">
        <v>5</v>
      </c>
      <c r="I12" s="93">
        <v>0</v>
      </c>
      <c r="J12" s="93">
        <v>0</v>
      </c>
      <c r="K12" s="90" t="s">
        <v>832</v>
      </c>
      <c r="L12" s="90" t="s">
        <v>895</v>
      </c>
      <c r="M12" s="90">
        <v>2</v>
      </c>
    </row>
    <row r="13" spans="1:13" ht="26.85" customHeight="1" x14ac:dyDescent="0.35">
      <c r="A13" s="4" t="s">
        <v>896</v>
      </c>
      <c r="B13" s="4" t="s">
        <v>897</v>
      </c>
      <c r="C13" s="11" t="s">
        <v>898</v>
      </c>
      <c r="D13" s="4" t="s">
        <v>899</v>
      </c>
      <c r="E13" s="4" t="s">
        <v>874</v>
      </c>
      <c r="F13" s="93">
        <v>20</v>
      </c>
      <c r="G13" s="87" t="s">
        <v>900</v>
      </c>
      <c r="H13" s="93">
        <v>0</v>
      </c>
      <c r="I13" s="93">
        <v>15</v>
      </c>
      <c r="J13" s="93">
        <v>0</v>
      </c>
      <c r="K13" s="90" t="s">
        <v>888</v>
      </c>
      <c r="L13" s="90" t="s">
        <v>901</v>
      </c>
      <c r="M13" s="90">
        <v>0.15</v>
      </c>
    </row>
    <row r="14" spans="1:13" ht="26.85" customHeight="1" x14ac:dyDescent="0.35">
      <c r="A14" s="4" t="s">
        <v>902</v>
      </c>
      <c r="B14" s="4" t="s">
        <v>903</v>
      </c>
      <c r="C14" s="11" t="s">
        <v>904</v>
      </c>
      <c r="D14" s="4" t="s">
        <v>905</v>
      </c>
      <c r="E14" s="4" t="s">
        <v>906</v>
      </c>
      <c r="F14" s="93">
        <v>15</v>
      </c>
      <c r="G14" s="87" t="s">
        <v>907</v>
      </c>
      <c r="H14" s="93">
        <v>5</v>
      </c>
      <c r="I14" s="93">
        <v>5</v>
      </c>
      <c r="J14" s="93">
        <v>0</v>
      </c>
      <c r="K14" s="90" t="s">
        <v>845</v>
      </c>
      <c r="L14" s="90" t="s">
        <v>250</v>
      </c>
      <c r="M14" s="90">
        <v>10</v>
      </c>
    </row>
    <row r="15" spans="1:13" ht="26.85" customHeight="1" x14ac:dyDescent="0.35">
      <c r="A15" s="4" t="s">
        <v>908</v>
      </c>
      <c r="B15" s="4" t="s">
        <v>909</v>
      </c>
      <c r="C15" s="11" t="s">
        <v>910</v>
      </c>
      <c r="D15" s="4" t="s">
        <v>911</v>
      </c>
      <c r="E15" s="4" t="s">
        <v>805</v>
      </c>
      <c r="F15" s="92">
        <v>0.5</v>
      </c>
      <c r="G15" s="87" t="s">
        <v>912</v>
      </c>
      <c r="H15" s="93">
        <v>0</v>
      </c>
      <c r="I15" s="93">
        <v>5</v>
      </c>
      <c r="J15" s="93">
        <v>0</v>
      </c>
      <c r="K15" s="90" t="s">
        <v>913</v>
      </c>
      <c r="L15" s="90" t="s">
        <v>206</v>
      </c>
      <c r="M15" s="90">
        <v>1</v>
      </c>
    </row>
    <row r="16" spans="1:13" ht="26.85" customHeight="1" x14ac:dyDescent="0.35">
      <c r="A16" s="4" t="s">
        <v>914</v>
      </c>
      <c r="B16" s="4" t="s">
        <v>915</v>
      </c>
      <c r="C16" s="11" t="s">
        <v>916</v>
      </c>
      <c r="D16" s="4" t="s">
        <v>917</v>
      </c>
      <c r="E16" s="4" t="s">
        <v>855</v>
      </c>
      <c r="F16" s="93">
        <v>25</v>
      </c>
      <c r="G16" s="87" t="s">
        <v>918</v>
      </c>
      <c r="H16" s="93">
        <v>5</v>
      </c>
      <c r="I16" s="93">
        <v>0</v>
      </c>
      <c r="J16" s="93">
        <v>0</v>
      </c>
      <c r="K16" s="90" t="s">
        <v>832</v>
      </c>
      <c r="L16" s="90" t="s">
        <v>839</v>
      </c>
      <c r="M16" s="90">
        <v>2000</v>
      </c>
    </row>
    <row r="17" spans="1:13" ht="32.25" x14ac:dyDescent="0.35">
      <c r="A17" s="4" t="s">
        <v>919</v>
      </c>
      <c r="B17" s="4" t="s">
        <v>920</v>
      </c>
      <c r="C17" s="94" t="s">
        <v>921</v>
      </c>
      <c r="D17" s="87" t="s">
        <v>922</v>
      </c>
      <c r="E17" s="4" t="s">
        <v>886</v>
      </c>
      <c r="F17" s="93">
        <v>30</v>
      </c>
      <c r="G17" s="87" t="s">
        <v>923</v>
      </c>
      <c r="H17" s="93">
        <v>10</v>
      </c>
      <c r="I17" s="93">
        <v>10</v>
      </c>
      <c r="J17" s="93">
        <v>0</v>
      </c>
      <c r="K17" s="90" t="s">
        <v>845</v>
      </c>
      <c r="L17" s="90" t="s">
        <v>221</v>
      </c>
      <c r="M17" s="90">
        <v>15</v>
      </c>
    </row>
    <row r="18" spans="1:13" ht="29.25" x14ac:dyDescent="0.35">
      <c r="A18" s="4" t="s">
        <v>924</v>
      </c>
      <c r="B18" s="4" t="s">
        <v>925</v>
      </c>
      <c r="C18" s="94" t="s">
        <v>926</v>
      </c>
      <c r="D18" s="87" t="s">
        <v>927</v>
      </c>
      <c r="E18" s="4" t="s">
        <v>874</v>
      </c>
      <c r="F18" s="93">
        <v>30</v>
      </c>
      <c r="G18" s="87" t="s">
        <v>928</v>
      </c>
      <c r="H18" s="93">
        <v>0</v>
      </c>
      <c r="I18" s="93">
        <v>15</v>
      </c>
      <c r="J18" s="93">
        <v>0</v>
      </c>
      <c r="K18" s="90" t="s">
        <v>832</v>
      </c>
      <c r="L18" s="90" t="s">
        <v>881</v>
      </c>
      <c r="M18" s="90">
        <v>3</v>
      </c>
    </row>
    <row r="19" spans="1:13" ht="32.25" x14ac:dyDescent="0.35">
      <c r="A19" s="4" t="s">
        <v>929</v>
      </c>
      <c r="B19" s="4" t="s">
        <v>930</v>
      </c>
      <c r="C19" s="94" t="s">
        <v>931</v>
      </c>
      <c r="D19" s="87" t="s">
        <v>932</v>
      </c>
      <c r="E19" s="4" t="s">
        <v>933</v>
      </c>
      <c r="F19" s="93">
        <v>15</v>
      </c>
      <c r="G19" s="87" t="s">
        <v>894</v>
      </c>
      <c r="H19" s="93">
        <v>0</v>
      </c>
      <c r="I19" s="93">
        <v>0</v>
      </c>
      <c r="J19" s="93">
        <v>5000</v>
      </c>
      <c r="K19" s="90" t="s">
        <v>832</v>
      </c>
      <c r="L19" s="90" t="s">
        <v>895</v>
      </c>
      <c r="M19" s="90">
        <v>2</v>
      </c>
    </row>
    <row r="20" spans="1:13" ht="32.25" x14ac:dyDescent="0.35">
      <c r="A20" s="4" t="s">
        <v>934</v>
      </c>
      <c r="B20" s="4" t="s">
        <v>935</v>
      </c>
      <c r="C20" s="94" t="s">
        <v>936</v>
      </c>
      <c r="D20" s="87" t="s">
        <v>937</v>
      </c>
      <c r="E20" s="4" t="s">
        <v>906</v>
      </c>
      <c r="F20" s="93">
        <v>25</v>
      </c>
      <c r="G20" s="87" t="s">
        <v>938</v>
      </c>
      <c r="H20" s="93">
        <v>5</v>
      </c>
      <c r="I20" s="93">
        <v>10</v>
      </c>
      <c r="J20" s="93">
        <v>0</v>
      </c>
      <c r="K20" s="90" t="s">
        <v>845</v>
      </c>
      <c r="L20" s="90" t="s">
        <v>258</v>
      </c>
      <c r="M20" s="90">
        <v>10</v>
      </c>
    </row>
    <row r="21" spans="1:13" ht="32.25" x14ac:dyDescent="0.35">
      <c r="A21" s="4" t="s">
        <v>939</v>
      </c>
      <c r="B21" s="4" t="s">
        <v>940</v>
      </c>
      <c r="C21" s="94" t="s">
        <v>941</v>
      </c>
      <c r="D21" s="87" t="s">
        <v>942</v>
      </c>
      <c r="E21" s="4" t="s">
        <v>943</v>
      </c>
      <c r="F21" s="93">
        <v>20</v>
      </c>
      <c r="G21" s="87" t="s">
        <v>944</v>
      </c>
      <c r="H21" s="93">
        <v>5</v>
      </c>
      <c r="I21" s="93">
        <v>0</v>
      </c>
      <c r="J21" s="93">
        <v>0</v>
      </c>
      <c r="K21" s="90" t="s">
        <v>832</v>
      </c>
      <c r="L21" s="90" t="s">
        <v>839</v>
      </c>
      <c r="M21" s="90">
        <v>2500</v>
      </c>
    </row>
    <row r="22" spans="1:13" ht="28.5" customHeight="1" x14ac:dyDescent="0.35">
      <c r="A22" s="4" t="s">
        <v>945</v>
      </c>
      <c r="B22" s="4" t="s">
        <v>946</v>
      </c>
      <c r="C22" s="94" t="s">
        <v>947</v>
      </c>
      <c r="D22" s="87" t="s">
        <v>948</v>
      </c>
      <c r="E22" s="4" t="s">
        <v>949</v>
      </c>
      <c r="F22" s="93">
        <v>15</v>
      </c>
      <c r="G22" s="87" t="s">
        <v>950</v>
      </c>
      <c r="H22" s="93">
        <v>0</v>
      </c>
      <c r="I22" s="93">
        <v>5</v>
      </c>
      <c r="J22" s="93">
        <v>0</v>
      </c>
      <c r="K22" s="90" t="s">
        <v>913</v>
      </c>
      <c r="L22" s="90" t="s">
        <v>183</v>
      </c>
      <c r="M22" s="90">
        <v>1</v>
      </c>
    </row>
    <row r="23" spans="1:13" ht="29.25" x14ac:dyDescent="0.35">
      <c r="A23" s="4" t="s">
        <v>951</v>
      </c>
      <c r="B23" s="4" t="s">
        <v>952</v>
      </c>
      <c r="C23" s="94" t="s">
        <v>953</v>
      </c>
      <c r="D23" s="87" t="s">
        <v>954</v>
      </c>
      <c r="E23" s="4" t="s">
        <v>955</v>
      </c>
      <c r="F23" s="93">
        <v>15</v>
      </c>
      <c r="G23" s="87" t="s">
        <v>956</v>
      </c>
      <c r="H23" s="93">
        <v>5</v>
      </c>
      <c r="I23" s="93">
        <v>5</v>
      </c>
      <c r="J23" s="93">
        <v>0</v>
      </c>
      <c r="K23" s="90" t="s">
        <v>845</v>
      </c>
      <c r="L23" s="90" t="s">
        <v>242</v>
      </c>
      <c r="M23" s="90">
        <v>10</v>
      </c>
    </row>
    <row r="24" spans="1:13" ht="32.25" x14ac:dyDescent="0.35">
      <c r="A24" s="4" t="s">
        <v>957</v>
      </c>
      <c r="B24" s="4" t="s">
        <v>958</v>
      </c>
      <c r="C24" s="94" t="s">
        <v>959</v>
      </c>
      <c r="D24" s="87" t="s">
        <v>960</v>
      </c>
      <c r="E24" s="4" t="s">
        <v>867</v>
      </c>
      <c r="F24" s="93">
        <v>25</v>
      </c>
      <c r="G24" s="87" t="s">
        <v>961</v>
      </c>
      <c r="H24" s="93">
        <v>10</v>
      </c>
      <c r="I24" s="93">
        <v>0</v>
      </c>
      <c r="J24" s="93">
        <v>20000</v>
      </c>
      <c r="K24" s="90" t="s">
        <v>845</v>
      </c>
      <c r="L24" s="90" t="s">
        <v>201</v>
      </c>
      <c r="M24" s="90">
        <v>10</v>
      </c>
    </row>
    <row r="25" spans="1:13" ht="17.25" x14ac:dyDescent="0.35">
      <c r="A25" s="4" t="s">
        <v>962</v>
      </c>
      <c r="B25" s="4" t="s">
        <v>858</v>
      </c>
      <c r="C25" s="94" t="s">
        <v>963</v>
      </c>
      <c r="D25" s="87" t="s">
        <v>964</v>
      </c>
      <c r="E25" s="4" t="s">
        <v>861</v>
      </c>
      <c r="F25" s="93">
        <v>30</v>
      </c>
      <c r="G25" s="87" t="s">
        <v>965</v>
      </c>
      <c r="H25" s="93">
        <v>5</v>
      </c>
      <c r="I25" s="93">
        <v>10</v>
      </c>
      <c r="J25" s="93">
        <v>0</v>
      </c>
      <c r="K25" s="90" t="s">
        <v>845</v>
      </c>
      <c r="L25" s="90" t="s">
        <v>190</v>
      </c>
      <c r="M25" s="90">
        <v>10</v>
      </c>
    </row>
    <row r="26" spans="1:13" ht="29.25" x14ac:dyDescent="0.35">
      <c r="A26" s="4" t="s">
        <v>966</v>
      </c>
      <c r="B26" s="4" t="s">
        <v>852</v>
      </c>
      <c r="C26" s="94" t="s">
        <v>967</v>
      </c>
      <c r="D26" s="87" t="s">
        <v>968</v>
      </c>
      <c r="E26" s="4" t="s">
        <v>855</v>
      </c>
      <c r="F26" s="93">
        <v>30</v>
      </c>
      <c r="G26" s="87" t="s">
        <v>969</v>
      </c>
      <c r="H26" s="93">
        <v>5</v>
      </c>
      <c r="I26" s="93">
        <v>5</v>
      </c>
      <c r="J26" s="93">
        <v>0</v>
      </c>
      <c r="K26" s="90" t="s">
        <v>845</v>
      </c>
      <c r="L26" s="90" t="s">
        <v>230</v>
      </c>
      <c r="M26" s="90">
        <v>10</v>
      </c>
    </row>
    <row r="27" spans="1:13" ht="18.75" x14ac:dyDescent="0.35">
      <c r="A27" s="90" t="s">
        <v>970</v>
      </c>
      <c r="B27" s="90" t="s">
        <v>971</v>
      </c>
      <c r="C27" s="95" t="s">
        <v>972</v>
      </c>
      <c r="D27" s="90" t="s">
        <v>973</v>
      </c>
      <c r="E27" s="90" t="s">
        <v>974</v>
      </c>
      <c r="F27" s="96">
        <v>15</v>
      </c>
      <c r="G27" s="88" t="s">
        <v>975</v>
      </c>
      <c r="H27" s="96">
        <v>0</v>
      </c>
      <c r="I27" s="96">
        <v>5</v>
      </c>
      <c r="J27" s="96">
        <v>0</v>
      </c>
      <c r="K27" s="90" t="s">
        <v>913</v>
      </c>
      <c r="L27" s="90" t="s">
        <v>275</v>
      </c>
      <c r="M27" s="90">
        <v>1</v>
      </c>
    </row>
    <row r="28" spans="1:13" ht="18.75" x14ac:dyDescent="0.35">
      <c r="A28" s="90" t="s">
        <v>976</v>
      </c>
      <c r="B28" s="90" t="s">
        <v>977</v>
      </c>
      <c r="C28" s="95" t="s">
        <v>978</v>
      </c>
      <c r="D28" s="90" t="s">
        <v>979</v>
      </c>
      <c r="E28" s="90" t="s">
        <v>980</v>
      </c>
      <c r="F28" s="96">
        <v>15</v>
      </c>
      <c r="G28" s="88" t="s">
        <v>981</v>
      </c>
      <c r="H28" s="96">
        <v>0</v>
      </c>
      <c r="I28" s="96">
        <v>5</v>
      </c>
      <c r="J28" s="96">
        <v>0</v>
      </c>
      <c r="K28" s="90" t="s">
        <v>845</v>
      </c>
      <c r="L28" s="90" t="s">
        <v>206</v>
      </c>
      <c r="M28" s="90">
        <v>10</v>
      </c>
    </row>
    <row r="29" spans="1:13" ht="18.75" x14ac:dyDescent="0.35">
      <c r="A29" s="90" t="s">
        <v>982</v>
      </c>
      <c r="B29" s="90" t="s">
        <v>983</v>
      </c>
      <c r="C29" s="95" t="s">
        <v>984</v>
      </c>
      <c r="D29" s="90" t="s">
        <v>985</v>
      </c>
      <c r="E29" s="90" t="s">
        <v>986</v>
      </c>
      <c r="F29" s="96">
        <v>15</v>
      </c>
      <c r="G29" s="88" t="s">
        <v>838</v>
      </c>
      <c r="H29" s="96">
        <v>5</v>
      </c>
      <c r="I29" s="96">
        <v>0</v>
      </c>
      <c r="J29" s="96">
        <v>0</v>
      </c>
      <c r="K29" s="90" t="s">
        <v>832</v>
      </c>
      <c r="L29" s="90" t="s">
        <v>839</v>
      </c>
      <c r="M29" s="90">
        <v>1500</v>
      </c>
    </row>
    <row r="30" spans="1:13" ht="18.75" x14ac:dyDescent="0.35">
      <c r="A30" s="90" t="s">
        <v>987</v>
      </c>
      <c r="B30" s="90" t="s">
        <v>988</v>
      </c>
      <c r="C30" s="95" t="s">
        <v>989</v>
      </c>
      <c r="D30" s="90" t="s">
        <v>990</v>
      </c>
      <c r="E30" s="90" t="s">
        <v>991</v>
      </c>
      <c r="F30" s="96">
        <v>15</v>
      </c>
      <c r="G30" s="88" t="s">
        <v>992</v>
      </c>
      <c r="H30" s="96">
        <v>0</v>
      </c>
      <c r="I30" s="96">
        <v>5</v>
      </c>
      <c r="J30" s="96">
        <v>0</v>
      </c>
      <c r="K30" s="90" t="s">
        <v>845</v>
      </c>
      <c r="L30" s="90" t="s">
        <v>183</v>
      </c>
      <c r="M30" s="90">
        <v>5</v>
      </c>
    </row>
    <row r="31" spans="1:13" ht="18.75" x14ac:dyDescent="0.35">
      <c r="A31" s="90" t="s">
        <v>993</v>
      </c>
      <c r="B31" s="90" t="s">
        <v>994</v>
      </c>
      <c r="C31" s="95" t="s">
        <v>995</v>
      </c>
      <c r="D31" s="90" t="s">
        <v>996</v>
      </c>
      <c r="E31" s="90" t="s">
        <v>997</v>
      </c>
      <c r="F31" s="96">
        <v>20</v>
      </c>
      <c r="G31" s="88" t="s">
        <v>998</v>
      </c>
      <c r="H31" s="96">
        <v>10</v>
      </c>
      <c r="I31" s="96">
        <v>10</v>
      </c>
      <c r="J31" s="96">
        <v>0</v>
      </c>
      <c r="K31" s="90" t="s">
        <v>845</v>
      </c>
      <c r="L31" s="90" t="s">
        <v>262</v>
      </c>
      <c r="M31" s="90">
        <v>10</v>
      </c>
    </row>
    <row r="32" spans="1:13" ht="18.75" x14ac:dyDescent="0.35">
      <c r="A32" s="90" t="s">
        <v>999</v>
      </c>
      <c r="B32" s="90" t="s">
        <v>1000</v>
      </c>
      <c r="C32" s="95" t="s">
        <v>1001</v>
      </c>
      <c r="D32" s="90" t="s">
        <v>1002</v>
      </c>
      <c r="E32" s="90" t="s">
        <v>1003</v>
      </c>
      <c r="F32" s="96">
        <v>20</v>
      </c>
      <c r="G32" s="88" t="s">
        <v>1004</v>
      </c>
      <c r="H32" s="96">
        <v>10</v>
      </c>
      <c r="I32" s="96">
        <v>5</v>
      </c>
      <c r="J32" s="96">
        <v>0</v>
      </c>
      <c r="K32" s="90" t="s">
        <v>845</v>
      </c>
      <c r="L32" s="90" t="s">
        <v>254</v>
      </c>
      <c r="M32" s="90">
        <v>10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F17"/>
  <sheetViews>
    <sheetView zoomScaleNormal="100" workbookViewId="0">
      <pane xSplit="1" ySplit="1" topLeftCell="B2" activePane="bottomRight" state="frozen"/>
      <selection pane="bottomLeft" activeCell="A2" sqref="A2"/>
      <selection pane="topRight" activeCell="B1" sqref="B1"/>
      <selection pane="bottomRight" activeCell="D13" sqref="D13"/>
    </sheetView>
  </sheetViews>
  <sheetFormatPr defaultColWidth="8.7421875" defaultRowHeight="15" x14ac:dyDescent="0.2"/>
  <cols>
    <col min="1" max="1" width="9.953125" customWidth="1"/>
    <col min="2" max="2" width="25.9609375" customWidth="1"/>
    <col min="3" max="3" width="16.0078125" customWidth="1"/>
    <col min="4" max="4" width="22.05859375" customWidth="1"/>
    <col min="5" max="5" width="13.046875" customWidth="1"/>
    <col min="6" max="6" width="22.05859375" customWidth="1"/>
  </cols>
  <sheetData>
    <row r="1" spans="1:6" ht="31.5" customHeight="1" x14ac:dyDescent="0.2">
      <c r="A1" s="2" t="s">
        <v>1005</v>
      </c>
      <c r="B1" s="2" t="s">
        <v>1006</v>
      </c>
      <c r="C1" s="2" t="s">
        <v>1007</v>
      </c>
      <c r="D1" s="2" t="s">
        <v>117</v>
      </c>
      <c r="E1" s="2" t="s">
        <v>480</v>
      </c>
      <c r="F1" s="2" t="s">
        <v>1008</v>
      </c>
    </row>
    <row r="2" spans="1:6" ht="26.85" customHeight="1" x14ac:dyDescent="0.35">
      <c r="A2" s="4" t="s">
        <v>886</v>
      </c>
      <c r="B2" s="4" t="s">
        <v>920</v>
      </c>
      <c r="C2" s="11" t="s">
        <v>1009</v>
      </c>
      <c r="D2" s="4" t="s">
        <v>1010</v>
      </c>
      <c r="E2" s="4" t="s">
        <v>1011</v>
      </c>
      <c r="F2" s="97" t="s">
        <v>1012</v>
      </c>
    </row>
    <row r="3" spans="1:6" ht="17.100000000000001" customHeight="1" x14ac:dyDescent="0.35">
      <c r="A3" s="4" t="s">
        <v>874</v>
      </c>
      <c r="B3" s="4" t="s">
        <v>925</v>
      </c>
      <c r="C3" s="11" t="s">
        <v>1013</v>
      </c>
      <c r="D3" s="4" t="s">
        <v>1014</v>
      </c>
      <c r="E3" s="4" t="s">
        <v>1011</v>
      </c>
      <c r="F3" s="97" t="s">
        <v>1015</v>
      </c>
    </row>
    <row r="4" spans="1:6" ht="26.85" customHeight="1" x14ac:dyDescent="0.35">
      <c r="A4" s="4" t="s">
        <v>933</v>
      </c>
      <c r="B4" s="4" t="s">
        <v>930</v>
      </c>
      <c r="C4" s="11" t="s">
        <v>1016</v>
      </c>
      <c r="D4" s="4" t="s">
        <v>1017</v>
      </c>
      <c r="E4" s="4" t="s">
        <v>1018</v>
      </c>
      <c r="F4" s="97" t="s">
        <v>929</v>
      </c>
    </row>
    <row r="5" spans="1:6" ht="17.100000000000001" customHeight="1" x14ac:dyDescent="0.35">
      <c r="A5" s="4" t="s">
        <v>906</v>
      </c>
      <c r="B5" s="4" t="s">
        <v>935</v>
      </c>
      <c r="C5" s="11" t="s">
        <v>1019</v>
      </c>
      <c r="D5" s="4" t="s">
        <v>1020</v>
      </c>
      <c r="E5" s="4" t="s">
        <v>1018</v>
      </c>
      <c r="F5" s="97" t="s">
        <v>1021</v>
      </c>
    </row>
    <row r="6" spans="1:6" ht="17.100000000000001" customHeight="1" x14ac:dyDescent="0.35">
      <c r="A6" s="4" t="s">
        <v>943</v>
      </c>
      <c r="B6" s="4" t="s">
        <v>940</v>
      </c>
      <c r="C6" s="11" t="s">
        <v>1022</v>
      </c>
      <c r="D6" s="4" t="s">
        <v>1023</v>
      </c>
      <c r="E6" s="4" t="s">
        <v>1024</v>
      </c>
      <c r="F6" s="97" t="s">
        <v>939</v>
      </c>
    </row>
    <row r="7" spans="1:6" ht="17.100000000000001" customHeight="1" x14ac:dyDescent="0.35">
      <c r="A7" s="4" t="s">
        <v>949</v>
      </c>
      <c r="B7" s="4" t="s">
        <v>946</v>
      </c>
      <c r="C7" s="11" t="s">
        <v>1025</v>
      </c>
      <c r="D7" s="4" t="s">
        <v>1026</v>
      </c>
      <c r="E7" s="4" t="s">
        <v>1018</v>
      </c>
      <c r="F7" s="97" t="s">
        <v>945</v>
      </c>
    </row>
    <row r="8" spans="1:6" ht="17.100000000000001" customHeight="1" x14ac:dyDescent="0.35">
      <c r="A8" s="4" t="s">
        <v>955</v>
      </c>
      <c r="B8" s="4" t="s">
        <v>952</v>
      </c>
      <c r="C8" s="11" t="s">
        <v>1027</v>
      </c>
      <c r="D8" s="4" t="s">
        <v>1028</v>
      </c>
      <c r="E8" s="4" t="s">
        <v>1018</v>
      </c>
      <c r="F8" s="97" t="s">
        <v>951</v>
      </c>
    </row>
    <row r="9" spans="1:6" ht="17.100000000000001" customHeight="1" x14ac:dyDescent="0.35">
      <c r="A9" s="4" t="s">
        <v>867</v>
      </c>
      <c r="B9" s="4" t="s">
        <v>958</v>
      </c>
      <c r="C9" s="11" t="s">
        <v>1029</v>
      </c>
      <c r="D9" s="4" t="s">
        <v>1030</v>
      </c>
      <c r="E9" s="4" t="s">
        <v>1024</v>
      </c>
      <c r="F9" s="97" t="s">
        <v>1031</v>
      </c>
    </row>
    <row r="10" spans="1:6" ht="17.100000000000001" customHeight="1" x14ac:dyDescent="0.35">
      <c r="A10" s="4" t="s">
        <v>861</v>
      </c>
      <c r="B10" s="4" t="s">
        <v>858</v>
      </c>
      <c r="C10" s="11" t="s">
        <v>859</v>
      </c>
      <c r="D10" s="4" t="s">
        <v>860</v>
      </c>
      <c r="E10" s="4" t="s">
        <v>1024</v>
      </c>
      <c r="F10" s="97" t="s">
        <v>1032</v>
      </c>
    </row>
    <row r="11" spans="1:6" ht="17.100000000000001" customHeight="1" x14ac:dyDescent="0.35">
      <c r="A11" s="4" t="s">
        <v>855</v>
      </c>
      <c r="B11" s="4" t="s">
        <v>852</v>
      </c>
      <c r="C11" s="11" t="s">
        <v>853</v>
      </c>
      <c r="D11" s="4" t="s">
        <v>854</v>
      </c>
      <c r="E11" s="4" t="s">
        <v>1024</v>
      </c>
      <c r="F11" s="97" t="s">
        <v>1033</v>
      </c>
    </row>
    <row r="12" spans="1:6" ht="18.75" x14ac:dyDescent="0.35">
      <c r="A12" s="90" t="s">
        <v>974</v>
      </c>
      <c r="B12" s="90" t="s">
        <v>1034</v>
      </c>
      <c r="C12" s="95" t="s">
        <v>1035</v>
      </c>
      <c r="D12" s="90" t="s">
        <v>1036</v>
      </c>
      <c r="E12" s="90" t="s">
        <v>1018</v>
      </c>
      <c r="F12" s="90" t="s">
        <v>970</v>
      </c>
    </row>
    <row r="13" spans="1:6" ht="15" customHeight="1" x14ac:dyDescent="0.35">
      <c r="A13" s="90" t="s">
        <v>980</v>
      </c>
      <c r="B13" s="90" t="s">
        <v>1037</v>
      </c>
      <c r="C13" s="95" t="s">
        <v>1038</v>
      </c>
      <c r="D13" s="98" t="s">
        <v>1039</v>
      </c>
      <c r="E13" s="90" t="s">
        <v>1018</v>
      </c>
      <c r="F13" s="90" t="s">
        <v>976</v>
      </c>
    </row>
    <row r="14" spans="1:6" ht="15" customHeight="1" x14ac:dyDescent="0.35">
      <c r="A14" s="90" t="s">
        <v>986</v>
      </c>
      <c r="B14" s="90" t="s">
        <v>1040</v>
      </c>
      <c r="C14" s="95" t="s">
        <v>1041</v>
      </c>
      <c r="D14" s="97" t="s">
        <v>1042</v>
      </c>
      <c r="E14" s="97" t="s">
        <v>1024</v>
      </c>
      <c r="F14" s="90" t="s">
        <v>982</v>
      </c>
    </row>
    <row r="15" spans="1:6" ht="15" customHeight="1" x14ac:dyDescent="0.35">
      <c r="A15" s="90" t="s">
        <v>991</v>
      </c>
      <c r="B15" s="90" t="s">
        <v>1043</v>
      </c>
      <c r="C15" s="95" t="s">
        <v>1044</v>
      </c>
      <c r="D15" s="97" t="s">
        <v>1045</v>
      </c>
      <c r="E15" s="97" t="s">
        <v>1018</v>
      </c>
      <c r="F15" s="90" t="s">
        <v>987</v>
      </c>
    </row>
    <row r="16" spans="1:6" ht="15" customHeight="1" x14ac:dyDescent="0.35">
      <c r="A16" s="90" t="s">
        <v>997</v>
      </c>
      <c r="B16" s="90" t="s">
        <v>1046</v>
      </c>
      <c r="C16" s="95" t="s">
        <v>1047</v>
      </c>
      <c r="D16" s="97" t="s">
        <v>1048</v>
      </c>
      <c r="E16" s="97" t="s">
        <v>1024</v>
      </c>
      <c r="F16" s="90" t="s">
        <v>993</v>
      </c>
    </row>
    <row r="17" spans="1:6" ht="18.75" x14ac:dyDescent="0.35">
      <c r="A17" s="90" t="s">
        <v>1003</v>
      </c>
      <c r="B17" s="90" t="s">
        <v>1049</v>
      </c>
      <c r="C17" s="95" t="s">
        <v>1050</v>
      </c>
      <c r="D17" s="90" t="s">
        <v>1051</v>
      </c>
      <c r="E17" s="90" t="s">
        <v>1024</v>
      </c>
      <c r="F17" s="90" t="s">
        <v>999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BCFC6-E562-474C-8005-C80E8AAC1DE0}">
  <dimension ref="A1:Y30"/>
  <sheetViews>
    <sheetView workbookViewId="0">
      <pane ySplit="1" topLeftCell="A2" activePane="bottomLeft" state="frozen"/>
      <selection pane="bottomLeft" activeCell="L2" sqref="L2"/>
    </sheetView>
  </sheetViews>
  <sheetFormatPr defaultRowHeight="15" x14ac:dyDescent="0.2"/>
  <cols>
    <col min="2" max="2" width="20.84765625" customWidth="1"/>
    <col min="3" max="3" width="23.9453125" customWidth="1"/>
    <col min="6" max="6" width="21.5234375" customWidth="1"/>
    <col min="7" max="7" width="20.04296875" customWidth="1"/>
  </cols>
  <sheetData>
    <row r="1" spans="1:25" ht="68.25" x14ac:dyDescent="0.2">
      <c r="A1" s="106" t="s">
        <v>2553</v>
      </c>
      <c r="B1" s="106" t="s">
        <v>2554</v>
      </c>
      <c r="C1" s="106" t="s">
        <v>795</v>
      </c>
      <c r="D1" s="106" t="s">
        <v>2558</v>
      </c>
      <c r="E1" s="106" t="s">
        <v>2555</v>
      </c>
      <c r="F1" s="106" t="s">
        <v>2556</v>
      </c>
      <c r="G1" s="106" t="s">
        <v>2557</v>
      </c>
      <c r="H1" s="106" t="inlineStr">
        <is>
          <t xml:space="preserve">Grants</t>
        </is>
      </c>
      <c r="I1" s="106" t="inlineStr">
        <is>
          <t xml:space="preserve">Icon</t>
        </is>
      </c>
      <c r="J1" s="106" t="inlineStr">
        <is>
          <t xml:space="preserve">Use In Office</t>
        </is>
      </c>
      <c r="K1" s="106" t="inlineStr">
        <is>
          <t xml:space="preserve">Use In Stage</t>
        </is>
      </c>
      <c r="L1" s="106" t="inlineStr">
        <is>
          <t xml:space="preserve">Duration</t>
        </is>
      </c>
      <c r="M1" s="106" t="inlineStr">
        <is>
          <t xml:space="preserve">Uses Per Turn</t>
        </is>
      </c>
      <c r="N1" s="106" t="inlineStr">
        <is>
          <t xml:space="preserve">Stack Cap</t>
        </is>
      </c>
      <c r="O1" s="106" t="inlineStr">
        <is>
          <t xml:space="preserve">Purchase Limit</t>
        </is>
      </c>
      <c r="P1" s="106" t="inlineStr">
        <is>
          <t xml:space="preserve">Player Choice</t>
        </is>
      </c>
      <c r="Q1" s="106" t="inlineStr">
        <is>
          <t xml:space="preserve">Bonus 1 Role</t>
        </is>
      </c>
      <c r="R1" s="106" t="inlineStr">
        <is>
          <t xml:space="preserve">Bonus 1 Min Tier</t>
        </is>
      </c>
      <c r="S1" s="106" t="inlineStr">
        <is>
          <t xml:space="preserve">Bonus 1 Amount</t>
        </is>
      </c>
      <c r="T1" s="106" t="inlineStr">
        <is>
          <t xml:space="preserve">Bonus 2 Role</t>
        </is>
      </c>
      <c r="U1" s="106" t="inlineStr">
        <is>
          <t xml:space="preserve">Bonus 2 Min Tier</t>
        </is>
      </c>
      <c r="V1" s="106" t="inlineStr">
        <is>
          <t xml:space="preserve">Bonus 2 Amount</t>
        </is>
      </c>
      <c r="W1" s="106" t="inlineStr">
        <is>
          <t xml:space="preserve">Bonus 3 Role</t>
        </is>
      </c>
      <c r="X1" s="106" t="inlineStr">
        <is>
          <t xml:space="preserve">Bonus 3 Min Tier</t>
        </is>
      </c>
      <c r="Y1" s="106" t="inlineStr">
        <is>
          <t xml:space="preserve">Bonus 3 Amount</t>
        </is>
      </c>
    </row>
    <row r="2" spans="1:25" ht="108" x14ac:dyDescent="0.2">
      <c r="A2" s="107" t="s">
        <v>2566</v>
      </c>
      <c r="B2" s="107" t="s">
        <v>2567</v>
      </c>
      <c r="C2" s="107" t="s">
        <v>2568</v>
      </c>
      <c r="D2" s="108">
        <v>0</v>
      </c>
      <c r="E2" s="108">
        <v>200000</v>
      </c>
      <c r="F2" s="107" t="s">
        <v>2569</v>
      </c>
      <c r="G2" s="107" t="s">
        <v>2570</v>
      </c>
      <c r="H2" s="107" t="inlineStr">
        <is>
          <t xml:space="preserve">TIER:Party +1</t>
        </is>
      </c>
      <c r="I2" s="107" t="inlineStr">
        <is>
          <t xml:space="preserve">policy_research</t>
        </is>
      </c>
      <c r="J2" s="107" t="inlineStr">
        <is>
          <t xml:space="preserve">Yes</t>
        </is>
      </c>
      <c r="K2" s="107" t="inlineStr">
        <is>
          <t xml:space="preserve">No</t>
        </is>
      </c>
      <c r="O2" s="108">
        <v>1</v>
      </c>
      <c r="Q2" s="107" t="inlineStr">
        <is>
          <t xml:space="preserve">Policy Research Assistant</t>
        </is>
      </c>
      <c r="R2" s="108">
        <v>1</v>
      </c>
      <c r="S2" s="108">
        <v>0</v>
      </c>
      <c r="T2" s="107" t="inlineStr">
        <is>
          <t xml:space="preserve">Policy Research Assistant</t>
        </is>
      </c>
      <c r="U2" s="108">
        <v>2</v>
      </c>
      <c r="V2" s="108">
        <v>1</v>
      </c>
    </row>
    <row r="3" spans="1:25" ht="108" x14ac:dyDescent="0.2">
      <c r="A3" s="107" t="s">
        <v>2571</v>
      </c>
      <c r="B3" s="107" t="s">
        <v>2572</v>
      </c>
      <c r="C3" s="107" t="s">
        <v>2573</v>
      </c>
      <c r="D3" s="108">
        <v>0</v>
      </c>
      <c r="E3" s="108">
        <v>200000</v>
      </c>
      <c r="F3" s="107" t="s">
        <v>2574</v>
      </c>
      <c r="G3" s="107" t="s">
        <v>2575</v>
      </c>
      <c r="H3" s="107" t="inlineStr">
        <is>
          <t xml:space="preserve">TIER:National +2</t>
        </is>
      </c>
      <c r="I3" s="107" t="inlineStr">
        <is>
          <t xml:space="preserve">press_engagement</t>
        </is>
      </c>
      <c r="J3" s="107" t="inlineStr">
        <is>
          <t xml:space="preserve">Yes</t>
        </is>
      </c>
      <c r="K3" s="107" t="inlineStr">
        <is>
          <t xml:space="preserve">No</t>
        </is>
      </c>
      <c r="O3" s="108">
        <v>1</v>
      </c>
      <c r="Q3" s="107" t="inlineStr">
        <is>
          <t xml:space="preserve">Media Spokesperson</t>
        </is>
      </c>
      <c r="R3" s="108">
        <v>1</v>
      </c>
      <c r="S3" s="108">
        <v>0</v>
      </c>
      <c r="T3" s="107" t="inlineStr">
        <is>
          <t xml:space="preserve">Media Spokesperson</t>
        </is>
      </c>
      <c r="U3" s="108">
        <v>2</v>
      </c>
      <c r="V3" s="108">
        <v>2</v>
      </c>
    </row>
    <row r="4" spans="1:25" ht="94.5" x14ac:dyDescent="0.2">
      <c r="A4" s="107" t="s">
        <v>2576</v>
      </c>
      <c r="B4" s="107" t="s">
        <v>2577</v>
      </c>
      <c r="C4" s="107" t="s">
        <v>2578</v>
      </c>
      <c r="D4" s="108">
        <v>0</v>
      </c>
      <c r="E4" s="108">
        <v>200000</v>
      </c>
      <c r="F4" s="107" t="s">
        <v>2579</v>
      </c>
      <c r="G4" s="107" t="s">
        <v>2580</v>
      </c>
      <c r="H4" s="107" t="inlineStr">
        <is>
          <t xml:space="preserve">TIER:Constituency +2</t>
        </is>
      </c>
      <c r="I4" s="107" t="inlineStr">
        <is>
          <t xml:space="preserve">district_engagement</t>
        </is>
      </c>
      <c r="J4" s="107" t="inlineStr">
        <is>
          <t xml:space="preserve">Yes</t>
        </is>
      </c>
      <c r="K4" s="107" t="inlineStr">
        <is>
          <t xml:space="preserve">No</t>
        </is>
      </c>
      <c r="O4" s="108">
        <v>1</v>
      </c>
      <c r="Q4" s="107" t="inlineStr">
        <is>
          <t xml:space="preserve">District Representative</t>
        </is>
      </c>
      <c r="R4" s="108">
        <v>1</v>
      </c>
      <c r="S4" s="108">
        <v>0</v>
      </c>
      <c r="T4" s="107" t="inlineStr">
        <is>
          <t xml:space="preserve">District Representative</t>
        </is>
      </c>
      <c r="U4" s="108">
        <v>2</v>
      </c>
      <c r="V4" s="108">
        <v>2</v>
      </c>
    </row>
    <row r="5" spans="1:25" ht="41.25" x14ac:dyDescent="0.2">
      <c r="A5" s="107" t="s">
        <v>2581</v>
      </c>
      <c r="B5" s="107" t="s">
        <v>2582</v>
      </c>
      <c r="C5" s="107" t="s">
        <v>2583</v>
      </c>
      <c r="D5" s="108">
        <v>0</v>
      </c>
      <c r="E5" s="108">
        <v>10000</v>
      </c>
      <c r="F5" s="109" t="s">
        <v>13</v>
      </c>
      <c r="G5" s="109" t="s">
        <v>13</v>
      </c>
      <c r="H5" s="107" t="inlineStr">
        <is>
          <t xml:space="preserve">ENERGY +1</t>
        </is>
      </c>
      <c r="I5" s="107" t="inlineStr">
        <is>
          <t xml:space="preserve">coffee</t>
        </is>
      </c>
      <c r="J5" s="107" t="inlineStr">
        <is>
          <t xml:space="preserve">Yes</t>
        </is>
      </c>
      <c r="K5" s="107" t="inlineStr">
        <is>
          <t xml:space="preserve">Yes</t>
        </is>
      </c>
      <c r="L5" s="107" t="inlineStr">
        <is>
          <t xml:space="preserve">Stage</t>
        </is>
      </c>
      <c r="M5" s="108">
        <v>1</v>
      </c>
    </row>
    <row r="6" spans="1:25" ht="54.75" x14ac:dyDescent="0.2">
      <c r="A6" s="107" t="s">
        <v>2584</v>
      </c>
      <c r="B6" s="107" t="s">
        <v>2585</v>
      </c>
      <c r="C6" s="107" t="s">
        <v>2586</v>
      </c>
      <c r="D6" s="108">
        <v>0</v>
      </c>
      <c r="E6" s="108">
        <v>10000</v>
      </c>
      <c r="F6" s="109" t="s">
        <v>13</v>
      </c>
      <c r="G6" s="109" t="s">
        <v>13</v>
      </c>
      <c r="H6" s="107" t="inlineStr">
        <is>
          <t xml:space="preserve">GAFFE_CAP +1</t>
        </is>
      </c>
      <c r="I6" s="107" t="inlineStr">
        <is>
          <t xml:space="preserve">tea</t>
        </is>
      </c>
      <c r="J6" s="107" t="inlineStr">
        <is>
          <t xml:space="preserve">Yes</t>
        </is>
      </c>
      <c r="K6" s="107" t="inlineStr">
        <is>
          <t xml:space="preserve">Yes</t>
        </is>
      </c>
      <c r="L6" s="107" t="inlineStr">
        <is>
          <t xml:space="preserve">Stage</t>
        </is>
      </c>
      <c r="M6" s="108">
        <v>1</v>
      </c>
    </row>
    <row r="7" spans="1:25" ht="54.75" x14ac:dyDescent="0.2">
      <c r="A7" s="107" t="s">
        <v>2587</v>
      </c>
      <c r="B7" s="107" t="s">
        <v>2588</v>
      </c>
      <c r="C7" s="107" t="s">
        <v>2589</v>
      </c>
      <c r="D7" s="108">
        <v>0</v>
      </c>
      <c r="E7" s="108">
        <v>10000</v>
      </c>
      <c r="F7" s="109" t="s">
        <v>13</v>
      </c>
      <c r="G7" s="109" t="s">
        <v>13</v>
      </c>
      <c r="H7" s="107" t="inlineStr">
        <is>
          <t xml:space="preserve">DRAW +1</t>
        </is>
      </c>
      <c r="I7" s="107" t="inlineStr">
        <is>
          <t xml:space="preserve">paperwork_automation</t>
        </is>
      </c>
      <c r="J7" s="107" t="inlineStr">
        <is>
          <t xml:space="preserve">Yes</t>
        </is>
      </c>
      <c r="K7" s="107" t="inlineStr">
        <is>
          <t xml:space="preserve">Yes</t>
        </is>
      </c>
      <c r="L7" s="107" t="inlineStr">
        <is>
          <t xml:space="preserve">Stage</t>
        </is>
      </c>
      <c r="M7" s="108">
        <v>1</v>
      </c>
    </row>
    <row r="8" spans="1:25" ht="41.25" x14ac:dyDescent="0.2">
      <c r="A8" s="107" t="s">
        <v>2590</v>
      </c>
      <c r="B8" s="107" t="s">
        <v>2591</v>
      </c>
      <c r="C8" s="107" t="s">
        <v>2592</v>
      </c>
      <c r="D8" s="108">
        <v>0</v>
      </c>
      <c r="E8" s="108">
        <v>10000</v>
      </c>
      <c r="F8" s="109" t="s">
        <v>13</v>
      </c>
      <c r="G8" s="109" t="s">
        <v>13</v>
      </c>
      <c r="H8" s="107" t="inlineStr">
        <is>
          <t xml:space="preserve">TURNS +1</t>
        </is>
      </c>
      <c r="I8" s="107" t="inlineStr">
        <is>
          <t xml:space="preserve">wristwatch</t>
        </is>
      </c>
      <c r="J8" s="107" t="inlineStr">
        <is>
          <t xml:space="preserve">Yes</t>
        </is>
      </c>
      <c r="K8" s="107" t="inlineStr">
        <is>
          <t xml:space="preserve">Yes</t>
        </is>
      </c>
      <c r="L8" s="107" t="inlineStr">
        <is>
          <t xml:space="preserve">Stage</t>
        </is>
      </c>
      <c r="M8" s="108">
        <v>1</v>
      </c>
    </row>
    <row r="9" spans="1:25" ht="41.25" x14ac:dyDescent="0.2">
      <c r="A9" s="107" t="s">
        <v>2593</v>
      </c>
      <c r="B9" s="107" t="s">
        <v>2594</v>
      </c>
      <c r="C9" s="107" t="s">
        <v>2595</v>
      </c>
      <c r="D9" s="108">
        <v>0</v>
      </c>
      <c r="E9" s="108">
        <v>10000</v>
      </c>
      <c r="F9" s="109" t="s">
        <v>13</v>
      </c>
      <c r="G9" s="109" t="s">
        <v>13</v>
      </c>
      <c r="H9" s="107" t="inlineStr">
        <is>
          <t xml:space="preserve">GUARD +1</t>
        </is>
      </c>
      <c r="I9" s="107" t="inlineStr">
        <is>
          <t xml:space="preserve">meditation</t>
        </is>
      </c>
      <c r="J9" s="107" t="inlineStr">
        <is>
          <t xml:space="preserve">Yes</t>
        </is>
      </c>
      <c r="K9" s="107" t="inlineStr">
        <is>
          <t xml:space="preserve">Yes</t>
        </is>
      </c>
      <c r="L9" s="107" t="inlineStr">
        <is>
          <t xml:space="preserve">Stage</t>
        </is>
      </c>
      <c r="M9" s="108">
        <v>1</v>
      </c>
    </row>
    <row r="10" spans="1:25" ht="54.75" x14ac:dyDescent="0.2">
      <c r="A10" s="107" t="s">
        <v>2596</v>
      </c>
      <c r="B10" s="107" t="s">
        <v>2597</v>
      </c>
      <c r="C10" s="107" t="s">
        <v>2598</v>
      </c>
      <c r="D10" s="108">
        <v>0</v>
      </c>
      <c r="E10" s="108">
        <v>10000</v>
      </c>
      <c r="F10" s="109" t="s">
        <v>13</v>
      </c>
      <c r="G10" s="109" t="s">
        <v>13</v>
      </c>
      <c r="I10" s="107" t="inlineStr">
        <is>
          <t xml:space="preserve">blue_profile</t>
        </is>
      </c>
      <c r="J10" s="107" t="inlineStr">
        <is>
          <t xml:space="preserve">No</t>
        </is>
      </c>
      <c r="K10" s="107" t="inlineStr">
        <is>
          <t xml:space="preserve">No</t>
        </is>
      </c>
    </row>
    <row r="11" spans="1:25" ht="54.75" x14ac:dyDescent="0.2">
      <c r="A11" s="107" t="s">
        <v>2599</v>
      </c>
      <c r="B11" s="107" t="s">
        <v>2600</v>
      </c>
      <c r="C11" s="107" t="s">
        <v>2598</v>
      </c>
      <c r="D11" s="108">
        <v>0</v>
      </c>
      <c r="E11" s="108">
        <v>15000</v>
      </c>
      <c r="F11" s="109" t="s">
        <v>13</v>
      </c>
      <c r="G11" s="109" t="s">
        <v>13</v>
      </c>
      <c r="I11" s="107" t="inlineStr">
        <is>
          <t xml:space="preserve">red_profile</t>
        </is>
      </c>
      <c r="J11" s="107" t="inlineStr">
        <is>
          <t xml:space="preserve">No</t>
        </is>
      </c>
      <c r="K11" s="107" t="inlineStr">
        <is>
          <t xml:space="preserve">No</t>
        </is>
      </c>
    </row>
    <row r="12" spans="1:25" ht="54.75" x14ac:dyDescent="0.2">
      <c r="A12" s="107" t="s">
        <v>2601</v>
      </c>
      <c r="B12" s="107" t="s">
        <v>2602</v>
      </c>
      <c r="C12" s="107" t="s">
        <v>2603</v>
      </c>
      <c r="D12" s="108">
        <v>0</v>
      </c>
      <c r="E12" s="108">
        <v>10000</v>
      </c>
      <c r="F12" s="109" t="s">
        <v>13</v>
      </c>
      <c r="G12" s="109" t="s">
        <v>13</v>
      </c>
      <c r="I12" s="107" t="inlineStr">
        <is>
          <t xml:space="preserve">blue_background</t>
        </is>
      </c>
      <c r="J12" s="107" t="inlineStr">
        <is>
          <t xml:space="preserve">No</t>
        </is>
      </c>
      <c r="K12" s="107" t="inlineStr">
        <is>
          <t xml:space="preserve">No</t>
        </is>
      </c>
    </row>
    <row r="13" spans="1:25" ht="54.75" x14ac:dyDescent="0.2">
      <c r="A13" s="107" t="s">
        <v>2604</v>
      </c>
      <c r="B13" s="107" t="s">
        <v>2605</v>
      </c>
      <c r="C13" s="107" t="s">
        <v>2603</v>
      </c>
      <c r="D13" s="108">
        <v>0</v>
      </c>
      <c r="E13" s="108">
        <v>15000</v>
      </c>
      <c r="F13" s="109" t="s">
        <v>13</v>
      </c>
      <c r="G13" s="109" t="s">
        <v>13</v>
      </c>
      <c r="I13" s="107" t="inlineStr">
        <is>
          <t xml:space="preserve">red_background</t>
        </is>
      </c>
      <c r="J13" s="107" t="inlineStr">
        <is>
          <t xml:space="preserve">No</t>
        </is>
      </c>
      <c r="K13" s="107" t="inlineStr">
        <is>
          <t xml:space="preserve">No</t>
        </is>
      </c>
    </row>
    <row r="14" spans="1:25" ht="27.75" x14ac:dyDescent="0.2">
      <c r="A14" s="107" t="s">
        <v>2606</v>
      </c>
      <c r="B14" s="107" t="s">
        <v>2607</v>
      </c>
      <c r="C14" s="107" t="s">
        <v>2654</v>
      </c>
      <c r="D14" s="108">
        <v>40</v>
      </c>
      <c r="E14" s="108">
        <v>0</v>
      </c>
      <c r="F14" s="109" t="s">
        <v>13</v>
      </c>
      <c r="G14" s="109" t="s">
        <v>13</v>
      </c>
      <c r="I14" s="107" t="inlineStr">
        <is>
          <t xml:space="preserve">unlock_level_t1</t>
        </is>
      </c>
      <c r="J14" s="107" t="inlineStr">
        <is>
          <t xml:space="preserve">No</t>
        </is>
      </c>
      <c r="K14" s="107" t="inlineStr">
        <is>
          <t xml:space="preserve">No</t>
        </is>
      </c>
    </row>
    <row r="15" spans="1:25" ht="27.75" x14ac:dyDescent="0.2">
      <c r="A15" s="107" t="s">
        <v>2608</v>
      </c>
      <c r="B15" s="107" t="s">
        <v>2609</v>
      </c>
      <c r="C15" s="107" t="s">
        <v>2610</v>
      </c>
      <c r="D15" s="108">
        <v>40</v>
      </c>
      <c r="E15" s="108">
        <v>0</v>
      </c>
      <c r="F15" s="109" t="s">
        <v>13</v>
      </c>
      <c r="G15" s="109" t="s">
        <v>13</v>
      </c>
      <c r="I15" s="107" t="inlineStr">
        <is>
          <t xml:space="preserve">unlock_level_t2</t>
        </is>
      </c>
      <c r="J15" s="107" t="inlineStr">
        <is>
          <t xml:space="preserve">No</t>
        </is>
      </c>
      <c r="K15" s="107" t="inlineStr">
        <is>
          <t xml:space="preserve">No</t>
        </is>
      </c>
    </row>
    <row r="16" spans="1:25" ht="54.75" x14ac:dyDescent="0.2">
      <c r="A16" s="107" t="s">
        <v>2611</v>
      </c>
      <c r="B16" s="107" t="s">
        <v>2612</v>
      </c>
      <c r="C16" s="107" t="s">
        <v>2613</v>
      </c>
      <c r="D16" s="108">
        <v>250</v>
      </c>
      <c r="E16" s="108">
        <v>0</v>
      </c>
      <c r="F16" s="107" t="s">
        <v>2756</v>
      </c>
      <c r="G16" s="109" t="s">
        <v>13</v>
      </c>
      <c r="I16" s="107" t="inlineStr">
        <is>
          <t xml:space="preserve">unlock_card_t1</t>
        </is>
      </c>
      <c r="J16" s="107" t="inlineStr">
        <is>
          <t xml:space="preserve">No</t>
        </is>
      </c>
      <c r="K16" s="107" t="inlineStr">
        <is>
          <t xml:space="preserve">No</t>
        </is>
      </c>
    </row>
    <row r="17" spans="1:25" ht="54.75" x14ac:dyDescent="0.2">
      <c r="A17" s="107" t="s">
        <v>2614</v>
      </c>
      <c r="B17" s="107" t="s">
        <v>2615</v>
      </c>
      <c r="C17" s="107" t="s">
        <v>2616</v>
      </c>
      <c r="D17" s="108">
        <v>500</v>
      </c>
      <c r="E17" s="108">
        <v>0</v>
      </c>
      <c r="F17" s="107" t="s">
        <v>2756</v>
      </c>
      <c r="G17" s="109" t="s">
        <v>13</v>
      </c>
      <c r="I17" s="107" t="inlineStr">
        <is>
          <t xml:space="preserve">unlock_card_t2</t>
        </is>
      </c>
      <c r="J17" s="107" t="inlineStr">
        <is>
          <t xml:space="preserve">No</t>
        </is>
      </c>
      <c r="K17" s="107" t="inlineStr">
        <is>
          <t xml:space="preserve">No</t>
        </is>
      </c>
    </row>
    <row r="18" spans="1:25" ht="54.75" x14ac:dyDescent="0.2">
      <c r="A18" s="107" t="s">
        <v>2617</v>
      </c>
      <c r="B18" s="107" t="s">
        <v>2618</v>
      </c>
      <c r="C18" s="107" t="s">
        <v>2619</v>
      </c>
      <c r="D18" s="108">
        <v>1000</v>
      </c>
      <c r="E18" s="108">
        <v>0</v>
      </c>
      <c r="F18" s="107" t="s">
        <v>2756</v>
      </c>
      <c r="G18" s="109" t="s">
        <v>13</v>
      </c>
      <c r="I18" s="107" t="inlineStr">
        <is>
          <t xml:space="preserve">unlock_card_t3</t>
        </is>
      </c>
      <c r="J18" s="107" t="inlineStr">
        <is>
          <t xml:space="preserve">No</t>
        </is>
      </c>
      <c r="K18" s="107" t="inlineStr">
        <is>
          <t xml:space="preserve">No</t>
        </is>
      </c>
    </row>
    <row r="19" spans="1:25" ht="41.25" x14ac:dyDescent="0.2">
      <c r="A19" s="107" t="s">
        <v>2620</v>
      </c>
      <c r="B19" s="107" t="s">
        <v>2621</v>
      </c>
      <c r="C19" s="107" t="s">
        <v>2622</v>
      </c>
      <c r="D19" s="108">
        <v>500</v>
      </c>
      <c r="E19" s="108">
        <v>0</v>
      </c>
      <c r="F19" s="109" t="s">
        <v>13</v>
      </c>
      <c r="G19" s="109" t="s">
        <v>13</v>
      </c>
      <c r="I19" s="107" t="inlineStr">
        <is>
          <t xml:space="preserve">staff_tier</t>
        </is>
      </c>
      <c r="J19" s="107" t="inlineStr">
        <is>
          <t xml:space="preserve">No</t>
        </is>
      </c>
      <c r="K19" s="107" t="inlineStr">
        <is>
          <t xml:space="preserve">No</t>
        </is>
      </c>
    </row>
    <row r="20" spans="1:25" ht="41.25" x14ac:dyDescent="0.2">
      <c r="A20" s="107" t="s">
        <v>2623</v>
      </c>
      <c r="B20" s="107" t="s">
        <v>2624</v>
      </c>
      <c r="C20" s="107" t="s">
        <v>2625</v>
      </c>
      <c r="D20" s="108">
        <v>100</v>
      </c>
      <c r="E20" s="108">
        <v>0</v>
      </c>
      <c r="F20" s="109" t="s">
        <v>13</v>
      </c>
      <c r="G20" s="109" t="s">
        <v>13</v>
      </c>
      <c r="I20" s="107" t="inlineStr">
        <is>
          <t xml:space="preserve">funds_cap</t>
        </is>
      </c>
      <c r="J20" s="107" t="inlineStr">
        <is>
          <t xml:space="preserve">No</t>
        </is>
      </c>
      <c r="K20" s="107" t="inlineStr">
        <is>
          <t xml:space="preserve">No</t>
        </is>
      </c>
    </row>
    <row r="21" spans="1:25" ht="54.75" x14ac:dyDescent="0.2">
      <c r="A21" s="107" t="s">
        <v>2626</v>
      </c>
      <c r="B21" s="107" t="s">
        <v>2627</v>
      </c>
      <c r="C21" s="107" t="s">
        <v>2628</v>
      </c>
      <c r="D21" s="108">
        <v>50</v>
      </c>
      <c r="E21" s="108">
        <v>0</v>
      </c>
      <c r="F21" s="107" t="s">
        <v>2629</v>
      </c>
      <c r="G21" s="109" t="s">
        <v>13</v>
      </c>
      <c r="H21" s="107" t="inlineStr">
        <is>
          <t xml:space="preserve">DRAW +1</t>
        </is>
      </c>
      <c r="I21" s="107" t="inlineStr">
        <is>
          <t xml:space="preserve">buff_draw</t>
        </is>
      </c>
      <c r="J21" s="107" t="inlineStr">
        <is>
          <t xml:space="preserve">Yes</t>
        </is>
      </c>
      <c r="K21" s="107" t="inlineStr">
        <is>
          <t xml:space="preserve">Yes</t>
        </is>
      </c>
      <c r="L21" s="107" t="inlineStr">
        <is>
          <t xml:space="preserve">Level</t>
        </is>
      </c>
      <c r="M21" s="108">
        <v>1</v>
      </c>
      <c r="N21" s="108">
        <v>2</v>
      </c>
      <c r="O21" s="108">
        <v>2</v>
      </c>
    </row>
    <row r="22" spans="1:25" ht="54.75" x14ac:dyDescent="0.2">
      <c r="A22" s="107" t="s">
        <v>2630</v>
      </c>
      <c r="B22" s="107" t="s">
        <v>2631</v>
      </c>
      <c r="C22" s="107" t="s">
        <v>2632</v>
      </c>
      <c r="D22" s="108">
        <v>60</v>
      </c>
      <c r="E22" s="108">
        <v>0</v>
      </c>
      <c r="F22" s="107" t="s">
        <v>2633</v>
      </c>
      <c r="G22" s="109" t="s">
        <v>13</v>
      </c>
      <c r="H22" s="107" t="inlineStr">
        <is>
          <t xml:space="preserve">ENERGY +1</t>
        </is>
      </c>
      <c r="I22" s="107" t="inlineStr">
        <is>
          <t xml:space="preserve">buff_energy</t>
        </is>
      </c>
      <c r="J22" s="107" t="inlineStr">
        <is>
          <t xml:space="preserve">Yes</t>
        </is>
      </c>
      <c r="K22" s="107" t="inlineStr">
        <is>
          <t xml:space="preserve">Yes</t>
        </is>
      </c>
      <c r="L22" s="107" t="inlineStr">
        <is>
          <t xml:space="preserve">Level</t>
        </is>
      </c>
      <c r="M22" s="108">
        <v>1</v>
      </c>
      <c r="N22" s="108">
        <v>3</v>
      </c>
      <c r="O22" s="108">
        <v>3</v>
      </c>
    </row>
    <row r="23" spans="1:25" ht="54.75" x14ac:dyDescent="0.2">
      <c r="A23" s="107" t="s">
        <v>2634</v>
      </c>
      <c r="B23" s="107" t="s">
        <v>2635</v>
      </c>
      <c r="C23" s="107" t="s">
        <v>2636</v>
      </c>
      <c r="D23" s="108">
        <v>70</v>
      </c>
      <c r="E23" s="108">
        <v>0</v>
      </c>
      <c r="F23" s="107" t="s">
        <v>2637</v>
      </c>
      <c r="G23" s="109" t="s">
        <v>13</v>
      </c>
      <c r="H23" s="107" t="inlineStr">
        <is>
          <t xml:space="preserve">GUARD +1</t>
        </is>
      </c>
      <c r="I23" s="107" t="inlineStr">
        <is>
          <t xml:space="preserve">buff_guard</t>
        </is>
      </c>
      <c r="J23" s="107" t="inlineStr">
        <is>
          <t xml:space="preserve">Yes</t>
        </is>
      </c>
      <c r="K23" s="107" t="inlineStr">
        <is>
          <t xml:space="preserve">Yes</t>
        </is>
      </c>
      <c r="L23" s="107" t="inlineStr">
        <is>
          <t xml:space="preserve">Level</t>
        </is>
      </c>
      <c r="M23" s="108">
        <v>1</v>
      </c>
      <c r="N23" s="108">
        <v>5</v>
      </c>
      <c r="O23" s="108">
        <v>5</v>
      </c>
    </row>
    <row r="24" spans="1:25" ht="54.75" x14ac:dyDescent="0.2">
      <c r="A24" s="107" t="s">
        <v>2638</v>
      </c>
      <c r="B24" s="107" t="s">
        <v>2639</v>
      </c>
      <c r="C24" s="107" t="s">
        <v>2640</v>
      </c>
      <c r="D24" s="108">
        <v>80</v>
      </c>
      <c r="E24" s="108">
        <v>0</v>
      </c>
      <c r="F24" s="107" t="s">
        <v>2641</v>
      </c>
      <c r="G24" s="109" t="s">
        <v>13</v>
      </c>
      <c r="H24" s="107" t="inlineStr">
        <is>
          <t xml:space="preserve">GAFFE_CAP +1</t>
        </is>
      </c>
      <c r="I24" s="107" t="inlineStr">
        <is>
          <t xml:space="preserve">buff_gaffe_cap</t>
        </is>
      </c>
      <c r="J24" s="107" t="inlineStr">
        <is>
          <t xml:space="preserve">Yes</t>
        </is>
      </c>
      <c r="K24" s="107" t="inlineStr">
        <is>
          <t xml:space="preserve">Yes</t>
        </is>
      </c>
      <c r="L24" s="107" t="inlineStr">
        <is>
          <t xml:space="preserve">Level</t>
        </is>
      </c>
      <c r="M24" s="108">
        <v>1</v>
      </c>
      <c r="N24" s="108">
        <v>5</v>
      </c>
      <c r="O24" s="108">
        <v>5</v>
      </c>
    </row>
    <row r="25" spans="1:25" ht="54.75" x14ac:dyDescent="0.2">
      <c r="A25" s="107" t="s">
        <v>2642</v>
      </c>
      <c r="B25" s="107" t="s">
        <v>2643</v>
      </c>
      <c r="C25" s="107" t="s">
        <v>2644</v>
      </c>
      <c r="D25" s="108">
        <v>100</v>
      </c>
      <c r="E25" s="108">
        <v>0</v>
      </c>
      <c r="F25" s="107" t="s">
        <v>2645</v>
      </c>
      <c r="G25" s="109" t="s">
        <v>13</v>
      </c>
      <c r="H25" s="107" t="inlineStr">
        <is>
          <t xml:space="preserve">TURNS +1</t>
        </is>
      </c>
      <c r="I25" s="107" t="inlineStr">
        <is>
          <t xml:space="preserve">buff_turn</t>
        </is>
      </c>
      <c r="J25" s="107" t="inlineStr">
        <is>
          <t xml:space="preserve">Yes</t>
        </is>
      </c>
      <c r="K25" s="107" t="inlineStr">
        <is>
          <t xml:space="preserve">Yes</t>
        </is>
      </c>
      <c r="L25" s="107" t="inlineStr">
        <is>
          <t xml:space="preserve">Level</t>
        </is>
      </c>
      <c r="M25" s="108">
        <v>1</v>
      </c>
      <c r="N25" s="108">
        <v>3</v>
      </c>
      <c r="O25" s="108">
        <v>3</v>
      </c>
    </row>
    <row r="26" spans="1:25" ht="41.25" x14ac:dyDescent="0.2">
      <c r="A26" s="107" t="s">
        <v>2646</v>
      </c>
      <c r="B26" s="107" t="s">
        <v>2647</v>
      </c>
      <c r="C26" s="107" t="s">
        <v>2648</v>
      </c>
      <c r="D26" s="108">
        <v>20</v>
      </c>
      <c r="E26" s="108">
        <v>20000</v>
      </c>
      <c r="F26" s="107" t="s">
        <v>2649</v>
      </c>
      <c r="G26" s="109" t="s">
        <v>13</v>
      </c>
      <c r="I26" s="107" t="inlineStr">
        <is>
          <t xml:space="preserve">booster_dinner</t>
        </is>
      </c>
      <c r="J26" s="107" t="inlineStr">
        <is>
          <t xml:space="preserve">Yes</t>
        </is>
      </c>
      <c r="K26" s="107" t="inlineStr">
        <is>
          <t xml:space="preserve">No</t>
        </is>
      </c>
      <c r="H26" s="107" t="inlineStr">
        <is>
          <t xml:space="preserve">TIER:National +2</t>
        </is>
      </c>
      <c r="P26" s="107" t="inlineStr">
        <is>
          <t xml:space="preserve">Yes</t>
        </is>
      </c>
    </row>
    <row r="27" spans="1:25" ht="54.75" x14ac:dyDescent="0.2">
      <c r="A27" s="107" t="s">
        <v>2650</v>
      </c>
      <c r="B27" s="107" t="s">
        <v>2651</v>
      </c>
      <c r="C27" s="107" t="s">
        <v>2652</v>
      </c>
      <c r="D27" s="108">
        <v>10</v>
      </c>
      <c r="E27" s="108">
        <v>10000</v>
      </c>
      <c r="F27" s="107" t="s">
        <v>2653</v>
      </c>
      <c r="G27" s="109" t="s">
        <v>13</v>
      </c>
      <c r="I27" s="107" t="inlineStr">
        <is>
          <t xml:space="preserve">walking_tour</t>
        </is>
      </c>
      <c r="J27" s="107" t="inlineStr">
        <is>
          <t xml:space="preserve">Yes</t>
        </is>
      </c>
      <c r="K27" s="107" t="inlineStr">
        <is>
          <t xml:space="preserve">No</t>
        </is>
      </c>
      <c r="H27" s="107" t="inlineStr">
        <is>
          <t xml:space="preserve">TIER:Constituency +1</t>
        </is>
      </c>
      <c r="P27" s="107" t="inlineStr">
        <is>
          <t xml:space="preserve">Yes</t>
        </is>
      </c>
    </row>
    <row r="28" spans="1:25" ht="68.25" x14ac:dyDescent="0.2">
      <c r="A28" s="107" t="s">
        <v>2757</v>
      </c>
      <c r="B28" s="107" t="s">
        <v>2760</v>
      </c>
      <c r="C28" s="107" t="s">
        <v>2765</v>
      </c>
      <c r="D28" s="108">
        <v>0</v>
      </c>
      <c r="E28" s="108">
        <v>15000</v>
      </c>
      <c r="F28" s="109" t="s">
        <v>13</v>
      </c>
      <c r="G28" s="109" t="s">
        <v>13</v>
      </c>
      <c r="I28" s="107" t="inlineStr">
        <is>
          <t xml:space="preserve">buy_card_t1</t>
        </is>
      </c>
      <c r="J28" s="107" t="inlineStr">
        <is>
          <t xml:space="preserve">No</t>
        </is>
      </c>
      <c r="K28" s="107" t="inlineStr">
        <is>
          <t xml:space="preserve">No</t>
        </is>
      </c>
    </row>
    <row r="29" spans="1:25" ht="68.25" x14ac:dyDescent="0.2">
      <c r="A29" s="107" t="s">
        <v>2758</v>
      </c>
      <c r="B29" s="107" t="s">
        <v>2761</v>
      </c>
      <c r="C29" s="107" t="s">
        <v>2764</v>
      </c>
      <c r="D29" s="108">
        <v>0</v>
      </c>
      <c r="E29" s="108">
        <v>25000</v>
      </c>
      <c r="F29" s="109" t="s">
        <v>13</v>
      </c>
      <c r="G29" s="109" t="s">
        <v>13</v>
      </c>
      <c r="I29" s="107" t="inlineStr">
        <is>
          <t xml:space="preserve">buy_card_t2</t>
        </is>
      </c>
      <c r="J29" s="107" t="inlineStr">
        <is>
          <t xml:space="preserve">No</t>
        </is>
      </c>
      <c r="K29" s="107" t="inlineStr">
        <is>
          <t xml:space="preserve">No</t>
        </is>
      </c>
    </row>
    <row r="30" spans="1:25" ht="68.25" x14ac:dyDescent="0.2">
      <c r="A30" s="107" t="s">
        <v>2759</v>
      </c>
      <c r="B30" s="107" t="s">
        <v>2762</v>
      </c>
      <c r="C30" s="107" t="s">
        <v>2763</v>
      </c>
      <c r="D30" s="108">
        <v>0</v>
      </c>
      <c r="E30" s="108">
        <v>30000</v>
      </c>
      <c r="F30" s="109" t="s">
        <v>13</v>
      </c>
      <c r="G30" s="109" t="s">
        <v>13</v>
      </c>
      <c r="I30" s="107" t="inlineStr">
        <is>
          <t xml:space="preserve">buy_card_t3</t>
        </is>
      </c>
      <c r="J30" s="107" t="inlineStr">
        <is>
          <t xml:space="preserve">No</t>
        </is>
      </c>
      <c r="K30" s="107" t="inlineStr">
        <is>
          <t xml:space="preserve">No</t>
        </is>
      </c>
    </row>
  </sheetData>
  <phoneticPr fontId="20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22"/>
  <sheetViews>
    <sheetView workbookViewId="0">
      <pane ySplit="1" topLeftCell="A2" activePane="bottomLeft" state="frozen"/>
      <selection pane="bottomLeft" sqref="A1:I1"/>
    </sheetView>
  </sheetViews>
  <sheetFormatPr defaultRowHeight="15" x14ac:dyDescent="0.2"/>
  <cols>
    <col min="1" max="1" width="7.93359375" customWidth="1"/>
    <col min="2" max="2" width="23.9453125" customWidth="1"/>
    <col min="3" max="3" width="13.98828125" customWidth="1"/>
    <col min="4" max="4" width="9.953125" customWidth="1"/>
    <col min="5" max="5" width="11.97265625" customWidth="1"/>
    <col min="6" max="6" width="13.046875" customWidth="1"/>
    <col min="7" max="8" width="13.98828125" customWidth="1"/>
    <col min="9" max="9" width="25.9609375" customWidth="1"/>
    <col min="10" max="10" width="34.03125" customWidth="1"/>
    <col min="11" max="11" width="39.953125" customWidth="1"/>
  </cols>
  <sheetData>
    <row r="1" spans="1:11" ht="30" customHeight="1" x14ac:dyDescent="0.2">
      <c r="A1" s="99" t="s">
        <v>0</v>
      </c>
      <c r="B1" s="99" t="s">
        <v>1</v>
      </c>
      <c r="C1" s="99" t="s">
        <v>2</v>
      </c>
      <c r="D1" s="99" t="s">
        <v>3</v>
      </c>
      <c r="E1" s="99" t="s">
        <v>4</v>
      </c>
      <c r="F1" s="99" t="s">
        <v>5</v>
      </c>
      <c r="G1" s="99" t="s">
        <v>6</v>
      </c>
      <c r="H1" s="99" t="s">
        <v>7</v>
      </c>
      <c r="I1" s="99" t="s">
        <v>8</v>
      </c>
      <c r="J1" s="99" t="s">
        <v>9</v>
      </c>
      <c r="K1" s="99" t="s">
        <v>10</v>
      </c>
    </row>
    <row r="2" spans="1:11" x14ac:dyDescent="0.2">
      <c r="A2" s="84" t="s">
        <v>11</v>
      </c>
      <c r="B2" s="84" t="s">
        <v>12</v>
      </c>
      <c r="C2" s="84"/>
      <c r="D2" s="84">
        <v>0</v>
      </c>
      <c r="E2" s="84">
        <v>0</v>
      </c>
      <c r="F2" s="100">
        <v>10000</v>
      </c>
      <c r="G2" s="101" t="s">
        <v>13</v>
      </c>
      <c r="H2" s="101" t="s">
        <v>13</v>
      </c>
      <c r="I2" s="84" t="s">
        <v>14</v>
      </c>
      <c r="J2" s="101" t="s">
        <v>13</v>
      </c>
      <c r="K2" s="101" t="s">
        <v>13</v>
      </c>
    </row>
    <row r="3" spans="1:11" x14ac:dyDescent="0.2">
      <c r="A3" s="84" t="s">
        <v>15</v>
      </c>
      <c r="B3" s="84" t="s">
        <v>12</v>
      </c>
      <c r="C3" s="84"/>
      <c r="D3" s="84">
        <v>0</v>
      </c>
      <c r="E3" s="84">
        <v>1</v>
      </c>
      <c r="F3" s="100">
        <v>25000</v>
      </c>
      <c r="G3" s="100">
        <v>50000</v>
      </c>
      <c r="H3" s="101" t="s">
        <v>13</v>
      </c>
      <c r="I3" s="84" t="s">
        <v>16</v>
      </c>
      <c r="J3" s="84" t="s">
        <v>17</v>
      </c>
      <c r="K3" s="101" t="s">
        <v>13</v>
      </c>
    </row>
    <row r="4" spans="1:11" x14ac:dyDescent="0.2">
      <c r="A4" s="84" t="s">
        <v>18</v>
      </c>
      <c r="B4" s="84" t="s">
        <v>12</v>
      </c>
      <c r="C4" s="84"/>
      <c r="D4" s="84">
        <v>0</v>
      </c>
      <c r="E4" s="84">
        <v>1</v>
      </c>
      <c r="F4" s="100">
        <v>25000</v>
      </c>
      <c r="G4" s="100">
        <v>50000</v>
      </c>
      <c r="H4" s="101" t="s">
        <v>13</v>
      </c>
      <c r="I4" s="84" t="s">
        <v>16</v>
      </c>
      <c r="J4" s="84" t="s">
        <v>19</v>
      </c>
      <c r="K4" s="101" t="s">
        <v>13</v>
      </c>
    </row>
    <row r="5" spans="1:11" x14ac:dyDescent="0.2">
      <c r="A5" s="84" t="s">
        <v>20</v>
      </c>
      <c r="B5" s="84" t="s">
        <v>12</v>
      </c>
      <c r="C5" s="84"/>
      <c r="D5" s="84">
        <v>0</v>
      </c>
      <c r="E5" s="84">
        <v>2</v>
      </c>
      <c r="F5" s="100">
        <v>50000</v>
      </c>
      <c r="G5" s="100">
        <v>30000</v>
      </c>
      <c r="H5" s="100">
        <v>50000</v>
      </c>
      <c r="I5" s="84" t="s">
        <v>21</v>
      </c>
      <c r="J5" s="84" t="s">
        <v>22</v>
      </c>
      <c r="K5" s="84" t="s">
        <v>23</v>
      </c>
    </row>
    <row r="6" spans="1:11" x14ac:dyDescent="0.2">
      <c r="A6" s="84" t="s">
        <v>24</v>
      </c>
      <c r="B6" s="84" t="s">
        <v>12</v>
      </c>
      <c r="C6" s="84"/>
      <c r="D6" s="84">
        <v>1</v>
      </c>
      <c r="E6" s="84">
        <v>1</v>
      </c>
      <c r="F6" s="100">
        <v>75000</v>
      </c>
      <c r="G6" s="101" t="s">
        <v>13</v>
      </c>
      <c r="H6" s="101" t="s">
        <v>13</v>
      </c>
      <c r="I6" s="101" t="s">
        <v>13</v>
      </c>
      <c r="J6" s="84" t="s">
        <v>25</v>
      </c>
      <c r="K6" s="101" t="s">
        <v>13</v>
      </c>
    </row>
    <row r="7" spans="1:11" x14ac:dyDescent="0.2">
      <c r="A7" s="84" t="s">
        <v>26</v>
      </c>
      <c r="B7" s="84" t="s">
        <v>12</v>
      </c>
      <c r="C7" s="84"/>
      <c r="D7" s="84">
        <v>0</v>
      </c>
      <c r="E7" s="84">
        <v>2</v>
      </c>
      <c r="F7" s="100">
        <v>90000</v>
      </c>
      <c r="G7" s="100">
        <v>30000</v>
      </c>
      <c r="H7" s="100">
        <v>10000</v>
      </c>
      <c r="I7" s="84" t="s">
        <v>27</v>
      </c>
      <c r="J7" s="84" t="s">
        <v>28</v>
      </c>
      <c r="K7" s="84" t="s">
        <v>29</v>
      </c>
    </row>
    <row r="8" spans="1:11" x14ac:dyDescent="0.2">
      <c r="A8" s="84" t="s">
        <v>30</v>
      </c>
      <c r="B8" s="84" t="s">
        <v>12</v>
      </c>
      <c r="C8" s="84"/>
      <c r="D8" s="84">
        <v>1</v>
      </c>
      <c r="E8" s="84">
        <v>2</v>
      </c>
      <c r="F8" s="100">
        <v>100000</v>
      </c>
      <c r="G8" s="101" t="s">
        <v>13</v>
      </c>
      <c r="H8" s="100">
        <v>25000</v>
      </c>
      <c r="I8" s="101" t="s">
        <v>13</v>
      </c>
      <c r="J8" s="84" t="s">
        <v>31</v>
      </c>
      <c r="K8" s="84" t="s">
        <v>32</v>
      </c>
    </row>
    <row r="9" spans="1:11" x14ac:dyDescent="0.2">
      <c r="A9" s="84" t="s">
        <v>33</v>
      </c>
      <c r="B9" s="84" t="s">
        <v>34</v>
      </c>
      <c r="C9" s="84"/>
      <c r="D9" s="84">
        <v>0</v>
      </c>
      <c r="E9" s="84">
        <v>0</v>
      </c>
      <c r="F9" s="100">
        <v>10000</v>
      </c>
      <c r="G9" s="101" t="s">
        <v>13</v>
      </c>
      <c r="H9" s="101" t="s">
        <v>13</v>
      </c>
      <c r="I9" s="84" t="s">
        <v>35</v>
      </c>
      <c r="J9" s="101" t="s">
        <v>13</v>
      </c>
      <c r="K9" s="101" t="s">
        <v>13</v>
      </c>
    </row>
    <row r="10" spans="1:11" x14ac:dyDescent="0.2">
      <c r="A10" s="84" t="s">
        <v>36</v>
      </c>
      <c r="B10" s="84" t="s">
        <v>34</v>
      </c>
      <c r="C10" s="84"/>
      <c r="D10" s="84">
        <v>0</v>
      </c>
      <c r="E10" s="84">
        <v>1</v>
      </c>
      <c r="F10" s="100">
        <v>25000</v>
      </c>
      <c r="G10" s="100">
        <v>50000</v>
      </c>
      <c r="H10" s="101" t="s">
        <v>13</v>
      </c>
      <c r="I10" s="84" t="s">
        <v>37</v>
      </c>
      <c r="J10" s="84" t="s">
        <v>38</v>
      </c>
      <c r="K10" s="101" t="s">
        <v>13</v>
      </c>
    </row>
    <row r="11" spans="1:11" x14ac:dyDescent="0.2">
      <c r="A11" s="84" t="s">
        <v>39</v>
      </c>
      <c r="B11" s="84" t="s">
        <v>34</v>
      </c>
      <c r="C11" s="84"/>
      <c r="D11" s="84">
        <v>0</v>
      </c>
      <c r="E11" s="84">
        <v>1</v>
      </c>
      <c r="F11" s="100">
        <v>25000</v>
      </c>
      <c r="G11" s="100">
        <v>50000</v>
      </c>
      <c r="H11" s="101" t="s">
        <v>13</v>
      </c>
      <c r="I11" s="84" t="s">
        <v>37</v>
      </c>
      <c r="J11" s="84" t="s">
        <v>40</v>
      </c>
      <c r="K11" s="101" t="s">
        <v>13</v>
      </c>
    </row>
    <row r="12" spans="1:11" x14ac:dyDescent="0.2">
      <c r="A12" s="84" t="s">
        <v>41</v>
      </c>
      <c r="B12" s="84" t="s">
        <v>34</v>
      </c>
      <c r="C12" s="84"/>
      <c r="D12" s="84">
        <v>0</v>
      </c>
      <c r="E12" s="84">
        <v>2</v>
      </c>
      <c r="F12" s="100">
        <v>50000</v>
      </c>
      <c r="G12" s="100">
        <v>30000</v>
      </c>
      <c r="H12" s="100">
        <v>50000</v>
      </c>
      <c r="I12" s="84" t="s">
        <v>42</v>
      </c>
      <c r="J12" s="84" t="s">
        <v>43</v>
      </c>
      <c r="K12" s="84" t="s">
        <v>44</v>
      </c>
    </row>
    <row r="13" spans="1:11" x14ac:dyDescent="0.2">
      <c r="A13" s="84" t="s">
        <v>45</v>
      </c>
      <c r="B13" s="84" t="s">
        <v>34</v>
      </c>
      <c r="C13" s="84"/>
      <c r="D13" s="84">
        <v>1</v>
      </c>
      <c r="E13" s="84">
        <v>1</v>
      </c>
      <c r="F13" s="100">
        <v>75000</v>
      </c>
      <c r="G13" s="101" t="s">
        <v>13</v>
      </c>
      <c r="H13" s="101" t="s">
        <v>13</v>
      </c>
      <c r="I13" s="101" t="s">
        <v>13</v>
      </c>
      <c r="J13" s="84" t="s">
        <v>46</v>
      </c>
      <c r="K13" s="101" t="s">
        <v>13</v>
      </c>
    </row>
    <row r="14" spans="1:11" x14ac:dyDescent="0.2">
      <c r="A14" s="84" t="s">
        <v>47</v>
      </c>
      <c r="B14" s="84" t="s">
        <v>34</v>
      </c>
      <c r="C14" s="84"/>
      <c r="D14" s="84">
        <v>0</v>
      </c>
      <c r="E14" s="84">
        <v>2</v>
      </c>
      <c r="F14" s="100">
        <v>90000</v>
      </c>
      <c r="G14" s="100">
        <v>30000</v>
      </c>
      <c r="H14" s="100">
        <v>10000</v>
      </c>
      <c r="I14" s="84" t="s">
        <v>37</v>
      </c>
      <c r="J14" s="84" t="s">
        <v>48</v>
      </c>
      <c r="K14" s="84" t="s">
        <v>49</v>
      </c>
    </row>
    <row r="15" spans="1:11" x14ac:dyDescent="0.2">
      <c r="A15" s="84" t="s">
        <v>50</v>
      </c>
      <c r="B15" s="84" t="s">
        <v>34</v>
      </c>
      <c r="C15" s="84"/>
      <c r="D15" s="84">
        <v>1</v>
      </c>
      <c r="E15" s="84">
        <v>2</v>
      </c>
      <c r="F15" s="100">
        <v>100000</v>
      </c>
      <c r="G15" s="101" t="s">
        <v>13</v>
      </c>
      <c r="H15" s="100">
        <v>25000</v>
      </c>
      <c r="I15" s="101" t="s">
        <v>13</v>
      </c>
      <c r="J15" s="84" t="s">
        <v>51</v>
      </c>
      <c r="K15" s="84" t="s">
        <v>52</v>
      </c>
    </row>
    <row r="16" spans="1:11" x14ac:dyDescent="0.2">
      <c r="A16" s="84" t="s">
        <v>53</v>
      </c>
      <c r="B16" s="84" t="s">
        <v>54</v>
      </c>
      <c r="C16" s="84"/>
      <c r="D16" s="84">
        <v>0</v>
      </c>
      <c r="E16" s="84">
        <v>0</v>
      </c>
      <c r="F16" s="100">
        <v>10000</v>
      </c>
      <c r="G16" s="101" t="s">
        <v>13</v>
      </c>
      <c r="H16" s="101" t="s">
        <v>13</v>
      </c>
      <c r="I16" s="84" t="s">
        <v>55</v>
      </c>
      <c r="J16" s="101" t="s">
        <v>13</v>
      </c>
      <c r="K16" s="101" t="s">
        <v>13</v>
      </c>
    </row>
    <row r="17" spans="1:11" x14ac:dyDescent="0.2">
      <c r="A17" s="84" t="s">
        <v>56</v>
      </c>
      <c r="B17" s="84" t="s">
        <v>54</v>
      </c>
      <c r="C17" s="84"/>
      <c r="D17" s="84">
        <v>0</v>
      </c>
      <c r="E17" s="84">
        <v>1</v>
      </c>
      <c r="F17" s="100">
        <v>25000</v>
      </c>
      <c r="G17" s="100">
        <v>50000</v>
      </c>
      <c r="H17" s="101" t="s">
        <v>13</v>
      </c>
      <c r="I17" s="84" t="s">
        <v>57</v>
      </c>
      <c r="J17" s="84" t="s">
        <v>58</v>
      </c>
      <c r="K17" s="101" t="s">
        <v>13</v>
      </c>
    </row>
    <row r="18" spans="1:11" x14ac:dyDescent="0.2">
      <c r="A18" s="84" t="s">
        <v>59</v>
      </c>
      <c r="B18" s="84" t="s">
        <v>54</v>
      </c>
      <c r="C18" s="84"/>
      <c r="D18" s="84">
        <v>0</v>
      </c>
      <c r="E18" s="84">
        <v>1</v>
      </c>
      <c r="F18" s="100">
        <v>25000</v>
      </c>
      <c r="G18" s="100">
        <v>50000</v>
      </c>
      <c r="H18" s="101" t="s">
        <v>13</v>
      </c>
      <c r="I18" s="84" t="s">
        <v>57</v>
      </c>
      <c r="J18" s="84" t="s">
        <v>60</v>
      </c>
      <c r="K18" s="101" t="s">
        <v>13</v>
      </c>
    </row>
    <row r="19" spans="1:11" x14ac:dyDescent="0.2">
      <c r="A19" s="84" t="s">
        <v>61</v>
      </c>
      <c r="B19" s="84" t="s">
        <v>54</v>
      </c>
      <c r="C19" s="84"/>
      <c r="D19" s="84">
        <v>0</v>
      </c>
      <c r="E19" s="84">
        <v>2</v>
      </c>
      <c r="F19" s="100">
        <v>50000</v>
      </c>
      <c r="G19" s="100">
        <v>30000</v>
      </c>
      <c r="H19" s="100">
        <v>50000</v>
      </c>
      <c r="I19" s="84" t="s">
        <v>21</v>
      </c>
      <c r="J19" s="84" t="s">
        <v>62</v>
      </c>
      <c r="K19" s="84" t="s">
        <v>63</v>
      </c>
    </row>
    <row r="20" spans="1:11" x14ac:dyDescent="0.2">
      <c r="A20" s="84" t="s">
        <v>64</v>
      </c>
      <c r="B20" s="84" t="s">
        <v>54</v>
      </c>
      <c r="C20" s="84"/>
      <c r="D20" s="84">
        <v>1</v>
      </c>
      <c r="E20" s="84">
        <v>1</v>
      </c>
      <c r="F20" s="100">
        <v>75000</v>
      </c>
      <c r="G20" s="101" t="s">
        <v>13</v>
      </c>
      <c r="H20" s="101" t="s">
        <v>13</v>
      </c>
      <c r="I20" s="101" t="s">
        <v>13</v>
      </c>
      <c r="J20" s="84" t="s">
        <v>65</v>
      </c>
      <c r="K20" s="101" t="s">
        <v>13</v>
      </c>
    </row>
    <row r="21" spans="1:11" x14ac:dyDescent="0.2">
      <c r="A21" s="84" t="s">
        <v>66</v>
      </c>
      <c r="B21" s="84" t="s">
        <v>54</v>
      </c>
      <c r="C21" s="84"/>
      <c r="D21" s="84">
        <v>0</v>
      </c>
      <c r="E21" s="84">
        <v>2</v>
      </c>
      <c r="F21" s="100">
        <v>90000</v>
      </c>
      <c r="G21" s="100">
        <v>30000</v>
      </c>
      <c r="H21" s="100">
        <v>10000</v>
      </c>
      <c r="I21" s="84" t="s">
        <v>67</v>
      </c>
      <c r="J21" s="84" t="s">
        <v>58</v>
      </c>
      <c r="K21" s="84" t="s">
        <v>68</v>
      </c>
    </row>
    <row r="22" spans="1:11" x14ac:dyDescent="0.2">
      <c r="A22" s="84" t="s">
        <v>69</v>
      </c>
      <c r="B22" s="84" t="s">
        <v>54</v>
      </c>
      <c r="C22" s="84"/>
      <c r="D22" s="84">
        <v>1</v>
      </c>
      <c r="E22" s="84">
        <v>2</v>
      </c>
      <c r="F22" s="100">
        <v>100000</v>
      </c>
      <c r="G22" s="101" t="s">
        <v>13</v>
      </c>
      <c r="H22" s="100">
        <v>25000</v>
      </c>
      <c r="I22" s="101" t="s">
        <v>13</v>
      </c>
      <c r="J22" s="84" t="s">
        <v>70</v>
      </c>
      <c r="K22" s="84" t="s">
        <v>71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1"/>
  <dimension ref="A1:N1000"/>
  <sheetViews>
    <sheetView zoomScaleNormal="100" workbookViewId="0">
      <pane xSplit="1" ySplit="1" topLeftCell="B104" activePane="bottomRight" state="frozen"/>
      <selection activeCell="H26" sqref="H26"/>
      <selection pane="bottomLeft" activeCell="H26" sqref="H26"/>
      <selection pane="topRight" activeCell="H26" sqref="H26"/>
      <selection pane="bottomRight" activeCell="E129" sqref="E129"/>
    </sheetView>
  </sheetViews>
  <sheetFormatPr defaultColWidth="8.7421875" defaultRowHeight="15" x14ac:dyDescent="0.2"/>
  <cols>
    <col min="1" max="1" width="7.93359375" customWidth="1"/>
    <col min="2" max="5" width="20.04296875" customWidth="1"/>
    <col min="6" max="6" width="22.05859375" customWidth="1"/>
    <col min="7" max="7" width="20.04296875" customWidth="1"/>
    <col min="8" max="8" width="13.98828125" customWidth="1"/>
    <col min="9" max="9" width="11.97265625" customWidth="1"/>
    <col min="10" max="10" width="9.01171875" customWidth="1"/>
    <col min="11" max="11" width="11.97265625" customWidth="1"/>
    <col min="12" max="12" width="9.01171875" customWidth="1"/>
    <col min="13" max="13" width="39.953125" customWidth="1"/>
    <col min="14" max="14" width="11.02734375" customWidth="1"/>
    <col min="15" max="15" width="34.03125" customWidth="1"/>
  </cols>
  <sheetData>
    <row r="1" spans="1:14" ht="31.5" customHeight="1" thickBot="1" x14ac:dyDescent="0.25">
      <c r="A1" s="2" t="s">
        <v>1052</v>
      </c>
      <c r="B1" s="2" t="s">
        <v>2</v>
      </c>
      <c r="C1" s="2" t="s">
        <v>2442</v>
      </c>
      <c r="D1" s="2" t="s">
        <v>2349</v>
      </c>
      <c r="E1" s="2" t="s">
        <v>1011</v>
      </c>
      <c r="F1" s="2" t="s">
        <v>2559</v>
      </c>
      <c r="G1" s="2" t="s">
        <v>2552</v>
      </c>
      <c r="H1" s="2" t="s">
        <v>2348</v>
      </c>
      <c r="I1" s="2" t="s">
        <v>2549</v>
      </c>
      <c r="J1" s="2" t="s">
        <v>2550</v>
      </c>
      <c r="K1" s="2" t="s">
        <v>2551</v>
      </c>
      <c r="L1" s="2" t="s">
        <v>2342</v>
      </c>
      <c r="M1" s="2" t="s">
        <v>2343</v>
      </c>
      <c r="N1" s="2" t="s">
        <v>2344</v>
      </c>
    </row>
    <row r="2" spans="1:14" ht="39" customHeight="1" thickBot="1" x14ac:dyDescent="0.25">
      <c r="A2" s="4" t="s">
        <v>1053</v>
      </c>
      <c r="B2" s="102" t="s">
        <v>2435</v>
      </c>
      <c r="C2" s="103" t="s">
        <v>13</v>
      </c>
      <c r="D2" s="102" t="s">
        <v>2449</v>
      </c>
      <c r="E2" s="102" t="s">
        <v>1064</v>
      </c>
      <c r="F2" s="102" t="s">
        <v>2448</v>
      </c>
      <c r="G2" t="s">
        <v>231</v>
      </c>
      <c r="H2" s="111" t="s">
        <v>2755</v>
      </c>
      <c r="I2" s="102" t="s">
        <v>120</v>
      </c>
      <c r="J2" s="102" t="s">
        <v>130</v>
      </c>
      <c r="K2" s="102" t="s">
        <v>125</v>
      </c>
      <c r="L2" s="111" t="s">
        <v>2347</v>
      </c>
      <c r="M2" s="111" t="s">
        <v>2347</v>
      </c>
      <c r="N2" s="111" t="s">
        <v>2347</v>
      </c>
    </row>
    <row r="3" spans="1:14" ht="39" customHeight="1" thickBot="1" x14ac:dyDescent="0.25">
      <c r="A3" s="4" t="s">
        <v>1056</v>
      </c>
      <c r="B3" s="102" t="s">
        <v>2350</v>
      </c>
      <c r="C3" s="103" t="s">
        <v>13</v>
      </c>
      <c r="D3" s="102" t="s">
        <v>2449</v>
      </c>
      <c r="E3" s="102" t="s">
        <v>1061</v>
      </c>
      <c r="F3" s="102" t="s">
        <v>2444</v>
      </c>
      <c r="G3" t="s">
        <v>259</v>
      </c>
      <c r="H3" s="111" t="s">
        <v>2711</v>
      </c>
      <c r="I3" s="102" t="s">
        <v>145</v>
      </c>
      <c r="J3" s="102" t="s">
        <v>125</v>
      </c>
      <c r="K3" s="102" t="s">
        <v>140</v>
      </c>
      <c r="L3" s="112" t="s">
        <v>2346</v>
      </c>
      <c r="M3" s="75" t="s">
        <v>322</v>
      </c>
      <c r="N3" s="75" t="s">
        <v>2347</v>
      </c>
    </row>
    <row r="4" spans="1:14" ht="39" customHeight="1" thickBot="1" x14ac:dyDescent="0.25">
      <c r="A4" s="4" t="s">
        <v>1059</v>
      </c>
      <c r="B4" s="102" t="s">
        <v>2351</v>
      </c>
      <c r="C4" s="103" t="s">
        <v>13</v>
      </c>
      <c r="D4" s="102" t="s">
        <v>1994</v>
      </c>
      <c r="E4" s="102" t="s">
        <v>1074</v>
      </c>
      <c r="F4" s="102" t="s">
        <v>2443</v>
      </c>
      <c r="G4" t="s">
        <v>255</v>
      </c>
      <c r="H4" s="111" t="s">
        <v>2712</v>
      </c>
      <c r="I4" s="102" t="s">
        <v>130</v>
      </c>
      <c r="J4" s="102" t="s">
        <v>120</v>
      </c>
      <c r="K4" s="102" t="s">
        <v>135</v>
      </c>
      <c r="L4" s="112" t="s">
        <v>350</v>
      </c>
      <c r="M4" s="75" t="s">
        <v>373</v>
      </c>
      <c r="N4" s="75" t="s">
        <v>333</v>
      </c>
    </row>
    <row r="5" spans="1:14" ht="39" customHeight="1" thickBot="1" x14ac:dyDescent="0.25">
      <c r="A5" s="4" t="s">
        <v>1062</v>
      </c>
      <c r="B5" s="102" t="s">
        <v>2352</v>
      </c>
      <c r="C5" s="103" t="s">
        <v>13</v>
      </c>
      <c r="D5" s="102" t="s">
        <v>2449</v>
      </c>
      <c r="E5" s="102" t="s">
        <v>1058</v>
      </c>
      <c r="F5" s="102" t="s">
        <v>2445</v>
      </c>
      <c r="G5" t="s">
        <v>239</v>
      </c>
      <c r="H5" s="111" t="s">
        <v>2713</v>
      </c>
      <c r="I5" s="102" t="s">
        <v>120</v>
      </c>
      <c r="J5" s="102" t="s">
        <v>130</v>
      </c>
      <c r="K5" s="102" t="s">
        <v>120</v>
      </c>
      <c r="L5" s="112" t="s">
        <v>344</v>
      </c>
      <c r="M5" s="75" t="s">
        <v>327</v>
      </c>
      <c r="N5" s="75" t="s">
        <v>320</v>
      </c>
    </row>
    <row r="6" spans="1:14" ht="39" customHeight="1" thickBot="1" x14ac:dyDescent="0.25">
      <c r="A6" s="4" t="s">
        <v>1065</v>
      </c>
      <c r="B6" s="102" t="s">
        <v>2353</v>
      </c>
      <c r="C6" s="103" t="s">
        <v>13</v>
      </c>
      <c r="D6" s="102" t="s">
        <v>1994</v>
      </c>
      <c r="E6" s="102" t="s">
        <v>1074</v>
      </c>
      <c r="F6" s="102" t="s">
        <v>2443</v>
      </c>
      <c r="G6" t="s">
        <v>255</v>
      </c>
      <c r="H6" s="111" t="s">
        <v>2714</v>
      </c>
      <c r="I6" s="102" t="s">
        <v>130</v>
      </c>
      <c r="J6" s="102" t="s">
        <v>135</v>
      </c>
      <c r="K6" s="102" t="s">
        <v>140</v>
      </c>
      <c r="L6" s="112" t="s">
        <v>333</v>
      </c>
      <c r="M6" s="75" t="s">
        <v>2347</v>
      </c>
      <c r="N6" s="75" t="s">
        <v>2346</v>
      </c>
    </row>
    <row r="7" spans="1:14" ht="39" customHeight="1" thickBot="1" x14ac:dyDescent="0.25">
      <c r="A7" s="4" t="s">
        <v>1067</v>
      </c>
      <c r="B7" s="102" t="s">
        <v>2354</v>
      </c>
      <c r="C7" s="103" t="s">
        <v>13</v>
      </c>
      <c r="D7" s="102" t="s">
        <v>2449</v>
      </c>
      <c r="E7" s="102" t="s">
        <v>1055</v>
      </c>
      <c r="F7" s="102" t="s">
        <v>2446</v>
      </c>
      <c r="G7" t="s">
        <v>243</v>
      </c>
      <c r="H7" s="111" t="s">
        <v>2715</v>
      </c>
      <c r="I7" s="102" t="s">
        <v>130</v>
      </c>
      <c r="J7" s="102" t="s">
        <v>125</v>
      </c>
      <c r="K7" s="102" t="s">
        <v>135</v>
      </c>
      <c r="L7" s="111" t="s">
        <v>333</v>
      </c>
      <c r="M7" s="111" t="s">
        <v>373</v>
      </c>
      <c r="N7" s="111" t="s">
        <v>333</v>
      </c>
    </row>
    <row r="8" spans="1:14" ht="39" customHeight="1" thickBot="1" x14ac:dyDescent="0.25">
      <c r="A8" s="4" t="s">
        <v>1070</v>
      </c>
      <c r="B8" s="102" t="s">
        <v>2355</v>
      </c>
      <c r="C8" s="103" t="s">
        <v>13</v>
      </c>
      <c r="D8" s="102" t="s">
        <v>2449</v>
      </c>
      <c r="E8" s="102" t="s">
        <v>1058</v>
      </c>
      <c r="F8" s="102" t="s">
        <v>2445</v>
      </c>
      <c r="G8" t="s">
        <v>255</v>
      </c>
      <c r="H8" s="111" t="s">
        <v>2712</v>
      </c>
      <c r="I8" s="102" t="s">
        <v>130</v>
      </c>
      <c r="J8" s="102" t="s">
        <v>135</v>
      </c>
      <c r="K8" s="102" t="s">
        <v>125</v>
      </c>
      <c r="L8" s="111" t="s">
        <v>333</v>
      </c>
      <c r="M8" s="111" t="s">
        <v>373</v>
      </c>
      <c r="N8" s="111" t="s">
        <v>373</v>
      </c>
    </row>
    <row r="9" spans="1:14" ht="39" customHeight="1" thickBot="1" x14ac:dyDescent="0.25">
      <c r="A9" s="4" t="s">
        <v>1072</v>
      </c>
      <c r="B9" s="102" t="s">
        <v>2356</v>
      </c>
      <c r="C9" s="103" t="s">
        <v>13</v>
      </c>
      <c r="D9" s="102" t="s">
        <v>1994</v>
      </c>
      <c r="E9" s="102" t="s">
        <v>1058</v>
      </c>
      <c r="F9" s="102" t="s">
        <v>2445</v>
      </c>
      <c r="G9" t="s">
        <v>259</v>
      </c>
      <c r="H9" s="111" t="s">
        <v>2716</v>
      </c>
      <c r="I9" s="102" t="s">
        <v>120</v>
      </c>
      <c r="J9" s="102" t="s">
        <v>135</v>
      </c>
      <c r="K9" s="102" t="s">
        <v>125</v>
      </c>
      <c r="L9" s="111" t="s">
        <v>380</v>
      </c>
      <c r="M9" s="111" t="s">
        <v>2347</v>
      </c>
      <c r="N9" s="111" t="s">
        <v>373</v>
      </c>
    </row>
    <row r="10" spans="1:14" ht="39.6" customHeight="1" thickBot="1" x14ac:dyDescent="0.25">
      <c r="A10" s="4" t="s">
        <v>1075</v>
      </c>
      <c r="B10" s="102" t="s">
        <v>2357</v>
      </c>
      <c r="C10" s="103" t="s">
        <v>13</v>
      </c>
      <c r="D10" s="102" t="s">
        <v>1994</v>
      </c>
      <c r="E10" s="102" t="s">
        <v>1069</v>
      </c>
      <c r="F10" s="102" t="s">
        <v>2447</v>
      </c>
      <c r="G10" t="s">
        <v>226</v>
      </c>
      <c r="H10" s="111" t="s">
        <v>2717</v>
      </c>
      <c r="I10" s="102" t="s">
        <v>130</v>
      </c>
      <c r="J10" s="102" t="s">
        <v>135</v>
      </c>
      <c r="K10" s="102" t="s">
        <v>120</v>
      </c>
      <c r="L10" s="111" t="s">
        <v>327</v>
      </c>
      <c r="M10" s="111" t="s">
        <v>373</v>
      </c>
      <c r="N10" s="111" t="s">
        <v>373</v>
      </c>
    </row>
    <row r="11" spans="1:14" ht="27" customHeight="1" thickBot="1" x14ac:dyDescent="0.25">
      <c r="A11" s="4" t="s">
        <v>2450</v>
      </c>
      <c r="B11" s="102" t="s">
        <v>1073</v>
      </c>
      <c r="C11" s="103" t="s">
        <v>2560</v>
      </c>
      <c r="D11" s="102" t="s">
        <v>1994</v>
      </c>
      <c r="E11" s="102" t="s">
        <v>1074</v>
      </c>
      <c r="F11" s="102" t="s">
        <v>2443</v>
      </c>
      <c r="G11" s="103" t="s">
        <v>263</v>
      </c>
      <c r="H11" s="111" t="s">
        <v>2718</v>
      </c>
      <c r="I11" s="102" t="s">
        <v>120</v>
      </c>
      <c r="J11" s="102" t="s">
        <v>125</v>
      </c>
      <c r="K11" s="102" t="s">
        <v>140</v>
      </c>
      <c r="L11" s="104" t="s">
        <v>2345</v>
      </c>
      <c r="M11" s="75" t="s">
        <v>2345</v>
      </c>
      <c r="N11" s="75" t="s">
        <v>327</v>
      </c>
    </row>
    <row r="12" spans="1:14" ht="27" customHeight="1" thickBot="1" x14ac:dyDescent="0.25">
      <c r="A12" s="4" t="s">
        <v>2540</v>
      </c>
      <c r="B12" s="102" t="s">
        <v>2434</v>
      </c>
      <c r="C12" s="103" t="s">
        <v>13</v>
      </c>
      <c r="D12" s="102" t="s">
        <v>2449</v>
      </c>
      <c r="E12" s="102" t="s">
        <v>1058</v>
      </c>
      <c r="F12" s="102" t="s">
        <v>2445</v>
      </c>
      <c r="G12" t="s">
        <v>259</v>
      </c>
      <c r="H12" s="111" t="s">
        <v>2719</v>
      </c>
      <c r="I12" s="102" t="s">
        <v>120</v>
      </c>
      <c r="J12" s="102" t="s">
        <v>125</v>
      </c>
      <c r="K12" s="102" t="s">
        <v>145</v>
      </c>
      <c r="L12" s="111" t="s">
        <v>333</v>
      </c>
      <c r="M12" s="111" t="s">
        <v>2347</v>
      </c>
      <c r="N12" s="111" t="s">
        <v>333</v>
      </c>
    </row>
    <row r="13" spans="1:14" ht="27" customHeight="1" thickBot="1" x14ac:dyDescent="0.25">
      <c r="A13" s="4" t="s">
        <v>2541</v>
      </c>
      <c r="B13" s="102" t="s">
        <v>1057</v>
      </c>
      <c r="C13" s="103" t="s">
        <v>13</v>
      </c>
      <c r="D13" s="102" t="s">
        <v>2449</v>
      </c>
      <c r="E13" s="102" t="s">
        <v>1058</v>
      </c>
      <c r="F13" s="102" t="s">
        <v>2445</v>
      </c>
      <c r="G13" s="105" t="s">
        <v>251</v>
      </c>
      <c r="H13" s="111" t="s">
        <v>2720</v>
      </c>
      <c r="I13" s="102" t="s">
        <v>125</v>
      </c>
      <c r="J13" s="102" t="s">
        <v>140</v>
      </c>
      <c r="K13" s="102" t="s">
        <v>140</v>
      </c>
      <c r="L13" s="111" t="s">
        <v>2655</v>
      </c>
      <c r="M13" s="111" t="s">
        <v>373</v>
      </c>
      <c r="N13" s="111" t="s">
        <v>320</v>
      </c>
    </row>
    <row r="14" spans="1:14" ht="27" customHeight="1" thickBot="1" x14ac:dyDescent="0.25">
      <c r="A14" s="113" t="s">
        <v>2656</v>
      </c>
      <c r="B14" s="114" t="s">
        <v>2657</v>
      </c>
      <c r="C14" s="115" t="s">
        <v>2658</v>
      </c>
      <c r="D14" s="114" t="s">
        <v>2449</v>
      </c>
      <c r="E14" s="114" t="s">
        <v>13</v>
      </c>
      <c r="F14" s="114" t="s">
        <v>13</v>
      </c>
      <c r="G14" s="115" t="s">
        <v>930</v>
      </c>
      <c r="H14" s="113" t="s">
        <v>206</v>
      </c>
      <c r="I14" s="114" t="s">
        <v>120</v>
      </c>
      <c r="J14" s="114" t="s">
        <v>130</v>
      </c>
      <c r="K14" s="114" t="s">
        <v>125</v>
      </c>
      <c r="L14" s="113" t="s">
        <v>333</v>
      </c>
      <c r="M14" s="113" t="s">
        <v>2659</v>
      </c>
      <c r="N14" s="113" t="s">
        <v>373</v>
      </c>
    </row>
    <row r="15" spans="1:14" ht="27" customHeight="1" thickBot="1" x14ac:dyDescent="0.25">
      <c r="A15" s="113" t="s">
        <v>2660</v>
      </c>
      <c r="B15" s="114" t="s">
        <v>2661</v>
      </c>
      <c r="C15" s="115" t="s">
        <v>13</v>
      </c>
      <c r="D15" s="114" t="s">
        <v>1994</v>
      </c>
      <c r="E15" s="114" t="s">
        <v>13</v>
      </c>
      <c r="F15" s="114" t="s">
        <v>13</v>
      </c>
      <c r="G15" s="115" t="s">
        <v>946</v>
      </c>
      <c r="H15" s="113" t="s">
        <v>206</v>
      </c>
      <c r="I15" s="114" t="s">
        <v>120</v>
      </c>
      <c r="J15" s="114" t="s">
        <v>140</v>
      </c>
      <c r="K15" s="114" t="s">
        <v>130</v>
      </c>
      <c r="L15" s="113" t="s">
        <v>333</v>
      </c>
      <c r="M15" s="113" t="s">
        <v>373</v>
      </c>
      <c r="N15" s="113" t="s">
        <v>333</v>
      </c>
    </row>
    <row r="16" spans="1:14" ht="27" customHeight="1" thickBot="1" x14ac:dyDescent="0.25">
      <c r="A16" s="113" t="s">
        <v>2662</v>
      </c>
      <c r="B16" s="114" t="s">
        <v>2663</v>
      </c>
      <c r="C16" s="115" t="s">
        <v>13</v>
      </c>
      <c r="D16" s="114" t="s">
        <v>2449</v>
      </c>
      <c r="E16" s="114" t="s">
        <v>13</v>
      </c>
      <c r="F16" s="114" t="s">
        <v>13</v>
      </c>
      <c r="G16" s="115" t="s">
        <v>1037</v>
      </c>
      <c r="H16" s="113" t="s">
        <v>206</v>
      </c>
      <c r="I16" s="114" t="s">
        <v>125</v>
      </c>
      <c r="J16" s="114" t="s">
        <v>120</v>
      </c>
      <c r="K16" s="114" t="s">
        <v>130</v>
      </c>
      <c r="L16" s="113" t="s">
        <v>2664</v>
      </c>
      <c r="M16" s="113" t="s">
        <v>2347</v>
      </c>
      <c r="N16" s="113" t="s">
        <v>380</v>
      </c>
    </row>
    <row r="17" spans="1:14" ht="15.75" customHeight="1" thickBot="1" x14ac:dyDescent="0.25">
      <c r="A17" s="113" t="s">
        <v>2665</v>
      </c>
      <c r="B17" s="114" t="s">
        <v>2666</v>
      </c>
      <c r="C17" s="115" t="s">
        <v>13</v>
      </c>
      <c r="D17" s="114" t="s">
        <v>1994</v>
      </c>
      <c r="E17" s="114" t="s">
        <v>13</v>
      </c>
      <c r="F17" s="114" t="s">
        <v>13</v>
      </c>
      <c r="G17" s="115" t="s">
        <v>1034</v>
      </c>
      <c r="H17" s="113" t="s">
        <v>206</v>
      </c>
      <c r="I17" s="114" t="s">
        <v>125</v>
      </c>
      <c r="J17" s="114" t="s">
        <v>140</v>
      </c>
      <c r="K17" s="114" t="s">
        <v>130</v>
      </c>
      <c r="L17" s="113" t="s">
        <v>2347</v>
      </c>
      <c r="M17" s="113" t="s">
        <v>373</v>
      </c>
      <c r="N17" s="113" t="s">
        <v>322</v>
      </c>
    </row>
    <row r="18" spans="1:14" ht="15.75" customHeight="1" thickBot="1" x14ac:dyDescent="0.25">
      <c r="A18" s="113" t="s">
        <v>2667</v>
      </c>
      <c r="B18" s="114" t="s">
        <v>2668</v>
      </c>
      <c r="C18" s="115" t="s">
        <v>13</v>
      </c>
      <c r="D18" s="114" t="s">
        <v>2449</v>
      </c>
      <c r="E18" s="114" t="s">
        <v>13</v>
      </c>
      <c r="F18" s="114" t="s">
        <v>13</v>
      </c>
      <c r="G18" s="115" t="s">
        <v>1043</v>
      </c>
      <c r="H18" s="113" t="s">
        <v>206</v>
      </c>
      <c r="I18" s="114" t="s">
        <v>135</v>
      </c>
      <c r="J18" s="114" t="s">
        <v>140</v>
      </c>
      <c r="K18" s="114" t="s">
        <v>120</v>
      </c>
      <c r="L18" s="113" t="s">
        <v>333</v>
      </c>
      <c r="M18" s="113" t="s">
        <v>333</v>
      </c>
      <c r="N18" s="113" t="s">
        <v>373</v>
      </c>
    </row>
    <row r="19" spans="1:14" ht="78" customHeight="1" thickBot="1" x14ac:dyDescent="0.25">
      <c r="A19" s="113" t="s">
        <v>2669</v>
      </c>
      <c r="B19" s="114" t="s">
        <v>2670</v>
      </c>
      <c r="C19" s="115" t="s">
        <v>13</v>
      </c>
      <c r="D19" s="114" t="s">
        <v>1994</v>
      </c>
      <c r="E19" s="114" t="s">
        <v>13</v>
      </c>
      <c r="F19" s="114" t="s">
        <v>13</v>
      </c>
      <c r="G19" s="115" t="s">
        <v>532</v>
      </c>
      <c r="H19" s="113" t="s">
        <v>206</v>
      </c>
      <c r="I19" s="114" t="s">
        <v>120</v>
      </c>
      <c r="J19" s="114" t="s">
        <v>130</v>
      </c>
      <c r="K19" s="114" t="s">
        <v>135</v>
      </c>
      <c r="L19" s="113" t="s">
        <v>327</v>
      </c>
      <c r="M19" s="113" t="s">
        <v>2347</v>
      </c>
      <c r="N19" s="113" t="s">
        <v>373</v>
      </c>
    </row>
    <row r="20" spans="1:14" ht="27" customHeight="1" thickBot="1" x14ac:dyDescent="0.25">
      <c r="A20" s="113" t="s">
        <v>2671</v>
      </c>
      <c r="B20" s="114" t="s">
        <v>2672</v>
      </c>
      <c r="C20" s="115" t="s">
        <v>13</v>
      </c>
      <c r="D20" s="114" t="s">
        <v>2449</v>
      </c>
      <c r="E20" s="114" t="s">
        <v>13</v>
      </c>
      <c r="F20" s="114" t="s">
        <v>13</v>
      </c>
      <c r="G20" s="115" t="s">
        <v>207</v>
      </c>
      <c r="H20" s="113" t="s">
        <v>206</v>
      </c>
      <c r="I20" s="114" t="s">
        <v>140</v>
      </c>
      <c r="J20" s="114" t="s">
        <v>125</v>
      </c>
      <c r="K20" s="114" t="s">
        <v>130</v>
      </c>
      <c r="L20" s="113" t="s">
        <v>2347</v>
      </c>
      <c r="M20" s="113" t="s">
        <v>333</v>
      </c>
      <c r="N20" s="113" t="s">
        <v>322</v>
      </c>
    </row>
    <row r="21" spans="1:14" ht="27" customHeight="1" thickBot="1" x14ac:dyDescent="0.25">
      <c r="A21" s="113" t="s">
        <v>2673</v>
      </c>
      <c r="B21" s="114" t="s">
        <v>2674</v>
      </c>
      <c r="C21" s="115" t="s">
        <v>13</v>
      </c>
      <c r="D21" s="114" t="s">
        <v>1994</v>
      </c>
      <c r="E21" s="114" t="s">
        <v>13</v>
      </c>
      <c r="F21" s="114" t="s">
        <v>13</v>
      </c>
      <c r="G21" s="115" t="s">
        <v>207</v>
      </c>
      <c r="H21" s="113" t="s">
        <v>206</v>
      </c>
      <c r="I21" s="114" t="s">
        <v>135</v>
      </c>
      <c r="J21" s="114" t="s">
        <v>130</v>
      </c>
      <c r="K21" s="114" t="s">
        <v>140</v>
      </c>
      <c r="L21" s="113" t="s">
        <v>333</v>
      </c>
      <c r="M21" s="113" t="s">
        <v>333</v>
      </c>
      <c r="N21" s="113" t="s">
        <v>373</v>
      </c>
    </row>
    <row r="22" spans="1:14" ht="27" customHeight="1" thickBot="1" x14ac:dyDescent="0.25">
      <c r="A22" s="4" t="s">
        <v>2451</v>
      </c>
      <c r="B22" s="102" t="s">
        <v>1054</v>
      </c>
      <c r="C22" s="103" t="s">
        <v>13</v>
      </c>
      <c r="D22" s="102" t="s">
        <v>1994</v>
      </c>
      <c r="E22" s="114" t="s">
        <v>13</v>
      </c>
      <c r="F22" s="114" t="s">
        <v>13</v>
      </c>
      <c r="G22" t="s">
        <v>239</v>
      </c>
      <c r="H22" s="111" t="s">
        <v>2721</v>
      </c>
      <c r="I22" s="102" t="s">
        <v>120</v>
      </c>
      <c r="J22" s="102" t="s">
        <v>135</v>
      </c>
      <c r="K22" s="102" t="s">
        <v>125</v>
      </c>
      <c r="L22" s="111" t="s">
        <v>380</v>
      </c>
      <c r="M22" s="111" t="s">
        <v>2347</v>
      </c>
      <c r="N22" s="111" t="s">
        <v>373</v>
      </c>
    </row>
    <row r="23" spans="1:14" ht="15.75" customHeight="1" thickBot="1" x14ac:dyDescent="0.25">
      <c r="A23" s="113" t="s">
        <v>2675</v>
      </c>
      <c r="B23" s="114" t="s">
        <v>2676</v>
      </c>
      <c r="C23" s="115" t="s">
        <v>2677</v>
      </c>
      <c r="D23" s="114" t="s">
        <v>1994</v>
      </c>
      <c r="E23" s="114" t="s">
        <v>13</v>
      </c>
      <c r="F23" s="114" t="s">
        <v>13</v>
      </c>
      <c r="G23" s="115" t="s">
        <v>958</v>
      </c>
      <c r="H23" s="113" t="s">
        <v>267</v>
      </c>
      <c r="I23" s="114" t="s">
        <v>140</v>
      </c>
      <c r="J23" s="114" t="s">
        <v>145</v>
      </c>
      <c r="K23" s="114" t="s">
        <v>125</v>
      </c>
      <c r="L23" s="113" t="s">
        <v>2659</v>
      </c>
      <c r="M23" s="113" t="s">
        <v>374</v>
      </c>
      <c r="N23" s="113" t="s">
        <v>322</v>
      </c>
    </row>
    <row r="24" spans="1:14" ht="27" customHeight="1" thickBot="1" x14ac:dyDescent="0.25">
      <c r="A24" s="113" t="s">
        <v>2678</v>
      </c>
      <c r="B24" s="114" t="s">
        <v>2679</v>
      </c>
      <c r="C24" s="115" t="s">
        <v>13</v>
      </c>
      <c r="D24" s="114" t="s">
        <v>2449</v>
      </c>
      <c r="E24" s="114" t="s">
        <v>13</v>
      </c>
      <c r="F24" s="114" t="s">
        <v>13</v>
      </c>
      <c r="G24" s="115" t="s">
        <v>958</v>
      </c>
      <c r="H24" s="113" t="s">
        <v>267</v>
      </c>
      <c r="I24" s="114" t="s">
        <v>135</v>
      </c>
      <c r="J24" s="114" t="s">
        <v>140</v>
      </c>
      <c r="K24" s="114" t="s">
        <v>145</v>
      </c>
      <c r="L24" s="113" t="s">
        <v>373</v>
      </c>
      <c r="M24" s="113" t="s">
        <v>333</v>
      </c>
      <c r="N24" s="113" t="s">
        <v>373</v>
      </c>
    </row>
    <row r="25" spans="1:14" ht="27" customHeight="1" thickBot="1" x14ac:dyDescent="0.25">
      <c r="A25" s="113" t="s">
        <v>2680</v>
      </c>
      <c r="B25" s="114" t="s">
        <v>2681</v>
      </c>
      <c r="C25" s="115" t="s">
        <v>13</v>
      </c>
      <c r="D25" s="114" t="s">
        <v>1994</v>
      </c>
      <c r="E25" s="114" t="s">
        <v>13</v>
      </c>
      <c r="F25" s="114" t="s">
        <v>13</v>
      </c>
      <c r="G25" s="115" t="s">
        <v>958</v>
      </c>
      <c r="H25" s="113" t="s">
        <v>267</v>
      </c>
      <c r="I25" s="114" t="s">
        <v>145</v>
      </c>
      <c r="J25" s="114" t="s">
        <v>130</v>
      </c>
      <c r="K25" s="114" t="s">
        <v>125</v>
      </c>
      <c r="L25" s="113" t="s">
        <v>373</v>
      </c>
      <c r="M25" s="113" t="s">
        <v>373</v>
      </c>
      <c r="N25" s="113" t="s">
        <v>333</v>
      </c>
    </row>
    <row r="26" spans="1:14" ht="27" customHeight="1" thickBot="1" x14ac:dyDescent="0.25">
      <c r="A26" s="113" t="s">
        <v>2682</v>
      </c>
      <c r="B26" s="114" t="s">
        <v>2683</v>
      </c>
      <c r="C26" s="115" t="s">
        <v>13</v>
      </c>
      <c r="D26" s="114" t="s">
        <v>2449</v>
      </c>
      <c r="E26" s="114" t="s">
        <v>13</v>
      </c>
      <c r="F26" s="114" t="s">
        <v>13</v>
      </c>
      <c r="G26" s="115" t="s">
        <v>958</v>
      </c>
      <c r="H26" s="113" t="s">
        <v>267</v>
      </c>
      <c r="I26" s="114" t="s">
        <v>125</v>
      </c>
      <c r="J26" s="114" t="s">
        <v>140</v>
      </c>
      <c r="K26" s="114" t="s">
        <v>130</v>
      </c>
      <c r="L26" s="113" t="s">
        <v>2347</v>
      </c>
      <c r="M26" s="113" t="s">
        <v>373</v>
      </c>
      <c r="N26" s="113" t="s">
        <v>322</v>
      </c>
    </row>
    <row r="27" spans="1:14" ht="15.75" customHeight="1" thickBot="1" x14ac:dyDescent="0.25">
      <c r="A27" s="113" t="s">
        <v>2684</v>
      </c>
      <c r="B27" s="114" t="s">
        <v>2685</v>
      </c>
      <c r="C27" s="115" t="s">
        <v>13</v>
      </c>
      <c r="D27" s="114" t="s">
        <v>1994</v>
      </c>
      <c r="E27" s="114" t="s">
        <v>13</v>
      </c>
      <c r="F27" s="114" t="s">
        <v>13</v>
      </c>
      <c r="G27" s="115" t="s">
        <v>958</v>
      </c>
      <c r="H27" s="113" t="s">
        <v>267</v>
      </c>
      <c r="I27" s="114" t="s">
        <v>140</v>
      </c>
      <c r="J27" s="114" t="s">
        <v>135</v>
      </c>
      <c r="K27" s="114" t="s">
        <v>145</v>
      </c>
      <c r="L27" s="113" t="s">
        <v>373</v>
      </c>
      <c r="M27" s="113" t="s">
        <v>327</v>
      </c>
      <c r="N27" s="113" t="s">
        <v>380</v>
      </c>
    </row>
    <row r="28" spans="1:14" ht="27" customHeight="1" thickBot="1" x14ac:dyDescent="0.25">
      <c r="A28" s="113" t="s">
        <v>2686</v>
      </c>
      <c r="B28" s="114" t="s">
        <v>2687</v>
      </c>
      <c r="C28" s="115" t="s">
        <v>13</v>
      </c>
      <c r="D28" s="114" t="s">
        <v>2449</v>
      </c>
      <c r="E28" s="114" t="s">
        <v>13</v>
      </c>
      <c r="F28" s="114" t="s">
        <v>13</v>
      </c>
      <c r="G28" s="115" t="s">
        <v>958</v>
      </c>
      <c r="H28" s="113" t="s">
        <v>267</v>
      </c>
      <c r="I28" s="114" t="s">
        <v>145</v>
      </c>
      <c r="J28" s="114" t="s">
        <v>125</v>
      </c>
      <c r="K28" s="114" t="s">
        <v>140</v>
      </c>
      <c r="L28" s="113" t="s">
        <v>2347</v>
      </c>
      <c r="M28" s="113" t="s">
        <v>333</v>
      </c>
      <c r="N28" s="113" t="s">
        <v>327</v>
      </c>
    </row>
    <row r="29" spans="1:14" ht="27" customHeight="1" thickBot="1" x14ac:dyDescent="0.25">
      <c r="A29" s="113" t="s">
        <v>2688</v>
      </c>
      <c r="B29" s="114" t="s">
        <v>2689</v>
      </c>
      <c r="C29" s="115" t="s">
        <v>13</v>
      </c>
      <c r="D29" s="114" t="s">
        <v>1994</v>
      </c>
      <c r="E29" s="114" t="s">
        <v>13</v>
      </c>
      <c r="F29" s="114" t="s">
        <v>13</v>
      </c>
      <c r="G29" s="115" t="s">
        <v>958</v>
      </c>
      <c r="H29" s="113" t="s">
        <v>267</v>
      </c>
      <c r="I29" s="114" t="s">
        <v>135</v>
      </c>
      <c r="J29" s="114" t="s">
        <v>130</v>
      </c>
      <c r="K29" s="114" t="s">
        <v>140</v>
      </c>
      <c r="L29" s="113" t="s">
        <v>333</v>
      </c>
      <c r="M29" s="113" t="s">
        <v>333</v>
      </c>
      <c r="N29" s="113" t="s">
        <v>373</v>
      </c>
    </row>
    <row r="30" spans="1:14" ht="15.75" customHeight="1" thickBot="1" x14ac:dyDescent="0.25">
      <c r="A30" s="113" t="s">
        <v>2690</v>
      </c>
      <c r="B30" s="114" t="s">
        <v>2691</v>
      </c>
      <c r="C30" s="115" t="s">
        <v>13</v>
      </c>
      <c r="D30" s="114" t="s">
        <v>2449</v>
      </c>
      <c r="E30" s="114" t="s">
        <v>13</v>
      </c>
      <c r="F30" s="114" t="s">
        <v>13</v>
      </c>
      <c r="G30" s="115" t="s">
        <v>958</v>
      </c>
      <c r="H30" s="113" t="s">
        <v>267</v>
      </c>
      <c r="I30" s="114" t="s">
        <v>125</v>
      </c>
      <c r="J30" s="114" t="s">
        <v>145</v>
      </c>
      <c r="K30" s="114" t="s">
        <v>130</v>
      </c>
      <c r="L30" s="113" t="s">
        <v>373</v>
      </c>
      <c r="M30" s="113" t="s">
        <v>373</v>
      </c>
      <c r="N30" s="113" t="s">
        <v>327</v>
      </c>
    </row>
    <row r="31" spans="1:14" ht="27" customHeight="1" thickBot="1" x14ac:dyDescent="0.25">
      <c r="A31" s="113" t="s">
        <v>2692</v>
      </c>
      <c r="B31" s="114" t="s">
        <v>2693</v>
      </c>
      <c r="C31" s="115" t="s">
        <v>2694</v>
      </c>
      <c r="D31" s="114" t="s">
        <v>1994</v>
      </c>
      <c r="E31" s="114" t="s">
        <v>13</v>
      </c>
      <c r="F31" s="114" t="s">
        <v>13</v>
      </c>
      <c r="G31" s="115" t="s">
        <v>940</v>
      </c>
      <c r="H31" s="113" t="s">
        <v>271</v>
      </c>
      <c r="I31" s="114" t="s">
        <v>135</v>
      </c>
      <c r="J31" s="114" t="s">
        <v>130</v>
      </c>
      <c r="K31" s="114" t="s">
        <v>120</v>
      </c>
      <c r="L31" s="113" t="s">
        <v>327</v>
      </c>
      <c r="M31" s="113" t="s">
        <v>357</v>
      </c>
      <c r="N31" s="113" t="s">
        <v>2655</v>
      </c>
    </row>
    <row r="32" spans="1:14" ht="15.75" customHeight="1" thickBot="1" x14ac:dyDescent="0.25">
      <c r="A32" s="113" t="s">
        <v>2695</v>
      </c>
      <c r="B32" s="114" t="s">
        <v>2696</v>
      </c>
      <c r="C32" s="115" t="s">
        <v>13</v>
      </c>
      <c r="D32" s="114" t="s">
        <v>2449</v>
      </c>
      <c r="E32" s="114" t="s">
        <v>13</v>
      </c>
      <c r="F32" s="114" t="s">
        <v>13</v>
      </c>
      <c r="G32" s="115" t="s">
        <v>858</v>
      </c>
      <c r="H32" s="113" t="s">
        <v>271</v>
      </c>
      <c r="I32" s="114" t="s">
        <v>125</v>
      </c>
      <c r="J32" s="114" t="s">
        <v>140</v>
      </c>
      <c r="K32" s="114" t="s">
        <v>130</v>
      </c>
      <c r="L32" s="113" t="s">
        <v>2347</v>
      </c>
      <c r="M32" s="113" t="s">
        <v>373</v>
      </c>
      <c r="N32" s="113" t="s">
        <v>322</v>
      </c>
    </row>
    <row r="33" spans="1:14" ht="27" customHeight="1" thickBot="1" x14ac:dyDescent="0.25">
      <c r="A33" s="4" t="s">
        <v>2452</v>
      </c>
      <c r="B33" s="102" t="s">
        <v>2358</v>
      </c>
      <c r="C33" s="103" t="s">
        <v>13</v>
      </c>
      <c r="D33" s="102" t="s">
        <v>1994</v>
      </c>
      <c r="E33" s="102" t="s">
        <v>1058</v>
      </c>
      <c r="F33" s="102" t="s">
        <v>2445</v>
      </c>
      <c r="G33" t="s">
        <v>239</v>
      </c>
      <c r="H33" s="111" t="s">
        <v>2721</v>
      </c>
      <c r="I33" s="102" t="s">
        <v>120</v>
      </c>
      <c r="J33" s="102" t="s">
        <v>130</v>
      </c>
      <c r="K33" s="102" t="s">
        <v>125</v>
      </c>
      <c r="L33" s="111" t="s">
        <v>380</v>
      </c>
      <c r="M33" s="111" t="s">
        <v>2347</v>
      </c>
      <c r="N33" s="111" t="s">
        <v>333</v>
      </c>
    </row>
    <row r="34" spans="1:14" ht="27" customHeight="1" thickBot="1" x14ac:dyDescent="0.25">
      <c r="A34" s="113" t="s">
        <v>2697</v>
      </c>
      <c r="B34" s="114" t="s">
        <v>2698</v>
      </c>
      <c r="C34" s="115" t="s">
        <v>13</v>
      </c>
      <c r="D34" s="114" t="s">
        <v>1994</v>
      </c>
      <c r="E34" s="114" t="s">
        <v>13</v>
      </c>
      <c r="F34" s="114" t="s">
        <v>13</v>
      </c>
      <c r="G34" s="115" t="s">
        <v>852</v>
      </c>
      <c r="H34" s="113" t="s">
        <v>271</v>
      </c>
      <c r="I34" s="114" t="s">
        <v>120</v>
      </c>
      <c r="J34" s="114" t="s">
        <v>135</v>
      </c>
      <c r="K34" s="114" t="s">
        <v>125</v>
      </c>
      <c r="L34" s="113" t="s">
        <v>380</v>
      </c>
      <c r="M34" s="113" t="s">
        <v>2347</v>
      </c>
      <c r="N34" s="113" t="s">
        <v>373</v>
      </c>
    </row>
    <row r="35" spans="1:14" ht="27" customHeight="1" thickBot="1" x14ac:dyDescent="0.25">
      <c r="A35" s="113" t="s">
        <v>2699</v>
      </c>
      <c r="B35" s="114" t="s">
        <v>2700</v>
      </c>
      <c r="C35" s="115" t="s">
        <v>13</v>
      </c>
      <c r="D35" s="114" t="s">
        <v>2449</v>
      </c>
      <c r="E35" s="114" t="s">
        <v>13</v>
      </c>
      <c r="F35" s="114" t="s">
        <v>13</v>
      </c>
      <c r="G35" s="115" t="s">
        <v>952</v>
      </c>
      <c r="H35" s="113" t="s">
        <v>271</v>
      </c>
      <c r="I35" s="114" t="s">
        <v>120</v>
      </c>
      <c r="J35" s="114" t="s">
        <v>130</v>
      </c>
      <c r="K35" s="114" t="s">
        <v>135</v>
      </c>
      <c r="L35" s="113" t="s">
        <v>327</v>
      </c>
      <c r="M35" s="113" t="s">
        <v>2347</v>
      </c>
      <c r="N35" s="113" t="s">
        <v>373</v>
      </c>
    </row>
    <row r="36" spans="1:14" ht="15.75" customHeight="1" thickBot="1" x14ac:dyDescent="0.25">
      <c r="A36" s="113" t="s">
        <v>2701</v>
      </c>
      <c r="B36" s="114" t="s">
        <v>2702</v>
      </c>
      <c r="C36" s="115" t="s">
        <v>13</v>
      </c>
      <c r="D36" s="114" t="s">
        <v>1994</v>
      </c>
      <c r="E36" s="114" t="s">
        <v>13</v>
      </c>
      <c r="F36" s="114" t="s">
        <v>13</v>
      </c>
      <c r="G36" s="115" t="s">
        <v>935</v>
      </c>
      <c r="H36" s="113" t="s">
        <v>271</v>
      </c>
      <c r="I36" s="114" t="s">
        <v>130</v>
      </c>
      <c r="J36" s="114" t="s">
        <v>135</v>
      </c>
      <c r="K36" s="114" t="s">
        <v>120</v>
      </c>
      <c r="L36" s="113" t="s">
        <v>327</v>
      </c>
      <c r="M36" s="113" t="s">
        <v>373</v>
      </c>
      <c r="N36" s="113" t="s">
        <v>373</v>
      </c>
    </row>
    <row r="37" spans="1:14" ht="15.75" customHeight="1" thickBot="1" x14ac:dyDescent="0.25">
      <c r="A37" s="113" t="s">
        <v>2703</v>
      </c>
      <c r="B37" s="114" t="s">
        <v>2704</v>
      </c>
      <c r="C37" s="115" t="s">
        <v>13</v>
      </c>
      <c r="D37" s="114" t="s">
        <v>2449</v>
      </c>
      <c r="E37" s="114" t="s">
        <v>13</v>
      </c>
      <c r="F37" s="114" t="s">
        <v>13</v>
      </c>
      <c r="G37" s="115" t="s">
        <v>946</v>
      </c>
      <c r="H37" s="113" t="s">
        <v>271</v>
      </c>
      <c r="I37" s="114" t="s">
        <v>120</v>
      </c>
      <c r="J37" s="114" t="s">
        <v>125</v>
      </c>
      <c r="K37" s="114" t="s">
        <v>130</v>
      </c>
      <c r="L37" s="113" t="s">
        <v>380</v>
      </c>
      <c r="M37" s="113" t="s">
        <v>2347</v>
      </c>
      <c r="N37" s="113" t="s">
        <v>333</v>
      </c>
    </row>
    <row r="38" spans="1:14" ht="15.75" customHeight="1" thickBot="1" x14ac:dyDescent="0.25">
      <c r="A38" s="113" t="s">
        <v>2705</v>
      </c>
      <c r="B38" s="114" t="s">
        <v>2706</v>
      </c>
      <c r="C38" s="115" t="s">
        <v>13</v>
      </c>
      <c r="D38" s="114" t="s">
        <v>1994</v>
      </c>
      <c r="E38" s="114" t="s">
        <v>13</v>
      </c>
      <c r="F38" s="114" t="s">
        <v>13</v>
      </c>
      <c r="G38" s="115" t="s">
        <v>1034</v>
      </c>
      <c r="H38" s="113" t="s">
        <v>271</v>
      </c>
      <c r="I38" s="114" t="s">
        <v>125</v>
      </c>
      <c r="J38" s="114" t="s">
        <v>130</v>
      </c>
      <c r="K38" s="114" t="s">
        <v>140</v>
      </c>
      <c r="L38" s="113" t="s">
        <v>373</v>
      </c>
      <c r="M38" s="113" t="s">
        <v>373</v>
      </c>
      <c r="N38" s="113" t="s">
        <v>322</v>
      </c>
    </row>
    <row r="39" spans="1:14" ht="27" customHeight="1" thickBot="1" x14ac:dyDescent="0.25">
      <c r="A39" s="113" t="s">
        <v>2707</v>
      </c>
      <c r="B39" s="114" t="s">
        <v>2708</v>
      </c>
      <c r="C39" s="115" t="s">
        <v>13</v>
      </c>
      <c r="D39" s="114" t="s">
        <v>2449</v>
      </c>
      <c r="E39" s="114" t="s">
        <v>13</v>
      </c>
      <c r="F39" s="114" t="s">
        <v>13</v>
      </c>
      <c r="G39" s="115" t="s">
        <v>1046</v>
      </c>
      <c r="H39" s="113" t="s">
        <v>271</v>
      </c>
      <c r="I39" s="114" t="s">
        <v>120</v>
      </c>
      <c r="J39" s="114" t="s">
        <v>140</v>
      </c>
      <c r="K39" s="114" t="s">
        <v>135</v>
      </c>
      <c r="L39" s="113" t="s">
        <v>333</v>
      </c>
      <c r="M39" s="113" t="s">
        <v>373</v>
      </c>
      <c r="N39" s="113" t="s">
        <v>2664</v>
      </c>
    </row>
    <row r="40" spans="1:14" ht="27" customHeight="1" thickBot="1" x14ac:dyDescent="0.25">
      <c r="A40" s="4" t="s">
        <v>2453</v>
      </c>
      <c r="B40" s="102" t="s">
        <v>2359</v>
      </c>
      <c r="C40" s="103" t="s">
        <v>13</v>
      </c>
      <c r="D40" s="102" t="s">
        <v>1994</v>
      </c>
      <c r="E40" s="102" t="s">
        <v>1058</v>
      </c>
      <c r="F40" s="102" t="s">
        <v>2445</v>
      </c>
      <c r="G40" t="s">
        <v>251</v>
      </c>
      <c r="H40" s="111" t="s">
        <v>2722</v>
      </c>
      <c r="I40" s="102" t="s">
        <v>130</v>
      </c>
      <c r="J40" s="102" t="s">
        <v>140</v>
      </c>
      <c r="K40" s="102" t="s">
        <v>135</v>
      </c>
      <c r="L40" s="111" t="s">
        <v>333</v>
      </c>
      <c r="M40" s="111" t="s">
        <v>333</v>
      </c>
      <c r="N40" s="111" t="s">
        <v>333</v>
      </c>
    </row>
    <row r="41" spans="1:14" ht="27" customHeight="1" thickBot="1" x14ac:dyDescent="0.25">
      <c r="A41" s="4" t="s">
        <v>2454</v>
      </c>
      <c r="B41" s="102" t="s">
        <v>2360</v>
      </c>
      <c r="C41" s="103" t="s">
        <v>13</v>
      </c>
      <c r="D41" s="102" t="s">
        <v>1994</v>
      </c>
      <c r="E41" s="102" t="s">
        <v>1055</v>
      </c>
      <c r="F41" s="102" t="s">
        <v>2446</v>
      </c>
      <c r="G41" t="s">
        <v>226</v>
      </c>
      <c r="H41" s="4" t="s">
        <v>225</v>
      </c>
      <c r="I41" s="102" t="s">
        <v>125</v>
      </c>
      <c r="J41" s="102" t="s">
        <v>120</v>
      </c>
      <c r="K41" s="102" t="s">
        <v>140</v>
      </c>
      <c r="L41" s="111" t="s">
        <v>373</v>
      </c>
      <c r="M41" s="111" t="s">
        <v>2347</v>
      </c>
      <c r="N41" s="111" t="s">
        <v>380</v>
      </c>
    </row>
    <row r="42" spans="1:14" ht="15.75" customHeight="1" thickBot="1" x14ac:dyDescent="0.25">
      <c r="A42" s="4" t="s">
        <v>2455</v>
      </c>
      <c r="B42" s="102" t="s">
        <v>2361</v>
      </c>
      <c r="C42" s="103" t="s">
        <v>13</v>
      </c>
      <c r="D42" s="102" t="s">
        <v>1994</v>
      </c>
      <c r="E42" s="102" t="s">
        <v>1055</v>
      </c>
      <c r="F42" s="102" t="s">
        <v>2446</v>
      </c>
      <c r="G42" t="s">
        <v>251</v>
      </c>
      <c r="H42" s="4" t="s">
        <v>250</v>
      </c>
      <c r="I42" s="102" t="s">
        <v>125</v>
      </c>
      <c r="J42" s="102" t="s">
        <v>135</v>
      </c>
      <c r="K42" s="102" t="s">
        <v>130</v>
      </c>
      <c r="L42" s="111" t="s">
        <v>373</v>
      </c>
      <c r="M42" s="111" t="s">
        <v>373</v>
      </c>
      <c r="N42" s="111" t="s">
        <v>333</v>
      </c>
    </row>
    <row r="43" spans="1:14" ht="15.75" customHeight="1" thickBot="1" x14ac:dyDescent="0.25">
      <c r="A43" s="4" t="s">
        <v>2456</v>
      </c>
      <c r="B43" s="102" t="s">
        <v>2362</v>
      </c>
      <c r="C43" s="103" t="s">
        <v>13</v>
      </c>
      <c r="D43" s="102" t="s">
        <v>2449</v>
      </c>
      <c r="E43" s="102" t="s">
        <v>1058</v>
      </c>
      <c r="F43" s="102" t="s">
        <v>2445</v>
      </c>
      <c r="G43" t="s">
        <v>259</v>
      </c>
      <c r="H43" s="111" t="s">
        <v>2719</v>
      </c>
      <c r="I43" s="102" t="s">
        <v>120</v>
      </c>
      <c r="J43" s="102" t="s">
        <v>125</v>
      </c>
      <c r="K43" s="102" t="s">
        <v>145</v>
      </c>
      <c r="L43" s="111" t="s">
        <v>333</v>
      </c>
      <c r="M43" s="111" t="s">
        <v>2347</v>
      </c>
      <c r="N43" s="111" t="s">
        <v>333</v>
      </c>
    </row>
    <row r="44" spans="1:14" ht="116.25" customHeight="1" thickBot="1" x14ac:dyDescent="0.25">
      <c r="A44" s="4" t="s">
        <v>2457</v>
      </c>
      <c r="B44" s="102" t="s">
        <v>2363</v>
      </c>
      <c r="C44" s="103" t="s">
        <v>13</v>
      </c>
      <c r="D44" s="102" t="s">
        <v>1994</v>
      </c>
      <c r="E44" s="102" t="s">
        <v>1058</v>
      </c>
      <c r="F44" s="102" t="s">
        <v>2445</v>
      </c>
      <c r="G44" t="s">
        <v>231</v>
      </c>
      <c r="H44" s="4" t="s">
        <v>230</v>
      </c>
      <c r="I44" s="102" t="s">
        <v>120</v>
      </c>
      <c r="J44" s="102" t="s">
        <v>125</v>
      </c>
      <c r="K44" s="102" t="s">
        <v>145</v>
      </c>
      <c r="L44" s="111" t="s">
        <v>333</v>
      </c>
      <c r="M44" s="111" t="s">
        <v>2347</v>
      </c>
      <c r="N44" s="111" t="s">
        <v>333</v>
      </c>
    </row>
    <row r="45" spans="1:14" ht="52.5" customHeight="1" thickBot="1" x14ac:dyDescent="0.25">
      <c r="A45" s="4" t="s">
        <v>2458</v>
      </c>
      <c r="B45" s="102" t="s">
        <v>2364</v>
      </c>
      <c r="C45" s="103" t="s">
        <v>13</v>
      </c>
      <c r="D45" s="102" t="s">
        <v>1994</v>
      </c>
      <c r="E45" s="102" t="s">
        <v>1055</v>
      </c>
      <c r="F45" s="102" t="s">
        <v>2446</v>
      </c>
      <c r="G45" t="s">
        <v>247</v>
      </c>
      <c r="H45" s="111" t="s">
        <v>2723</v>
      </c>
      <c r="I45" s="102" t="s">
        <v>120</v>
      </c>
      <c r="J45" s="102" t="s">
        <v>135</v>
      </c>
      <c r="K45" s="102" t="s">
        <v>140</v>
      </c>
      <c r="L45" s="111" t="s">
        <v>380</v>
      </c>
      <c r="M45" s="111" t="s">
        <v>373</v>
      </c>
      <c r="N45" s="111" t="s">
        <v>373</v>
      </c>
    </row>
    <row r="46" spans="1:14" ht="15.75" customHeight="1" thickBot="1" x14ac:dyDescent="0.25">
      <c r="A46" s="4" t="s">
        <v>2459</v>
      </c>
      <c r="B46" s="102" t="s">
        <v>2365</v>
      </c>
      <c r="C46" s="103" t="s">
        <v>13</v>
      </c>
      <c r="D46" s="102" t="s">
        <v>1994</v>
      </c>
      <c r="E46" s="102" t="s">
        <v>1061</v>
      </c>
      <c r="F46" s="102" t="s">
        <v>2444</v>
      </c>
      <c r="G46" t="s">
        <v>251</v>
      </c>
      <c r="H46" s="4" t="s">
        <v>250</v>
      </c>
      <c r="I46" s="102" t="s">
        <v>125</v>
      </c>
      <c r="J46" s="102" t="s">
        <v>135</v>
      </c>
      <c r="K46" s="102" t="s">
        <v>130</v>
      </c>
      <c r="L46" s="111" t="s">
        <v>373</v>
      </c>
      <c r="M46" s="111" t="s">
        <v>373</v>
      </c>
      <c r="N46" s="111" t="s">
        <v>333</v>
      </c>
    </row>
    <row r="47" spans="1:14" ht="27" customHeight="1" thickBot="1" x14ac:dyDescent="0.25">
      <c r="A47" s="4" t="s">
        <v>2460</v>
      </c>
      <c r="B47" s="102" t="s">
        <v>2366</v>
      </c>
      <c r="C47" s="103" t="s">
        <v>13</v>
      </c>
      <c r="D47" s="102" t="s">
        <v>1994</v>
      </c>
      <c r="E47" s="102" t="s">
        <v>1055</v>
      </c>
      <c r="F47" s="102" t="s">
        <v>2446</v>
      </c>
      <c r="G47" t="s">
        <v>247</v>
      </c>
      <c r="H47" s="4" t="s">
        <v>246</v>
      </c>
      <c r="I47" s="102" t="s">
        <v>125</v>
      </c>
      <c r="J47" s="102" t="s">
        <v>130</v>
      </c>
      <c r="K47" s="102" t="s">
        <v>125</v>
      </c>
      <c r="L47" s="111" t="s">
        <v>373</v>
      </c>
      <c r="M47" s="111" t="s">
        <v>2347</v>
      </c>
      <c r="N47" s="111" t="s">
        <v>327</v>
      </c>
    </row>
    <row r="48" spans="1:14" ht="27" customHeight="1" thickBot="1" x14ac:dyDescent="0.25">
      <c r="A48" s="4" t="s">
        <v>2461</v>
      </c>
      <c r="B48" s="102" t="s">
        <v>2367</v>
      </c>
      <c r="C48" s="103" t="s">
        <v>13</v>
      </c>
      <c r="D48" s="102" t="s">
        <v>1994</v>
      </c>
      <c r="E48" s="102" t="s">
        <v>1058</v>
      </c>
      <c r="F48" s="102" t="s">
        <v>2445</v>
      </c>
      <c r="G48" t="s">
        <v>235</v>
      </c>
      <c r="H48" s="111" t="s">
        <v>2724</v>
      </c>
      <c r="I48" s="102" t="s">
        <v>130</v>
      </c>
      <c r="J48" s="102" t="s">
        <v>145</v>
      </c>
      <c r="K48" s="102" t="s">
        <v>120</v>
      </c>
      <c r="L48" s="111" t="s">
        <v>380</v>
      </c>
      <c r="M48" s="111" t="s">
        <v>373</v>
      </c>
      <c r="N48" s="111" t="s">
        <v>333</v>
      </c>
    </row>
    <row r="49" spans="1:14" ht="15.75" customHeight="1" thickBot="1" x14ac:dyDescent="0.25">
      <c r="A49" s="4" t="s">
        <v>2462</v>
      </c>
      <c r="B49" s="102" t="s">
        <v>2368</v>
      </c>
      <c r="C49" s="103" t="s">
        <v>13</v>
      </c>
      <c r="D49" s="102" t="s">
        <v>2449</v>
      </c>
      <c r="E49" s="102" t="s">
        <v>1058</v>
      </c>
      <c r="F49" s="102" t="s">
        <v>2445</v>
      </c>
      <c r="G49" t="s">
        <v>247</v>
      </c>
      <c r="H49" s="111" t="s">
        <v>2725</v>
      </c>
      <c r="I49" s="102" t="s">
        <v>120</v>
      </c>
      <c r="J49" s="102" t="s">
        <v>140</v>
      </c>
      <c r="K49" s="102" t="s">
        <v>145</v>
      </c>
      <c r="L49" s="111" t="s">
        <v>2664</v>
      </c>
      <c r="M49" s="111" t="s">
        <v>373</v>
      </c>
      <c r="N49" s="111" t="s">
        <v>333</v>
      </c>
    </row>
    <row r="50" spans="1:14" ht="27" customHeight="1" thickBot="1" x14ac:dyDescent="0.25">
      <c r="A50" s="4" t="s">
        <v>2463</v>
      </c>
      <c r="B50" s="102" t="s">
        <v>2369</v>
      </c>
      <c r="C50" s="103" t="s">
        <v>13</v>
      </c>
      <c r="D50" s="102" t="s">
        <v>2449</v>
      </c>
      <c r="E50" s="102" t="s">
        <v>1055</v>
      </c>
      <c r="F50" s="102" t="s">
        <v>2446</v>
      </c>
      <c r="G50" t="s">
        <v>231</v>
      </c>
      <c r="H50" s="4" t="s">
        <v>230</v>
      </c>
      <c r="I50" s="102" t="s">
        <v>125</v>
      </c>
      <c r="J50" s="102" t="s">
        <v>145</v>
      </c>
      <c r="K50" s="102" t="s">
        <v>135</v>
      </c>
      <c r="L50" s="111" t="s">
        <v>373</v>
      </c>
      <c r="M50" s="111" t="s">
        <v>373</v>
      </c>
      <c r="N50" s="111" t="s">
        <v>333</v>
      </c>
    </row>
    <row r="51" spans="1:14" ht="15.75" customHeight="1" thickBot="1" x14ac:dyDescent="0.25">
      <c r="A51" s="4" t="s">
        <v>2464</v>
      </c>
      <c r="B51" s="102" t="s">
        <v>2370</v>
      </c>
      <c r="C51" s="103" t="s">
        <v>13</v>
      </c>
      <c r="D51" s="102" t="s">
        <v>1994</v>
      </c>
      <c r="E51" s="102" t="s">
        <v>1061</v>
      </c>
      <c r="F51" s="102" t="s">
        <v>2444</v>
      </c>
      <c r="G51" t="s">
        <v>231</v>
      </c>
      <c r="H51" s="4" t="s">
        <v>230</v>
      </c>
      <c r="I51" s="102" t="s">
        <v>125</v>
      </c>
      <c r="J51" s="102" t="s">
        <v>130</v>
      </c>
      <c r="K51" s="102" t="s">
        <v>140</v>
      </c>
      <c r="L51" s="111" t="s">
        <v>373</v>
      </c>
      <c r="M51" s="111" t="s">
        <v>373</v>
      </c>
      <c r="N51" s="111" t="s">
        <v>322</v>
      </c>
    </row>
    <row r="52" spans="1:14" ht="27" customHeight="1" thickBot="1" x14ac:dyDescent="0.25">
      <c r="A52" s="4" t="s">
        <v>2465</v>
      </c>
      <c r="B52" s="102" t="s">
        <v>2371</v>
      </c>
      <c r="C52" s="103" t="s">
        <v>13</v>
      </c>
      <c r="D52" s="102" t="s">
        <v>2449</v>
      </c>
      <c r="E52" s="102" t="s">
        <v>1058</v>
      </c>
      <c r="F52" s="102" t="s">
        <v>2445</v>
      </c>
      <c r="G52" t="s">
        <v>243</v>
      </c>
      <c r="H52" s="4" t="s">
        <v>242</v>
      </c>
      <c r="I52" s="102" t="s">
        <v>120</v>
      </c>
      <c r="J52" s="102" t="s">
        <v>130</v>
      </c>
      <c r="K52" s="102" t="s">
        <v>120</v>
      </c>
      <c r="L52" s="111" t="s">
        <v>322</v>
      </c>
      <c r="M52" s="111" t="s">
        <v>2347</v>
      </c>
      <c r="N52" s="111" t="s">
        <v>373</v>
      </c>
    </row>
    <row r="53" spans="1:14" ht="27" customHeight="1" thickBot="1" x14ac:dyDescent="0.25">
      <c r="A53" s="4" t="s">
        <v>2466</v>
      </c>
      <c r="B53" s="102" t="s">
        <v>2372</v>
      </c>
      <c r="C53" s="103" t="s">
        <v>13</v>
      </c>
      <c r="D53" s="102" t="s">
        <v>2449</v>
      </c>
      <c r="E53" s="102" t="s">
        <v>1069</v>
      </c>
      <c r="F53" s="102" t="s">
        <v>2447</v>
      </c>
      <c r="G53" t="s">
        <v>259</v>
      </c>
      <c r="H53" s="111" t="s">
        <v>2711</v>
      </c>
      <c r="I53" s="102" t="s">
        <v>125</v>
      </c>
      <c r="J53" s="102" t="s">
        <v>145</v>
      </c>
      <c r="K53" s="102" t="s">
        <v>140</v>
      </c>
      <c r="L53" s="111" t="s">
        <v>2347</v>
      </c>
      <c r="M53" s="111" t="s">
        <v>373</v>
      </c>
      <c r="N53" s="111" t="s">
        <v>322</v>
      </c>
    </row>
    <row r="54" spans="1:14" ht="27" customHeight="1" thickBot="1" x14ac:dyDescent="0.25">
      <c r="A54" s="4" t="s">
        <v>2467</v>
      </c>
      <c r="B54" s="102" t="s">
        <v>2436</v>
      </c>
      <c r="C54" s="103" t="s">
        <v>2561</v>
      </c>
      <c r="D54" s="102" t="s">
        <v>2449</v>
      </c>
      <c r="E54" s="102" t="s">
        <v>1058</v>
      </c>
      <c r="F54" s="102" t="s">
        <v>2445</v>
      </c>
      <c r="G54" t="s">
        <v>239</v>
      </c>
      <c r="H54" s="111" t="s">
        <v>2726</v>
      </c>
      <c r="I54" s="102" t="s">
        <v>125</v>
      </c>
      <c r="J54" s="102" t="s">
        <v>130</v>
      </c>
      <c r="K54" s="102" t="s">
        <v>125</v>
      </c>
      <c r="L54" s="111" t="s">
        <v>420</v>
      </c>
      <c r="M54" s="111" t="s">
        <v>430</v>
      </c>
      <c r="N54" s="111" t="s">
        <v>330</v>
      </c>
    </row>
    <row r="55" spans="1:14" ht="15.75" customHeight="1" thickBot="1" x14ac:dyDescent="0.25">
      <c r="A55" s="4" t="s">
        <v>2468</v>
      </c>
      <c r="B55" s="102" t="s">
        <v>2373</v>
      </c>
      <c r="C55" s="103" t="s">
        <v>13</v>
      </c>
      <c r="D55" s="102" t="s">
        <v>2449</v>
      </c>
      <c r="E55" s="102" t="s">
        <v>1055</v>
      </c>
      <c r="F55" s="102" t="s">
        <v>2446</v>
      </c>
      <c r="G55" t="s">
        <v>259</v>
      </c>
      <c r="H55" s="111" t="s">
        <v>2727</v>
      </c>
      <c r="I55" s="102" t="s">
        <v>130</v>
      </c>
      <c r="J55" s="102" t="s">
        <v>125</v>
      </c>
      <c r="K55" s="102" t="s">
        <v>135</v>
      </c>
      <c r="L55" s="111" t="s">
        <v>333</v>
      </c>
      <c r="M55" s="111" t="s">
        <v>373</v>
      </c>
      <c r="N55" s="111" t="s">
        <v>333</v>
      </c>
    </row>
    <row r="56" spans="1:14" ht="15.75" customHeight="1" thickBot="1" x14ac:dyDescent="0.25">
      <c r="A56" s="4" t="s">
        <v>2469</v>
      </c>
      <c r="B56" s="102" t="s">
        <v>2374</v>
      </c>
      <c r="C56" s="103" t="s">
        <v>2542</v>
      </c>
      <c r="D56" s="102" t="s">
        <v>2449</v>
      </c>
      <c r="E56" s="102" t="s">
        <v>1058</v>
      </c>
      <c r="F56" s="102" t="s">
        <v>2445</v>
      </c>
      <c r="G56" t="s">
        <v>243</v>
      </c>
      <c r="H56" s="111" t="s">
        <v>2728</v>
      </c>
      <c r="I56" s="102" t="s">
        <v>125</v>
      </c>
      <c r="J56" s="102" t="s">
        <v>130</v>
      </c>
      <c r="K56" s="102" t="s">
        <v>125</v>
      </c>
      <c r="L56" s="111" t="s">
        <v>2347</v>
      </c>
      <c r="M56" s="111" t="s">
        <v>2655</v>
      </c>
      <c r="N56" s="111" t="s">
        <v>327</v>
      </c>
    </row>
    <row r="57" spans="1:14" ht="52.5" customHeight="1" thickBot="1" x14ac:dyDescent="0.25">
      <c r="A57" s="4" t="s">
        <v>2470</v>
      </c>
      <c r="B57" s="102" t="s">
        <v>2375</v>
      </c>
      <c r="C57" s="103" t="s">
        <v>13</v>
      </c>
      <c r="D57" s="102" t="s">
        <v>1994</v>
      </c>
      <c r="E57" s="102" t="s">
        <v>1055</v>
      </c>
      <c r="F57" s="102" t="s">
        <v>2446</v>
      </c>
      <c r="G57" t="s">
        <v>231</v>
      </c>
      <c r="H57" s="111" t="s">
        <v>2729</v>
      </c>
      <c r="I57" s="102" t="s">
        <v>130</v>
      </c>
      <c r="J57" s="102" t="s">
        <v>140</v>
      </c>
      <c r="K57" s="102" t="s">
        <v>130</v>
      </c>
      <c r="L57" s="111" t="s">
        <v>333</v>
      </c>
      <c r="M57" s="111" t="s">
        <v>333</v>
      </c>
      <c r="N57" s="111" t="s">
        <v>380</v>
      </c>
    </row>
    <row r="58" spans="1:14" ht="15.75" customHeight="1" thickBot="1" x14ac:dyDescent="0.25">
      <c r="A58" s="4" t="s">
        <v>2471</v>
      </c>
      <c r="B58" s="102" t="s">
        <v>2376</v>
      </c>
      <c r="C58" s="103" t="s">
        <v>13</v>
      </c>
      <c r="D58" s="102" t="s">
        <v>1994</v>
      </c>
      <c r="E58" s="102" t="s">
        <v>1069</v>
      </c>
      <c r="F58" s="102" t="s">
        <v>2447</v>
      </c>
      <c r="G58" t="s">
        <v>239</v>
      </c>
      <c r="H58" s="111" t="s">
        <v>2730</v>
      </c>
      <c r="I58" s="102" t="s">
        <v>125</v>
      </c>
      <c r="J58" s="102" t="s">
        <v>140</v>
      </c>
      <c r="K58" s="102" t="s">
        <v>120</v>
      </c>
      <c r="L58" s="111" t="s">
        <v>2709</v>
      </c>
      <c r="M58" s="111" t="s">
        <v>373</v>
      </c>
      <c r="N58" s="111" t="s">
        <v>322</v>
      </c>
    </row>
    <row r="59" spans="1:14" ht="27" customHeight="1" thickBot="1" x14ac:dyDescent="0.25">
      <c r="A59" s="4" t="s">
        <v>2472</v>
      </c>
      <c r="B59" s="102" t="s">
        <v>2377</v>
      </c>
      <c r="C59" s="103" t="s">
        <v>13</v>
      </c>
      <c r="D59" s="102" t="s">
        <v>1994</v>
      </c>
      <c r="E59" s="102" t="s">
        <v>1058</v>
      </c>
      <c r="F59" s="102" t="s">
        <v>2445</v>
      </c>
      <c r="G59" t="s">
        <v>255</v>
      </c>
      <c r="H59" s="111" t="s">
        <v>2714</v>
      </c>
      <c r="I59" s="102" t="s">
        <v>130</v>
      </c>
      <c r="J59" s="102" t="s">
        <v>120</v>
      </c>
      <c r="K59" s="102" t="s">
        <v>135</v>
      </c>
      <c r="L59" s="111" t="s">
        <v>327</v>
      </c>
      <c r="M59" s="111" t="s">
        <v>373</v>
      </c>
      <c r="N59" s="111" t="s">
        <v>373</v>
      </c>
    </row>
    <row r="60" spans="1:14" ht="78" customHeight="1" thickBot="1" x14ac:dyDescent="0.25">
      <c r="A60" s="4" t="s">
        <v>2473</v>
      </c>
      <c r="B60" s="102" t="s">
        <v>2437</v>
      </c>
      <c r="C60" s="103" t="s">
        <v>2544</v>
      </c>
      <c r="D60" s="102" t="s">
        <v>2449</v>
      </c>
      <c r="E60" s="102" t="s">
        <v>1069</v>
      </c>
      <c r="F60" s="102" t="s">
        <v>2447</v>
      </c>
      <c r="G60" t="s">
        <v>231</v>
      </c>
      <c r="H60" s="111" t="s">
        <v>2731</v>
      </c>
      <c r="I60" s="102" t="s">
        <v>130</v>
      </c>
      <c r="J60" s="102" t="s">
        <v>135</v>
      </c>
      <c r="K60" s="102" t="s">
        <v>130</v>
      </c>
      <c r="L60" s="111" t="s">
        <v>330</v>
      </c>
      <c r="M60" s="111" t="s">
        <v>357</v>
      </c>
      <c r="N60" s="111" t="s">
        <v>357</v>
      </c>
    </row>
    <row r="61" spans="1:14" ht="39.75" customHeight="1" thickBot="1" x14ac:dyDescent="0.25">
      <c r="A61" s="4" t="s">
        <v>2474</v>
      </c>
      <c r="B61" s="102" t="s">
        <v>2378</v>
      </c>
      <c r="C61" s="103" t="s">
        <v>13</v>
      </c>
      <c r="D61" s="102" t="s">
        <v>1994</v>
      </c>
      <c r="E61" s="102" t="s">
        <v>1058</v>
      </c>
      <c r="F61" s="102" t="s">
        <v>2445</v>
      </c>
      <c r="G61" t="s">
        <v>226</v>
      </c>
      <c r="H61" s="4" t="s">
        <v>225</v>
      </c>
      <c r="I61" s="102" t="s">
        <v>120</v>
      </c>
      <c r="J61" s="102" t="s">
        <v>125</v>
      </c>
      <c r="K61" s="102" t="s">
        <v>145</v>
      </c>
      <c r="L61" s="111" t="s">
        <v>333</v>
      </c>
      <c r="M61" s="111" t="s">
        <v>2347</v>
      </c>
      <c r="N61" s="111" t="s">
        <v>333</v>
      </c>
    </row>
    <row r="62" spans="1:14" ht="27" customHeight="1" thickBot="1" x14ac:dyDescent="0.25">
      <c r="A62" s="4" t="s">
        <v>2475</v>
      </c>
      <c r="B62" s="102" t="s">
        <v>2379</v>
      </c>
      <c r="C62" s="103" t="s">
        <v>13</v>
      </c>
      <c r="D62" s="102" t="s">
        <v>1994</v>
      </c>
      <c r="E62" s="102" t="s">
        <v>1061</v>
      </c>
      <c r="F62" s="102" t="s">
        <v>2444</v>
      </c>
      <c r="G62" t="s">
        <v>239</v>
      </c>
      <c r="H62" s="111" t="s">
        <v>2732</v>
      </c>
      <c r="I62" s="102" t="s">
        <v>130</v>
      </c>
      <c r="J62" s="102" t="s">
        <v>145</v>
      </c>
      <c r="K62" s="102" t="s">
        <v>125</v>
      </c>
      <c r="L62" s="111" t="s">
        <v>333</v>
      </c>
      <c r="M62" s="111" t="s">
        <v>373</v>
      </c>
      <c r="N62" s="111" t="s">
        <v>333</v>
      </c>
    </row>
    <row r="63" spans="1:14" ht="27" customHeight="1" thickBot="1" x14ac:dyDescent="0.25">
      <c r="A63" s="4" t="s">
        <v>2476</v>
      </c>
      <c r="B63" s="102" t="s">
        <v>2380</v>
      </c>
      <c r="C63" s="103" t="s">
        <v>2545</v>
      </c>
      <c r="D63" s="102" t="s">
        <v>1994</v>
      </c>
      <c r="E63" s="102" t="s">
        <v>1064</v>
      </c>
      <c r="F63" s="102" t="s">
        <v>2448</v>
      </c>
      <c r="G63" t="s">
        <v>251</v>
      </c>
      <c r="H63" s="111" t="s">
        <v>2733</v>
      </c>
      <c r="I63" s="102" t="s">
        <v>125</v>
      </c>
      <c r="J63" s="102" t="s">
        <v>145</v>
      </c>
      <c r="K63" s="102" t="s">
        <v>140</v>
      </c>
      <c r="L63" s="111" t="s">
        <v>2655</v>
      </c>
      <c r="M63" s="111" t="s">
        <v>357</v>
      </c>
      <c r="N63" s="111" t="s">
        <v>327</v>
      </c>
    </row>
    <row r="64" spans="1:14" ht="27" customHeight="1" thickBot="1" x14ac:dyDescent="0.25">
      <c r="A64" s="4" t="s">
        <v>2477</v>
      </c>
      <c r="B64" s="102" t="s">
        <v>2381</v>
      </c>
      <c r="C64" s="103" t="s">
        <v>13</v>
      </c>
      <c r="D64" s="102" t="s">
        <v>2449</v>
      </c>
      <c r="E64" s="102" t="s">
        <v>1058</v>
      </c>
      <c r="F64" s="102" t="s">
        <v>2445</v>
      </c>
      <c r="G64" t="s">
        <v>231</v>
      </c>
      <c r="H64" s="4" t="s">
        <v>230</v>
      </c>
      <c r="I64" s="102" t="s">
        <v>125</v>
      </c>
      <c r="J64" s="102" t="s">
        <v>145</v>
      </c>
      <c r="K64" s="102" t="s">
        <v>135</v>
      </c>
      <c r="L64" s="111" t="s">
        <v>373</v>
      </c>
      <c r="M64" s="111" t="s">
        <v>373</v>
      </c>
      <c r="N64" s="111" t="s">
        <v>333</v>
      </c>
    </row>
    <row r="65" spans="1:14" ht="27" customHeight="1" thickBot="1" x14ac:dyDescent="0.25">
      <c r="A65" s="4" t="s">
        <v>2478</v>
      </c>
      <c r="B65" s="102" t="s">
        <v>2382</v>
      </c>
      <c r="C65" s="103" t="s">
        <v>13</v>
      </c>
      <c r="D65" s="102" t="s">
        <v>1994</v>
      </c>
      <c r="E65" s="102" t="s">
        <v>1069</v>
      </c>
      <c r="F65" s="102" t="s">
        <v>2447</v>
      </c>
      <c r="G65" t="s">
        <v>247</v>
      </c>
      <c r="H65" s="111" t="s">
        <v>2734</v>
      </c>
      <c r="I65" s="102" t="s">
        <v>120</v>
      </c>
      <c r="J65" s="102" t="s">
        <v>130</v>
      </c>
      <c r="K65" s="102" t="s">
        <v>135</v>
      </c>
      <c r="L65" s="111" t="s">
        <v>327</v>
      </c>
      <c r="M65" s="111" t="s">
        <v>2347</v>
      </c>
      <c r="N65" s="111" t="s">
        <v>373</v>
      </c>
    </row>
    <row r="66" spans="1:14" ht="15.75" customHeight="1" thickBot="1" x14ac:dyDescent="0.25">
      <c r="A66" s="4" t="s">
        <v>2479</v>
      </c>
      <c r="B66" s="102" t="s">
        <v>2383</v>
      </c>
      <c r="C66" s="103" t="s">
        <v>13</v>
      </c>
      <c r="D66" s="102" t="s">
        <v>2449</v>
      </c>
      <c r="E66" s="102" t="s">
        <v>1058</v>
      </c>
      <c r="F66" s="102" t="s">
        <v>2445</v>
      </c>
      <c r="G66" t="s">
        <v>255</v>
      </c>
      <c r="H66" s="4" t="s">
        <v>254</v>
      </c>
      <c r="I66" s="102" t="s">
        <v>125</v>
      </c>
      <c r="J66" s="102" t="s">
        <v>120</v>
      </c>
      <c r="K66" s="102" t="s">
        <v>125</v>
      </c>
      <c r="L66" s="111" t="s">
        <v>373</v>
      </c>
      <c r="M66" s="111" t="s">
        <v>2347</v>
      </c>
      <c r="N66" s="111" t="s">
        <v>380</v>
      </c>
    </row>
    <row r="67" spans="1:14" ht="27" customHeight="1" thickBot="1" x14ac:dyDescent="0.25">
      <c r="A67" s="4" t="s">
        <v>2480</v>
      </c>
      <c r="B67" s="102" t="s">
        <v>2384</v>
      </c>
      <c r="C67" s="103" t="s">
        <v>13</v>
      </c>
      <c r="D67" s="102" t="s">
        <v>1994</v>
      </c>
      <c r="E67" s="102" t="s">
        <v>1058</v>
      </c>
      <c r="F67" s="102" t="s">
        <v>2445</v>
      </c>
      <c r="G67" t="s">
        <v>226</v>
      </c>
      <c r="H67" s="4" t="s">
        <v>225</v>
      </c>
      <c r="I67" s="102" t="s">
        <v>120</v>
      </c>
      <c r="J67" s="102" t="s">
        <v>125</v>
      </c>
      <c r="K67" s="102" t="s">
        <v>145</v>
      </c>
      <c r="L67" s="111" t="s">
        <v>333</v>
      </c>
      <c r="M67" s="111" t="s">
        <v>2347</v>
      </c>
      <c r="N67" s="111" t="s">
        <v>333</v>
      </c>
    </row>
    <row r="68" spans="1:14" ht="27" customHeight="1" thickBot="1" x14ac:dyDescent="0.25">
      <c r="A68" s="4" t="s">
        <v>2481</v>
      </c>
      <c r="B68" s="102" t="s">
        <v>2438</v>
      </c>
      <c r="C68" s="103" t="s">
        <v>13</v>
      </c>
      <c r="D68" s="102" t="s">
        <v>1994</v>
      </c>
      <c r="E68" s="102" t="s">
        <v>1055</v>
      </c>
      <c r="F68" s="102" t="s">
        <v>2446</v>
      </c>
      <c r="G68" t="s">
        <v>255</v>
      </c>
      <c r="H68" s="111" t="s">
        <v>2714</v>
      </c>
      <c r="I68" s="102" t="s">
        <v>130</v>
      </c>
      <c r="J68" s="102" t="s">
        <v>135</v>
      </c>
      <c r="K68" s="102" t="s">
        <v>125</v>
      </c>
      <c r="L68" s="111" t="s">
        <v>333</v>
      </c>
      <c r="M68" s="111" t="s">
        <v>373</v>
      </c>
      <c r="N68" s="111" t="s">
        <v>373</v>
      </c>
    </row>
    <row r="69" spans="1:14" ht="15.75" customHeight="1" thickBot="1" x14ac:dyDescent="0.25">
      <c r="A69" s="4" t="s">
        <v>2482</v>
      </c>
      <c r="B69" s="102" t="s">
        <v>2385</v>
      </c>
      <c r="C69" s="103" t="s">
        <v>13</v>
      </c>
      <c r="D69" s="102" t="s">
        <v>1994</v>
      </c>
      <c r="E69" s="102" t="s">
        <v>1074</v>
      </c>
      <c r="F69" s="102" t="s">
        <v>2443</v>
      </c>
      <c r="G69" t="s">
        <v>231</v>
      </c>
      <c r="H69" s="111" t="s">
        <v>2735</v>
      </c>
      <c r="I69" s="102" t="s">
        <v>120</v>
      </c>
      <c r="J69" s="102" t="s">
        <v>135</v>
      </c>
      <c r="K69" s="102" t="s">
        <v>120</v>
      </c>
      <c r="L69" s="111" t="s">
        <v>322</v>
      </c>
      <c r="M69" s="111" t="s">
        <v>2347</v>
      </c>
      <c r="N69" s="111" t="s">
        <v>2347</v>
      </c>
    </row>
    <row r="70" spans="1:14" ht="27" customHeight="1" thickBot="1" x14ac:dyDescent="0.25">
      <c r="A70" s="4" t="s">
        <v>2483</v>
      </c>
      <c r="B70" s="102" t="s">
        <v>2386</v>
      </c>
      <c r="C70" s="103" t="s">
        <v>13</v>
      </c>
      <c r="D70" s="102" t="s">
        <v>2449</v>
      </c>
      <c r="E70" s="102" t="s">
        <v>1061</v>
      </c>
      <c r="F70" s="102" t="s">
        <v>2444</v>
      </c>
      <c r="G70" t="s">
        <v>243</v>
      </c>
      <c r="H70" s="111" t="s">
        <v>2715</v>
      </c>
      <c r="I70" s="102" t="s">
        <v>130</v>
      </c>
      <c r="J70" s="102" t="s">
        <v>125</v>
      </c>
      <c r="K70" s="102" t="s">
        <v>120</v>
      </c>
      <c r="L70" s="111" t="s">
        <v>333</v>
      </c>
      <c r="M70" s="111" t="s">
        <v>2347</v>
      </c>
      <c r="N70" s="111" t="s">
        <v>333</v>
      </c>
    </row>
    <row r="71" spans="1:14" ht="27" customHeight="1" thickBot="1" x14ac:dyDescent="0.25">
      <c r="A71" s="4" t="s">
        <v>2484</v>
      </c>
      <c r="B71" s="102" t="s">
        <v>2387</v>
      </c>
      <c r="C71" s="103" t="s">
        <v>13</v>
      </c>
      <c r="D71" s="102" t="s">
        <v>1994</v>
      </c>
      <c r="E71" s="102" t="s">
        <v>1074</v>
      </c>
      <c r="F71" s="102" t="s">
        <v>2443</v>
      </c>
      <c r="G71" t="s">
        <v>247</v>
      </c>
      <c r="H71" s="4" t="s">
        <v>246</v>
      </c>
      <c r="I71" s="102" t="s">
        <v>125</v>
      </c>
      <c r="J71" s="102" t="s">
        <v>135</v>
      </c>
      <c r="K71" s="102" t="s">
        <v>120</v>
      </c>
      <c r="L71" s="111" t="s">
        <v>2664</v>
      </c>
      <c r="M71" s="111" t="s">
        <v>2347</v>
      </c>
      <c r="N71" s="111" t="s">
        <v>2664</v>
      </c>
    </row>
    <row r="72" spans="1:14" ht="15.75" customHeight="1" thickBot="1" x14ac:dyDescent="0.25">
      <c r="A72" s="4" t="s">
        <v>2485</v>
      </c>
      <c r="B72" s="102" t="s">
        <v>2388</v>
      </c>
      <c r="C72" s="103" t="s">
        <v>13</v>
      </c>
      <c r="D72" s="102" t="s">
        <v>1994</v>
      </c>
      <c r="E72" s="102" t="s">
        <v>1061</v>
      </c>
      <c r="F72" s="102" t="s">
        <v>2444</v>
      </c>
      <c r="G72" t="s">
        <v>226</v>
      </c>
      <c r="H72" s="111" t="s">
        <v>2736</v>
      </c>
      <c r="I72" s="102" t="s">
        <v>120</v>
      </c>
      <c r="J72" s="102" t="s">
        <v>135</v>
      </c>
      <c r="K72" s="102" t="s">
        <v>140</v>
      </c>
      <c r="L72" s="111" t="s">
        <v>380</v>
      </c>
      <c r="M72" s="111" t="s">
        <v>373</v>
      </c>
      <c r="N72" s="111" t="s">
        <v>373</v>
      </c>
    </row>
    <row r="73" spans="1:14" ht="27" customHeight="1" thickBot="1" x14ac:dyDescent="0.25">
      <c r="A73" s="4" t="s">
        <v>2486</v>
      </c>
      <c r="B73" s="102" t="s">
        <v>2389</v>
      </c>
      <c r="C73" s="103" t="s">
        <v>13</v>
      </c>
      <c r="D73" s="102" t="s">
        <v>1994</v>
      </c>
      <c r="E73" s="102" t="s">
        <v>1074</v>
      </c>
      <c r="F73" s="102" t="s">
        <v>2443</v>
      </c>
      <c r="G73" t="s">
        <v>243</v>
      </c>
      <c r="H73" s="111" t="s">
        <v>2737</v>
      </c>
      <c r="I73" s="102" t="s">
        <v>120</v>
      </c>
      <c r="J73" s="102" t="s">
        <v>125</v>
      </c>
      <c r="K73" s="102" t="s">
        <v>130</v>
      </c>
      <c r="L73" s="111" t="s">
        <v>380</v>
      </c>
      <c r="M73" s="111" t="s">
        <v>2347</v>
      </c>
      <c r="N73" s="111" t="s">
        <v>333</v>
      </c>
    </row>
    <row r="74" spans="1:14" ht="15.75" customHeight="1" thickBot="1" x14ac:dyDescent="0.25">
      <c r="A74" s="4" t="s">
        <v>2487</v>
      </c>
      <c r="B74" s="102" t="s">
        <v>1063</v>
      </c>
      <c r="C74" s="103" t="s">
        <v>2543</v>
      </c>
      <c r="D74" s="102" t="s">
        <v>2449</v>
      </c>
      <c r="E74" s="102" t="s">
        <v>1064</v>
      </c>
      <c r="F74" s="102" t="s">
        <v>2448</v>
      </c>
      <c r="G74" t="s">
        <v>255</v>
      </c>
      <c r="H74" s="111" t="s">
        <v>2738</v>
      </c>
      <c r="I74" s="102" t="s">
        <v>135</v>
      </c>
      <c r="J74" s="102" t="s">
        <v>130</v>
      </c>
      <c r="K74" s="102" t="s">
        <v>125</v>
      </c>
      <c r="L74" s="111" t="s">
        <v>333</v>
      </c>
      <c r="M74" s="111" t="s">
        <v>357</v>
      </c>
      <c r="N74" s="111" t="s">
        <v>2347</v>
      </c>
    </row>
    <row r="75" spans="1:14" ht="27" customHeight="1" thickBot="1" x14ac:dyDescent="0.25">
      <c r="A75" s="4" t="s">
        <v>2488</v>
      </c>
      <c r="B75" s="102" t="s">
        <v>2390</v>
      </c>
      <c r="C75" s="103" t="s">
        <v>13</v>
      </c>
      <c r="D75" s="102" t="s">
        <v>1994</v>
      </c>
      <c r="E75" s="102" t="s">
        <v>1055</v>
      </c>
      <c r="F75" s="102" t="s">
        <v>2446</v>
      </c>
      <c r="G75" t="s">
        <v>239</v>
      </c>
      <c r="H75" s="4" t="s">
        <v>238</v>
      </c>
      <c r="I75" s="102" t="s">
        <v>125</v>
      </c>
      <c r="J75" s="102" t="s">
        <v>120</v>
      </c>
      <c r="K75" s="102" t="s">
        <v>140</v>
      </c>
      <c r="L75" s="111" t="s">
        <v>373</v>
      </c>
      <c r="M75" s="111" t="s">
        <v>2347</v>
      </c>
      <c r="N75" s="111" t="s">
        <v>380</v>
      </c>
    </row>
    <row r="76" spans="1:14" ht="27" customHeight="1" thickBot="1" x14ac:dyDescent="0.25">
      <c r="A76" s="4" t="s">
        <v>2489</v>
      </c>
      <c r="B76" s="102" t="s">
        <v>2391</v>
      </c>
      <c r="C76" s="103" t="s">
        <v>13</v>
      </c>
      <c r="D76" s="102" t="s">
        <v>2449</v>
      </c>
      <c r="E76" s="102" t="s">
        <v>1058</v>
      </c>
      <c r="F76" s="102" t="s">
        <v>2445</v>
      </c>
      <c r="G76" t="s">
        <v>259</v>
      </c>
      <c r="H76" s="4" t="s">
        <v>258</v>
      </c>
      <c r="I76" s="102" t="s">
        <v>125</v>
      </c>
      <c r="J76" s="102" t="s">
        <v>140</v>
      </c>
      <c r="K76" s="102" t="s">
        <v>125</v>
      </c>
      <c r="L76" s="111" t="s">
        <v>2347</v>
      </c>
      <c r="M76" s="111" t="s">
        <v>373</v>
      </c>
      <c r="N76" s="111" t="s">
        <v>322</v>
      </c>
    </row>
    <row r="77" spans="1:14" ht="27" customHeight="1" thickBot="1" x14ac:dyDescent="0.25">
      <c r="A77" s="4" t="s">
        <v>2490</v>
      </c>
      <c r="B77" s="102" t="s">
        <v>2392</v>
      </c>
      <c r="C77" s="103" t="s">
        <v>13</v>
      </c>
      <c r="D77" s="102" t="s">
        <v>1994</v>
      </c>
      <c r="E77" s="102" t="s">
        <v>1069</v>
      </c>
      <c r="F77" s="102" t="s">
        <v>2447</v>
      </c>
      <c r="G77" t="s">
        <v>226</v>
      </c>
      <c r="H77" s="111" t="s">
        <v>2736</v>
      </c>
      <c r="I77" s="102" t="s">
        <v>120</v>
      </c>
      <c r="J77" s="102" t="s">
        <v>125</v>
      </c>
      <c r="K77" s="102" t="s">
        <v>130</v>
      </c>
      <c r="L77" s="111" t="s">
        <v>380</v>
      </c>
      <c r="M77" s="111" t="s">
        <v>2347</v>
      </c>
      <c r="N77" s="111" t="s">
        <v>333</v>
      </c>
    </row>
    <row r="78" spans="1:14" ht="27" customHeight="1" thickBot="1" x14ac:dyDescent="0.25">
      <c r="A78" s="4" t="s">
        <v>2491</v>
      </c>
      <c r="B78" s="102" t="s">
        <v>2393</v>
      </c>
      <c r="C78" s="103" t="s">
        <v>13</v>
      </c>
      <c r="D78" s="102" t="s">
        <v>2449</v>
      </c>
      <c r="E78" s="102" t="s">
        <v>1069</v>
      </c>
      <c r="F78" s="102" t="s">
        <v>2447</v>
      </c>
      <c r="G78" t="s">
        <v>231</v>
      </c>
      <c r="H78" s="111" t="s">
        <v>2739</v>
      </c>
      <c r="I78" s="102" t="s">
        <v>130</v>
      </c>
      <c r="J78" s="102" t="s">
        <v>125</v>
      </c>
      <c r="K78" s="102" t="s">
        <v>120</v>
      </c>
      <c r="L78" s="111" t="s">
        <v>333</v>
      </c>
      <c r="M78" s="111" t="s">
        <v>2347</v>
      </c>
      <c r="N78" s="111" t="s">
        <v>333</v>
      </c>
    </row>
    <row r="79" spans="1:14" ht="27" customHeight="1" thickBot="1" x14ac:dyDescent="0.25">
      <c r="A79" s="4" t="s">
        <v>2492</v>
      </c>
      <c r="B79" s="102" t="s">
        <v>2394</v>
      </c>
      <c r="C79" s="103" t="s">
        <v>13</v>
      </c>
      <c r="D79" s="102" t="s">
        <v>1994</v>
      </c>
      <c r="E79" s="102" t="s">
        <v>1074</v>
      </c>
      <c r="F79" s="102" t="s">
        <v>2443</v>
      </c>
      <c r="G79" t="s">
        <v>235</v>
      </c>
      <c r="H79" s="111" t="s">
        <v>2740</v>
      </c>
      <c r="I79" s="102" t="s">
        <v>130</v>
      </c>
      <c r="J79" s="102" t="s">
        <v>140</v>
      </c>
      <c r="K79" s="102" t="s">
        <v>145</v>
      </c>
      <c r="L79" s="111" t="s">
        <v>373</v>
      </c>
      <c r="M79" s="111" t="s">
        <v>333</v>
      </c>
      <c r="N79" s="111" t="s">
        <v>380</v>
      </c>
    </row>
    <row r="80" spans="1:14" ht="27" customHeight="1" thickBot="1" x14ac:dyDescent="0.25">
      <c r="A80" s="4" t="s">
        <v>2493</v>
      </c>
      <c r="B80" s="102" t="s">
        <v>2395</v>
      </c>
      <c r="C80" s="103" t="s">
        <v>13</v>
      </c>
      <c r="D80" s="102" t="s">
        <v>1994</v>
      </c>
      <c r="E80" s="102" t="s">
        <v>1055</v>
      </c>
      <c r="F80" s="102" t="s">
        <v>2446</v>
      </c>
      <c r="G80" t="s">
        <v>259</v>
      </c>
      <c r="H80" s="4" t="s">
        <v>258</v>
      </c>
      <c r="I80" s="102" t="s">
        <v>125</v>
      </c>
      <c r="J80" s="102" t="s">
        <v>135</v>
      </c>
      <c r="K80" s="102" t="s">
        <v>140</v>
      </c>
      <c r="L80" s="111" t="s">
        <v>373</v>
      </c>
      <c r="M80" s="111" t="s">
        <v>373</v>
      </c>
      <c r="N80" s="111" t="s">
        <v>380</v>
      </c>
    </row>
    <row r="81" spans="1:14" ht="15.75" customHeight="1" thickBot="1" x14ac:dyDescent="0.25">
      <c r="A81" s="4" t="s">
        <v>2494</v>
      </c>
      <c r="B81" s="102" t="s">
        <v>2396</v>
      </c>
      <c r="C81" s="103" t="s">
        <v>13</v>
      </c>
      <c r="D81" s="102" t="s">
        <v>1994</v>
      </c>
      <c r="E81" s="102" t="s">
        <v>1055</v>
      </c>
      <c r="F81" s="102" t="s">
        <v>2446</v>
      </c>
      <c r="G81" t="s">
        <v>235</v>
      </c>
      <c r="H81" s="111" t="s">
        <v>2741</v>
      </c>
      <c r="I81" s="102" t="s">
        <v>130</v>
      </c>
      <c r="J81" s="102" t="s">
        <v>135</v>
      </c>
      <c r="K81" s="102" t="s">
        <v>125</v>
      </c>
      <c r="L81" s="111" t="s">
        <v>333</v>
      </c>
      <c r="M81" s="111" t="s">
        <v>373</v>
      </c>
      <c r="N81" s="111" t="s">
        <v>373</v>
      </c>
    </row>
    <row r="82" spans="1:14" ht="27" customHeight="1" thickBot="1" x14ac:dyDescent="0.25">
      <c r="A82" s="4" t="s">
        <v>2495</v>
      </c>
      <c r="B82" s="102" t="s">
        <v>2397</v>
      </c>
      <c r="C82" s="103" t="s">
        <v>13</v>
      </c>
      <c r="D82" s="102" t="s">
        <v>1994</v>
      </c>
      <c r="E82" s="102" t="s">
        <v>1058</v>
      </c>
      <c r="F82" s="102" t="s">
        <v>2445</v>
      </c>
      <c r="G82" t="s">
        <v>247</v>
      </c>
      <c r="H82" s="4" t="s">
        <v>246</v>
      </c>
      <c r="I82" s="102" t="s">
        <v>125</v>
      </c>
      <c r="J82" s="102" t="s">
        <v>135</v>
      </c>
      <c r="K82" s="102" t="s">
        <v>140</v>
      </c>
      <c r="L82" s="111" t="s">
        <v>373</v>
      </c>
      <c r="M82" s="111" t="s">
        <v>373</v>
      </c>
      <c r="N82" s="111" t="s">
        <v>380</v>
      </c>
    </row>
    <row r="83" spans="1:14" ht="27" customHeight="1" thickBot="1" x14ac:dyDescent="0.25">
      <c r="A83" s="4" t="s">
        <v>2496</v>
      </c>
      <c r="B83" s="102" t="s">
        <v>1068</v>
      </c>
      <c r="C83" s="103" t="s">
        <v>13</v>
      </c>
      <c r="D83" s="102" t="s">
        <v>1994</v>
      </c>
      <c r="E83" s="102" t="s">
        <v>1069</v>
      </c>
      <c r="F83" s="102" t="s">
        <v>2447</v>
      </c>
      <c r="G83" t="s">
        <v>247</v>
      </c>
      <c r="H83" s="111" t="s">
        <v>2725</v>
      </c>
      <c r="I83" s="102" t="s">
        <v>120</v>
      </c>
      <c r="J83" s="102" t="s">
        <v>135</v>
      </c>
      <c r="K83" s="102" t="s">
        <v>140</v>
      </c>
      <c r="L83" s="111" t="s">
        <v>380</v>
      </c>
      <c r="M83" s="111" t="s">
        <v>373</v>
      </c>
      <c r="N83" s="111" t="s">
        <v>373</v>
      </c>
    </row>
    <row r="84" spans="1:14" ht="27" customHeight="1" thickBot="1" x14ac:dyDescent="0.25">
      <c r="A84" s="4" t="s">
        <v>2497</v>
      </c>
      <c r="B84" s="102" t="s">
        <v>2398</v>
      </c>
      <c r="C84" s="103" t="s">
        <v>2546</v>
      </c>
      <c r="D84" s="102" t="s">
        <v>1994</v>
      </c>
      <c r="E84" s="102" t="s">
        <v>1069</v>
      </c>
      <c r="F84" s="102" t="s">
        <v>2447</v>
      </c>
      <c r="G84" t="s">
        <v>235</v>
      </c>
      <c r="H84" s="111" t="s">
        <v>2742</v>
      </c>
      <c r="I84" s="102" t="s">
        <v>120</v>
      </c>
      <c r="J84" s="102" t="s">
        <v>125</v>
      </c>
      <c r="K84" s="102" t="s">
        <v>145</v>
      </c>
      <c r="L84" s="111" t="s">
        <v>373</v>
      </c>
      <c r="M84" s="111" t="s">
        <v>2659</v>
      </c>
      <c r="N84" s="111" t="s">
        <v>373</v>
      </c>
    </row>
    <row r="85" spans="1:14" ht="27" customHeight="1" thickBot="1" x14ac:dyDescent="0.25">
      <c r="A85" s="4" t="s">
        <v>2498</v>
      </c>
      <c r="B85" s="102" t="s">
        <v>1060</v>
      </c>
      <c r="C85" s="103" t="s">
        <v>13</v>
      </c>
      <c r="D85" s="102" t="s">
        <v>1994</v>
      </c>
      <c r="E85" s="102" t="s">
        <v>1061</v>
      </c>
      <c r="F85" s="102" t="s">
        <v>2444</v>
      </c>
      <c r="G85" t="s">
        <v>239</v>
      </c>
      <c r="H85" s="111" t="s">
        <v>2730</v>
      </c>
      <c r="I85" s="102" t="s">
        <v>145</v>
      </c>
      <c r="J85" s="102" t="s">
        <v>140</v>
      </c>
      <c r="K85" s="102" t="s">
        <v>140</v>
      </c>
      <c r="L85" s="111" t="s">
        <v>2347</v>
      </c>
      <c r="M85" s="111" t="s">
        <v>327</v>
      </c>
      <c r="N85" s="111" t="s">
        <v>327</v>
      </c>
    </row>
    <row r="86" spans="1:14" ht="27" customHeight="1" thickBot="1" x14ac:dyDescent="0.25">
      <c r="A86" s="4" t="s">
        <v>2499</v>
      </c>
      <c r="B86" s="102" t="s">
        <v>2399</v>
      </c>
      <c r="C86" s="103" t="s">
        <v>13</v>
      </c>
      <c r="D86" s="102" t="s">
        <v>1994</v>
      </c>
      <c r="E86" s="102" t="s">
        <v>1055</v>
      </c>
      <c r="F86" s="102" t="s">
        <v>2446</v>
      </c>
      <c r="G86" t="s">
        <v>247</v>
      </c>
      <c r="H86" s="111" t="s">
        <v>2723</v>
      </c>
      <c r="I86" s="102" t="s">
        <v>120</v>
      </c>
      <c r="J86" s="102" t="s">
        <v>135</v>
      </c>
      <c r="K86" s="102" t="s">
        <v>125</v>
      </c>
      <c r="L86" s="111" t="s">
        <v>380</v>
      </c>
      <c r="M86" s="111" t="s">
        <v>2347</v>
      </c>
      <c r="N86" s="111" t="s">
        <v>373</v>
      </c>
    </row>
    <row r="87" spans="1:14" ht="27" customHeight="1" thickBot="1" x14ac:dyDescent="0.25">
      <c r="A87" s="4" t="s">
        <v>2500</v>
      </c>
      <c r="B87" s="102" t="s">
        <v>2400</v>
      </c>
      <c r="C87" s="103" t="s">
        <v>13</v>
      </c>
      <c r="D87" s="102" t="s">
        <v>1994</v>
      </c>
      <c r="E87" s="102" t="s">
        <v>1058</v>
      </c>
      <c r="F87" s="102" t="s">
        <v>2445</v>
      </c>
      <c r="G87" t="s">
        <v>226</v>
      </c>
      <c r="H87" s="4" t="s">
        <v>225</v>
      </c>
      <c r="I87" s="102" t="s">
        <v>125</v>
      </c>
      <c r="J87" s="102" t="s">
        <v>140</v>
      </c>
      <c r="K87" s="102" t="s">
        <v>125</v>
      </c>
      <c r="L87" s="111" t="s">
        <v>2347</v>
      </c>
      <c r="M87" s="111" t="s">
        <v>373</v>
      </c>
      <c r="N87" s="111" t="s">
        <v>322</v>
      </c>
    </row>
    <row r="88" spans="1:14" ht="27" customHeight="1" thickBot="1" x14ac:dyDescent="0.25">
      <c r="A88" s="4" t="s">
        <v>2501</v>
      </c>
      <c r="B88" s="102" t="s">
        <v>2401</v>
      </c>
      <c r="C88" s="103" t="s">
        <v>13</v>
      </c>
      <c r="D88" s="102" t="s">
        <v>1994</v>
      </c>
      <c r="E88" s="102" t="s">
        <v>1055</v>
      </c>
      <c r="F88" s="102" t="s">
        <v>2446</v>
      </c>
      <c r="G88" t="s">
        <v>247</v>
      </c>
      <c r="H88" s="4" t="s">
        <v>246</v>
      </c>
      <c r="I88" s="102" t="s">
        <v>120</v>
      </c>
      <c r="J88" s="102" t="s">
        <v>135</v>
      </c>
      <c r="K88" s="102" t="s">
        <v>125</v>
      </c>
      <c r="L88" s="111" t="s">
        <v>380</v>
      </c>
      <c r="M88" s="111" t="s">
        <v>2347</v>
      </c>
      <c r="N88" s="111" t="s">
        <v>373</v>
      </c>
    </row>
    <row r="89" spans="1:14" ht="15.75" customHeight="1" thickBot="1" x14ac:dyDescent="0.25">
      <c r="A89" s="4" t="s">
        <v>2502</v>
      </c>
      <c r="B89" s="102" t="s">
        <v>2402</v>
      </c>
      <c r="C89" s="103" t="s">
        <v>13</v>
      </c>
      <c r="D89" s="102" t="s">
        <v>2449</v>
      </c>
      <c r="E89" s="102" t="s">
        <v>1074</v>
      </c>
      <c r="F89" s="102" t="s">
        <v>2443</v>
      </c>
      <c r="G89" t="s">
        <v>251</v>
      </c>
      <c r="H89" s="111" t="s">
        <v>2743</v>
      </c>
      <c r="I89" s="102" t="s">
        <v>120</v>
      </c>
      <c r="J89" s="102" t="s">
        <v>125</v>
      </c>
      <c r="K89" s="102" t="s">
        <v>140</v>
      </c>
      <c r="L89" s="111" t="s">
        <v>2664</v>
      </c>
      <c r="M89" s="111" t="s">
        <v>2347</v>
      </c>
      <c r="N89" s="111" t="s">
        <v>380</v>
      </c>
    </row>
    <row r="90" spans="1:14" ht="27" customHeight="1" thickBot="1" x14ac:dyDescent="0.25">
      <c r="A90" s="4" t="s">
        <v>2503</v>
      </c>
      <c r="B90" s="102" t="s">
        <v>2403</v>
      </c>
      <c r="C90" s="103" t="s">
        <v>13</v>
      </c>
      <c r="D90" s="102" t="s">
        <v>1994</v>
      </c>
      <c r="E90" s="102" t="s">
        <v>1055</v>
      </c>
      <c r="F90" s="102" t="s">
        <v>2446</v>
      </c>
      <c r="G90" t="s">
        <v>235</v>
      </c>
      <c r="H90" s="4" t="s">
        <v>234</v>
      </c>
      <c r="I90" s="102" t="s">
        <v>120</v>
      </c>
      <c r="J90" s="102" t="s">
        <v>135</v>
      </c>
      <c r="K90" s="102" t="s">
        <v>140</v>
      </c>
      <c r="L90" s="111" t="s">
        <v>380</v>
      </c>
      <c r="M90" s="111" t="s">
        <v>373</v>
      </c>
      <c r="N90" s="111" t="s">
        <v>373</v>
      </c>
    </row>
    <row r="91" spans="1:14" ht="39.75" customHeight="1" thickBot="1" x14ac:dyDescent="0.25">
      <c r="A91" s="4" t="s">
        <v>2504</v>
      </c>
      <c r="B91" s="102" t="s">
        <v>2404</v>
      </c>
      <c r="C91" s="103" t="s">
        <v>13</v>
      </c>
      <c r="D91" s="102" t="s">
        <v>1994</v>
      </c>
      <c r="E91" s="102" t="s">
        <v>1058</v>
      </c>
      <c r="F91" s="102" t="s">
        <v>2445</v>
      </c>
      <c r="G91" t="s">
        <v>231</v>
      </c>
      <c r="H91" s="4" t="s">
        <v>230</v>
      </c>
      <c r="I91" s="102" t="s">
        <v>120</v>
      </c>
      <c r="J91" s="102" t="s">
        <v>135</v>
      </c>
      <c r="K91" s="102" t="s">
        <v>130</v>
      </c>
      <c r="L91" s="111" t="s">
        <v>327</v>
      </c>
      <c r="M91" s="111" t="s">
        <v>2347</v>
      </c>
      <c r="N91" s="111" t="s">
        <v>373</v>
      </c>
    </row>
    <row r="92" spans="1:14" ht="27" customHeight="1" thickBot="1" x14ac:dyDescent="0.25">
      <c r="A92" s="4" t="s">
        <v>2505</v>
      </c>
      <c r="B92" s="102" t="s">
        <v>2405</v>
      </c>
      <c r="C92" s="103" t="s">
        <v>13</v>
      </c>
      <c r="D92" s="102" t="s">
        <v>2449</v>
      </c>
      <c r="E92" s="102" t="s">
        <v>1055</v>
      </c>
      <c r="F92" s="102" t="s">
        <v>2446</v>
      </c>
      <c r="G92" t="s">
        <v>226</v>
      </c>
      <c r="H92" s="111" t="s">
        <v>2744</v>
      </c>
      <c r="I92" s="102" t="s">
        <v>130</v>
      </c>
      <c r="J92" s="102" t="s">
        <v>125</v>
      </c>
      <c r="K92" s="102" t="s">
        <v>135</v>
      </c>
      <c r="L92" s="111" t="s">
        <v>333</v>
      </c>
      <c r="M92" s="111" t="s">
        <v>373</v>
      </c>
      <c r="N92" s="111" t="s">
        <v>333</v>
      </c>
    </row>
    <row r="93" spans="1:14" ht="27" customHeight="1" thickBot="1" x14ac:dyDescent="0.25">
      <c r="A93" s="4" t="s">
        <v>2506</v>
      </c>
      <c r="B93" s="102" t="s">
        <v>2406</v>
      </c>
      <c r="C93" s="103" t="s">
        <v>13</v>
      </c>
      <c r="D93" s="102" t="s">
        <v>2449</v>
      </c>
      <c r="E93" s="102" t="s">
        <v>1055</v>
      </c>
      <c r="F93" s="102" t="s">
        <v>2446</v>
      </c>
      <c r="G93" t="s">
        <v>235</v>
      </c>
      <c r="H93" s="111" t="s">
        <v>2740</v>
      </c>
      <c r="I93" s="102" t="s">
        <v>130</v>
      </c>
      <c r="J93" s="102" t="s">
        <v>140</v>
      </c>
      <c r="K93" s="102" t="s">
        <v>135</v>
      </c>
      <c r="L93" s="111" t="s">
        <v>333</v>
      </c>
      <c r="M93" s="111" t="s">
        <v>333</v>
      </c>
      <c r="N93" s="111" t="s">
        <v>333</v>
      </c>
    </row>
    <row r="94" spans="1:14" ht="27" customHeight="1" thickBot="1" x14ac:dyDescent="0.25">
      <c r="A94" s="4" t="s">
        <v>2507</v>
      </c>
      <c r="B94" s="102" t="s">
        <v>2407</v>
      </c>
      <c r="C94" s="103" t="s">
        <v>2562</v>
      </c>
      <c r="D94" s="102" t="s">
        <v>1994</v>
      </c>
      <c r="E94" s="102" t="s">
        <v>1061</v>
      </c>
      <c r="F94" s="102" t="s">
        <v>2444</v>
      </c>
      <c r="G94" t="s">
        <v>235</v>
      </c>
      <c r="H94" s="111" t="s">
        <v>2745</v>
      </c>
      <c r="I94" s="102" t="s">
        <v>130</v>
      </c>
      <c r="J94" s="102" t="s">
        <v>120</v>
      </c>
      <c r="K94" s="102" t="s">
        <v>125</v>
      </c>
      <c r="L94" s="111" t="s">
        <v>333</v>
      </c>
      <c r="M94" s="111" t="s">
        <v>2655</v>
      </c>
      <c r="N94" s="111" t="s">
        <v>374</v>
      </c>
    </row>
    <row r="95" spans="1:14" ht="15.75" customHeight="1" thickBot="1" x14ac:dyDescent="0.25">
      <c r="A95" s="4" t="s">
        <v>2508</v>
      </c>
      <c r="B95" s="102" t="s">
        <v>2408</v>
      </c>
      <c r="C95" s="103" t="s">
        <v>13</v>
      </c>
      <c r="D95" s="102" t="s">
        <v>2449</v>
      </c>
      <c r="E95" s="102" t="s">
        <v>1055</v>
      </c>
      <c r="F95" s="102" t="s">
        <v>2446</v>
      </c>
      <c r="G95" t="s">
        <v>251</v>
      </c>
      <c r="H95" s="4" t="s">
        <v>250</v>
      </c>
      <c r="I95" s="102" t="s">
        <v>130</v>
      </c>
      <c r="J95" s="102" t="s">
        <v>125</v>
      </c>
      <c r="K95" s="102" t="s">
        <v>135</v>
      </c>
      <c r="L95" s="111" t="s">
        <v>333</v>
      </c>
      <c r="M95" s="111" t="s">
        <v>373</v>
      </c>
      <c r="N95" s="111" t="s">
        <v>333</v>
      </c>
    </row>
    <row r="96" spans="1:14" ht="27" customHeight="1" thickBot="1" x14ac:dyDescent="0.25">
      <c r="A96" s="4" t="s">
        <v>2509</v>
      </c>
      <c r="B96" s="102" t="s">
        <v>2409</v>
      </c>
      <c r="C96" s="103" t="s">
        <v>13</v>
      </c>
      <c r="D96" s="102" t="s">
        <v>2449</v>
      </c>
      <c r="E96" s="102" t="s">
        <v>1074</v>
      </c>
      <c r="F96" s="102" t="s">
        <v>2443</v>
      </c>
      <c r="G96" t="s">
        <v>226</v>
      </c>
      <c r="H96" s="111" t="s">
        <v>2744</v>
      </c>
      <c r="I96" s="102" t="s">
        <v>130</v>
      </c>
      <c r="J96" s="102" t="s">
        <v>145</v>
      </c>
      <c r="K96" s="102" t="s">
        <v>140</v>
      </c>
      <c r="L96" s="111" t="s">
        <v>333</v>
      </c>
      <c r="M96" s="111" t="s">
        <v>333</v>
      </c>
      <c r="N96" s="111" t="s">
        <v>380</v>
      </c>
    </row>
    <row r="97" spans="1:14" ht="27" customHeight="1" thickBot="1" x14ac:dyDescent="0.25">
      <c r="A97" s="4" t="s">
        <v>2510</v>
      </c>
      <c r="B97" s="102" t="s">
        <v>2410</v>
      </c>
      <c r="C97" s="103" t="s">
        <v>13</v>
      </c>
      <c r="D97" s="102" t="s">
        <v>1994</v>
      </c>
      <c r="E97" s="102" t="s">
        <v>1058</v>
      </c>
      <c r="F97" s="102" t="s">
        <v>2445</v>
      </c>
      <c r="G97" t="s">
        <v>243</v>
      </c>
      <c r="H97" s="4" t="s">
        <v>242</v>
      </c>
      <c r="I97" s="102" t="s">
        <v>125</v>
      </c>
      <c r="J97" s="102" t="s">
        <v>130</v>
      </c>
      <c r="K97" s="102" t="s">
        <v>125</v>
      </c>
      <c r="L97" s="111" t="s">
        <v>373</v>
      </c>
      <c r="M97" s="111" t="s">
        <v>2347</v>
      </c>
      <c r="N97" s="111" t="s">
        <v>327</v>
      </c>
    </row>
    <row r="98" spans="1:14" ht="27" customHeight="1" thickBot="1" x14ac:dyDescent="0.25">
      <c r="A98" s="4" t="s">
        <v>2511</v>
      </c>
      <c r="B98" s="102" t="s">
        <v>2411</v>
      </c>
      <c r="C98" s="103" t="s">
        <v>13</v>
      </c>
      <c r="D98" s="102" t="s">
        <v>2449</v>
      </c>
      <c r="E98" s="102" t="s">
        <v>1069</v>
      </c>
      <c r="F98" s="102" t="s">
        <v>2447</v>
      </c>
      <c r="G98" t="s">
        <v>231</v>
      </c>
      <c r="H98" s="111" t="s">
        <v>2735</v>
      </c>
      <c r="I98" s="102" t="s">
        <v>120</v>
      </c>
      <c r="J98" s="102" t="s">
        <v>125</v>
      </c>
      <c r="K98" s="102" t="s">
        <v>130</v>
      </c>
      <c r="L98" s="111" t="s">
        <v>380</v>
      </c>
      <c r="M98" s="111" t="s">
        <v>2347</v>
      </c>
      <c r="N98" s="111" t="s">
        <v>333</v>
      </c>
    </row>
    <row r="99" spans="1:14" ht="78" customHeight="1" thickBot="1" x14ac:dyDescent="0.25">
      <c r="A99" s="4" t="s">
        <v>2512</v>
      </c>
      <c r="B99" s="102" t="s">
        <v>2412</v>
      </c>
      <c r="C99" s="103" t="s">
        <v>13</v>
      </c>
      <c r="D99" s="102" t="s">
        <v>1994</v>
      </c>
      <c r="E99" s="102" t="s">
        <v>1061</v>
      </c>
      <c r="F99" s="102" t="s">
        <v>2444</v>
      </c>
      <c r="G99" t="s">
        <v>247</v>
      </c>
      <c r="H99" s="111" t="s">
        <v>2734</v>
      </c>
      <c r="I99" s="102" t="s">
        <v>120</v>
      </c>
      <c r="J99" s="102" t="s">
        <v>125</v>
      </c>
      <c r="K99" s="102" t="s">
        <v>145</v>
      </c>
      <c r="L99" s="111" t="s">
        <v>333</v>
      </c>
      <c r="M99" s="111" t="s">
        <v>2347</v>
      </c>
      <c r="N99" s="111" t="s">
        <v>333</v>
      </c>
    </row>
    <row r="100" spans="1:14" ht="15.75" customHeight="1" thickBot="1" x14ac:dyDescent="0.25">
      <c r="A100" s="4" t="s">
        <v>2513</v>
      </c>
      <c r="B100" s="102" t="s">
        <v>2413</v>
      </c>
      <c r="C100" s="103" t="s">
        <v>13</v>
      </c>
      <c r="D100" s="102" t="s">
        <v>2449</v>
      </c>
      <c r="E100" s="102" t="s">
        <v>1058</v>
      </c>
      <c r="F100" s="102" t="s">
        <v>2445</v>
      </c>
      <c r="G100" t="s">
        <v>235</v>
      </c>
      <c r="H100" s="111" t="s">
        <v>2741</v>
      </c>
      <c r="I100" s="102" t="s">
        <v>130</v>
      </c>
      <c r="J100" s="102" t="s">
        <v>120</v>
      </c>
      <c r="K100" s="102" t="s">
        <v>145</v>
      </c>
      <c r="L100" s="111" t="s">
        <v>327</v>
      </c>
      <c r="M100" s="111" t="s">
        <v>373</v>
      </c>
      <c r="N100" s="111" t="s">
        <v>333</v>
      </c>
    </row>
    <row r="101" spans="1:14" ht="27" customHeight="1" thickBot="1" x14ac:dyDescent="0.25">
      <c r="A101" s="4" t="s">
        <v>2514</v>
      </c>
      <c r="B101" s="102" t="s">
        <v>2414</v>
      </c>
      <c r="C101" s="103" t="s">
        <v>13</v>
      </c>
      <c r="D101" s="102" t="s">
        <v>2449</v>
      </c>
      <c r="E101" s="102" t="s">
        <v>1069</v>
      </c>
      <c r="F101" s="102" t="s">
        <v>2447</v>
      </c>
      <c r="G101" t="s">
        <v>243</v>
      </c>
      <c r="H101" s="111" t="s">
        <v>2746</v>
      </c>
      <c r="I101" s="102" t="s">
        <v>130</v>
      </c>
      <c r="J101" s="102" t="s">
        <v>145</v>
      </c>
      <c r="K101" s="102" t="s">
        <v>140</v>
      </c>
      <c r="L101" s="111" t="s">
        <v>333</v>
      </c>
      <c r="M101" s="111" t="s">
        <v>333</v>
      </c>
      <c r="N101" s="111" t="s">
        <v>380</v>
      </c>
    </row>
    <row r="102" spans="1:14" ht="15.75" customHeight="1" thickBot="1" x14ac:dyDescent="0.25">
      <c r="A102" s="4" t="s">
        <v>2515</v>
      </c>
      <c r="B102" s="102" t="s">
        <v>2415</v>
      </c>
      <c r="C102" s="103" t="s">
        <v>13</v>
      </c>
      <c r="D102" s="102" t="s">
        <v>1994</v>
      </c>
      <c r="E102" s="102" t="s">
        <v>1074</v>
      </c>
      <c r="F102" s="102" t="s">
        <v>2443</v>
      </c>
      <c r="G102" t="s">
        <v>231</v>
      </c>
      <c r="H102" s="4" t="s">
        <v>230</v>
      </c>
      <c r="I102" s="102" t="s">
        <v>120</v>
      </c>
      <c r="J102" s="102" t="s">
        <v>125</v>
      </c>
      <c r="K102" s="102" t="s">
        <v>130</v>
      </c>
      <c r="L102" s="111" t="s">
        <v>380</v>
      </c>
      <c r="M102" s="111" t="s">
        <v>2347</v>
      </c>
      <c r="N102" s="111" t="s">
        <v>333</v>
      </c>
    </row>
    <row r="103" spans="1:14" ht="15.75" customHeight="1" thickBot="1" x14ac:dyDescent="0.25">
      <c r="A103" s="1" t="s">
        <v>2516</v>
      </c>
      <c r="B103" s="102" t="s">
        <v>2416</v>
      </c>
      <c r="C103" s="103" t="s">
        <v>13</v>
      </c>
      <c r="D103" s="102" t="s">
        <v>2449</v>
      </c>
      <c r="E103" s="102" t="s">
        <v>1055</v>
      </c>
      <c r="F103" s="102" t="s">
        <v>2446</v>
      </c>
      <c r="G103" s="105" t="s">
        <v>239</v>
      </c>
      <c r="H103" s="1" t="s">
        <v>238</v>
      </c>
      <c r="I103" s="102" t="s">
        <v>120</v>
      </c>
      <c r="J103" s="102" t="s">
        <v>135</v>
      </c>
      <c r="K103" s="102" t="s">
        <v>140</v>
      </c>
      <c r="L103" s="110" t="s">
        <v>380</v>
      </c>
      <c r="M103" s="110" t="s">
        <v>373</v>
      </c>
      <c r="N103" s="110" t="s">
        <v>373</v>
      </c>
    </row>
    <row r="104" spans="1:14" ht="15.75" customHeight="1" thickBot="1" x14ac:dyDescent="0.25">
      <c r="A104" s="1" t="s">
        <v>2517</v>
      </c>
      <c r="B104" s="102" t="s">
        <v>1066</v>
      </c>
      <c r="C104" s="103" t="s">
        <v>13</v>
      </c>
      <c r="D104" s="102" t="s">
        <v>1994</v>
      </c>
      <c r="E104" s="102" t="s">
        <v>1061</v>
      </c>
      <c r="F104" s="102" t="s">
        <v>2444</v>
      </c>
      <c r="G104" s="105" t="s">
        <v>251</v>
      </c>
      <c r="H104" s="110" t="s">
        <v>2720</v>
      </c>
      <c r="I104" s="102" t="s">
        <v>130</v>
      </c>
      <c r="J104" s="102" t="s">
        <v>140</v>
      </c>
      <c r="K104" s="102" t="s">
        <v>145</v>
      </c>
      <c r="L104" s="110" t="s">
        <v>373</v>
      </c>
      <c r="M104" s="110" t="s">
        <v>333</v>
      </c>
      <c r="N104" s="110" t="s">
        <v>380</v>
      </c>
    </row>
    <row r="105" spans="1:14" ht="15.75" customHeight="1" thickBot="1" x14ac:dyDescent="0.25">
      <c r="A105" s="1" t="s">
        <v>2518</v>
      </c>
      <c r="B105" s="102" t="s">
        <v>2417</v>
      </c>
      <c r="C105" s="103" t="s">
        <v>2548</v>
      </c>
      <c r="D105" s="102" t="s">
        <v>2449</v>
      </c>
      <c r="E105" s="102" t="s">
        <v>1074</v>
      </c>
      <c r="F105" s="102" t="s">
        <v>2443</v>
      </c>
      <c r="G105" s="105" t="s">
        <v>259</v>
      </c>
      <c r="H105" s="110" t="s">
        <v>2747</v>
      </c>
      <c r="I105" s="102" t="s">
        <v>130</v>
      </c>
      <c r="J105" s="102" t="s">
        <v>140</v>
      </c>
      <c r="K105" s="102" t="s">
        <v>125</v>
      </c>
      <c r="L105" s="110" t="s">
        <v>357</v>
      </c>
      <c r="M105" s="110" t="s">
        <v>357</v>
      </c>
      <c r="N105" s="110" t="s">
        <v>380</v>
      </c>
    </row>
    <row r="106" spans="1:14" ht="15.75" customHeight="1" thickBot="1" x14ac:dyDescent="0.25">
      <c r="A106" s="1" t="s">
        <v>2519</v>
      </c>
      <c r="B106" s="102" t="s">
        <v>2418</v>
      </c>
      <c r="C106" s="103" t="s">
        <v>13</v>
      </c>
      <c r="D106" s="102" t="s">
        <v>2449</v>
      </c>
      <c r="E106" s="102" t="s">
        <v>1074</v>
      </c>
      <c r="F106" s="102" t="s">
        <v>2443</v>
      </c>
      <c r="G106" s="105" t="s">
        <v>243</v>
      </c>
      <c r="H106" s="1" t="s">
        <v>242</v>
      </c>
      <c r="I106" s="102" t="s">
        <v>125</v>
      </c>
      <c r="J106" s="102" t="s">
        <v>140</v>
      </c>
      <c r="K106" s="102" t="s">
        <v>125</v>
      </c>
      <c r="L106" s="110" t="s">
        <v>2347</v>
      </c>
      <c r="M106" s="110" t="s">
        <v>373</v>
      </c>
      <c r="N106" s="110" t="s">
        <v>322</v>
      </c>
    </row>
    <row r="107" spans="1:14" ht="15.75" customHeight="1" thickBot="1" x14ac:dyDescent="0.25">
      <c r="A107" s="1" t="s">
        <v>2520</v>
      </c>
      <c r="B107" s="102" t="s">
        <v>2439</v>
      </c>
      <c r="C107" s="103" t="s">
        <v>2563</v>
      </c>
      <c r="D107" s="102" t="s">
        <v>2449</v>
      </c>
      <c r="E107" s="102" t="s">
        <v>1064</v>
      </c>
      <c r="F107" s="102" t="s">
        <v>2448</v>
      </c>
      <c r="G107" s="105" t="s">
        <v>259</v>
      </c>
      <c r="H107" s="110" t="s">
        <v>2716</v>
      </c>
      <c r="I107" s="102" t="s">
        <v>120</v>
      </c>
      <c r="J107" s="102" t="s">
        <v>145</v>
      </c>
      <c r="K107" s="102" t="s">
        <v>135</v>
      </c>
      <c r="L107" s="110" t="s">
        <v>333</v>
      </c>
      <c r="M107" s="110" t="s">
        <v>375</v>
      </c>
      <c r="N107" s="110" t="s">
        <v>2347</v>
      </c>
    </row>
    <row r="108" spans="1:14" ht="15.75" customHeight="1" thickBot="1" x14ac:dyDescent="0.25">
      <c r="A108" s="1" t="s">
        <v>2521</v>
      </c>
      <c r="B108" s="102" t="s">
        <v>2419</v>
      </c>
      <c r="C108" s="103" t="s">
        <v>13</v>
      </c>
      <c r="D108" s="102" t="s">
        <v>1994</v>
      </c>
      <c r="E108" s="102" t="s">
        <v>1069</v>
      </c>
      <c r="F108" s="102" t="s">
        <v>2447</v>
      </c>
      <c r="G108" s="105" t="s">
        <v>226</v>
      </c>
      <c r="H108" s="110" t="s">
        <v>2748</v>
      </c>
      <c r="I108" s="102" t="s">
        <v>120</v>
      </c>
      <c r="J108" s="102" t="s">
        <v>125</v>
      </c>
      <c r="K108" s="102" t="s">
        <v>130</v>
      </c>
      <c r="L108" s="110" t="s">
        <v>380</v>
      </c>
      <c r="M108" s="110" t="s">
        <v>2347</v>
      </c>
      <c r="N108" s="110" t="s">
        <v>333</v>
      </c>
    </row>
    <row r="109" spans="1:14" ht="15.75" customHeight="1" thickBot="1" x14ac:dyDescent="0.25">
      <c r="A109" s="1" t="s">
        <v>2522</v>
      </c>
      <c r="B109" s="102" t="s">
        <v>2440</v>
      </c>
      <c r="C109" s="103" t="s">
        <v>2547</v>
      </c>
      <c r="D109" s="102" t="s">
        <v>1994</v>
      </c>
      <c r="E109" s="102" t="s">
        <v>1058</v>
      </c>
      <c r="F109" s="102" t="s">
        <v>2445</v>
      </c>
      <c r="G109" s="105" t="s">
        <v>247</v>
      </c>
      <c r="H109" s="110" t="s">
        <v>2749</v>
      </c>
      <c r="I109" s="102" t="s">
        <v>120</v>
      </c>
      <c r="J109" s="102" t="s">
        <v>140</v>
      </c>
      <c r="K109" s="102" t="s">
        <v>120</v>
      </c>
      <c r="L109" s="110" t="s">
        <v>2664</v>
      </c>
      <c r="M109" s="110" t="s">
        <v>2655</v>
      </c>
      <c r="N109" s="110" t="s">
        <v>373</v>
      </c>
    </row>
    <row r="110" spans="1:14" ht="15.75" customHeight="1" thickBot="1" x14ac:dyDescent="0.25">
      <c r="A110" s="1" t="s">
        <v>2523</v>
      </c>
      <c r="B110" s="102" t="s">
        <v>2441</v>
      </c>
      <c r="C110" s="103" t="s">
        <v>2564</v>
      </c>
      <c r="D110" s="102" t="s">
        <v>1994</v>
      </c>
      <c r="E110" s="102" t="s">
        <v>1055</v>
      </c>
      <c r="F110" s="102" t="s">
        <v>2446</v>
      </c>
      <c r="G110" s="105" t="s">
        <v>255</v>
      </c>
      <c r="H110" s="110" t="s">
        <v>2750</v>
      </c>
      <c r="I110" s="102" t="s">
        <v>130</v>
      </c>
      <c r="J110" s="102" t="s">
        <v>125</v>
      </c>
      <c r="K110" s="102" t="s">
        <v>135</v>
      </c>
      <c r="L110" s="110" t="s">
        <v>374</v>
      </c>
      <c r="M110" s="110" t="s">
        <v>2347</v>
      </c>
      <c r="N110" s="110" t="s">
        <v>373</v>
      </c>
    </row>
    <row r="111" spans="1:14" ht="15.75" customHeight="1" thickBot="1" x14ac:dyDescent="0.25">
      <c r="A111" s="1" t="s">
        <v>2524</v>
      </c>
      <c r="B111" s="102" t="s">
        <v>2420</v>
      </c>
      <c r="C111" s="103" t="s">
        <v>13</v>
      </c>
      <c r="D111" s="102" t="s">
        <v>1994</v>
      </c>
      <c r="E111" s="102" t="s">
        <v>1069</v>
      </c>
      <c r="F111" s="102" t="s">
        <v>2447</v>
      </c>
      <c r="G111" s="105" t="s">
        <v>243</v>
      </c>
      <c r="H111" s="1" t="s">
        <v>242</v>
      </c>
      <c r="I111" s="102" t="s">
        <v>125</v>
      </c>
      <c r="J111" s="102" t="s">
        <v>145</v>
      </c>
      <c r="K111" s="102" t="s">
        <v>135</v>
      </c>
      <c r="L111" s="110" t="s">
        <v>373</v>
      </c>
      <c r="M111" s="110" t="s">
        <v>373</v>
      </c>
      <c r="N111" s="110" t="s">
        <v>333</v>
      </c>
    </row>
    <row r="112" spans="1:14" ht="15.75" customHeight="1" thickBot="1" x14ac:dyDescent="0.25">
      <c r="A112" s="1" t="s">
        <v>2525</v>
      </c>
      <c r="B112" s="102" t="s">
        <v>1071</v>
      </c>
      <c r="C112" s="103" t="s">
        <v>13</v>
      </c>
      <c r="D112" s="102" t="s">
        <v>1994</v>
      </c>
      <c r="E112" s="102" t="s">
        <v>1064</v>
      </c>
      <c r="F112" s="102" t="s">
        <v>2448</v>
      </c>
      <c r="G112" s="105" t="s">
        <v>226</v>
      </c>
      <c r="H112" s="110" t="s">
        <v>2751</v>
      </c>
      <c r="I112" s="102" t="s">
        <v>145</v>
      </c>
      <c r="J112" s="102" t="s">
        <v>140</v>
      </c>
      <c r="K112" s="102" t="s">
        <v>120</v>
      </c>
      <c r="L112" s="110" t="s">
        <v>373</v>
      </c>
      <c r="M112" s="110" t="s">
        <v>333</v>
      </c>
      <c r="N112" s="110" t="s">
        <v>380</v>
      </c>
    </row>
    <row r="113" spans="1:14" ht="15.75" customHeight="1" thickBot="1" x14ac:dyDescent="0.25">
      <c r="A113" s="1" t="s">
        <v>2526</v>
      </c>
      <c r="B113" s="102" t="s">
        <v>2421</v>
      </c>
      <c r="C113" s="103" t="s">
        <v>13</v>
      </c>
      <c r="D113" s="102" t="s">
        <v>1994</v>
      </c>
      <c r="E113" s="102" t="s">
        <v>1069</v>
      </c>
      <c r="F113" s="102" t="s">
        <v>2447</v>
      </c>
      <c r="G113" s="105" t="s">
        <v>259</v>
      </c>
      <c r="H113" s="1" t="s">
        <v>258</v>
      </c>
      <c r="I113" s="102" t="s">
        <v>125</v>
      </c>
      <c r="J113" s="102" t="s">
        <v>145</v>
      </c>
      <c r="K113" s="102" t="s">
        <v>140</v>
      </c>
      <c r="L113" s="110" t="s">
        <v>2347</v>
      </c>
      <c r="M113" s="110" t="s">
        <v>373</v>
      </c>
      <c r="N113" s="110" t="s">
        <v>322</v>
      </c>
    </row>
    <row r="114" spans="1:14" ht="15.75" customHeight="1" thickBot="1" x14ac:dyDescent="0.25">
      <c r="A114" s="1" t="s">
        <v>2527</v>
      </c>
      <c r="B114" s="102" t="s">
        <v>2422</v>
      </c>
      <c r="C114" s="103" t="s">
        <v>13</v>
      </c>
      <c r="D114" s="102" t="s">
        <v>1994</v>
      </c>
      <c r="E114" s="102" t="s">
        <v>1069</v>
      </c>
      <c r="F114" s="102" t="s">
        <v>2447</v>
      </c>
      <c r="G114" s="105" t="s">
        <v>259</v>
      </c>
      <c r="H114" s="110" t="s">
        <v>2719</v>
      </c>
      <c r="I114" s="102" t="s">
        <v>120</v>
      </c>
      <c r="J114" s="102" t="s">
        <v>135</v>
      </c>
      <c r="K114" s="102" t="s">
        <v>120</v>
      </c>
      <c r="L114" s="110" t="s">
        <v>322</v>
      </c>
      <c r="M114" s="110" t="s">
        <v>2347</v>
      </c>
      <c r="N114" s="110" t="s">
        <v>2347</v>
      </c>
    </row>
    <row r="115" spans="1:14" ht="15.75" customHeight="1" thickBot="1" x14ac:dyDescent="0.25">
      <c r="A115" s="1" t="s">
        <v>2528</v>
      </c>
      <c r="B115" s="102" t="s">
        <v>2423</v>
      </c>
      <c r="C115" s="103" t="s">
        <v>13</v>
      </c>
      <c r="D115" s="102" t="s">
        <v>1994</v>
      </c>
      <c r="E115" s="102" t="s">
        <v>1074</v>
      </c>
      <c r="F115" s="102" t="s">
        <v>2443</v>
      </c>
      <c r="G115" s="105" t="s">
        <v>239</v>
      </c>
      <c r="H115" s="110" t="s">
        <v>2752</v>
      </c>
      <c r="I115" s="102" t="s">
        <v>130</v>
      </c>
      <c r="J115" s="102" t="s">
        <v>125</v>
      </c>
      <c r="K115" s="102" t="s">
        <v>120</v>
      </c>
      <c r="L115" s="110" t="s">
        <v>333</v>
      </c>
      <c r="M115" s="110" t="s">
        <v>2347</v>
      </c>
      <c r="N115" s="110" t="s">
        <v>333</v>
      </c>
    </row>
    <row r="116" spans="1:14" ht="15.75" customHeight="1" thickBot="1" x14ac:dyDescent="0.25">
      <c r="A116" s="1" t="s">
        <v>2529</v>
      </c>
      <c r="B116" s="102" t="s">
        <v>2424</v>
      </c>
      <c r="C116" s="103" t="s">
        <v>13</v>
      </c>
      <c r="D116" s="102" t="s">
        <v>1994</v>
      </c>
      <c r="E116" s="102" t="s">
        <v>1069</v>
      </c>
      <c r="F116" s="102" t="s">
        <v>2447</v>
      </c>
      <c r="G116" s="105" t="s">
        <v>247</v>
      </c>
      <c r="H116" s="1" t="s">
        <v>246</v>
      </c>
      <c r="I116" s="102" t="s">
        <v>120</v>
      </c>
      <c r="J116" s="102" t="s">
        <v>130</v>
      </c>
      <c r="K116" s="102" t="s">
        <v>120</v>
      </c>
      <c r="L116" s="110" t="s">
        <v>322</v>
      </c>
      <c r="M116" s="110" t="s">
        <v>2347</v>
      </c>
      <c r="N116" s="110" t="s">
        <v>373</v>
      </c>
    </row>
    <row r="117" spans="1:14" ht="15.75" customHeight="1" thickBot="1" x14ac:dyDescent="0.25">
      <c r="A117" s="1" t="s">
        <v>2530</v>
      </c>
      <c r="B117" s="102" t="s">
        <v>2425</v>
      </c>
      <c r="C117" s="103" t="s">
        <v>13</v>
      </c>
      <c r="D117" s="102" t="s">
        <v>1994</v>
      </c>
      <c r="E117" s="102" t="s">
        <v>1069</v>
      </c>
      <c r="F117" s="102" t="s">
        <v>2447</v>
      </c>
      <c r="G117" s="105" t="s">
        <v>239</v>
      </c>
      <c r="H117" s="110" t="s">
        <v>2730</v>
      </c>
      <c r="I117" s="102" t="s">
        <v>125</v>
      </c>
      <c r="J117" s="102" t="s">
        <v>140</v>
      </c>
      <c r="K117" s="102" t="s">
        <v>120</v>
      </c>
      <c r="L117" s="110" t="s">
        <v>2709</v>
      </c>
      <c r="M117" s="110" t="s">
        <v>373</v>
      </c>
      <c r="N117" s="110" t="s">
        <v>322</v>
      </c>
    </row>
    <row r="118" spans="1:14" ht="15.75" customHeight="1" thickBot="1" x14ac:dyDescent="0.25">
      <c r="A118" s="1" t="s">
        <v>2531</v>
      </c>
      <c r="B118" s="102" t="s">
        <v>2426</v>
      </c>
      <c r="C118" s="103" t="s">
        <v>2565</v>
      </c>
      <c r="D118" s="102" t="s">
        <v>1994</v>
      </c>
      <c r="E118" s="102" t="s">
        <v>1069</v>
      </c>
      <c r="F118" s="102" t="s">
        <v>2447</v>
      </c>
      <c r="G118" s="105" t="s">
        <v>226</v>
      </c>
      <c r="H118" s="110" t="s">
        <v>2753</v>
      </c>
      <c r="I118" s="102" t="s">
        <v>125</v>
      </c>
      <c r="J118" s="102" t="s">
        <v>130</v>
      </c>
      <c r="K118" s="102" t="s">
        <v>120</v>
      </c>
      <c r="L118" s="110" t="s">
        <v>357</v>
      </c>
      <c r="M118" s="110" t="s">
        <v>2710</v>
      </c>
      <c r="N118" s="110" t="s">
        <v>374</v>
      </c>
    </row>
    <row r="119" spans="1:14" ht="15.75" customHeight="1" thickBot="1" x14ac:dyDescent="0.25">
      <c r="A119" s="1" t="s">
        <v>2532</v>
      </c>
      <c r="B119" s="102" t="s">
        <v>1076</v>
      </c>
      <c r="C119" s="103" t="s">
        <v>13</v>
      </c>
      <c r="D119" s="102" t="s">
        <v>1994</v>
      </c>
      <c r="E119" s="102" t="s">
        <v>1055</v>
      </c>
      <c r="F119" s="102" t="s">
        <v>2446</v>
      </c>
      <c r="G119" s="105" t="s">
        <v>231</v>
      </c>
      <c r="H119" s="1" t="s">
        <v>230</v>
      </c>
      <c r="I119" s="102" t="s">
        <v>125</v>
      </c>
      <c r="J119" s="102" t="s">
        <v>145</v>
      </c>
      <c r="K119" s="102" t="s">
        <v>130</v>
      </c>
      <c r="L119" s="110" t="s">
        <v>373</v>
      </c>
      <c r="M119" s="110" t="s">
        <v>373</v>
      </c>
      <c r="N119" s="110" t="s">
        <v>327</v>
      </c>
    </row>
    <row r="120" spans="1:14" ht="15.75" customHeight="1" thickBot="1" x14ac:dyDescent="0.25">
      <c r="A120" s="1" t="s">
        <v>2533</v>
      </c>
      <c r="B120" s="102" t="s">
        <v>2427</v>
      </c>
      <c r="C120" s="103" t="s">
        <v>13</v>
      </c>
      <c r="D120" s="102" t="s">
        <v>1994</v>
      </c>
      <c r="E120" s="102" t="s">
        <v>1055</v>
      </c>
      <c r="F120" s="102" t="s">
        <v>2446</v>
      </c>
      <c r="G120" s="105" t="s">
        <v>259</v>
      </c>
      <c r="H120" s="1" t="s">
        <v>258</v>
      </c>
      <c r="I120" s="102" t="s">
        <v>120</v>
      </c>
      <c r="J120" s="102" t="s">
        <v>135</v>
      </c>
      <c r="K120" s="102" t="s">
        <v>140</v>
      </c>
      <c r="L120" s="110" t="s">
        <v>380</v>
      </c>
      <c r="M120" s="110" t="s">
        <v>373</v>
      </c>
      <c r="N120" s="110" t="s">
        <v>373</v>
      </c>
    </row>
    <row r="121" spans="1:14" ht="15.75" customHeight="1" thickBot="1" x14ac:dyDescent="0.25">
      <c r="A121" s="1" t="s">
        <v>2534</v>
      </c>
      <c r="B121" s="102" t="s">
        <v>2428</v>
      </c>
      <c r="C121" s="103" t="s">
        <v>13</v>
      </c>
      <c r="D121" s="102" t="s">
        <v>2449</v>
      </c>
      <c r="E121" s="102" t="s">
        <v>1058</v>
      </c>
      <c r="F121" s="102" t="s">
        <v>2445</v>
      </c>
      <c r="G121" s="105" t="s">
        <v>243</v>
      </c>
      <c r="H121" s="110" t="s">
        <v>2746</v>
      </c>
      <c r="I121" s="102" t="s">
        <v>130</v>
      </c>
      <c r="J121" s="102" t="s">
        <v>120</v>
      </c>
      <c r="K121" s="102" t="s">
        <v>135</v>
      </c>
      <c r="L121" s="110" t="s">
        <v>327</v>
      </c>
      <c r="M121" s="110" t="s">
        <v>373</v>
      </c>
      <c r="N121" s="110" t="s">
        <v>373</v>
      </c>
    </row>
    <row r="122" spans="1:14" ht="15.75" customHeight="1" thickBot="1" x14ac:dyDescent="0.25">
      <c r="A122" s="1" t="s">
        <v>2535</v>
      </c>
      <c r="B122" s="102" t="s">
        <v>2429</v>
      </c>
      <c r="C122" s="103" t="s">
        <v>13</v>
      </c>
      <c r="D122" s="102" t="s">
        <v>2449</v>
      </c>
      <c r="E122" s="102" t="s">
        <v>1069</v>
      </c>
      <c r="F122" s="102" t="s">
        <v>2447</v>
      </c>
      <c r="G122" s="105" t="s">
        <v>247</v>
      </c>
      <c r="H122" s="1" t="s">
        <v>246</v>
      </c>
      <c r="I122" s="102" t="s">
        <v>120</v>
      </c>
      <c r="J122" s="102" t="s">
        <v>135</v>
      </c>
      <c r="K122" s="102" t="s">
        <v>140</v>
      </c>
      <c r="L122" s="110" t="s">
        <v>380</v>
      </c>
      <c r="M122" s="110" t="s">
        <v>373</v>
      </c>
      <c r="N122" s="110" t="s">
        <v>373</v>
      </c>
    </row>
    <row r="123" spans="1:14" ht="15.75" customHeight="1" thickBot="1" x14ac:dyDescent="0.25">
      <c r="A123" s="1" t="s">
        <v>2536</v>
      </c>
      <c r="B123" s="102" t="s">
        <v>2430</v>
      </c>
      <c r="C123" s="103" t="s">
        <v>13</v>
      </c>
      <c r="D123" s="102" t="s">
        <v>2449</v>
      </c>
      <c r="E123" s="102" t="s">
        <v>1074</v>
      </c>
      <c r="F123" s="102" t="s">
        <v>2443</v>
      </c>
      <c r="G123" s="105" t="s">
        <v>259</v>
      </c>
      <c r="H123" s="1" t="s">
        <v>258</v>
      </c>
      <c r="I123" s="102" t="s">
        <v>125</v>
      </c>
      <c r="J123" s="102" t="s">
        <v>140</v>
      </c>
      <c r="K123" s="102" t="s">
        <v>125</v>
      </c>
      <c r="L123" s="110" t="s">
        <v>2347</v>
      </c>
      <c r="M123" s="110" t="s">
        <v>373</v>
      </c>
      <c r="N123" s="110" t="s">
        <v>322</v>
      </c>
    </row>
    <row r="124" spans="1:14" ht="15.75" customHeight="1" thickBot="1" x14ac:dyDescent="0.25">
      <c r="A124" s="1" t="s">
        <v>2537</v>
      </c>
      <c r="B124" s="102" t="s">
        <v>2431</v>
      </c>
      <c r="C124" s="103" t="s">
        <v>13</v>
      </c>
      <c r="D124" s="102" t="s">
        <v>1994</v>
      </c>
      <c r="E124" s="102" t="s">
        <v>1061</v>
      </c>
      <c r="F124" s="102" t="s">
        <v>2444</v>
      </c>
      <c r="G124" s="105" t="s">
        <v>255</v>
      </c>
      <c r="H124" s="110" t="s">
        <v>2754</v>
      </c>
      <c r="I124" s="102" t="s">
        <v>120</v>
      </c>
      <c r="J124" s="102" t="s">
        <v>125</v>
      </c>
      <c r="K124" s="102" t="s">
        <v>130</v>
      </c>
      <c r="L124" s="110" t="s">
        <v>380</v>
      </c>
      <c r="M124" s="110" t="s">
        <v>2347</v>
      </c>
      <c r="N124" s="110" t="s">
        <v>333</v>
      </c>
    </row>
    <row r="125" spans="1:14" ht="15.75" customHeight="1" thickBot="1" x14ac:dyDescent="0.25">
      <c r="A125" s="1" t="s">
        <v>2538</v>
      </c>
      <c r="B125" s="102" t="s">
        <v>2432</v>
      </c>
      <c r="C125" s="103" t="s">
        <v>13</v>
      </c>
      <c r="D125" s="102" t="s">
        <v>2449</v>
      </c>
      <c r="E125" s="102" t="s">
        <v>1055</v>
      </c>
      <c r="F125" s="102" t="s">
        <v>2446</v>
      </c>
      <c r="G125" s="105" t="s">
        <v>243</v>
      </c>
      <c r="H125" s="1" t="s">
        <v>242</v>
      </c>
      <c r="I125" s="102" t="s">
        <v>130</v>
      </c>
      <c r="J125" s="102" t="s">
        <v>125</v>
      </c>
      <c r="K125" s="102" t="s">
        <v>135</v>
      </c>
      <c r="L125" s="110" t="s">
        <v>333</v>
      </c>
      <c r="M125" s="110" t="s">
        <v>373</v>
      </c>
      <c r="N125" s="110" t="s">
        <v>333</v>
      </c>
    </row>
    <row r="126" spans="1:14" ht="15.75" customHeight="1" thickBot="1" x14ac:dyDescent="0.25">
      <c r="A126" s="1" t="s">
        <v>2539</v>
      </c>
      <c r="B126" s="102" t="s">
        <v>2433</v>
      </c>
      <c r="C126" s="103" t="s">
        <v>13</v>
      </c>
      <c r="D126" s="102" t="s">
        <v>2449</v>
      </c>
      <c r="E126" s="102" t="s">
        <v>1055</v>
      </c>
      <c r="F126" s="102" t="s">
        <v>2446</v>
      </c>
      <c r="G126" s="105" t="s">
        <v>226</v>
      </c>
      <c r="H126" s="1" t="s">
        <v>225</v>
      </c>
      <c r="I126" s="102" t="s">
        <v>120</v>
      </c>
      <c r="J126" s="102" t="s">
        <v>135</v>
      </c>
      <c r="K126" s="102" t="s">
        <v>130</v>
      </c>
      <c r="L126" s="110" t="s">
        <v>327</v>
      </c>
      <c r="M126" s="110" t="s">
        <v>2347</v>
      </c>
      <c r="N126" s="110" t="s">
        <v>373</v>
      </c>
    </row>
    <row r="127" spans="1:14" ht="15.75" customHeight="1" thickBot="1" x14ac:dyDescent="0.25">
      <c r="B127" s="102"/>
      <c r="C127" s="103"/>
      <c r="D127" s="102"/>
      <c r="E127" s="102"/>
      <c r="F127" s="102"/>
      <c r="G127" s="102"/>
      <c r="I127" s="102"/>
      <c r="J127" s="102"/>
      <c r="K127" s="102"/>
    </row>
    <row r="128" spans="1:14" ht="15.75" customHeight="1" thickBot="1" x14ac:dyDescent="0.25">
      <c r="B128" s="102"/>
      <c r="C128" s="103"/>
      <c r="D128" s="102"/>
      <c r="E128" s="102"/>
      <c r="F128" s="102"/>
      <c r="G128" s="102"/>
      <c r="I128" s="102"/>
      <c r="J128" s="102"/>
      <c r="K128" s="102"/>
    </row>
    <row r="129" spans="2:11" ht="15.75" customHeight="1" thickBot="1" x14ac:dyDescent="0.25">
      <c r="B129" s="102"/>
      <c r="C129" s="103"/>
      <c r="D129" s="102"/>
      <c r="E129" s="102"/>
      <c r="F129" s="102"/>
      <c r="G129" s="102"/>
      <c r="I129" s="102"/>
      <c r="J129" s="102"/>
      <c r="K129" s="102"/>
    </row>
    <row r="130" spans="2:11" ht="15.75" customHeight="1" thickBot="1" x14ac:dyDescent="0.25">
      <c r="B130" s="102"/>
      <c r="C130" s="103"/>
      <c r="D130" s="102"/>
      <c r="E130" s="102"/>
      <c r="F130" s="102"/>
      <c r="G130" s="102"/>
      <c r="I130" s="102"/>
      <c r="J130" s="102"/>
      <c r="K130" s="102"/>
    </row>
    <row r="131" spans="2:11" ht="15.75" customHeight="1" thickBot="1" x14ac:dyDescent="0.25">
      <c r="B131" s="102"/>
      <c r="C131" s="103"/>
      <c r="D131" s="102"/>
      <c r="E131" s="102"/>
      <c r="F131" s="102"/>
      <c r="G131" s="102"/>
      <c r="I131" s="102"/>
      <c r="J131" s="102"/>
      <c r="K131" s="102"/>
    </row>
    <row r="132" spans="2:11" ht="15.75" customHeight="1" thickBot="1" x14ac:dyDescent="0.25">
      <c r="B132" s="102"/>
      <c r="C132" s="103"/>
      <c r="D132" s="102"/>
      <c r="E132" s="102"/>
      <c r="F132" s="102"/>
      <c r="G132" s="102"/>
      <c r="I132" s="102"/>
      <c r="J132" s="102"/>
      <c r="K132" s="102"/>
    </row>
    <row r="133" spans="2:11" ht="15.75" customHeight="1" thickBot="1" x14ac:dyDescent="0.25">
      <c r="B133" s="102"/>
      <c r="C133" s="103"/>
      <c r="D133" s="102"/>
      <c r="E133" s="102"/>
      <c r="F133" s="102"/>
      <c r="G133" s="102"/>
      <c r="I133" s="102"/>
      <c r="J133" s="102"/>
      <c r="K133" s="102"/>
    </row>
    <row r="134" spans="2:11" ht="15.75" customHeight="1" thickBot="1" x14ac:dyDescent="0.25">
      <c r="B134" s="102"/>
      <c r="C134" s="103"/>
      <c r="D134" s="102"/>
      <c r="E134" s="102"/>
      <c r="F134" s="102"/>
      <c r="G134" s="102"/>
      <c r="I134" s="102"/>
      <c r="J134" s="102"/>
      <c r="K134" s="102"/>
    </row>
    <row r="135" spans="2:11" ht="15.75" customHeight="1" thickBot="1" x14ac:dyDescent="0.25">
      <c r="B135" s="102"/>
      <c r="C135" s="103"/>
      <c r="D135" s="102"/>
      <c r="E135" s="102"/>
      <c r="F135" s="102"/>
      <c r="G135" s="102"/>
      <c r="I135" s="102"/>
      <c r="J135" s="102"/>
      <c r="K135" s="102"/>
    </row>
    <row r="136" spans="2:11" ht="15.75" customHeight="1" thickBot="1" x14ac:dyDescent="0.25">
      <c r="B136" s="102"/>
      <c r="C136" s="103"/>
      <c r="D136" s="102"/>
      <c r="E136" s="102"/>
      <c r="F136" s="102"/>
      <c r="G136" s="102"/>
      <c r="I136" s="102"/>
      <c r="J136" s="102"/>
      <c r="K136" s="102"/>
    </row>
    <row r="137" spans="2:11" ht="15.75" customHeight="1" thickBot="1" x14ac:dyDescent="0.25">
      <c r="B137" s="102"/>
      <c r="C137" s="103"/>
      <c r="D137" s="102"/>
      <c r="E137" s="102"/>
      <c r="F137" s="102"/>
      <c r="G137" s="102"/>
      <c r="I137" s="102"/>
      <c r="J137" s="102"/>
      <c r="K137" s="102"/>
    </row>
    <row r="138" spans="2:11" ht="15.75" customHeight="1" thickBot="1" x14ac:dyDescent="0.25">
      <c r="B138" s="102"/>
      <c r="C138" s="103"/>
      <c r="D138" s="102"/>
      <c r="E138" s="102"/>
      <c r="F138" s="102"/>
      <c r="G138" s="102"/>
      <c r="I138" s="102"/>
      <c r="J138" s="102"/>
      <c r="K138" s="102"/>
    </row>
    <row r="139" spans="2:11" ht="15.75" customHeight="1" thickBot="1" x14ac:dyDescent="0.25">
      <c r="B139" s="102"/>
      <c r="C139" s="103"/>
      <c r="D139" s="102"/>
      <c r="E139" s="102"/>
      <c r="F139" s="102"/>
      <c r="G139" s="102"/>
      <c r="I139" s="102"/>
      <c r="J139" s="102"/>
      <c r="K139" s="102"/>
    </row>
    <row r="140" spans="2:11" ht="15.75" customHeight="1" thickBot="1" x14ac:dyDescent="0.25">
      <c r="B140" s="102"/>
      <c r="C140" s="103"/>
      <c r="D140" s="102"/>
      <c r="E140" s="102"/>
      <c r="F140" s="102"/>
      <c r="G140" s="102"/>
      <c r="I140" s="102"/>
      <c r="J140" s="102"/>
      <c r="K140" s="102"/>
    </row>
    <row r="141" spans="2:11" ht="15.75" customHeight="1" thickBot="1" x14ac:dyDescent="0.25">
      <c r="B141" s="102"/>
      <c r="C141" s="103"/>
      <c r="D141" s="102"/>
      <c r="E141" s="102"/>
      <c r="F141" s="102"/>
      <c r="G141" s="102"/>
      <c r="I141" s="102"/>
      <c r="J141" s="102"/>
      <c r="K141" s="102"/>
    </row>
    <row r="142" spans="2:11" ht="15.75" customHeight="1" thickBot="1" x14ac:dyDescent="0.25">
      <c r="B142" s="102"/>
      <c r="C142" s="103"/>
      <c r="D142" s="102"/>
      <c r="E142" s="102"/>
      <c r="F142" s="102"/>
      <c r="G142" s="102"/>
      <c r="I142" s="102"/>
      <c r="J142" s="102"/>
      <c r="K142" s="102"/>
    </row>
    <row r="143" spans="2:11" ht="15.75" customHeight="1" thickBot="1" x14ac:dyDescent="0.25">
      <c r="B143" s="102"/>
      <c r="C143" s="103"/>
      <c r="D143" s="102"/>
      <c r="E143" s="102"/>
      <c r="F143" s="102"/>
      <c r="G143" s="102"/>
      <c r="I143" s="102"/>
      <c r="J143" s="102"/>
      <c r="K143" s="102"/>
    </row>
    <row r="144" spans="2:11" ht="15.75" customHeight="1" thickBot="1" x14ac:dyDescent="0.25">
      <c r="B144" s="102"/>
      <c r="C144" s="103"/>
      <c r="D144" s="102"/>
      <c r="E144" s="102"/>
      <c r="F144" s="102"/>
      <c r="G144" s="102"/>
      <c r="I144" s="102"/>
      <c r="J144" s="102"/>
      <c r="K144" s="102"/>
    </row>
    <row r="145" spans="2:11" ht="15.75" customHeight="1" thickBot="1" x14ac:dyDescent="0.25">
      <c r="B145" s="102"/>
      <c r="C145" s="103"/>
      <c r="D145" s="102"/>
      <c r="E145" s="102"/>
      <c r="F145" s="102"/>
      <c r="G145" s="102"/>
      <c r="I145" s="102"/>
      <c r="J145" s="102"/>
      <c r="K145" s="102"/>
    </row>
    <row r="146" spans="2:11" ht="15.75" customHeight="1" thickBot="1" x14ac:dyDescent="0.25">
      <c r="B146" s="102"/>
      <c r="C146" s="103"/>
      <c r="D146" s="102"/>
      <c r="E146" s="102"/>
      <c r="F146" s="102"/>
      <c r="G146" s="102"/>
      <c r="I146" s="102"/>
      <c r="J146" s="102"/>
      <c r="K146" s="102"/>
    </row>
    <row r="147" spans="2:11" ht="15.75" customHeight="1" thickBot="1" x14ac:dyDescent="0.25">
      <c r="B147" s="102"/>
      <c r="C147" s="103"/>
      <c r="D147" s="102"/>
      <c r="E147" s="102"/>
      <c r="F147" s="102"/>
      <c r="G147" s="102"/>
      <c r="I147" s="102"/>
      <c r="J147" s="102"/>
      <c r="K147" s="102"/>
    </row>
    <row r="148" spans="2:11" ht="15.75" customHeight="1" thickBot="1" x14ac:dyDescent="0.25">
      <c r="B148" s="102"/>
      <c r="C148" s="103"/>
      <c r="D148" s="102"/>
      <c r="E148" s="102"/>
      <c r="F148" s="102"/>
      <c r="G148" s="102"/>
      <c r="I148" s="102"/>
      <c r="J148" s="102"/>
      <c r="K148" s="102"/>
    </row>
    <row r="149" spans="2:11" ht="15.75" customHeight="1" thickBot="1" x14ac:dyDescent="0.25">
      <c r="B149" s="102"/>
      <c r="C149" s="103"/>
      <c r="D149" s="102"/>
      <c r="E149" s="102"/>
      <c r="F149" s="102"/>
      <c r="G149" s="102"/>
      <c r="I149" s="102"/>
      <c r="J149" s="102"/>
      <c r="K149" s="102"/>
    </row>
    <row r="150" spans="2:11" ht="15.75" customHeight="1" thickBot="1" x14ac:dyDescent="0.25">
      <c r="B150" s="102"/>
      <c r="C150" s="103"/>
      <c r="D150" s="102"/>
      <c r="E150" s="102"/>
      <c r="F150" s="102"/>
      <c r="G150" s="102"/>
      <c r="I150" s="102"/>
      <c r="J150" s="102"/>
      <c r="K150" s="102"/>
    </row>
    <row r="151" spans="2:11" ht="15.75" customHeight="1" thickBot="1" x14ac:dyDescent="0.25">
      <c r="B151" s="102"/>
      <c r="C151" s="103"/>
      <c r="D151" s="102"/>
      <c r="E151" s="102"/>
      <c r="F151" s="102"/>
      <c r="G151" s="102"/>
      <c r="I151" s="102"/>
      <c r="J151" s="102"/>
      <c r="K151" s="102"/>
    </row>
    <row r="152" spans="2:11" ht="15.75" customHeight="1" thickBot="1" x14ac:dyDescent="0.25">
      <c r="B152" s="102"/>
      <c r="C152" s="103"/>
      <c r="D152" s="102"/>
      <c r="E152" s="102"/>
      <c r="F152" s="102"/>
      <c r="G152" s="102"/>
      <c r="I152" s="102"/>
      <c r="J152" s="102"/>
      <c r="K152" s="102"/>
    </row>
    <row r="153" spans="2:11" ht="15.75" customHeight="1" thickBot="1" x14ac:dyDescent="0.25">
      <c r="B153" s="102"/>
      <c r="C153" s="103"/>
      <c r="D153" s="102"/>
      <c r="E153" s="102"/>
      <c r="F153" s="102"/>
      <c r="G153" s="102"/>
      <c r="I153" s="102"/>
      <c r="J153" s="102"/>
      <c r="K153" s="102"/>
    </row>
    <row r="154" spans="2:11" ht="15.75" customHeight="1" thickBot="1" x14ac:dyDescent="0.25">
      <c r="B154" s="102"/>
      <c r="C154" s="103"/>
      <c r="D154" s="102"/>
      <c r="E154" s="102"/>
      <c r="F154" s="102"/>
      <c r="G154" s="102"/>
      <c r="I154" s="102"/>
      <c r="J154" s="102"/>
      <c r="K154" s="102"/>
    </row>
    <row r="155" spans="2:11" ht="15.75" customHeight="1" thickBot="1" x14ac:dyDescent="0.25">
      <c r="B155" s="102"/>
      <c r="C155" s="103"/>
      <c r="D155" s="102"/>
      <c r="E155" s="102"/>
      <c r="F155" s="102"/>
      <c r="G155" s="102"/>
      <c r="I155" s="102"/>
      <c r="J155" s="102"/>
      <c r="K155" s="102"/>
    </row>
    <row r="156" spans="2:11" ht="15.75" customHeight="1" thickBot="1" x14ac:dyDescent="0.25">
      <c r="B156" s="102"/>
      <c r="C156" s="103"/>
      <c r="D156" s="102"/>
      <c r="E156" s="102"/>
      <c r="F156" s="102"/>
      <c r="G156" s="102"/>
      <c r="I156" s="102"/>
      <c r="J156" s="102"/>
      <c r="K156" s="102"/>
    </row>
    <row r="157" spans="2:11" ht="15.75" customHeight="1" thickBot="1" x14ac:dyDescent="0.25">
      <c r="B157" s="102"/>
      <c r="C157" s="103"/>
      <c r="D157" s="102"/>
      <c r="E157" s="102"/>
      <c r="F157" s="102"/>
      <c r="G157" s="102"/>
      <c r="I157" s="102"/>
      <c r="J157" s="102"/>
      <c r="K157" s="102"/>
    </row>
    <row r="158" spans="2:11" ht="15.75" customHeight="1" thickBot="1" x14ac:dyDescent="0.25">
      <c r="B158" s="102"/>
      <c r="C158" s="103"/>
      <c r="D158" s="102"/>
      <c r="E158" s="102"/>
      <c r="F158" s="102"/>
      <c r="G158" s="102"/>
      <c r="I158" s="102"/>
      <c r="J158" s="102"/>
      <c r="K158" s="102"/>
    </row>
    <row r="159" spans="2:11" ht="15.75" customHeight="1" thickBot="1" x14ac:dyDescent="0.25">
      <c r="B159" s="102"/>
      <c r="C159" s="103"/>
      <c r="D159" s="102"/>
      <c r="E159" s="102"/>
      <c r="F159" s="102"/>
      <c r="G159" s="102"/>
      <c r="I159" s="102"/>
      <c r="J159" s="102"/>
      <c r="K159" s="102"/>
    </row>
    <row r="160" spans="2:11" ht="15.75" customHeight="1" thickBot="1" x14ac:dyDescent="0.25">
      <c r="B160" s="102"/>
      <c r="C160" s="103"/>
      <c r="D160" s="102"/>
      <c r="E160" s="102"/>
      <c r="F160" s="102"/>
      <c r="G160" s="102"/>
      <c r="I160" s="102"/>
      <c r="J160" s="102"/>
      <c r="K160" s="102"/>
    </row>
    <row r="161" spans="2:11" ht="15.75" customHeight="1" thickBot="1" x14ac:dyDescent="0.25">
      <c r="B161" s="102"/>
      <c r="C161" s="103"/>
      <c r="D161" s="102"/>
      <c r="E161" s="102"/>
      <c r="F161" s="102"/>
      <c r="G161" s="102"/>
      <c r="I161" s="102"/>
      <c r="J161" s="102"/>
      <c r="K161" s="102"/>
    </row>
    <row r="162" spans="2:11" ht="15.75" customHeight="1" thickBot="1" x14ac:dyDescent="0.25">
      <c r="B162" s="102"/>
      <c r="C162" s="103"/>
      <c r="D162" s="102"/>
      <c r="E162" s="102"/>
      <c r="F162" s="102"/>
      <c r="G162" s="102"/>
      <c r="I162" s="102"/>
      <c r="J162" s="102"/>
      <c r="K162" s="102"/>
    </row>
    <row r="163" spans="2:11" ht="15.75" customHeight="1" thickBot="1" x14ac:dyDescent="0.25">
      <c r="B163" s="102"/>
      <c r="C163" s="103"/>
      <c r="D163" s="102"/>
      <c r="E163" s="102"/>
      <c r="F163" s="102"/>
      <c r="G163" s="102"/>
      <c r="I163" s="102"/>
      <c r="J163" s="102"/>
      <c r="K163" s="102"/>
    </row>
    <row r="164" spans="2:11" ht="15.75" customHeight="1" thickBot="1" x14ac:dyDescent="0.25">
      <c r="B164" s="102"/>
      <c r="C164" s="103"/>
      <c r="D164" s="102"/>
      <c r="E164" s="102"/>
      <c r="F164" s="102"/>
      <c r="G164" s="102"/>
      <c r="I164" s="102"/>
      <c r="J164" s="102"/>
      <c r="K164" s="102"/>
    </row>
    <row r="165" spans="2:11" ht="15.75" customHeight="1" thickBot="1" x14ac:dyDescent="0.25">
      <c r="B165" s="102"/>
      <c r="C165" s="103"/>
      <c r="D165" s="102"/>
      <c r="E165" s="102"/>
      <c r="F165" s="102"/>
      <c r="G165" s="102"/>
      <c r="I165" s="102"/>
      <c r="J165" s="102"/>
      <c r="K165" s="102"/>
    </row>
    <row r="166" spans="2:11" ht="15.75" customHeight="1" thickBot="1" x14ac:dyDescent="0.25">
      <c r="B166" s="102"/>
      <c r="C166" s="103"/>
      <c r="D166" s="102"/>
      <c r="E166" s="102"/>
      <c r="F166" s="102"/>
      <c r="G166" s="102"/>
      <c r="I166" s="102"/>
      <c r="J166" s="102"/>
      <c r="K166" s="102"/>
    </row>
    <row r="167" spans="2:11" ht="15.75" customHeight="1" thickBot="1" x14ac:dyDescent="0.25">
      <c r="B167" s="102"/>
      <c r="C167" s="103"/>
      <c r="D167" s="102"/>
      <c r="E167" s="102"/>
      <c r="F167" s="102"/>
      <c r="G167" s="102"/>
      <c r="I167" s="102"/>
      <c r="J167" s="102"/>
      <c r="K167" s="102"/>
    </row>
    <row r="168" spans="2:11" ht="15.75" customHeight="1" thickBot="1" x14ac:dyDescent="0.25">
      <c r="B168" s="102"/>
      <c r="C168" s="103"/>
      <c r="D168" s="102"/>
      <c r="E168" s="102"/>
      <c r="F168" s="102"/>
      <c r="G168" s="102"/>
      <c r="I168" s="102"/>
      <c r="J168" s="102"/>
      <c r="K168" s="102"/>
    </row>
    <row r="169" spans="2:11" ht="15.75" customHeight="1" thickBot="1" x14ac:dyDescent="0.25">
      <c r="B169" s="102"/>
      <c r="C169" s="103"/>
      <c r="D169" s="102"/>
      <c r="E169" s="102"/>
      <c r="F169" s="102"/>
      <c r="G169" s="102"/>
      <c r="I169" s="102"/>
      <c r="J169" s="102"/>
      <c r="K169" s="102"/>
    </row>
    <row r="170" spans="2:11" ht="15.75" customHeight="1" thickBot="1" x14ac:dyDescent="0.25">
      <c r="B170" s="102"/>
      <c r="C170" s="103"/>
      <c r="D170" s="102"/>
      <c r="E170" s="102"/>
      <c r="F170" s="102"/>
      <c r="G170" s="102"/>
      <c r="I170" s="102"/>
      <c r="J170" s="102"/>
      <c r="K170" s="102"/>
    </row>
    <row r="171" spans="2:11" ht="15.75" customHeight="1" thickBot="1" x14ac:dyDescent="0.25">
      <c r="B171" s="102"/>
      <c r="C171" s="103"/>
      <c r="D171" s="102"/>
      <c r="E171" s="102"/>
      <c r="F171" s="102"/>
      <c r="G171" s="102"/>
      <c r="I171" s="102"/>
      <c r="J171" s="102"/>
      <c r="K171" s="102"/>
    </row>
    <row r="172" spans="2:11" ht="15.75" customHeight="1" thickBot="1" x14ac:dyDescent="0.25">
      <c r="B172" s="102"/>
      <c r="C172" s="103"/>
      <c r="D172" s="102"/>
      <c r="E172" s="102"/>
      <c r="F172" s="102"/>
      <c r="G172" s="102"/>
      <c r="I172" s="102"/>
      <c r="J172" s="102"/>
      <c r="K172" s="102"/>
    </row>
    <row r="173" spans="2:11" ht="15.75" customHeight="1" thickBot="1" x14ac:dyDescent="0.25">
      <c r="B173" s="102"/>
      <c r="C173" s="103"/>
      <c r="D173" s="102"/>
      <c r="E173" s="102"/>
      <c r="F173" s="102"/>
      <c r="G173" s="102"/>
      <c r="I173" s="102"/>
      <c r="J173" s="102"/>
      <c r="K173" s="102"/>
    </row>
    <row r="174" spans="2:11" ht="15.75" customHeight="1" thickBot="1" x14ac:dyDescent="0.25">
      <c r="B174" s="102"/>
      <c r="C174" s="103"/>
      <c r="D174" s="102"/>
      <c r="E174" s="102"/>
      <c r="F174" s="102"/>
      <c r="G174" s="102"/>
      <c r="I174" s="102"/>
      <c r="J174" s="102"/>
      <c r="K174" s="102"/>
    </row>
    <row r="175" spans="2:11" ht="15.75" customHeight="1" thickBot="1" x14ac:dyDescent="0.25">
      <c r="B175" s="102"/>
      <c r="C175" s="103"/>
      <c r="D175" s="102"/>
      <c r="E175" s="102"/>
      <c r="F175" s="102"/>
      <c r="G175" s="102"/>
      <c r="I175" s="102"/>
      <c r="J175" s="102"/>
      <c r="K175" s="102"/>
    </row>
    <row r="176" spans="2:11" ht="15.75" customHeight="1" thickBot="1" x14ac:dyDescent="0.25">
      <c r="B176" s="102"/>
      <c r="C176" s="103"/>
      <c r="D176" s="102"/>
      <c r="E176" s="102"/>
      <c r="F176" s="102"/>
      <c r="G176" s="102"/>
      <c r="I176" s="102"/>
      <c r="J176" s="102"/>
      <c r="K176" s="102"/>
    </row>
    <row r="177" spans="2:11" ht="15.75" customHeight="1" thickBot="1" x14ac:dyDescent="0.25">
      <c r="B177" s="102"/>
      <c r="C177" s="103"/>
      <c r="D177" s="102"/>
      <c r="E177" s="102"/>
      <c r="F177" s="102"/>
      <c r="G177" s="102"/>
      <c r="I177" s="102"/>
      <c r="J177" s="102"/>
      <c r="K177" s="102"/>
    </row>
    <row r="178" spans="2:11" ht="15.75" customHeight="1" thickBot="1" x14ac:dyDescent="0.25">
      <c r="B178" s="102"/>
      <c r="C178" s="103"/>
      <c r="D178" s="102"/>
      <c r="E178" s="102"/>
      <c r="F178" s="102"/>
      <c r="G178" s="102"/>
      <c r="I178" s="102"/>
      <c r="J178" s="102"/>
      <c r="K178" s="102"/>
    </row>
    <row r="179" spans="2:11" ht="15.75" customHeight="1" thickBot="1" x14ac:dyDescent="0.25">
      <c r="B179" s="102"/>
      <c r="C179" s="103"/>
      <c r="D179" s="102"/>
      <c r="E179" s="102"/>
      <c r="F179" s="102"/>
      <c r="G179" s="102"/>
      <c r="I179" s="102"/>
      <c r="J179" s="102"/>
      <c r="K179" s="102"/>
    </row>
    <row r="180" spans="2:11" ht="15.75" customHeight="1" thickBot="1" x14ac:dyDescent="0.25">
      <c r="B180" s="102"/>
      <c r="C180" s="103"/>
      <c r="D180" s="102"/>
      <c r="E180" s="102"/>
      <c r="F180" s="102"/>
      <c r="G180" s="102"/>
      <c r="I180" s="102"/>
      <c r="J180" s="102"/>
      <c r="K180" s="102"/>
    </row>
    <row r="181" spans="2:11" ht="15.75" customHeight="1" thickBot="1" x14ac:dyDescent="0.25">
      <c r="B181" s="102"/>
      <c r="C181" s="103"/>
      <c r="D181" s="102"/>
      <c r="E181" s="102"/>
      <c r="F181" s="102"/>
      <c r="G181" s="102"/>
      <c r="I181" s="102"/>
      <c r="J181" s="102"/>
      <c r="K181" s="102"/>
    </row>
    <row r="182" spans="2:11" ht="15.75" customHeight="1" thickBot="1" x14ac:dyDescent="0.25">
      <c r="B182" s="102"/>
      <c r="C182" s="103"/>
      <c r="D182" s="102"/>
      <c r="E182" s="102"/>
      <c r="F182" s="102"/>
      <c r="G182" s="102"/>
      <c r="I182" s="102"/>
      <c r="J182" s="102"/>
      <c r="K182" s="102"/>
    </row>
    <row r="183" spans="2:11" ht="15.75" customHeight="1" thickBot="1" x14ac:dyDescent="0.25">
      <c r="B183" s="102"/>
      <c r="C183" s="103"/>
      <c r="D183" s="102"/>
      <c r="E183" s="102"/>
      <c r="F183" s="102"/>
      <c r="G183" s="102"/>
      <c r="I183" s="102"/>
      <c r="J183" s="102"/>
      <c r="K183" s="102"/>
    </row>
    <row r="184" spans="2:11" ht="15.75" customHeight="1" thickBot="1" x14ac:dyDescent="0.25">
      <c r="B184" s="102"/>
      <c r="C184" s="103"/>
      <c r="D184" s="102"/>
      <c r="E184" s="102"/>
      <c r="F184" s="102"/>
      <c r="G184" s="102"/>
      <c r="I184" s="102"/>
      <c r="J184" s="102"/>
      <c r="K184" s="102"/>
    </row>
    <row r="185" spans="2:11" ht="15.75" customHeight="1" thickBot="1" x14ac:dyDescent="0.25">
      <c r="B185" s="102"/>
      <c r="C185" s="103"/>
      <c r="D185" s="102"/>
      <c r="E185" s="102"/>
      <c r="F185" s="102"/>
      <c r="G185" s="102"/>
      <c r="I185" s="102"/>
      <c r="J185" s="102"/>
      <c r="K185" s="102"/>
    </row>
    <row r="186" spans="2:11" ht="15.75" customHeight="1" thickBot="1" x14ac:dyDescent="0.25">
      <c r="B186" s="102"/>
      <c r="C186" s="103"/>
      <c r="D186" s="102"/>
      <c r="E186" s="102"/>
      <c r="F186" s="102"/>
      <c r="G186" s="102"/>
      <c r="I186" s="102"/>
      <c r="J186" s="102"/>
      <c r="K186" s="102"/>
    </row>
    <row r="187" spans="2:11" ht="15.75" customHeight="1" thickBot="1" x14ac:dyDescent="0.25">
      <c r="B187" s="102"/>
      <c r="C187" s="103"/>
      <c r="D187" s="102"/>
      <c r="E187" s="102"/>
      <c r="F187" s="102"/>
      <c r="G187" s="102"/>
      <c r="I187" s="102"/>
      <c r="J187" s="102"/>
      <c r="K187" s="102"/>
    </row>
    <row r="188" spans="2:11" ht="15.75" customHeight="1" thickBot="1" x14ac:dyDescent="0.25">
      <c r="B188" s="102"/>
      <c r="C188" s="103"/>
      <c r="D188" s="102"/>
      <c r="E188" s="102"/>
      <c r="F188" s="102"/>
      <c r="G188" s="102"/>
      <c r="I188" s="102"/>
      <c r="J188" s="102"/>
      <c r="K188" s="102"/>
    </row>
    <row r="189" spans="2:11" ht="15.75" customHeight="1" thickBot="1" x14ac:dyDescent="0.25">
      <c r="B189" s="102"/>
      <c r="C189" s="103"/>
      <c r="D189" s="102"/>
      <c r="E189" s="102"/>
      <c r="F189" s="102"/>
      <c r="G189" s="102"/>
      <c r="I189" s="102"/>
      <c r="J189" s="102"/>
      <c r="K189" s="102"/>
    </row>
    <row r="190" spans="2:11" ht="15.75" customHeight="1" thickBot="1" x14ac:dyDescent="0.25">
      <c r="B190" s="102"/>
      <c r="C190" s="103"/>
      <c r="D190" s="102"/>
      <c r="E190" s="102"/>
      <c r="F190" s="102"/>
      <c r="G190" s="102"/>
      <c r="I190" s="102"/>
      <c r="J190" s="102"/>
      <c r="K190" s="102"/>
    </row>
    <row r="191" spans="2:11" ht="15.75" customHeight="1" thickBot="1" x14ac:dyDescent="0.25">
      <c r="B191" s="102"/>
      <c r="C191" s="103"/>
      <c r="D191" s="102"/>
      <c r="E191" s="102"/>
      <c r="F191" s="102"/>
      <c r="G191" s="102"/>
      <c r="I191" s="102"/>
      <c r="J191" s="102"/>
      <c r="K191" s="102"/>
    </row>
    <row r="192" spans="2:11" ht="15.75" customHeight="1" thickBot="1" x14ac:dyDescent="0.25">
      <c r="B192" s="102"/>
      <c r="C192" s="103"/>
      <c r="D192" s="102"/>
      <c r="E192" s="102"/>
      <c r="F192" s="102"/>
      <c r="G192" s="102"/>
      <c r="I192" s="102"/>
      <c r="J192" s="102"/>
      <c r="K192" s="102"/>
    </row>
    <row r="193" spans="2:11" ht="15.75" customHeight="1" thickBot="1" x14ac:dyDescent="0.25">
      <c r="B193" s="102"/>
      <c r="C193" s="103"/>
      <c r="D193" s="102"/>
      <c r="E193" s="102"/>
      <c r="F193" s="102"/>
      <c r="G193" s="102"/>
      <c r="I193" s="102"/>
      <c r="J193" s="102"/>
      <c r="K193" s="102"/>
    </row>
    <row r="194" spans="2:11" ht="15.75" customHeight="1" thickBot="1" x14ac:dyDescent="0.25">
      <c r="B194" s="102"/>
      <c r="C194" s="103"/>
      <c r="D194" s="102"/>
      <c r="E194" s="102"/>
      <c r="F194" s="102"/>
      <c r="G194" s="102"/>
      <c r="I194" s="102"/>
      <c r="J194" s="102"/>
      <c r="K194" s="102"/>
    </row>
    <row r="195" spans="2:11" ht="15.75" customHeight="1" thickBot="1" x14ac:dyDescent="0.25">
      <c r="B195" s="102"/>
      <c r="C195" s="103"/>
      <c r="D195" s="102"/>
      <c r="E195" s="102"/>
      <c r="F195" s="102"/>
      <c r="G195" s="102"/>
      <c r="I195" s="102"/>
      <c r="J195" s="102"/>
      <c r="K195" s="102"/>
    </row>
    <row r="196" spans="2:11" ht="15.75" customHeight="1" thickBot="1" x14ac:dyDescent="0.25">
      <c r="B196" s="102"/>
      <c r="C196" s="103"/>
      <c r="D196" s="102"/>
      <c r="E196" s="102"/>
      <c r="F196" s="102"/>
      <c r="G196" s="102"/>
      <c r="I196" s="102"/>
      <c r="J196" s="102"/>
      <c r="K196" s="102"/>
    </row>
    <row r="197" spans="2:11" ht="15.75" customHeight="1" thickBot="1" x14ac:dyDescent="0.25">
      <c r="B197" s="102"/>
      <c r="C197" s="103"/>
      <c r="D197" s="102"/>
      <c r="E197" s="102"/>
      <c r="F197" s="102"/>
      <c r="G197" s="102"/>
      <c r="I197" s="102"/>
      <c r="J197" s="102"/>
      <c r="K197" s="102"/>
    </row>
    <row r="198" spans="2:11" ht="15.75" customHeight="1" thickBot="1" x14ac:dyDescent="0.25">
      <c r="B198" s="102"/>
      <c r="C198" s="103"/>
      <c r="D198" s="102"/>
      <c r="E198" s="102"/>
      <c r="F198" s="102"/>
      <c r="G198" s="102"/>
      <c r="I198" s="102"/>
      <c r="J198" s="102"/>
      <c r="K198" s="102"/>
    </row>
    <row r="199" spans="2:11" ht="15.75" customHeight="1" thickBot="1" x14ac:dyDescent="0.25">
      <c r="B199" s="102"/>
      <c r="C199" s="103"/>
      <c r="D199" s="102"/>
      <c r="E199" s="102"/>
      <c r="F199" s="102"/>
      <c r="G199" s="102"/>
      <c r="I199" s="102"/>
      <c r="J199" s="102"/>
      <c r="K199" s="102"/>
    </row>
    <row r="200" spans="2:11" ht="15.75" customHeight="1" thickBot="1" x14ac:dyDescent="0.25">
      <c r="B200" s="102"/>
      <c r="C200" s="103"/>
      <c r="D200" s="102"/>
      <c r="E200" s="102"/>
      <c r="F200" s="102"/>
      <c r="G200" s="102"/>
      <c r="I200" s="102"/>
      <c r="J200" s="102"/>
      <c r="K200" s="102"/>
    </row>
    <row r="201" spans="2:11" ht="15.75" customHeight="1" thickBot="1" x14ac:dyDescent="0.25">
      <c r="B201" s="102"/>
      <c r="C201" s="103"/>
      <c r="D201" s="102"/>
      <c r="E201" s="102"/>
      <c r="F201" s="102"/>
      <c r="G201" s="102"/>
      <c r="I201" s="102"/>
      <c r="J201" s="102"/>
      <c r="K201" s="102"/>
    </row>
    <row r="202" spans="2:11" ht="15.75" customHeight="1" thickBot="1" x14ac:dyDescent="0.25">
      <c r="B202" s="102"/>
      <c r="C202" s="103"/>
      <c r="D202" s="102"/>
      <c r="E202" s="102"/>
      <c r="F202" s="102"/>
      <c r="G202" s="102"/>
      <c r="I202" s="102"/>
      <c r="J202" s="102"/>
      <c r="K202" s="102"/>
    </row>
    <row r="203" spans="2:11" ht="15.75" customHeight="1" thickBot="1" x14ac:dyDescent="0.25">
      <c r="B203" s="102"/>
      <c r="C203" s="103"/>
      <c r="D203" s="102"/>
      <c r="E203" s="102"/>
      <c r="F203" s="102"/>
      <c r="G203" s="102"/>
      <c r="I203" s="102"/>
      <c r="J203" s="102"/>
      <c r="K203" s="102"/>
    </row>
    <row r="204" spans="2:11" ht="15.75" customHeight="1" thickBot="1" x14ac:dyDescent="0.25">
      <c r="B204" s="102"/>
      <c r="C204" s="103"/>
      <c r="D204" s="102"/>
      <c r="E204" s="102"/>
      <c r="F204" s="102"/>
      <c r="G204" s="102"/>
      <c r="I204" s="102"/>
      <c r="J204" s="102"/>
      <c r="K204" s="102"/>
    </row>
    <row r="205" spans="2:11" ht="15.75" customHeight="1" thickBot="1" x14ac:dyDescent="0.25">
      <c r="B205" s="102"/>
      <c r="C205" s="103"/>
      <c r="D205" s="102"/>
      <c r="E205" s="102"/>
      <c r="F205" s="102"/>
      <c r="G205" s="102"/>
      <c r="I205" s="102"/>
      <c r="J205" s="102"/>
      <c r="K205" s="102"/>
    </row>
    <row r="206" spans="2:11" ht="15.75" customHeight="1" thickBot="1" x14ac:dyDescent="0.25">
      <c r="B206" s="102"/>
      <c r="C206" s="103"/>
      <c r="D206" s="102"/>
      <c r="E206" s="102"/>
      <c r="F206" s="102"/>
      <c r="G206" s="102"/>
      <c r="I206" s="102"/>
      <c r="J206" s="102"/>
      <c r="K206" s="102"/>
    </row>
    <row r="207" spans="2:11" ht="15.75" customHeight="1" thickBot="1" x14ac:dyDescent="0.25">
      <c r="B207" s="102"/>
      <c r="C207" s="103"/>
      <c r="D207" s="102"/>
      <c r="E207" s="102"/>
      <c r="F207" s="102"/>
      <c r="G207" s="102"/>
      <c r="I207" s="102"/>
      <c r="J207" s="102"/>
      <c r="K207" s="102"/>
    </row>
    <row r="208" spans="2:11" ht="15.75" customHeight="1" thickBot="1" x14ac:dyDescent="0.25">
      <c r="B208" s="102"/>
      <c r="C208" s="103"/>
      <c r="D208" s="102"/>
      <c r="E208" s="102"/>
      <c r="F208" s="102"/>
      <c r="G208" s="102"/>
      <c r="I208" s="102"/>
      <c r="J208" s="102"/>
      <c r="K208" s="102"/>
    </row>
    <row r="209" spans="2:11" ht="15.75" customHeight="1" thickBot="1" x14ac:dyDescent="0.25">
      <c r="B209" s="102"/>
      <c r="C209" s="103"/>
      <c r="D209" s="102"/>
      <c r="E209" s="102"/>
      <c r="F209" s="102"/>
      <c r="G209" s="102"/>
      <c r="I209" s="102"/>
      <c r="J209" s="102"/>
      <c r="K209" s="102"/>
    </row>
    <row r="210" spans="2:11" ht="15.75" customHeight="1" thickBot="1" x14ac:dyDescent="0.25">
      <c r="B210" s="102"/>
      <c r="C210" s="103"/>
      <c r="D210" s="102"/>
      <c r="E210" s="102"/>
      <c r="F210" s="102"/>
      <c r="G210" s="102"/>
      <c r="I210" s="102"/>
      <c r="J210" s="102"/>
      <c r="K210" s="102"/>
    </row>
    <row r="211" spans="2:11" ht="15.75" customHeight="1" thickBot="1" x14ac:dyDescent="0.25">
      <c r="B211" s="102"/>
      <c r="C211" s="103"/>
      <c r="D211" s="102"/>
      <c r="E211" s="102"/>
      <c r="F211" s="102"/>
      <c r="G211" s="102"/>
      <c r="I211" s="102"/>
      <c r="J211" s="102"/>
      <c r="K211" s="102"/>
    </row>
    <row r="212" spans="2:11" ht="15.75" customHeight="1" thickBot="1" x14ac:dyDescent="0.25">
      <c r="B212" s="102"/>
      <c r="C212" s="103"/>
      <c r="D212" s="102"/>
      <c r="E212" s="102"/>
      <c r="F212" s="102"/>
      <c r="G212" s="102"/>
      <c r="I212" s="102"/>
      <c r="J212" s="102"/>
      <c r="K212" s="102"/>
    </row>
    <row r="213" spans="2:11" ht="15.75" customHeight="1" thickBot="1" x14ac:dyDescent="0.25">
      <c r="B213" s="102"/>
      <c r="C213" s="103"/>
      <c r="D213" s="102"/>
      <c r="E213" s="102"/>
      <c r="F213" s="102"/>
      <c r="G213" s="102"/>
      <c r="I213" s="102"/>
      <c r="J213" s="102"/>
      <c r="K213" s="102"/>
    </row>
    <row r="214" spans="2:11" ht="15.75" customHeight="1" thickBot="1" x14ac:dyDescent="0.25">
      <c r="B214" s="102"/>
      <c r="C214" s="103"/>
      <c r="D214" s="102"/>
      <c r="E214" s="102"/>
      <c r="F214" s="102"/>
      <c r="G214" s="102"/>
      <c r="I214" s="102"/>
      <c r="J214" s="102"/>
      <c r="K214" s="102"/>
    </row>
    <row r="215" spans="2:11" ht="15.75" customHeight="1" thickBot="1" x14ac:dyDescent="0.25">
      <c r="B215" s="102"/>
      <c r="C215" s="103"/>
      <c r="D215" s="102"/>
      <c r="E215" s="102"/>
      <c r="F215" s="102"/>
      <c r="G215" s="102"/>
      <c r="I215" s="102"/>
      <c r="J215" s="102"/>
      <c r="K215" s="102"/>
    </row>
    <row r="216" spans="2:11" ht="15.75" customHeight="1" thickBot="1" x14ac:dyDescent="0.25">
      <c r="B216" s="102"/>
      <c r="C216" s="103"/>
      <c r="D216" s="102"/>
      <c r="E216" s="102"/>
      <c r="F216" s="102"/>
      <c r="G216" s="102"/>
      <c r="I216" s="102"/>
      <c r="J216" s="102"/>
      <c r="K216" s="102"/>
    </row>
    <row r="217" spans="2:11" ht="15.75" customHeight="1" thickBot="1" x14ac:dyDescent="0.25">
      <c r="B217" s="102"/>
      <c r="C217" s="103"/>
      <c r="D217" s="102"/>
      <c r="E217" s="102"/>
      <c r="F217" s="102"/>
      <c r="G217" s="102"/>
      <c r="I217" s="102"/>
      <c r="J217" s="102"/>
      <c r="K217" s="102"/>
    </row>
    <row r="218" spans="2:11" ht="15.75" customHeight="1" thickBot="1" x14ac:dyDescent="0.25">
      <c r="B218" s="102"/>
      <c r="C218" s="103"/>
      <c r="D218" s="102"/>
      <c r="E218" s="102"/>
      <c r="F218" s="102"/>
      <c r="G218" s="102"/>
      <c r="I218" s="102"/>
      <c r="J218" s="102"/>
      <c r="K218" s="102"/>
    </row>
    <row r="219" spans="2:11" ht="15.75" customHeight="1" thickBot="1" x14ac:dyDescent="0.25">
      <c r="B219" s="102"/>
      <c r="C219" s="103"/>
      <c r="D219" s="102"/>
      <c r="E219" s="102"/>
      <c r="F219" s="102"/>
      <c r="G219" s="102"/>
      <c r="I219" s="102"/>
      <c r="J219" s="102"/>
      <c r="K219" s="102"/>
    </row>
    <row r="220" spans="2:11" ht="15.75" customHeight="1" thickBot="1" x14ac:dyDescent="0.25">
      <c r="B220" s="102"/>
      <c r="C220" s="103"/>
      <c r="D220" s="102"/>
      <c r="E220" s="102"/>
      <c r="F220" s="102"/>
      <c r="G220" s="102"/>
      <c r="I220" s="102"/>
      <c r="J220" s="102"/>
      <c r="K220" s="102"/>
    </row>
    <row r="221" spans="2:11" ht="15.75" customHeight="1" thickBot="1" x14ac:dyDescent="0.25">
      <c r="B221" s="102"/>
      <c r="C221" s="103"/>
      <c r="D221" s="102"/>
      <c r="E221" s="102"/>
      <c r="F221" s="102"/>
      <c r="G221" s="102"/>
      <c r="I221" s="102"/>
      <c r="J221" s="102"/>
      <c r="K221" s="102"/>
    </row>
    <row r="222" spans="2:11" ht="15.75" customHeight="1" thickBot="1" x14ac:dyDescent="0.25">
      <c r="B222" s="102"/>
      <c r="C222" s="103"/>
      <c r="D222" s="102"/>
      <c r="E222" s="102"/>
      <c r="F222" s="102"/>
      <c r="G222" s="102"/>
      <c r="I222" s="102"/>
      <c r="J222" s="102"/>
      <c r="K222" s="102"/>
    </row>
    <row r="223" spans="2:11" ht="15.75" customHeight="1" thickBot="1" x14ac:dyDescent="0.25">
      <c r="B223" s="102"/>
      <c r="C223" s="103"/>
      <c r="D223" s="102"/>
      <c r="E223" s="102"/>
      <c r="F223" s="102"/>
      <c r="G223" s="102"/>
      <c r="I223" s="102"/>
      <c r="J223" s="102"/>
      <c r="K223" s="102"/>
    </row>
    <row r="224" spans="2:11" ht="15.75" customHeight="1" thickBot="1" x14ac:dyDescent="0.25">
      <c r="B224" s="102"/>
      <c r="C224" s="103"/>
      <c r="D224" s="102"/>
      <c r="E224" s="102"/>
      <c r="F224" s="102"/>
      <c r="G224" s="102"/>
      <c r="I224" s="102"/>
      <c r="J224" s="102"/>
      <c r="K224" s="102"/>
    </row>
    <row r="225" spans="2:11" ht="15.75" customHeight="1" thickBot="1" x14ac:dyDescent="0.25">
      <c r="B225" s="102"/>
      <c r="C225" s="103"/>
      <c r="D225" s="102"/>
      <c r="E225" s="102"/>
      <c r="F225" s="102"/>
      <c r="G225" s="102"/>
      <c r="I225" s="102"/>
      <c r="J225" s="102"/>
      <c r="K225" s="102"/>
    </row>
    <row r="226" spans="2:11" ht="15.75" customHeight="1" thickBot="1" x14ac:dyDescent="0.25">
      <c r="B226" s="102"/>
      <c r="C226" s="103"/>
      <c r="D226" s="102"/>
      <c r="E226" s="102"/>
      <c r="F226" s="102"/>
      <c r="G226" s="102"/>
      <c r="I226" s="102"/>
      <c r="J226" s="102"/>
      <c r="K226" s="102"/>
    </row>
    <row r="227" spans="2:11" ht="15.75" customHeight="1" thickBot="1" x14ac:dyDescent="0.25">
      <c r="B227" s="102"/>
      <c r="C227" s="103"/>
      <c r="D227" s="102"/>
      <c r="E227" s="102"/>
      <c r="F227" s="102"/>
      <c r="G227" s="102"/>
      <c r="I227" s="102"/>
      <c r="J227" s="102"/>
      <c r="K227" s="102"/>
    </row>
    <row r="228" spans="2:11" ht="15.75" customHeight="1" thickBot="1" x14ac:dyDescent="0.25">
      <c r="B228" s="102"/>
      <c r="C228" s="103"/>
      <c r="D228" s="102"/>
      <c r="E228" s="102"/>
      <c r="F228" s="102"/>
      <c r="G228" s="102"/>
      <c r="I228" s="102"/>
      <c r="J228" s="102"/>
      <c r="K228" s="102"/>
    </row>
    <row r="229" spans="2:11" ht="15.75" customHeight="1" thickBot="1" x14ac:dyDescent="0.25">
      <c r="B229" s="102"/>
      <c r="C229" s="103"/>
      <c r="D229" s="102"/>
      <c r="E229" s="102"/>
      <c r="F229" s="102"/>
      <c r="G229" s="102"/>
      <c r="I229" s="102"/>
      <c r="J229" s="102"/>
      <c r="K229" s="102"/>
    </row>
    <row r="230" spans="2:11" ht="15.75" customHeight="1" thickBot="1" x14ac:dyDescent="0.25">
      <c r="B230" s="102"/>
      <c r="C230" s="103"/>
      <c r="D230" s="102"/>
      <c r="E230" s="102"/>
      <c r="F230" s="102"/>
      <c r="G230" s="102"/>
      <c r="I230" s="102"/>
      <c r="J230" s="102"/>
      <c r="K230" s="102"/>
    </row>
    <row r="231" spans="2:11" ht="15.75" customHeight="1" thickBot="1" x14ac:dyDescent="0.25">
      <c r="B231" s="102"/>
      <c r="C231" s="103"/>
      <c r="D231" s="102"/>
      <c r="E231" s="102"/>
      <c r="F231" s="102"/>
      <c r="G231" s="102"/>
      <c r="I231" s="102"/>
      <c r="J231" s="102"/>
      <c r="K231" s="102"/>
    </row>
    <row r="232" spans="2:11" ht="15.75" customHeight="1" thickBot="1" x14ac:dyDescent="0.25">
      <c r="B232" s="102"/>
      <c r="C232" s="103"/>
      <c r="D232" s="102"/>
      <c r="E232" s="102"/>
      <c r="F232" s="102"/>
      <c r="G232" s="102"/>
      <c r="I232" s="102"/>
      <c r="J232" s="102"/>
      <c r="K232" s="102"/>
    </row>
    <row r="233" spans="2:11" ht="15.75" customHeight="1" thickBot="1" x14ac:dyDescent="0.25">
      <c r="B233" s="102"/>
      <c r="C233" s="103"/>
      <c r="D233" s="102"/>
      <c r="E233" s="102"/>
      <c r="F233" s="102"/>
      <c r="G233" s="102"/>
      <c r="I233" s="102"/>
      <c r="J233" s="102"/>
      <c r="K233" s="102"/>
    </row>
    <row r="234" spans="2:11" ht="15.75" customHeight="1" thickBot="1" x14ac:dyDescent="0.25">
      <c r="B234" s="102"/>
      <c r="C234" s="103"/>
      <c r="D234" s="102"/>
      <c r="E234" s="102"/>
      <c r="F234" s="102"/>
      <c r="G234" s="102"/>
      <c r="I234" s="102"/>
      <c r="J234" s="102"/>
      <c r="K234" s="102"/>
    </row>
    <row r="235" spans="2:11" ht="15.75" customHeight="1" thickBot="1" x14ac:dyDescent="0.25">
      <c r="B235" s="102"/>
      <c r="C235" s="103"/>
      <c r="D235" s="102"/>
      <c r="E235" s="102"/>
      <c r="F235" s="102"/>
      <c r="G235" s="102"/>
      <c r="I235" s="102"/>
      <c r="J235" s="102"/>
      <c r="K235" s="102"/>
    </row>
    <row r="236" spans="2:11" ht="15.75" customHeight="1" thickBot="1" x14ac:dyDescent="0.25">
      <c r="B236" s="102"/>
      <c r="C236" s="103"/>
      <c r="D236" s="102"/>
      <c r="E236" s="102"/>
      <c r="F236" s="102"/>
      <c r="G236" s="102"/>
      <c r="I236" s="102"/>
      <c r="J236" s="102"/>
      <c r="K236" s="102"/>
    </row>
    <row r="237" spans="2:11" ht="15.75" customHeight="1" thickBot="1" x14ac:dyDescent="0.25">
      <c r="B237" s="102"/>
      <c r="C237" s="103"/>
      <c r="D237" s="102"/>
      <c r="E237" s="102"/>
      <c r="F237" s="102"/>
      <c r="G237" s="102"/>
      <c r="I237" s="102"/>
      <c r="J237" s="102"/>
      <c r="K237" s="102"/>
    </row>
    <row r="238" spans="2:11" ht="15.75" customHeight="1" thickBot="1" x14ac:dyDescent="0.25">
      <c r="B238" s="102"/>
      <c r="C238" s="103"/>
      <c r="D238" s="102"/>
      <c r="E238" s="102"/>
      <c r="F238" s="102"/>
      <c r="G238" s="102"/>
      <c r="I238" s="102"/>
      <c r="J238" s="102"/>
      <c r="K238" s="102"/>
    </row>
    <row r="239" spans="2:11" ht="15.75" customHeight="1" thickBot="1" x14ac:dyDescent="0.25">
      <c r="B239" s="102"/>
      <c r="C239" s="103"/>
      <c r="D239" s="102"/>
      <c r="E239" s="102"/>
      <c r="F239" s="102"/>
      <c r="G239" s="102"/>
      <c r="I239" s="102"/>
      <c r="J239" s="102"/>
      <c r="K239" s="102"/>
    </row>
    <row r="240" spans="2:11" ht="15.75" customHeight="1" thickBot="1" x14ac:dyDescent="0.25">
      <c r="B240" s="102"/>
      <c r="C240" s="103"/>
      <c r="D240" s="102"/>
      <c r="E240" s="102"/>
      <c r="F240" s="102"/>
      <c r="G240" s="102"/>
      <c r="I240" s="102"/>
      <c r="J240" s="102"/>
      <c r="K240" s="102"/>
    </row>
    <row r="241" spans="2:11" ht="15.75" customHeight="1" thickBot="1" x14ac:dyDescent="0.25">
      <c r="B241" s="102"/>
      <c r="C241" s="103"/>
      <c r="D241" s="102"/>
      <c r="E241" s="102"/>
      <c r="F241" s="102"/>
      <c r="G241" s="102"/>
      <c r="I241" s="102"/>
      <c r="J241" s="102"/>
      <c r="K241" s="102"/>
    </row>
    <row r="242" spans="2:11" ht="15.75" customHeight="1" thickBot="1" x14ac:dyDescent="0.25">
      <c r="B242" s="102"/>
      <c r="C242" s="103"/>
      <c r="D242" s="102"/>
      <c r="E242" s="102"/>
      <c r="F242" s="102"/>
      <c r="G242" s="102"/>
      <c r="I242" s="102"/>
      <c r="J242" s="102"/>
      <c r="K242" s="102"/>
    </row>
    <row r="243" spans="2:11" ht="15.75" customHeight="1" thickBot="1" x14ac:dyDescent="0.25">
      <c r="B243" s="102"/>
      <c r="C243" s="103"/>
      <c r="D243" s="102"/>
      <c r="E243" s="102"/>
      <c r="F243" s="102"/>
      <c r="G243" s="102"/>
      <c r="I243" s="102"/>
      <c r="J243" s="102"/>
      <c r="K243" s="102"/>
    </row>
    <row r="244" spans="2:11" ht="15.75" customHeight="1" thickBot="1" x14ac:dyDescent="0.25">
      <c r="B244" s="102"/>
      <c r="C244" s="103"/>
      <c r="D244" s="102"/>
      <c r="E244" s="102"/>
      <c r="F244" s="102"/>
      <c r="G244" s="102"/>
      <c r="I244" s="102"/>
      <c r="J244" s="102"/>
      <c r="K244" s="102"/>
    </row>
    <row r="245" spans="2:11" ht="15.75" customHeight="1" thickBot="1" x14ac:dyDescent="0.25">
      <c r="B245" s="102"/>
      <c r="C245" s="103"/>
      <c r="D245" s="102"/>
      <c r="E245" s="102"/>
      <c r="F245" s="102"/>
      <c r="G245" s="102"/>
      <c r="I245" s="102"/>
      <c r="J245" s="102"/>
      <c r="K245" s="102"/>
    </row>
    <row r="246" spans="2:11" ht="15.75" customHeight="1" thickBot="1" x14ac:dyDescent="0.25">
      <c r="B246" s="102"/>
      <c r="C246" s="103"/>
      <c r="D246" s="102"/>
      <c r="E246" s="102"/>
      <c r="F246" s="102"/>
      <c r="G246" s="102"/>
      <c r="I246" s="102"/>
      <c r="J246" s="102"/>
      <c r="K246" s="102"/>
    </row>
    <row r="247" spans="2:11" ht="15.75" customHeight="1" thickBot="1" x14ac:dyDescent="0.25">
      <c r="B247" s="102"/>
      <c r="C247" s="103"/>
      <c r="D247" s="102"/>
      <c r="E247" s="102"/>
      <c r="F247" s="102"/>
      <c r="G247" s="102"/>
      <c r="I247" s="102"/>
      <c r="J247" s="102"/>
      <c r="K247" s="102"/>
    </row>
    <row r="248" spans="2:11" ht="15.75" customHeight="1" thickBot="1" x14ac:dyDescent="0.25">
      <c r="B248" s="102"/>
      <c r="C248" s="103"/>
      <c r="D248" s="102"/>
      <c r="E248" s="102"/>
      <c r="F248" s="102"/>
      <c r="G248" s="102"/>
      <c r="I248" s="102"/>
      <c r="J248" s="102"/>
      <c r="K248" s="102"/>
    </row>
    <row r="249" spans="2:11" ht="15.75" customHeight="1" thickBot="1" x14ac:dyDescent="0.25">
      <c r="B249" s="102"/>
      <c r="C249" s="103"/>
      <c r="D249" s="102"/>
      <c r="E249" s="102"/>
      <c r="F249" s="102"/>
      <c r="G249" s="102"/>
      <c r="I249" s="102"/>
      <c r="J249" s="102"/>
      <c r="K249" s="102"/>
    </row>
    <row r="250" spans="2:11" ht="15.75" customHeight="1" thickBot="1" x14ac:dyDescent="0.25">
      <c r="B250" s="102"/>
      <c r="C250" s="103"/>
      <c r="D250" s="102"/>
      <c r="E250" s="102"/>
      <c r="F250" s="102"/>
      <c r="G250" s="102"/>
      <c r="I250" s="102"/>
      <c r="J250" s="102"/>
      <c r="K250" s="102"/>
    </row>
    <row r="251" spans="2:11" ht="15.75" customHeight="1" thickBot="1" x14ac:dyDescent="0.25">
      <c r="B251" s="102"/>
      <c r="C251" s="103"/>
      <c r="D251" s="102"/>
      <c r="E251" s="102"/>
      <c r="F251" s="102"/>
      <c r="G251" s="102"/>
      <c r="I251" s="102"/>
      <c r="J251" s="102"/>
      <c r="K251" s="102"/>
    </row>
    <row r="252" spans="2:11" ht="15.75" customHeight="1" thickBot="1" x14ac:dyDescent="0.25">
      <c r="B252" s="102"/>
      <c r="C252" s="103"/>
      <c r="D252" s="102"/>
      <c r="E252" s="102"/>
      <c r="F252" s="102"/>
      <c r="G252" s="102"/>
      <c r="I252" s="102"/>
      <c r="J252" s="102"/>
      <c r="K252" s="102"/>
    </row>
    <row r="253" spans="2:11" ht="15.75" customHeight="1" thickBot="1" x14ac:dyDescent="0.25">
      <c r="B253" s="102"/>
      <c r="C253" s="103"/>
      <c r="D253" s="102"/>
      <c r="E253" s="102"/>
      <c r="F253" s="102"/>
      <c r="G253" s="102"/>
      <c r="I253" s="102"/>
      <c r="J253" s="102"/>
      <c r="K253" s="102"/>
    </row>
    <row r="254" spans="2:11" ht="15.75" customHeight="1" thickBot="1" x14ac:dyDescent="0.25">
      <c r="B254" s="102"/>
      <c r="C254" s="103"/>
      <c r="D254" s="102"/>
      <c r="E254" s="102"/>
      <c r="F254" s="102"/>
      <c r="G254" s="102"/>
      <c r="I254" s="102"/>
      <c r="J254" s="102"/>
      <c r="K254" s="102"/>
    </row>
    <row r="255" spans="2:11" ht="15.75" customHeight="1" thickBot="1" x14ac:dyDescent="0.25">
      <c r="B255" s="102"/>
      <c r="C255" s="103"/>
      <c r="D255" s="102"/>
      <c r="E255" s="102"/>
      <c r="F255" s="102"/>
      <c r="G255" s="102"/>
      <c r="I255" s="102"/>
      <c r="J255" s="102"/>
      <c r="K255" s="102"/>
    </row>
    <row r="256" spans="2:11" ht="15.75" customHeight="1" thickBot="1" x14ac:dyDescent="0.25">
      <c r="B256" s="102"/>
      <c r="C256" s="103"/>
      <c r="D256" s="102"/>
      <c r="E256" s="102"/>
      <c r="F256" s="102"/>
      <c r="G256" s="102"/>
      <c r="I256" s="102"/>
      <c r="J256" s="102"/>
      <c r="K256" s="102"/>
    </row>
    <row r="257" spans="2:11" ht="15.75" customHeight="1" thickBot="1" x14ac:dyDescent="0.25">
      <c r="B257" s="102"/>
      <c r="C257" s="103"/>
      <c r="D257" s="102"/>
      <c r="E257" s="102"/>
      <c r="F257" s="102"/>
      <c r="G257" s="102"/>
      <c r="I257" s="102"/>
      <c r="J257" s="102"/>
      <c r="K257" s="102"/>
    </row>
    <row r="258" spans="2:11" ht="15.75" customHeight="1" thickBot="1" x14ac:dyDescent="0.25">
      <c r="B258" s="102"/>
      <c r="C258" s="103"/>
      <c r="D258" s="102"/>
      <c r="E258" s="102"/>
      <c r="F258" s="102"/>
      <c r="G258" s="102"/>
      <c r="I258" s="102"/>
      <c r="J258" s="102"/>
      <c r="K258" s="102"/>
    </row>
    <row r="259" spans="2:11" ht="15.75" customHeight="1" thickBot="1" x14ac:dyDescent="0.25">
      <c r="B259" s="102"/>
      <c r="C259" s="103"/>
      <c r="D259" s="102"/>
      <c r="E259" s="102"/>
      <c r="F259" s="102"/>
      <c r="G259" s="102"/>
      <c r="I259" s="102"/>
      <c r="J259" s="102"/>
      <c r="K259" s="102"/>
    </row>
    <row r="260" spans="2:11" ht="15.75" customHeight="1" thickBot="1" x14ac:dyDescent="0.25">
      <c r="B260" s="102"/>
      <c r="C260" s="103"/>
      <c r="D260" s="102"/>
      <c r="E260" s="102"/>
      <c r="F260" s="102"/>
      <c r="G260" s="102"/>
      <c r="I260" s="102"/>
      <c r="J260" s="102"/>
      <c r="K260" s="102"/>
    </row>
    <row r="261" spans="2:11" ht="15.75" customHeight="1" thickBot="1" x14ac:dyDescent="0.25">
      <c r="B261" s="102"/>
      <c r="C261" s="103"/>
      <c r="D261" s="102"/>
      <c r="E261" s="102"/>
      <c r="F261" s="102"/>
      <c r="G261" s="102"/>
      <c r="I261" s="102"/>
      <c r="J261" s="102"/>
      <c r="K261" s="102"/>
    </row>
    <row r="262" spans="2:11" ht="15.75" customHeight="1" thickBot="1" x14ac:dyDescent="0.25">
      <c r="B262" s="102"/>
      <c r="C262" s="103"/>
      <c r="D262" s="102"/>
      <c r="E262" s="102"/>
      <c r="F262" s="102"/>
      <c r="G262" s="102"/>
      <c r="I262" s="102"/>
      <c r="J262" s="102"/>
      <c r="K262" s="102"/>
    </row>
    <row r="263" spans="2:11" ht="15.75" customHeight="1" thickBot="1" x14ac:dyDescent="0.25">
      <c r="B263" s="102"/>
      <c r="C263" s="103"/>
      <c r="D263" s="102"/>
      <c r="E263" s="102"/>
      <c r="F263" s="102"/>
      <c r="G263" s="102"/>
      <c r="I263" s="102"/>
      <c r="J263" s="102"/>
      <c r="K263" s="102"/>
    </row>
    <row r="264" spans="2:11" ht="15.75" customHeight="1" thickBot="1" x14ac:dyDescent="0.25">
      <c r="B264" s="102"/>
      <c r="C264" s="103"/>
      <c r="D264" s="102"/>
      <c r="E264" s="102"/>
      <c r="F264" s="102"/>
      <c r="G264" s="102"/>
      <c r="I264" s="102"/>
      <c r="J264" s="102"/>
      <c r="K264" s="102"/>
    </row>
    <row r="265" spans="2:11" ht="15.75" customHeight="1" thickBot="1" x14ac:dyDescent="0.25">
      <c r="B265" s="102"/>
      <c r="C265" s="103"/>
      <c r="D265" s="102"/>
      <c r="E265" s="102"/>
      <c r="F265" s="102"/>
      <c r="G265" s="102"/>
      <c r="I265" s="102"/>
      <c r="J265" s="102"/>
      <c r="K265" s="102"/>
    </row>
    <row r="266" spans="2:11" ht="15.75" customHeight="1" thickBot="1" x14ac:dyDescent="0.25">
      <c r="B266" s="102"/>
      <c r="C266" s="103"/>
      <c r="D266" s="102"/>
      <c r="E266" s="102"/>
      <c r="F266" s="102"/>
      <c r="G266" s="102"/>
      <c r="I266" s="102"/>
      <c r="J266" s="102"/>
      <c r="K266" s="102"/>
    </row>
    <row r="267" spans="2:11" ht="15.75" customHeight="1" thickBot="1" x14ac:dyDescent="0.25">
      <c r="B267" s="102"/>
      <c r="C267" s="103"/>
      <c r="D267" s="102"/>
      <c r="E267" s="102"/>
      <c r="F267" s="102"/>
      <c r="G267" s="102"/>
      <c r="I267" s="102"/>
      <c r="J267" s="102"/>
      <c r="K267" s="102"/>
    </row>
    <row r="268" spans="2:11" ht="15.75" customHeight="1" thickBot="1" x14ac:dyDescent="0.25">
      <c r="B268" s="102"/>
      <c r="C268" s="103"/>
      <c r="D268" s="102"/>
      <c r="E268" s="102"/>
      <c r="F268" s="102"/>
      <c r="G268" s="102"/>
      <c r="I268" s="102"/>
      <c r="J268" s="102"/>
      <c r="K268" s="102"/>
    </row>
    <row r="269" spans="2:11" ht="15.75" customHeight="1" thickBot="1" x14ac:dyDescent="0.25">
      <c r="B269" s="102"/>
      <c r="C269" s="103"/>
      <c r="D269" s="102"/>
      <c r="E269" s="102"/>
      <c r="F269" s="102"/>
      <c r="G269" s="102"/>
      <c r="I269" s="102"/>
      <c r="J269" s="102"/>
      <c r="K269" s="102"/>
    </row>
    <row r="270" spans="2:11" ht="15.75" customHeight="1" thickBot="1" x14ac:dyDescent="0.25">
      <c r="B270" s="102"/>
      <c r="C270" s="103"/>
      <c r="D270" s="102"/>
      <c r="E270" s="102"/>
      <c r="F270" s="102"/>
      <c r="G270" s="102"/>
      <c r="I270" s="102"/>
      <c r="J270" s="102"/>
      <c r="K270" s="102"/>
    </row>
    <row r="271" spans="2:11" ht="15.75" customHeight="1" thickBot="1" x14ac:dyDescent="0.25">
      <c r="B271" s="102"/>
      <c r="C271" s="103"/>
      <c r="D271" s="102"/>
      <c r="E271" s="102"/>
      <c r="F271" s="102"/>
      <c r="G271" s="102"/>
      <c r="I271" s="102"/>
      <c r="J271" s="102"/>
      <c r="K271" s="102"/>
    </row>
    <row r="272" spans="2:11" ht="15.75" customHeight="1" thickBot="1" x14ac:dyDescent="0.25">
      <c r="B272" s="102"/>
      <c r="C272" s="103"/>
      <c r="D272" s="102"/>
      <c r="E272" s="102"/>
      <c r="F272" s="102"/>
      <c r="G272" s="102"/>
      <c r="I272" s="102"/>
      <c r="J272" s="102"/>
      <c r="K272" s="102"/>
    </row>
    <row r="273" spans="2:11" ht="15.75" customHeight="1" thickBot="1" x14ac:dyDescent="0.25">
      <c r="B273" s="102"/>
      <c r="C273" s="103"/>
      <c r="D273" s="102"/>
      <c r="E273" s="102"/>
      <c r="F273" s="102"/>
      <c r="G273" s="102"/>
      <c r="I273" s="102"/>
      <c r="J273" s="102"/>
      <c r="K273" s="102"/>
    </row>
    <row r="274" spans="2:11" ht="15.75" customHeight="1" thickBot="1" x14ac:dyDescent="0.25">
      <c r="B274" s="102"/>
      <c r="C274" s="103"/>
      <c r="D274" s="102"/>
      <c r="E274" s="102"/>
      <c r="F274" s="102"/>
      <c r="G274" s="102"/>
      <c r="I274" s="102"/>
      <c r="J274" s="102"/>
      <c r="K274" s="102"/>
    </row>
    <row r="275" spans="2:11" ht="15.75" customHeight="1" thickBot="1" x14ac:dyDescent="0.25">
      <c r="B275" s="102"/>
      <c r="C275" s="103"/>
      <c r="D275" s="102"/>
      <c r="E275" s="102"/>
      <c r="F275" s="102"/>
      <c r="G275" s="102"/>
      <c r="I275" s="102"/>
      <c r="J275" s="102"/>
      <c r="K275" s="102"/>
    </row>
    <row r="276" spans="2:11" ht="15.75" customHeight="1" thickBot="1" x14ac:dyDescent="0.25">
      <c r="B276" s="102"/>
      <c r="C276" s="103"/>
      <c r="D276" s="102"/>
      <c r="E276" s="102"/>
      <c r="F276" s="102"/>
      <c r="G276" s="102"/>
      <c r="I276" s="102"/>
      <c r="J276" s="102"/>
      <c r="K276" s="102"/>
    </row>
    <row r="277" spans="2:11" ht="15.75" customHeight="1" thickBot="1" x14ac:dyDescent="0.25">
      <c r="B277" s="102"/>
      <c r="C277" s="103"/>
      <c r="D277" s="102"/>
      <c r="E277" s="102"/>
      <c r="F277" s="102"/>
      <c r="G277" s="102"/>
      <c r="I277" s="102"/>
      <c r="J277" s="102"/>
      <c r="K277" s="102"/>
    </row>
    <row r="278" spans="2:11" ht="15.75" customHeight="1" thickBot="1" x14ac:dyDescent="0.25">
      <c r="B278" s="102"/>
      <c r="C278" s="103"/>
      <c r="D278" s="102"/>
      <c r="E278" s="102"/>
      <c r="F278" s="102"/>
      <c r="G278" s="102"/>
      <c r="I278" s="102"/>
      <c r="J278" s="102"/>
      <c r="K278" s="102"/>
    </row>
    <row r="279" spans="2:11" ht="15.75" customHeight="1" thickBot="1" x14ac:dyDescent="0.25">
      <c r="B279" s="102"/>
      <c r="C279" s="103"/>
      <c r="D279" s="102"/>
      <c r="E279" s="102"/>
      <c r="F279" s="102"/>
      <c r="G279" s="102"/>
      <c r="I279" s="102"/>
      <c r="J279" s="102"/>
      <c r="K279" s="102"/>
    </row>
    <row r="280" spans="2:11" ht="15.75" customHeight="1" thickBot="1" x14ac:dyDescent="0.25">
      <c r="B280" s="102"/>
      <c r="C280" s="103"/>
      <c r="D280" s="102"/>
      <c r="E280" s="102"/>
      <c r="F280" s="102"/>
      <c r="G280" s="102"/>
      <c r="I280" s="102"/>
      <c r="J280" s="102"/>
      <c r="K280" s="102"/>
    </row>
    <row r="281" spans="2:11" ht="15.75" customHeight="1" thickBot="1" x14ac:dyDescent="0.25">
      <c r="B281" s="102"/>
      <c r="C281" s="103"/>
      <c r="D281" s="102"/>
      <c r="E281" s="102"/>
      <c r="F281" s="102"/>
      <c r="G281" s="102"/>
      <c r="I281" s="102"/>
      <c r="J281" s="102"/>
      <c r="K281" s="102"/>
    </row>
    <row r="282" spans="2:11" ht="15.75" customHeight="1" thickBot="1" x14ac:dyDescent="0.25">
      <c r="B282" s="102"/>
      <c r="C282" s="103"/>
      <c r="D282" s="102"/>
      <c r="E282" s="102"/>
      <c r="F282" s="102"/>
      <c r="G282" s="102"/>
      <c r="I282" s="102"/>
      <c r="J282" s="102"/>
      <c r="K282" s="102"/>
    </row>
    <row r="283" spans="2:11" ht="15.75" customHeight="1" thickBot="1" x14ac:dyDescent="0.25">
      <c r="B283" s="102"/>
      <c r="C283" s="103"/>
      <c r="D283" s="102"/>
      <c r="E283" s="102"/>
      <c r="F283" s="102"/>
      <c r="G283" s="102"/>
      <c r="I283" s="102"/>
      <c r="J283" s="102"/>
      <c r="K283" s="102"/>
    </row>
    <row r="284" spans="2:11" ht="15.75" customHeight="1" thickBot="1" x14ac:dyDescent="0.25">
      <c r="B284" s="102"/>
      <c r="C284" s="103"/>
      <c r="D284" s="102"/>
      <c r="E284" s="102"/>
      <c r="F284" s="102"/>
      <c r="G284" s="102"/>
      <c r="I284" s="102"/>
      <c r="J284" s="102"/>
      <c r="K284" s="102"/>
    </row>
    <row r="285" spans="2:11" ht="15.75" customHeight="1" thickBot="1" x14ac:dyDescent="0.25">
      <c r="B285" s="102"/>
      <c r="C285" s="103"/>
      <c r="D285" s="102"/>
      <c r="E285" s="102"/>
      <c r="F285" s="102"/>
      <c r="G285" s="102"/>
      <c r="I285" s="102"/>
      <c r="J285" s="102"/>
      <c r="K285" s="102"/>
    </row>
    <row r="286" spans="2:11" ht="15.75" customHeight="1" thickBot="1" x14ac:dyDescent="0.25">
      <c r="B286" s="102"/>
      <c r="C286" s="103"/>
      <c r="D286" s="102"/>
      <c r="E286" s="102"/>
      <c r="F286" s="102"/>
      <c r="G286" s="102"/>
      <c r="I286" s="102"/>
      <c r="J286" s="102"/>
      <c r="K286" s="102"/>
    </row>
    <row r="287" spans="2:11" ht="15.75" customHeight="1" thickBot="1" x14ac:dyDescent="0.25">
      <c r="B287" s="102"/>
      <c r="C287" s="103"/>
      <c r="D287" s="102"/>
      <c r="E287" s="102"/>
      <c r="F287" s="102"/>
      <c r="G287" s="102"/>
      <c r="I287" s="102"/>
      <c r="J287" s="102"/>
      <c r="K287" s="102"/>
    </row>
    <row r="288" spans="2:11" ht="15.75" customHeight="1" thickBot="1" x14ac:dyDescent="0.25">
      <c r="B288" s="102"/>
      <c r="C288" s="103"/>
      <c r="D288" s="102"/>
      <c r="E288" s="102"/>
      <c r="F288" s="102"/>
      <c r="G288" s="102"/>
      <c r="I288" s="102"/>
      <c r="J288" s="102"/>
      <c r="K288" s="102"/>
    </row>
    <row r="289" spans="2:11" ht="15.75" customHeight="1" thickBot="1" x14ac:dyDescent="0.25">
      <c r="B289" s="102"/>
      <c r="C289" s="103"/>
      <c r="D289" s="102"/>
      <c r="E289" s="102"/>
      <c r="F289" s="102"/>
      <c r="G289" s="102"/>
      <c r="I289" s="102"/>
      <c r="J289" s="102"/>
      <c r="K289" s="102"/>
    </row>
    <row r="290" spans="2:11" ht="15.75" customHeight="1" thickBot="1" x14ac:dyDescent="0.25">
      <c r="B290" s="102"/>
      <c r="C290" s="103"/>
      <c r="D290" s="102"/>
      <c r="E290" s="102"/>
      <c r="F290" s="102"/>
      <c r="G290" s="102"/>
      <c r="I290" s="102"/>
      <c r="J290" s="102"/>
      <c r="K290" s="102"/>
    </row>
    <row r="291" spans="2:11" ht="15.75" customHeight="1" thickBot="1" x14ac:dyDescent="0.25">
      <c r="B291" s="102"/>
      <c r="C291" s="103"/>
      <c r="D291" s="102"/>
      <c r="E291" s="102"/>
      <c r="F291" s="102"/>
      <c r="G291" s="102"/>
      <c r="I291" s="102"/>
      <c r="J291" s="102"/>
      <c r="K291" s="102"/>
    </row>
    <row r="292" spans="2:11" ht="15.75" customHeight="1" thickBot="1" x14ac:dyDescent="0.25">
      <c r="B292" s="102"/>
      <c r="C292" s="103"/>
      <c r="D292" s="102"/>
      <c r="E292" s="102"/>
      <c r="F292" s="102"/>
      <c r="G292" s="102"/>
      <c r="I292" s="102"/>
      <c r="J292" s="102"/>
      <c r="K292" s="102"/>
    </row>
    <row r="293" spans="2:11" ht="15.75" customHeight="1" thickBot="1" x14ac:dyDescent="0.25">
      <c r="B293" s="102"/>
      <c r="C293" s="103"/>
      <c r="D293" s="102"/>
      <c r="E293" s="102"/>
      <c r="F293" s="102"/>
      <c r="G293" s="102"/>
      <c r="I293" s="102"/>
      <c r="J293" s="102"/>
      <c r="K293" s="102"/>
    </row>
    <row r="294" spans="2:11" ht="15.75" customHeight="1" thickBot="1" x14ac:dyDescent="0.25">
      <c r="B294" s="102"/>
      <c r="C294" s="103"/>
      <c r="D294" s="102"/>
      <c r="E294" s="102"/>
      <c r="F294" s="102"/>
      <c r="G294" s="102"/>
      <c r="I294" s="102"/>
      <c r="J294" s="102"/>
      <c r="K294" s="102"/>
    </row>
    <row r="295" spans="2:11" ht="15.75" customHeight="1" thickBot="1" x14ac:dyDescent="0.25">
      <c r="B295" s="102"/>
      <c r="C295" s="103"/>
      <c r="D295" s="102"/>
      <c r="E295" s="102"/>
      <c r="F295" s="102"/>
      <c r="G295" s="102"/>
      <c r="I295" s="102"/>
      <c r="J295" s="102"/>
      <c r="K295" s="102"/>
    </row>
    <row r="296" spans="2:11" ht="15.75" customHeight="1" thickBot="1" x14ac:dyDescent="0.25">
      <c r="B296" s="102"/>
      <c r="C296" s="103"/>
      <c r="D296" s="102"/>
      <c r="E296" s="102"/>
      <c r="F296" s="102"/>
      <c r="G296" s="102"/>
      <c r="I296" s="102"/>
      <c r="J296" s="102"/>
      <c r="K296" s="102"/>
    </row>
    <row r="297" spans="2:11" ht="15.75" customHeight="1" thickBot="1" x14ac:dyDescent="0.25">
      <c r="B297" s="102"/>
      <c r="C297" s="103"/>
      <c r="D297" s="102"/>
      <c r="E297" s="102"/>
      <c r="F297" s="102"/>
      <c r="G297" s="102"/>
      <c r="I297" s="102"/>
      <c r="J297" s="102"/>
      <c r="K297" s="102"/>
    </row>
    <row r="298" spans="2:11" ht="15.75" customHeight="1" thickBot="1" x14ac:dyDescent="0.25">
      <c r="B298" s="102"/>
      <c r="C298" s="103"/>
      <c r="D298" s="102"/>
      <c r="E298" s="102"/>
      <c r="F298" s="102"/>
      <c r="G298" s="102"/>
      <c r="I298" s="102"/>
      <c r="J298" s="102"/>
      <c r="K298" s="102"/>
    </row>
    <row r="299" spans="2:11" ht="15.75" customHeight="1" thickBot="1" x14ac:dyDescent="0.25">
      <c r="B299" s="102"/>
      <c r="C299" s="103"/>
      <c r="D299" s="102"/>
      <c r="E299" s="102"/>
      <c r="F299" s="102"/>
      <c r="G299" s="102"/>
      <c r="I299" s="102"/>
      <c r="J299" s="102"/>
      <c r="K299" s="102"/>
    </row>
    <row r="300" spans="2:11" ht="15.75" customHeight="1" thickBot="1" x14ac:dyDescent="0.25">
      <c r="B300" s="102"/>
      <c r="C300" s="103"/>
      <c r="D300" s="102"/>
      <c r="E300" s="102"/>
      <c r="F300" s="102"/>
      <c r="G300" s="102"/>
      <c r="I300" s="102"/>
      <c r="J300" s="102"/>
      <c r="K300" s="102"/>
    </row>
    <row r="301" spans="2:11" ht="15.75" customHeight="1" thickBot="1" x14ac:dyDescent="0.25">
      <c r="B301" s="102"/>
      <c r="C301" s="103"/>
      <c r="D301" s="102"/>
      <c r="E301" s="102"/>
      <c r="F301" s="102"/>
      <c r="G301" s="102"/>
      <c r="I301" s="102"/>
      <c r="J301" s="102"/>
      <c r="K301" s="102"/>
    </row>
    <row r="302" spans="2:11" ht="15.75" customHeight="1" thickBot="1" x14ac:dyDescent="0.25">
      <c r="B302" s="102"/>
      <c r="C302" s="103"/>
      <c r="D302" s="102"/>
      <c r="E302" s="102"/>
      <c r="F302" s="102"/>
      <c r="G302" s="102"/>
      <c r="I302" s="102"/>
      <c r="J302" s="102"/>
      <c r="K302" s="102"/>
    </row>
    <row r="303" spans="2:11" ht="15.75" customHeight="1" thickBot="1" x14ac:dyDescent="0.25">
      <c r="B303" s="102"/>
      <c r="C303" s="103"/>
      <c r="D303" s="102"/>
      <c r="E303" s="102"/>
      <c r="F303" s="102"/>
      <c r="G303" s="102"/>
      <c r="I303" s="102"/>
      <c r="J303" s="102"/>
      <c r="K303" s="102"/>
    </row>
    <row r="304" spans="2:11" ht="15.75" customHeight="1" thickBot="1" x14ac:dyDescent="0.25">
      <c r="B304" s="102"/>
      <c r="C304" s="103"/>
      <c r="D304" s="102"/>
      <c r="E304" s="102"/>
      <c r="F304" s="102"/>
      <c r="G304" s="102"/>
      <c r="I304" s="102"/>
      <c r="J304" s="102"/>
      <c r="K304" s="102"/>
    </row>
    <row r="305" spans="2:11" ht="15.75" customHeight="1" thickBot="1" x14ac:dyDescent="0.25">
      <c r="B305" s="102"/>
      <c r="C305" s="103"/>
      <c r="D305" s="102"/>
      <c r="E305" s="102"/>
      <c r="F305" s="102"/>
      <c r="G305" s="102"/>
      <c r="I305" s="102"/>
      <c r="J305" s="102"/>
      <c r="K305" s="102"/>
    </row>
    <row r="306" spans="2:11" ht="15.75" customHeight="1" thickBot="1" x14ac:dyDescent="0.25">
      <c r="B306" s="102"/>
      <c r="C306" s="103"/>
      <c r="D306" s="102"/>
      <c r="E306" s="102"/>
      <c r="F306" s="102"/>
      <c r="G306" s="102"/>
      <c r="I306" s="102"/>
      <c r="J306" s="102"/>
      <c r="K306" s="102"/>
    </row>
    <row r="307" spans="2:11" ht="15.75" customHeight="1" thickBot="1" x14ac:dyDescent="0.25">
      <c r="B307" s="102"/>
      <c r="C307" s="103"/>
      <c r="D307" s="102"/>
      <c r="E307" s="102"/>
      <c r="F307" s="102"/>
      <c r="G307" s="102"/>
      <c r="I307" s="102"/>
      <c r="J307" s="102"/>
      <c r="K307" s="102"/>
    </row>
    <row r="308" spans="2:11" ht="15.75" customHeight="1" thickBot="1" x14ac:dyDescent="0.25">
      <c r="B308" s="102"/>
      <c r="C308" s="103"/>
      <c r="D308" s="102"/>
      <c r="E308" s="102"/>
      <c r="F308" s="102"/>
      <c r="G308" s="102"/>
      <c r="I308" s="102"/>
      <c r="J308" s="102"/>
      <c r="K308" s="102"/>
    </row>
    <row r="309" spans="2:11" ht="15.75" customHeight="1" thickBot="1" x14ac:dyDescent="0.25">
      <c r="B309" s="102"/>
      <c r="C309" s="103"/>
      <c r="D309" s="102"/>
      <c r="E309" s="102"/>
      <c r="F309" s="102"/>
      <c r="G309" s="102"/>
      <c r="I309" s="102"/>
      <c r="J309" s="102"/>
      <c r="K309" s="102"/>
    </row>
    <row r="310" spans="2:11" ht="15.75" customHeight="1" thickBot="1" x14ac:dyDescent="0.25">
      <c r="B310" s="102"/>
      <c r="C310" s="103"/>
      <c r="D310" s="102"/>
      <c r="E310" s="102"/>
      <c r="F310" s="102"/>
      <c r="G310" s="102"/>
      <c r="I310" s="102"/>
      <c r="J310" s="102"/>
      <c r="K310" s="102"/>
    </row>
    <row r="311" spans="2:11" ht="15.75" customHeight="1" thickBot="1" x14ac:dyDescent="0.25">
      <c r="B311" s="102"/>
      <c r="C311" s="103"/>
      <c r="D311" s="102"/>
      <c r="E311" s="102"/>
      <c r="F311" s="102"/>
      <c r="G311" s="102"/>
      <c r="I311" s="102"/>
      <c r="J311" s="102"/>
      <c r="K311" s="102"/>
    </row>
    <row r="312" spans="2:11" ht="15.75" customHeight="1" thickBot="1" x14ac:dyDescent="0.25">
      <c r="B312" s="102"/>
      <c r="C312" s="103"/>
      <c r="D312" s="102"/>
      <c r="E312" s="102"/>
      <c r="F312" s="102"/>
      <c r="G312" s="102"/>
      <c r="I312" s="102"/>
      <c r="J312" s="102"/>
      <c r="K312" s="102"/>
    </row>
    <row r="313" spans="2:11" ht="15.75" customHeight="1" thickBot="1" x14ac:dyDescent="0.25">
      <c r="B313" s="102"/>
      <c r="C313" s="103"/>
      <c r="D313" s="102"/>
      <c r="E313" s="102"/>
      <c r="F313" s="102"/>
      <c r="G313" s="102"/>
      <c r="I313" s="102"/>
      <c r="J313" s="102"/>
      <c r="K313" s="102"/>
    </row>
    <row r="314" spans="2:11" ht="15.75" customHeight="1" thickBot="1" x14ac:dyDescent="0.25">
      <c r="B314" s="102"/>
      <c r="C314" s="103"/>
      <c r="D314" s="102"/>
      <c r="E314" s="102"/>
      <c r="F314" s="102"/>
      <c r="G314" s="102"/>
      <c r="I314" s="102"/>
      <c r="J314" s="102"/>
      <c r="K314" s="102"/>
    </row>
    <row r="315" spans="2:11" ht="15.75" customHeight="1" thickBot="1" x14ac:dyDescent="0.25">
      <c r="B315" s="102"/>
      <c r="C315" s="103"/>
      <c r="D315" s="102"/>
      <c r="E315" s="102"/>
      <c r="F315" s="102"/>
      <c r="G315" s="102"/>
      <c r="I315" s="102"/>
      <c r="J315" s="102"/>
      <c r="K315" s="102"/>
    </row>
    <row r="316" spans="2:11" ht="15.75" customHeight="1" thickBot="1" x14ac:dyDescent="0.25">
      <c r="B316" s="102"/>
      <c r="C316" s="103"/>
      <c r="D316" s="102"/>
      <c r="E316" s="102"/>
      <c r="F316" s="102"/>
      <c r="G316" s="102"/>
      <c r="I316" s="102"/>
      <c r="J316" s="102"/>
      <c r="K316" s="102"/>
    </row>
    <row r="317" spans="2:11" ht="15.75" customHeight="1" thickBot="1" x14ac:dyDescent="0.25">
      <c r="B317" s="102"/>
      <c r="C317" s="103"/>
      <c r="D317" s="102"/>
      <c r="E317" s="102"/>
      <c r="F317" s="102"/>
      <c r="G317" s="102"/>
      <c r="I317" s="102"/>
      <c r="J317" s="102"/>
      <c r="K317" s="102"/>
    </row>
    <row r="318" spans="2:11" ht="15.75" customHeight="1" thickBot="1" x14ac:dyDescent="0.25">
      <c r="B318" s="102"/>
      <c r="C318" s="103"/>
      <c r="D318" s="102"/>
      <c r="E318" s="102"/>
      <c r="F318" s="102"/>
      <c r="G318" s="102"/>
      <c r="I318" s="102"/>
      <c r="J318" s="102"/>
      <c r="K318" s="102"/>
    </row>
    <row r="319" spans="2:11" ht="15.75" customHeight="1" thickBot="1" x14ac:dyDescent="0.25">
      <c r="B319" s="102"/>
      <c r="C319" s="103"/>
      <c r="D319" s="102"/>
      <c r="E319" s="102"/>
      <c r="F319" s="102"/>
      <c r="G319" s="102"/>
      <c r="I319" s="102"/>
      <c r="J319" s="102"/>
      <c r="K319" s="102"/>
    </row>
    <row r="320" spans="2:11" ht="15.75" customHeight="1" thickBot="1" x14ac:dyDescent="0.25">
      <c r="B320" s="102"/>
      <c r="C320" s="103"/>
      <c r="D320" s="102"/>
      <c r="E320" s="102"/>
      <c r="F320" s="102"/>
      <c r="G320" s="102"/>
      <c r="I320" s="102"/>
      <c r="J320" s="102"/>
      <c r="K320" s="102"/>
    </row>
    <row r="321" spans="2:11" ht="15.75" customHeight="1" thickBot="1" x14ac:dyDescent="0.25">
      <c r="B321" s="102"/>
      <c r="C321" s="103"/>
      <c r="D321" s="102"/>
      <c r="E321" s="102"/>
      <c r="F321" s="102"/>
      <c r="G321" s="102"/>
      <c r="I321" s="102"/>
      <c r="J321" s="102"/>
      <c r="K321" s="102"/>
    </row>
    <row r="322" spans="2:11" ht="15.75" customHeight="1" thickBot="1" x14ac:dyDescent="0.25">
      <c r="B322" s="102"/>
      <c r="C322" s="103"/>
      <c r="D322" s="102"/>
      <c r="E322" s="102"/>
      <c r="F322" s="102"/>
      <c r="G322" s="102"/>
      <c r="I322" s="102"/>
      <c r="J322" s="102"/>
      <c r="K322" s="102"/>
    </row>
    <row r="323" spans="2:11" ht="15.75" customHeight="1" thickBot="1" x14ac:dyDescent="0.25">
      <c r="B323" s="102"/>
      <c r="C323" s="103"/>
      <c r="D323" s="102"/>
      <c r="E323" s="102"/>
      <c r="F323" s="102"/>
      <c r="G323" s="102"/>
      <c r="I323" s="102"/>
      <c r="J323" s="102"/>
      <c r="K323" s="102"/>
    </row>
    <row r="324" spans="2:11" ht="15.75" customHeight="1" thickBot="1" x14ac:dyDescent="0.25">
      <c r="B324" s="102"/>
      <c r="C324" s="103"/>
      <c r="D324" s="102"/>
      <c r="E324" s="102"/>
      <c r="F324" s="102"/>
      <c r="G324" s="102"/>
      <c r="I324" s="102"/>
      <c r="J324" s="102"/>
      <c r="K324" s="102"/>
    </row>
    <row r="325" spans="2:11" ht="15.75" customHeight="1" thickBot="1" x14ac:dyDescent="0.25">
      <c r="B325" s="102"/>
      <c r="C325" s="103"/>
      <c r="D325" s="102"/>
      <c r="E325" s="102"/>
      <c r="F325" s="102"/>
      <c r="G325" s="102"/>
      <c r="I325" s="102"/>
      <c r="J325" s="102"/>
      <c r="K325" s="102"/>
    </row>
    <row r="326" spans="2:11" ht="15.75" customHeight="1" thickBot="1" x14ac:dyDescent="0.25">
      <c r="B326" s="102"/>
      <c r="C326" s="103"/>
      <c r="D326" s="102"/>
      <c r="E326" s="102"/>
      <c r="F326" s="102"/>
      <c r="G326" s="102"/>
      <c r="I326" s="102"/>
      <c r="J326" s="102"/>
      <c r="K326" s="102"/>
    </row>
    <row r="327" spans="2:11" ht="15.75" customHeight="1" thickBot="1" x14ac:dyDescent="0.25">
      <c r="B327" s="102"/>
      <c r="C327" s="103"/>
      <c r="D327" s="102"/>
      <c r="E327" s="102"/>
      <c r="F327" s="102"/>
      <c r="G327" s="102"/>
      <c r="I327" s="102"/>
      <c r="J327" s="102"/>
      <c r="K327" s="102"/>
    </row>
    <row r="328" spans="2:11" ht="15.75" customHeight="1" thickBot="1" x14ac:dyDescent="0.25">
      <c r="B328" s="102"/>
      <c r="C328" s="103"/>
      <c r="D328" s="102"/>
      <c r="E328" s="102"/>
      <c r="F328" s="102"/>
      <c r="G328" s="102"/>
      <c r="I328" s="102"/>
      <c r="J328" s="102"/>
      <c r="K328" s="102"/>
    </row>
    <row r="329" spans="2:11" ht="15.75" customHeight="1" thickBot="1" x14ac:dyDescent="0.25">
      <c r="B329" s="102"/>
      <c r="C329" s="103"/>
      <c r="D329" s="102"/>
      <c r="E329" s="102"/>
      <c r="F329" s="102"/>
      <c r="G329" s="102"/>
      <c r="I329" s="102"/>
      <c r="J329" s="102"/>
      <c r="K329" s="102"/>
    </row>
    <row r="330" spans="2:11" ht="15.75" customHeight="1" thickBot="1" x14ac:dyDescent="0.25">
      <c r="B330" s="102"/>
      <c r="C330" s="103"/>
      <c r="D330" s="102"/>
      <c r="E330" s="102"/>
      <c r="F330" s="102"/>
      <c r="G330" s="102"/>
      <c r="I330" s="102"/>
      <c r="J330" s="102"/>
      <c r="K330" s="102"/>
    </row>
    <row r="331" spans="2:11" ht="15.75" customHeight="1" thickBot="1" x14ac:dyDescent="0.25">
      <c r="B331" s="102"/>
      <c r="C331" s="103"/>
      <c r="D331" s="102"/>
      <c r="E331" s="102"/>
      <c r="F331" s="102"/>
      <c r="G331" s="102"/>
      <c r="I331" s="102"/>
      <c r="J331" s="102"/>
      <c r="K331" s="102"/>
    </row>
    <row r="332" spans="2:11" ht="15.75" customHeight="1" thickBot="1" x14ac:dyDescent="0.25">
      <c r="B332" s="102"/>
      <c r="C332" s="103"/>
      <c r="D332" s="102"/>
      <c r="E332" s="102"/>
      <c r="F332" s="102"/>
      <c r="G332" s="102"/>
      <c r="I332" s="102"/>
      <c r="J332" s="102"/>
      <c r="K332" s="102"/>
    </row>
    <row r="333" spans="2:11" ht="15.75" customHeight="1" thickBot="1" x14ac:dyDescent="0.25">
      <c r="B333" s="102"/>
      <c r="C333" s="103"/>
      <c r="D333" s="102"/>
      <c r="E333" s="102"/>
      <c r="F333" s="102"/>
      <c r="G333" s="102"/>
      <c r="I333" s="102"/>
      <c r="J333" s="102"/>
      <c r="K333" s="102"/>
    </row>
    <row r="334" spans="2:11" ht="15.75" customHeight="1" thickBot="1" x14ac:dyDescent="0.25">
      <c r="B334" s="102"/>
      <c r="C334" s="103"/>
      <c r="D334" s="102"/>
      <c r="E334" s="102"/>
      <c r="F334" s="102"/>
      <c r="G334" s="102"/>
      <c r="I334" s="102"/>
      <c r="J334" s="102"/>
      <c r="K334" s="102"/>
    </row>
    <row r="335" spans="2:11" ht="15.75" customHeight="1" thickBot="1" x14ac:dyDescent="0.25">
      <c r="B335" s="102"/>
      <c r="C335" s="103"/>
      <c r="D335" s="102"/>
      <c r="E335" s="102"/>
      <c r="F335" s="102"/>
      <c r="G335" s="102"/>
      <c r="I335" s="102"/>
      <c r="J335" s="102"/>
      <c r="K335" s="102"/>
    </row>
    <row r="336" spans="2:11" ht="15.75" customHeight="1" thickBot="1" x14ac:dyDescent="0.25">
      <c r="B336" s="102"/>
      <c r="C336" s="103"/>
      <c r="D336" s="102"/>
      <c r="E336" s="102"/>
      <c r="F336" s="102"/>
      <c r="G336" s="102"/>
      <c r="I336" s="102"/>
      <c r="J336" s="102"/>
      <c r="K336" s="102"/>
    </row>
    <row r="337" spans="2:11" ht="15.75" customHeight="1" thickBot="1" x14ac:dyDescent="0.25">
      <c r="B337" s="102"/>
      <c r="C337" s="103"/>
      <c r="D337" s="102"/>
      <c r="E337" s="102"/>
      <c r="F337" s="102"/>
      <c r="G337" s="102"/>
      <c r="I337" s="102"/>
      <c r="J337" s="102"/>
      <c r="K337" s="102"/>
    </row>
    <row r="338" spans="2:11" ht="15.75" customHeight="1" thickBot="1" x14ac:dyDescent="0.25">
      <c r="B338" s="102"/>
      <c r="C338" s="103"/>
      <c r="D338" s="102"/>
      <c r="E338" s="102"/>
      <c r="F338" s="102"/>
      <c r="G338" s="102"/>
      <c r="I338" s="102"/>
      <c r="J338" s="102"/>
      <c r="K338" s="102"/>
    </row>
    <row r="339" spans="2:11" ht="15.75" customHeight="1" thickBot="1" x14ac:dyDescent="0.25">
      <c r="B339" s="102"/>
      <c r="C339" s="103"/>
      <c r="D339" s="102"/>
      <c r="E339" s="102"/>
      <c r="F339" s="102"/>
      <c r="G339" s="102"/>
      <c r="I339" s="102"/>
      <c r="J339" s="102"/>
      <c r="K339" s="102"/>
    </row>
    <row r="340" spans="2:11" ht="15.75" customHeight="1" thickBot="1" x14ac:dyDescent="0.25">
      <c r="B340" s="102"/>
      <c r="C340" s="103"/>
      <c r="D340" s="102"/>
      <c r="E340" s="102"/>
      <c r="F340" s="102"/>
      <c r="G340" s="102"/>
      <c r="I340" s="102"/>
      <c r="J340" s="102"/>
      <c r="K340" s="102"/>
    </row>
    <row r="341" spans="2:11" ht="15.75" customHeight="1" thickBot="1" x14ac:dyDescent="0.25">
      <c r="B341" s="102"/>
      <c r="C341" s="103"/>
      <c r="D341" s="102"/>
      <c r="E341" s="102"/>
      <c r="F341" s="102"/>
      <c r="G341" s="102"/>
      <c r="I341" s="102"/>
      <c r="J341" s="102"/>
      <c r="K341" s="102"/>
    </row>
    <row r="342" spans="2:11" ht="15.75" customHeight="1" thickBot="1" x14ac:dyDescent="0.25">
      <c r="B342" s="102"/>
      <c r="C342" s="103"/>
      <c r="D342" s="102"/>
      <c r="E342" s="102"/>
      <c r="F342" s="102"/>
      <c r="G342" s="102"/>
      <c r="I342" s="102"/>
      <c r="J342" s="102"/>
      <c r="K342" s="102"/>
    </row>
    <row r="343" spans="2:11" ht="15.75" customHeight="1" thickBot="1" x14ac:dyDescent="0.25">
      <c r="B343" s="102"/>
      <c r="C343" s="103"/>
      <c r="D343" s="102"/>
      <c r="E343" s="102"/>
      <c r="F343" s="102"/>
      <c r="G343" s="102"/>
      <c r="I343" s="102"/>
      <c r="J343" s="102"/>
      <c r="K343" s="102"/>
    </row>
    <row r="344" spans="2:11" ht="15.75" customHeight="1" thickBot="1" x14ac:dyDescent="0.25">
      <c r="B344" s="102"/>
      <c r="C344" s="103"/>
      <c r="D344" s="102"/>
      <c r="E344" s="102"/>
      <c r="F344" s="102"/>
      <c r="G344" s="102"/>
      <c r="I344" s="102"/>
      <c r="J344" s="102"/>
      <c r="K344" s="102"/>
    </row>
    <row r="345" spans="2:11" ht="15.75" customHeight="1" thickBot="1" x14ac:dyDescent="0.25">
      <c r="B345" s="102"/>
      <c r="C345" s="103"/>
      <c r="D345" s="102"/>
      <c r="E345" s="102"/>
      <c r="F345" s="102"/>
      <c r="G345" s="102"/>
      <c r="I345" s="102"/>
      <c r="J345" s="102"/>
      <c r="K345" s="102"/>
    </row>
    <row r="346" spans="2:11" ht="15.75" customHeight="1" thickBot="1" x14ac:dyDescent="0.25">
      <c r="B346" s="102"/>
      <c r="C346" s="103"/>
      <c r="D346" s="102"/>
      <c r="E346" s="102"/>
      <c r="F346" s="102"/>
      <c r="G346" s="102"/>
      <c r="I346" s="102"/>
      <c r="J346" s="102"/>
      <c r="K346" s="102"/>
    </row>
    <row r="347" spans="2:11" ht="15.75" customHeight="1" thickBot="1" x14ac:dyDescent="0.25">
      <c r="B347" s="102"/>
      <c r="C347" s="103"/>
      <c r="D347" s="102"/>
      <c r="E347" s="102"/>
      <c r="F347" s="102"/>
      <c r="G347" s="102"/>
      <c r="I347" s="102"/>
      <c r="J347" s="102"/>
      <c r="K347" s="102"/>
    </row>
    <row r="348" spans="2:11" ht="15.75" customHeight="1" thickBot="1" x14ac:dyDescent="0.25">
      <c r="B348" s="102"/>
      <c r="C348" s="103"/>
      <c r="D348" s="102"/>
      <c r="E348" s="102"/>
      <c r="F348" s="102"/>
      <c r="G348" s="102"/>
      <c r="I348" s="102"/>
      <c r="J348" s="102"/>
      <c r="K348" s="102"/>
    </row>
    <row r="349" spans="2:11" ht="15.75" customHeight="1" thickBot="1" x14ac:dyDescent="0.25">
      <c r="B349" s="102"/>
      <c r="C349" s="103"/>
      <c r="D349" s="102"/>
      <c r="E349" s="102"/>
      <c r="F349" s="102"/>
      <c r="G349" s="102"/>
      <c r="I349" s="102"/>
      <c r="J349" s="102"/>
      <c r="K349" s="102"/>
    </row>
    <row r="350" spans="2:11" ht="15.75" customHeight="1" thickBot="1" x14ac:dyDescent="0.25">
      <c r="B350" s="102"/>
      <c r="C350" s="103"/>
      <c r="D350" s="102"/>
      <c r="E350" s="102"/>
      <c r="F350" s="102"/>
      <c r="G350" s="102"/>
      <c r="I350" s="102"/>
      <c r="J350" s="102"/>
      <c r="K350" s="102"/>
    </row>
    <row r="351" spans="2:11" ht="15.75" customHeight="1" thickBot="1" x14ac:dyDescent="0.25">
      <c r="B351" s="102"/>
      <c r="C351" s="103"/>
      <c r="D351" s="102"/>
      <c r="E351" s="102"/>
      <c r="F351" s="102"/>
      <c r="G351" s="102"/>
      <c r="I351" s="102"/>
      <c r="J351" s="102"/>
      <c r="K351" s="102"/>
    </row>
    <row r="352" spans="2:11" ht="15.75" customHeight="1" thickBot="1" x14ac:dyDescent="0.25">
      <c r="B352" s="102"/>
      <c r="C352" s="103"/>
      <c r="D352" s="102"/>
      <c r="E352" s="102"/>
      <c r="F352" s="102"/>
      <c r="G352" s="102"/>
      <c r="I352" s="102"/>
      <c r="J352" s="102"/>
      <c r="K352" s="102"/>
    </row>
    <row r="353" spans="2:11" ht="15.75" customHeight="1" thickBot="1" x14ac:dyDescent="0.25">
      <c r="B353" s="102"/>
      <c r="C353" s="103"/>
      <c r="D353" s="102"/>
      <c r="E353" s="102"/>
      <c r="F353" s="102"/>
      <c r="G353" s="102"/>
      <c r="I353" s="102"/>
      <c r="J353" s="102"/>
      <c r="K353" s="102"/>
    </row>
    <row r="354" spans="2:11" ht="15.75" customHeight="1" thickBot="1" x14ac:dyDescent="0.25">
      <c r="B354" s="102"/>
      <c r="C354" s="103"/>
      <c r="D354" s="102"/>
      <c r="E354" s="102"/>
      <c r="F354" s="102"/>
      <c r="G354" s="102"/>
      <c r="I354" s="102"/>
      <c r="J354" s="102"/>
      <c r="K354" s="102"/>
    </row>
    <row r="355" spans="2:11" ht="15.75" customHeight="1" thickBot="1" x14ac:dyDescent="0.25">
      <c r="B355" s="102"/>
      <c r="C355" s="103"/>
      <c r="D355" s="102"/>
      <c r="E355" s="102"/>
      <c r="F355" s="102"/>
      <c r="G355" s="102"/>
      <c r="I355" s="102"/>
      <c r="J355" s="102"/>
      <c r="K355" s="102"/>
    </row>
    <row r="356" spans="2:11" ht="15.75" customHeight="1" thickBot="1" x14ac:dyDescent="0.25">
      <c r="B356" s="102"/>
      <c r="C356" s="103"/>
      <c r="D356" s="102"/>
      <c r="E356" s="102"/>
      <c r="F356" s="102"/>
      <c r="G356" s="102"/>
      <c r="I356" s="102"/>
      <c r="J356" s="102"/>
      <c r="K356" s="102"/>
    </row>
    <row r="357" spans="2:11" ht="15.75" customHeight="1" thickBot="1" x14ac:dyDescent="0.25">
      <c r="B357" s="102"/>
      <c r="C357" s="103"/>
      <c r="D357" s="102"/>
      <c r="E357" s="102"/>
      <c r="F357" s="102"/>
      <c r="G357" s="102"/>
      <c r="I357" s="102"/>
      <c r="J357" s="102"/>
      <c r="K357" s="102"/>
    </row>
    <row r="358" spans="2:11" ht="15.75" customHeight="1" thickBot="1" x14ac:dyDescent="0.25">
      <c r="B358" s="102"/>
      <c r="C358" s="103"/>
      <c r="D358" s="102"/>
      <c r="E358" s="102"/>
      <c r="F358" s="102"/>
      <c r="G358" s="102"/>
      <c r="I358" s="102"/>
      <c r="J358" s="102"/>
      <c r="K358" s="102"/>
    </row>
    <row r="359" spans="2:11" ht="15.75" customHeight="1" thickBot="1" x14ac:dyDescent="0.25">
      <c r="B359" s="102"/>
      <c r="C359" s="103"/>
      <c r="D359" s="102"/>
      <c r="E359" s="102"/>
      <c r="F359" s="102"/>
      <c r="G359" s="102"/>
      <c r="I359" s="102"/>
      <c r="J359" s="102"/>
      <c r="K359" s="102"/>
    </row>
    <row r="360" spans="2:11" ht="15.75" customHeight="1" thickBot="1" x14ac:dyDescent="0.25">
      <c r="B360" s="102"/>
      <c r="C360" s="103"/>
      <c r="D360" s="102"/>
      <c r="E360" s="102"/>
      <c r="F360" s="102"/>
      <c r="G360" s="102"/>
      <c r="I360" s="102"/>
      <c r="J360" s="102"/>
      <c r="K360" s="102"/>
    </row>
    <row r="361" spans="2:11" ht="15.75" customHeight="1" thickBot="1" x14ac:dyDescent="0.25">
      <c r="B361" s="102"/>
      <c r="C361" s="103"/>
      <c r="D361" s="102"/>
      <c r="E361" s="102"/>
      <c r="F361" s="102"/>
      <c r="G361" s="102"/>
      <c r="I361" s="102"/>
      <c r="J361" s="102"/>
      <c r="K361" s="102"/>
    </row>
    <row r="362" spans="2:11" ht="15.75" customHeight="1" thickBot="1" x14ac:dyDescent="0.25">
      <c r="B362" s="102"/>
      <c r="C362" s="103"/>
      <c r="D362" s="102"/>
      <c r="E362" s="102"/>
      <c r="F362" s="102"/>
      <c r="G362" s="102"/>
      <c r="I362" s="102"/>
      <c r="J362" s="102"/>
      <c r="K362" s="102"/>
    </row>
    <row r="363" spans="2:11" ht="15.75" customHeight="1" thickBot="1" x14ac:dyDescent="0.25">
      <c r="B363" s="102"/>
      <c r="C363" s="103"/>
      <c r="D363" s="102"/>
      <c r="E363" s="102"/>
      <c r="F363" s="102"/>
      <c r="G363" s="102"/>
      <c r="I363" s="102"/>
      <c r="J363" s="102"/>
      <c r="K363" s="102"/>
    </row>
    <row r="364" spans="2:11" ht="15.75" customHeight="1" thickBot="1" x14ac:dyDescent="0.25">
      <c r="B364" s="102"/>
      <c r="C364" s="103"/>
      <c r="D364" s="102"/>
      <c r="E364" s="102"/>
      <c r="F364" s="102"/>
      <c r="G364" s="102"/>
      <c r="I364" s="102"/>
      <c r="J364" s="102"/>
      <c r="K364" s="102"/>
    </row>
    <row r="365" spans="2:11" ht="15.75" customHeight="1" thickBot="1" x14ac:dyDescent="0.25">
      <c r="B365" s="102"/>
      <c r="C365" s="103"/>
      <c r="D365" s="102"/>
      <c r="E365" s="102"/>
      <c r="F365" s="102"/>
      <c r="G365" s="102"/>
      <c r="I365" s="102"/>
      <c r="J365" s="102"/>
      <c r="K365" s="102"/>
    </row>
    <row r="366" spans="2:11" ht="15.75" customHeight="1" thickBot="1" x14ac:dyDescent="0.25">
      <c r="B366" s="102"/>
      <c r="C366" s="103"/>
      <c r="D366" s="102"/>
      <c r="E366" s="102"/>
      <c r="F366" s="102"/>
      <c r="G366" s="102"/>
      <c r="I366" s="102"/>
      <c r="J366" s="102"/>
      <c r="K366" s="102"/>
    </row>
    <row r="367" spans="2:11" ht="15.75" customHeight="1" thickBot="1" x14ac:dyDescent="0.25">
      <c r="B367" s="102"/>
      <c r="C367" s="103"/>
      <c r="D367" s="102"/>
      <c r="E367" s="102"/>
      <c r="F367" s="102"/>
      <c r="G367" s="102"/>
      <c r="I367" s="102"/>
      <c r="J367" s="102"/>
      <c r="K367" s="102"/>
    </row>
    <row r="368" spans="2:11" ht="15.75" customHeight="1" thickBot="1" x14ac:dyDescent="0.25">
      <c r="B368" s="102"/>
      <c r="C368" s="103"/>
      <c r="D368" s="102"/>
      <c r="E368" s="102"/>
      <c r="F368" s="102"/>
      <c r="G368" s="102"/>
      <c r="I368" s="102"/>
      <c r="J368" s="102"/>
      <c r="K368" s="102"/>
    </row>
    <row r="369" spans="2:11" ht="15.75" customHeight="1" thickBot="1" x14ac:dyDescent="0.25">
      <c r="B369" s="102"/>
      <c r="C369" s="103"/>
      <c r="D369" s="102"/>
      <c r="E369" s="102"/>
      <c r="F369" s="102"/>
      <c r="G369" s="102"/>
      <c r="I369" s="102"/>
      <c r="J369" s="102"/>
      <c r="K369" s="102"/>
    </row>
    <row r="370" spans="2:11" ht="15.75" customHeight="1" thickBot="1" x14ac:dyDescent="0.25">
      <c r="B370" s="102"/>
      <c r="C370" s="103"/>
      <c r="D370" s="102"/>
      <c r="E370" s="102"/>
      <c r="F370" s="102"/>
      <c r="G370" s="102"/>
      <c r="I370" s="102"/>
      <c r="J370" s="102"/>
      <c r="K370" s="102"/>
    </row>
    <row r="371" spans="2:11" ht="15.75" customHeight="1" thickBot="1" x14ac:dyDescent="0.25">
      <c r="B371" s="102"/>
      <c r="C371" s="103"/>
      <c r="D371" s="102"/>
      <c r="E371" s="102"/>
      <c r="F371" s="102"/>
      <c r="G371" s="102"/>
      <c r="I371" s="102"/>
      <c r="J371" s="102"/>
      <c r="K371" s="102"/>
    </row>
    <row r="372" spans="2:11" ht="15.75" customHeight="1" thickBot="1" x14ac:dyDescent="0.25">
      <c r="B372" s="102"/>
      <c r="C372" s="103"/>
      <c r="D372" s="102"/>
      <c r="E372" s="102"/>
      <c r="F372" s="102"/>
      <c r="G372" s="102"/>
      <c r="I372" s="102"/>
      <c r="J372" s="102"/>
      <c r="K372" s="102"/>
    </row>
    <row r="373" spans="2:11" ht="15.75" customHeight="1" thickBot="1" x14ac:dyDescent="0.25">
      <c r="B373" s="102"/>
      <c r="C373" s="103"/>
      <c r="D373" s="102"/>
      <c r="E373" s="102"/>
      <c r="F373" s="102"/>
      <c r="G373" s="102"/>
      <c r="I373" s="102"/>
      <c r="J373" s="102"/>
      <c r="K373" s="102"/>
    </row>
    <row r="374" spans="2:11" ht="15.75" customHeight="1" thickBot="1" x14ac:dyDescent="0.25">
      <c r="B374" s="102"/>
      <c r="C374" s="103"/>
      <c r="D374" s="102"/>
      <c r="E374" s="102"/>
      <c r="F374" s="102"/>
      <c r="G374" s="102"/>
      <c r="I374" s="102"/>
      <c r="J374" s="102"/>
      <c r="K374" s="102"/>
    </row>
    <row r="375" spans="2:11" ht="15.75" customHeight="1" thickBot="1" x14ac:dyDescent="0.25">
      <c r="B375" s="102"/>
      <c r="C375" s="103"/>
      <c r="D375" s="102"/>
      <c r="E375" s="102"/>
      <c r="F375" s="102"/>
      <c r="G375" s="102"/>
      <c r="I375" s="102"/>
      <c r="J375" s="102"/>
      <c r="K375" s="102"/>
    </row>
    <row r="376" spans="2:11" ht="15.75" customHeight="1" thickBot="1" x14ac:dyDescent="0.25">
      <c r="B376" s="102"/>
      <c r="C376" s="103"/>
      <c r="D376" s="102"/>
      <c r="E376" s="102"/>
      <c r="F376" s="102"/>
      <c r="G376" s="102"/>
      <c r="I376" s="102"/>
      <c r="J376" s="102"/>
      <c r="K376" s="102"/>
    </row>
    <row r="377" spans="2:11" ht="15.75" customHeight="1" thickBot="1" x14ac:dyDescent="0.25">
      <c r="B377" s="102"/>
      <c r="C377" s="103"/>
      <c r="D377" s="102"/>
      <c r="E377" s="102"/>
      <c r="F377" s="102"/>
      <c r="G377" s="102"/>
      <c r="I377" s="102"/>
      <c r="J377" s="102"/>
      <c r="K377" s="102"/>
    </row>
    <row r="378" spans="2:11" ht="15.75" customHeight="1" thickBot="1" x14ac:dyDescent="0.25">
      <c r="B378" s="102"/>
      <c r="C378" s="103"/>
      <c r="D378" s="102"/>
      <c r="E378" s="102"/>
      <c r="F378" s="102"/>
      <c r="G378" s="102"/>
      <c r="I378" s="102"/>
      <c r="J378" s="102"/>
      <c r="K378" s="102"/>
    </row>
    <row r="379" spans="2:11" ht="15.75" customHeight="1" thickBot="1" x14ac:dyDescent="0.25">
      <c r="B379" s="102"/>
      <c r="C379" s="103"/>
      <c r="D379" s="102"/>
      <c r="E379" s="102"/>
      <c r="F379" s="102"/>
      <c r="G379" s="102"/>
      <c r="I379" s="102"/>
      <c r="J379" s="102"/>
      <c r="K379" s="102"/>
    </row>
    <row r="380" spans="2:11" ht="15.75" customHeight="1" thickBot="1" x14ac:dyDescent="0.25">
      <c r="B380" s="102"/>
      <c r="C380" s="103"/>
      <c r="D380" s="102"/>
      <c r="E380" s="102"/>
      <c r="F380" s="102"/>
      <c r="G380" s="102"/>
      <c r="I380" s="102"/>
      <c r="J380" s="102"/>
      <c r="K380" s="102"/>
    </row>
    <row r="381" spans="2:11" ht="15.75" customHeight="1" thickBot="1" x14ac:dyDescent="0.25">
      <c r="B381" s="102"/>
      <c r="C381" s="103"/>
      <c r="D381" s="102"/>
      <c r="E381" s="102"/>
      <c r="F381" s="102"/>
      <c r="G381" s="102"/>
      <c r="I381" s="102"/>
      <c r="J381" s="102"/>
      <c r="K381" s="102"/>
    </row>
    <row r="382" spans="2:11" ht="15.75" customHeight="1" thickBot="1" x14ac:dyDescent="0.25">
      <c r="B382" s="102"/>
      <c r="C382" s="103"/>
      <c r="D382" s="102"/>
      <c r="E382" s="102"/>
      <c r="F382" s="102"/>
      <c r="G382" s="102"/>
      <c r="I382" s="102"/>
      <c r="J382" s="102"/>
      <c r="K382" s="102"/>
    </row>
    <row r="383" spans="2:11" ht="15.75" customHeight="1" thickBot="1" x14ac:dyDescent="0.25">
      <c r="B383" s="102"/>
      <c r="C383" s="103"/>
      <c r="D383" s="102"/>
      <c r="E383" s="102"/>
      <c r="F383" s="102"/>
      <c r="G383" s="102"/>
      <c r="I383" s="102"/>
      <c r="J383" s="102"/>
      <c r="K383" s="102"/>
    </row>
    <row r="384" spans="2:11" ht="15.75" customHeight="1" thickBot="1" x14ac:dyDescent="0.25">
      <c r="B384" s="102"/>
      <c r="C384" s="103"/>
      <c r="D384" s="102"/>
      <c r="E384" s="102"/>
      <c r="F384" s="102"/>
      <c r="G384" s="102"/>
      <c r="I384" s="102"/>
      <c r="J384" s="102"/>
      <c r="K384" s="102"/>
    </row>
    <row r="385" spans="2:11" ht="15.75" customHeight="1" thickBot="1" x14ac:dyDescent="0.25">
      <c r="B385" s="102"/>
      <c r="C385" s="103"/>
      <c r="D385" s="102"/>
      <c r="E385" s="102"/>
      <c r="F385" s="102"/>
      <c r="G385" s="102"/>
      <c r="I385" s="102"/>
      <c r="J385" s="102"/>
      <c r="K385" s="102"/>
    </row>
    <row r="386" spans="2:11" ht="15.75" customHeight="1" thickBot="1" x14ac:dyDescent="0.25">
      <c r="B386" s="102"/>
      <c r="C386" s="103"/>
      <c r="D386" s="102"/>
      <c r="E386" s="102"/>
      <c r="F386" s="102"/>
      <c r="G386" s="102"/>
      <c r="I386" s="102"/>
      <c r="J386" s="102"/>
      <c r="K386" s="102"/>
    </row>
    <row r="387" spans="2:11" ht="15.75" customHeight="1" thickBot="1" x14ac:dyDescent="0.25">
      <c r="B387" s="102"/>
      <c r="C387" s="103"/>
      <c r="D387" s="102"/>
      <c r="E387" s="102"/>
      <c r="F387" s="102"/>
      <c r="G387" s="102"/>
      <c r="I387" s="102"/>
      <c r="J387" s="102"/>
      <c r="K387" s="102"/>
    </row>
    <row r="388" spans="2:11" ht="15.75" customHeight="1" thickBot="1" x14ac:dyDescent="0.25">
      <c r="B388" s="102"/>
      <c r="C388" s="103"/>
      <c r="D388" s="102"/>
      <c r="E388" s="102"/>
      <c r="F388" s="102"/>
      <c r="G388" s="102"/>
      <c r="I388" s="102"/>
      <c r="J388" s="102"/>
      <c r="K388" s="102"/>
    </row>
    <row r="389" spans="2:11" ht="15.75" customHeight="1" thickBot="1" x14ac:dyDescent="0.25">
      <c r="B389" s="102"/>
      <c r="C389" s="103"/>
      <c r="D389" s="102"/>
      <c r="E389" s="102"/>
      <c r="F389" s="102"/>
      <c r="G389" s="102"/>
      <c r="I389" s="102"/>
      <c r="J389" s="102"/>
      <c r="K389" s="102"/>
    </row>
    <row r="390" spans="2:11" ht="15.75" customHeight="1" thickBot="1" x14ac:dyDescent="0.25">
      <c r="B390" s="102"/>
      <c r="C390" s="103"/>
      <c r="D390" s="102"/>
      <c r="E390" s="102"/>
      <c r="F390" s="102"/>
      <c r="G390" s="102"/>
      <c r="I390" s="102"/>
      <c r="J390" s="102"/>
      <c r="K390" s="102"/>
    </row>
    <row r="391" spans="2:11" ht="15.75" customHeight="1" thickBot="1" x14ac:dyDescent="0.25">
      <c r="B391" s="102"/>
      <c r="C391" s="103"/>
      <c r="D391" s="102"/>
      <c r="E391" s="102"/>
      <c r="F391" s="102"/>
      <c r="G391" s="102"/>
      <c r="I391" s="102"/>
      <c r="J391" s="102"/>
      <c r="K391" s="102"/>
    </row>
    <row r="392" spans="2:11" ht="15.75" customHeight="1" thickBot="1" x14ac:dyDescent="0.25">
      <c r="B392" s="102"/>
      <c r="C392" s="103"/>
      <c r="D392" s="102"/>
      <c r="E392" s="102"/>
      <c r="F392" s="102"/>
      <c r="G392" s="102"/>
      <c r="I392" s="102"/>
      <c r="J392" s="102"/>
      <c r="K392" s="102"/>
    </row>
    <row r="393" spans="2:11" ht="15.75" customHeight="1" thickBot="1" x14ac:dyDescent="0.25">
      <c r="B393" s="102"/>
      <c r="C393" s="103"/>
      <c r="D393" s="102"/>
      <c r="E393" s="102"/>
      <c r="F393" s="102"/>
      <c r="G393" s="102"/>
      <c r="I393" s="102"/>
      <c r="J393" s="102"/>
      <c r="K393" s="102"/>
    </row>
    <row r="394" spans="2:11" ht="15.75" customHeight="1" thickBot="1" x14ac:dyDescent="0.25">
      <c r="B394" s="102"/>
      <c r="C394" s="103"/>
      <c r="D394" s="102"/>
      <c r="E394" s="102"/>
      <c r="F394" s="102"/>
      <c r="G394" s="102"/>
      <c r="I394" s="102"/>
      <c r="J394" s="102"/>
      <c r="K394" s="102"/>
    </row>
    <row r="395" spans="2:11" ht="15.75" customHeight="1" thickBot="1" x14ac:dyDescent="0.25">
      <c r="B395" s="102"/>
      <c r="C395" s="103"/>
      <c r="D395" s="102"/>
      <c r="E395" s="102"/>
      <c r="F395" s="102"/>
      <c r="G395" s="102"/>
      <c r="I395" s="102"/>
      <c r="J395" s="102"/>
      <c r="K395" s="102"/>
    </row>
    <row r="396" spans="2:11" ht="15.75" customHeight="1" thickBot="1" x14ac:dyDescent="0.25">
      <c r="B396" s="102"/>
      <c r="C396" s="103"/>
      <c r="D396" s="102"/>
      <c r="E396" s="102"/>
      <c r="F396" s="102"/>
      <c r="G396" s="102"/>
      <c r="I396" s="102"/>
      <c r="J396" s="102"/>
      <c r="K396" s="102"/>
    </row>
    <row r="397" spans="2:11" ht="15.75" customHeight="1" thickBot="1" x14ac:dyDescent="0.25">
      <c r="B397" s="102"/>
      <c r="C397" s="103"/>
      <c r="D397" s="102"/>
      <c r="E397" s="102"/>
      <c r="F397" s="102"/>
      <c r="G397" s="102"/>
      <c r="I397" s="102"/>
      <c r="J397" s="102"/>
      <c r="K397" s="102"/>
    </row>
    <row r="398" spans="2:11" ht="15.75" customHeight="1" thickBot="1" x14ac:dyDescent="0.25">
      <c r="B398" s="102"/>
      <c r="C398" s="103"/>
      <c r="D398" s="102"/>
      <c r="E398" s="102"/>
      <c r="F398" s="102"/>
      <c r="G398" s="102"/>
      <c r="I398" s="102"/>
      <c r="J398" s="102"/>
      <c r="K398" s="102"/>
    </row>
    <row r="399" spans="2:11" ht="15.75" customHeight="1" thickBot="1" x14ac:dyDescent="0.25">
      <c r="B399" s="102"/>
      <c r="C399" s="103"/>
      <c r="D399" s="102"/>
      <c r="E399" s="102"/>
      <c r="F399" s="102"/>
      <c r="G399" s="102"/>
      <c r="I399" s="102"/>
      <c r="J399" s="102"/>
      <c r="K399" s="102"/>
    </row>
    <row r="400" spans="2:11" ht="15.75" customHeight="1" thickBot="1" x14ac:dyDescent="0.25">
      <c r="B400" s="102"/>
      <c r="C400" s="103"/>
      <c r="D400" s="102"/>
      <c r="E400" s="102"/>
      <c r="F400" s="102"/>
      <c r="G400" s="102"/>
      <c r="I400" s="102"/>
      <c r="J400" s="102"/>
      <c r="K400" s="102"/>
    </row>
    <row r="401" spans="2:11" ht="15.75" customHeight="1" thickBot="1" x14ac:dyDescent="0.25">
      <c r="B401" s="102"/>
      <c r="C401" s="103"/>
      <c r="D401" s="102"/>
      <c r="E401" s="102"/>
      <c r="F401" s="102"/>
      <c r="G401" s="102"/>
      <c r="I401" s="102"/>
      <c r="J401" s="102"/>
      <c r="K401" s="102"/>
    </row>
    <row r="402" spans="2:11" ht="15.75" customHeight="1" thickBot="1" x14ac:dyDescent="0.25">
      <c r="B402" s="102"/>
      <c r="C402" s="103"/>
      <c r="D402" s="102"/>
      <c r="E402" s="102"/>
      <c r="F402" s="102"/>
      <c r="G402" s="102"/>
      <c r="I402" s="102"/>
      <c r="J402" s="102"/>
      <c r="K402" s="102"/>
    </row>
    <row r="403" spans="2:11" ht="15.75" customHeight="1" thickBot="1" x14ac:dyDescent="0.25">
      <c r="B403" s="102"/>
      <c r="C403" s="103"/>
      <c r="D403" s="102"/>
      <c r="E403" s="102"/>
      <c r="F403" s="102"/>
      <c r="G403" s="102"/>
      <c r="I403" s="102"/>
      <c r="J403" s="102"/>
      <c r="K403" s="102"/>
    </row>
    <row r="404" spans="2:11" ht="15.75" customHeight="1" thickBot="1" x14ac:dyDescent="0.25">
      <c r="B404" s="102"/>
      <c r="C404" s="103"/>
      <c r="D404" s="102"/>
      <c r="E404" s="102"/>
      <c r="F404" s="102"/>
      <c r="G404" s="102"/>
      <c r="I404" s="102"/>
      <c r="J404" s="102"/>
      <c r="K404" s="102"/>
    </row>
    <row r="405" spans="2:11" ht="15.75" customHeight="1" thickBot="1" x14ac:dyDescent="0.25">
      <c r="B405" s="102"/>
      <c r="C405" s="103"/>
      <c r="D405" s="102"/>
      <c r="E405" s="102"/>
      <c r="F405" s="102"/>
      <c r="G405" s="102"/>
      <c r="I405" s="102"/>
      <c r="J405" s="102"/>
      <c r="K405" s="102"/>
    </row>
    <row r="406" spans="2:11" ht="15.75" customHeight="1" thickBot="1" x14ac:dyDescent="0.25">
      <c r="B406" s="102"/>
      <c r="C406" s="103"/>
      <c r="D406" s="102"/>
      <c r="E406" s="102"/>
      <c r="F406" s="102"/>
      <c r="G406" s="102"/>
      <c r="I406" s="102"/>
      <c r="J406" s="102"/>
      <c r="K406" s="102"/>
    </row>
    <row r="407" spans="2:11" ht="15.75" customHeight="1" thickBot="1" x14ac:dyDescent="0.25">
      <c r="B407" s="102"/>
      <c r="C407" s="103"/>
      <c r="D407" s="102"/>
      <c r="E407" s="102"/>
      <c r="F407" s="102"/>
      <c r="G407" s="102"/>
      <c r="I407" s="102"/>
      <c r="J407" s="102"/>
      <c r="K407" s="102"/>
    </row>
    <row r="408" spans="2:11" ht="15.75" customHeight="1" thickBot="1" x14ac:dyDescent="0.25">
      <c r="B408" s="102"/>
      <c r="C408" s="103"/>
      <c r="D408" s="102"/>
      <c r="E408" s="102"/>
      <c r="F408" s="102"/>
      <c r="G408" s="102"/>
      <c r="I408" s="102"/>
      <c r="J408" s="102"/>
      <c r="K408" s="102"/>
    </row>
    <row r="409" spans="2:11" ht="15.75" customHeight="1" thickBot="1" x14ac:dyDescent="0.25">
      <c r="B409" s="102"/>
      <c r="C409" s="103"/>
      <c r="D409" s="102"/>
      <c r="E409" s="102"/>
      <c r="F409" s="102"/>
      <c r="G409" s="102"/>
      <c r="I409" s="102"/>
      <c r="J409" s="102"/>
      <c r="K409" s="102"/>
    </row>
    <row r="410" spans="2:11" ht="15.75" customHeight="1" thickBot="1" x14ac:dyDescent="0.25">
      <c r="B410" s="102"/>
      <c r="C410" s="103"/>
      <c r="D410" s="102"/>
      <c r="E410" s="102"/>
      <c r="F410" s="102"/>
      <c r="G410" s="102"/>
      <c r="I410" s="102"/>
      <c r="J410" s="102"/>
      <c r="K410" s="102"/>
    </row>
    <row r="411" spans="2:11" ht="15.75" customHeight="1" thickBot="1" x14ac:dyDescent="0.25">
      <c r="B411" s="102"/>
      <c r="C411" s="103"/>
      <c r="D411" s="102"/>
      <c r="E411" s="102"/>
      <c r="F411" s="102"/>
      <c r="G411" s="102"/>
      <c r="I411" s="102"/>
      <c r="J411" s="102"/>
      <c r="K411" s="102"/>
    </row>
    <row r="412" spans="2:11" ht="15.75" customHeight="1" thickBot="1" x14ac:dyDescent="0.25">
      <c r="B412" s="102"/>
      <c r="C412" s="103"/>
      <c r="D412" s="102"/>
      <c r="E412" s="102"/>
      <c r="F412" s="102"/>
      <c r="G412" s="102"/>
      <c r="I412" s="102"/>
      <c r="J412" s="102"/>
      <c r="K412" s="102"/>
    </row>
    <row r="413" spans="2:11" ht="15.75" customHeight="1" thickBot="1" x14ac:dyDescent="0.25">
      <c r="B413" s="102"/>
      <c r="C413" s="103"/>
      <c r="D413" s="102"/>
      <c r="E413" s="102"/>
      <c r="F413" s="102"/>
      <c r="G413" s="102"/>
      <c r="I413" s="102"/>
      <c r="J413" s="102"/>
      <c r="K413" s="102"/>
    </row>
    <row r="414" spans="2:11" ht="15.75" customHeight="1" thickBot="1" x14ac:dyDescent="0.25">
      <c r="B414" s="102"/>
      <c r="C414" s="103"/>
      <c r="D414" s="102"/>
      <c r="E414" s="102"/>
      <c r="F414" s="102"/>
      <c r="G414" s="102"/>
      <c r="I414" s="102"/>
      <c r="J414" s="102"/>
      <c r="K414" s="102"/>
    </row>
    <row r="415" spans="2:11" ht="15.75" customHeight="1" thickBot="1" x14ac:dyDescent="0.25">
      <c r="B415" s="102"/>
      <c r="C415" s="103"/>
      <c r="D415" s="102"/>
      <c r="E415" s="102"/>
      <c r="F415" s="102"/>
      <c r="G415" s="102"/>
      <c r="I415" s="102"/>
      <c r="J415" s="102"/>
      <c r="K415" s="102"/>
    </row>
    <row r="416" spans="2:11" ht="15.75" customHeight="1" thickBot="1" x14ac:dyDescent="0.25">
      <c r="B416" s="102"/>
      <c r="C416" s="103"/>
      <c r="D416" s="102"/>
      <c r="E416" s="102"/>
      <c r="F416" s="102"/>
      <c r="G416" s="102"/>
      <c r="I416" s="102"/>
      <c r="J416" s="102"/>
      <c r="K416" s="102"/>
    </row>
    <row r="417" spans="2:11" ht="15.75" customHeight="1" thickBot="1" x14ac:dyDescent="0.25">
      <c r="B417" s="102"/>
      <c r="C417" s="103"/>
      <c r="D417" s="102"/>
      <c r="E417" s="102"/>
      <c r="F417" s="102"/>
      <c r="G417" s="102"/>
      <c r="I417" s="102"/>
      <c r="J417" s="102"/>
      <c r="K417" s="102"/>
    </row>
    <row r="418" spans="2:11" ht="15.75" customHeight="1" thickBot="1" x14ac:dyDescent="0.25">
      <c r="B418" s="102"/>
      <c r="C418" s="103"/>
      <c r="D418" s="102"/>
      <c r="E418" s="102"/>
      <c r="F418" s="102"/>
      <c r="G418" s="102"/>
      <c r="I418" s="102"/>
      <c r="J418" s="102"/>
      <c r="K418" s="102"/>
    </row>
    <row r="419" spans="2:11" ht="15.75" customHeight="1" thickBot="1" x14ac:dyDescent="0.25">
      <c r="B419" s="102"/>
      <c r="C419" s="103"/>
      <c r="D419" s="102"/>
      <c r="E419" s="102"/>
      <c r="F419" s="102"/>
      <c r="G419" s="102"/>
      <c r="I419" s="102"/>
      <c r="J419" s="102"/>
      <c r="K419" s="102"/>
    </row>
    <row r="420" spans="2:11" ht="15.75" customHeight="1" thickBot="1" x14ac:dyDescent="0.25">
      <c r="B420" s="102"/>
      <c r="C420" s="103"/>
      <c r="D420" s="102"/>
      <c r="E420" s="102"/>
      <c r="F420" s="102"/>
      <c r="G420" s="102"/>
      <c r="I420" s="102"/>
      <c r="J420" s="102"/>
      <c r="K420" s="102"/>
    </row>
    <row r="421" spans="2:11" ht="15.75" customHeight="1" thickBot="1" x14ac:dyDescent="0.25">
      <c r="B421" s="102"/>
      <c r="C421" s="103"/>
      <c r="D421" s="102"/>
      <c r="E421" s="102"/>
      <c r="F421" s="102"/>
      <c r="G421" s="102"/>
      <c r="I421" s="102"/>
      <c r="J421" s="102"/>
      <c r="K421" s="102"/>
    </row>
    <row r="422" spans="2:11" ht="15.75" customHeight="1" thickBot="1" x14ac:dyDescent="0.25">
      <c r="B422" s="102"/>
      <c r="C422" s="103"/>
      <c r="D422" s="102"/>
      <c r="E422" s="102"/>
      <c r="F422" s="102"/>
      <c r="G422" s="102"/>
      <c r="I422" s="102"/>
      <c r="J422" s="102"/>
      <c r="K422" s="102"/>
    </row>
    <row r="423" spans="2:11" ht="15.75" customHeight="1" thickBot="1" x14ac:dyDescent="0.25">
      <c r="B423" s="102"/>
      <c r="C423" s="103"/>
      <c r="D423" s="102"/>
      <c r="E423" s="102"/>
      <c r="F423" s="102"/>
      <c r="G423" s="102"/>
      <c r="I423" s="102"/>
      <c r="J423" s="102"/>
      <c r="K423" s="102"/>
    </row>
    <row r="424" spans="2:11" ht="15.75" customHeight="1" thickBot="1" x14ac:dyDescent="0.25">
      <c r="B424" s="102"/>
      <c r="C424" s="103"/>
      <c r="D424" s="102"/>
      <c r="E424" s="102"/>
      <c r="F424" s="102"/>
      <c r="G424" s="102"/>
      <c r="I424" s="102"/>
      <c r="J424" s="102"/>
      <c r="K424" s="102"/>
    </row>
    <row r="425" spans="2:11" ht="15.75" customHeight="1" thickBot="1" x14ac:dyDescent="0.25">
      <c r="B425" s="102"/>
      <c r="C425" s="103"/>
      <c r="D425" s="102"/>
      <c r="E425" s="102"/>
      <c r="F425" s="102"/>
      <c r="G425" s="102"/>
      <c r="I425" s="102"/>
      <c r="J425" s="102"/>
      <c r="K425" s="102"/>
    </row>
    <row r="426" spans="2:11" ht="15.75" customHeight="1" thickBot="1" x14ac:dyDescent="0.25">
      <c r="B426" s="102"/>
      <c r="C426" s="103"/>
      <c r="D426" s="102"/>
      <c r="E426" s="102"/>
      <c r="F426" s="102"/>
      <c r="G426" s="102"/>
      <c r="I426" s="102"/>
      <c r="J426" s="102"/>
      <c r="K426" s="102"/>
    </row>
    <row r="427" spans="2:11" ht="15.75" customHeight="1" thickBot="1" x14ac:dyDescent="0.25">
      <c r="B427" s="102"/>
      <c r="C427" s="103"/>
      <c r="D427" s="102"/>
      <c r="E427" s="102"/>
      <c r="F427" s="102"/>
      <c r="G427" s="102"/>
      <c r="I427" s="102"/>
      <c r="J427" s="102"/>
      <c r="K427" s="102"/>
    </row>
    <row r="428" spans="2:11" ht="15.75" customHeight="1" thickBot="1" x14ac:dyDescent="0.25">
      <c r="B428" s="102"/>
      <c r="C428" s="103"/>
      <c r="D428" s="102"/>
      <c r="E428" s="102"/>
      <c r="F428" s="102"/>
      <c r="G428" s="102"/>
      <c r="I428" s="102"/>
      <c r="J428" s="102"/>
      <c r="K428" s="102"/>
    </row>
    <row r="429" spans="2:11" ht="15.75" customHeight="1" thickBot="1" x14ac:dyDescent="0.25">
      <c r="B429" s="102"/>
      <c r="C429" s="103"/>
      <c r="D429" s="102"/>
      <c r="E429" s="102"/>
      <c r="F429" s="102"/>
      <c r="G429" s="102"/>
      <c r="I429" s="102"/>
      <c r="J429" s="102"/>
      <c r="K429" s="102"/>
    </row>
    <row r="430" spans="2:11" ht="15.75" customHeight="1" thickBot="1" x14ac:dyDescent="0.25">
      <c r="B430" s="102"/>
      <c r="C430" s="103"/>
      <c r="D430" s="102"/>
      <c r="E430" s="102"/>
      <c r="F430" s="102"/>
      <c r="G430" s="102"/>
      <c r="I430" s="102"/>
      <c r="J430" s="102"/>
      <c r="K430" s="102"/>
    </row>
    <row r="431" spans="2:11" ht="15.75" customHeight="1" thickBot="1" x14ac:dyDescent="0.25">
      <c r="B431" s="102"/>
      <c r="C431" s="103"/>
      <c r="D431" s="102"/>
      <c r="E431" s="102"/>
      <c r="F431" s="102"/>
      <c r="G431" s="102"/>
      <c r="I431" s="102"/>
      <c r="J431" s="102"/>
      <c r="K431" s="102"/>
    </row>
    <row r="432" spans="2:11" ht="15.75" customHeight="1" thickBot="1" x14ac:dyDescent="0.25">
      <c r="B432" s="102"/>
      <c r="C432" s="103"/>
      <c r="D432" s="102"/>
      <c r="E432" s="102"/>
      <c r="F432" s="102"/>
      <c r="G432" s="102"/>
      <c r="I432" s="102"/>
      <c r="J432" s="102"/>
      <c r="K432" s="102"/>
    </row>
    <row r="433" spans="2:11" ht="15.75" customHeight="1" thickBot="1" x14ac:dyDescent="0.25">
      <c r="B433" s="102"/>
      <c r="C433" s="103"/>
      <c r="D433" s="102"/>
      <c r="E433" s="102"/>
      <c r="F433" s="102"/>
      <c r="G433" s="102"/>
      <c r="I433" s="102"/>
      <c r="J433" s="102"/>
      <c r="K433" s="102"/>
    </row>
    <row r="434" spans="2:11" ht="15.75" customHeight="1" thickBot="1" x14ac:dyDescent="0.25">
      <c r="B434" s="102"/>
      <c r="C434" s="103"/>
      <c r="D434" s="102"/>
      <c r="E434" s="102"/>
      <c r="F434" s="102"/>
      <c r="G434" s="102"/>
      <c r="I434" s="102"/>
      <c r="J434" s="102"/>
      <c r="K434" s="102"/>
    </row>
    <row r="435" spans="2:11" ht="15.75" customHeight="1" thickBot="1" x14ac:dyDescent="0.25">
      <c r="B435" s="102"/>
      <c r="C435" s="103"/>
      <c r="D435" s="102"/>
      <c r="E435" s="102"/>
      <c r="F435" s="102"/>
      <c r="G435" s="102"/>
      <c r="I435" s="102"/>
      <c r="J435" s="102"/>
      <c r="K435" s="102"/>
    </row>
    <row r="436" spans="2:11" ht="15.75" customHeight="1" thickBot="1" x14ac:dyDescent="0.25">
      <c r="B436" s="102"/>
      <c r="C436" s="103"/>
      <c r="D436" s="102"/>
      <c r="E436" s="102"/>
      <c r="F436" s="102"/>
      <c r="G436" s="102"/>
      <c r="I436" s="102"/>
      <c r="J436" s="102"/>
      <c r="K436" s="102"/>
    </row>
    <row r="437" spans="2:11" ht="15.75" customHeight="1" thickBot="1" x14ac:dyDescent="0.25">
      <c r="B437" s="102"/>
      <c r="C437" s="103"/>
      <c r="D437" s="102"/>
      <c r="E437" s="102"/>
      <c r="F437" s="102"/>
      <c r="G437" s="102"/>
      <c r="I437" s="102"/>
      <c r="J437" s="102"/>
      <c r="K437" s="102"/>
    </row>
    <row r="438" spans="2:11" ht="15.75" customHeight="1" thickBot="1" x14ac:dyDescent="0.25">
      <c r="B438" s="102"/>
      <c r="C438" s="103"/>
      <c r="D438" s="102"/>
      <c r="E438" s="102"/>
      <c r="F438" s="102"/>
      <c r="G438" s="102"/>
      <c r="I438" s="102"/>
      <c r="J438" s="102"/>
      <c r="K438" s="102"/>
    </row>
    <row r="439" spans="2:11" ht="15.75" customHeight="1" thickBot="1" x14ac:dyDescent="0.25">
      <c r="B439" s="102"/>
      <c r="C439" s="103"/>
      <c r="D439" s="102"/>
      <c r="E439" s="102"/>
      <c r="F439" s="102"/>
      <c r="G439" s="102"/>
      <c r="I439" s="102"/>
      <c r="J439" s="102"/>
      <c r="K439" s="102"/>
    </row>
    <row r="440" spans="2:11" ht="15.75" customHeight="1" thickBot="1" x14ac:dyDescent="0.25">
      <c r="B440" s="102"/>
      <c r="C440" s="103"/>
      <c r="D440" s="102"/>
      <c r="E440" s="102"/>
      <c r="F440" s="102"/>
      <c r="G440" s="102"/>
      <c r="I440" s="102"/>
      <c r="J440" s="102"/>
      <c r="K440" s="102"/>
    </row>
    <row r="441" spans="2:11" ht="15.75" customHeight="1" thickBot="1" x14ac:dyDescent="0.25">
      <c r="B441" s="102"/>
      <c r="C441" s="103"/>
      <c r="D441" s="102"/>
      <c r="E441" s="102"/>
      <c r="F441" s="102"/>
      <c r="G441" s="102"/>
      <c r="I441" s="102"/>
      <c r="J441" s="102"/>
      <c r="K441" s="102"/>
    </row>
    <row r="442" spans="2:11" ht="15.75" customHeight="1" thickBot="1" x14ac:dyDescent="0.25">
      <c r="B442" s="102"/>
      <c r="C442" s="103"/>
      <c r="D442" s="102"/>
      <c r="E442" s="102"/>
      <c r="F442" s="102"/>
      <c r="G442" s="102"/>
      <c r="I442" s="102"/>
      <c r="J442" s="102"/>
      <c r="K442" s="102"/>
    </row>
    <row r="443" spans="2:11" ht="15.75" customHeight="1" thickBot="1" x14ac:dyDescent="0.25">
      <c r="B443" s="102"/>
      <c r="C443" s="103"/>
      <c r="D443" s="102"/>
      <c r="E443" s="102"/>
      <c r="F443" s="102"/>
      <c r="G443" s="102"/>
      <c r="I443" s="102"/>
      <c r="J443" s="102"/>
      <c r="K443" s="102"/>
    </row>
    <row r="444" spans="2:11" ht="15.75" customHeight="1" thickBot="1" x14ac:dyDescent="0.25">
      <c r="B444" s="102"/>
      <c r="C444" s="103"/>
      <c r="D444" s="102"/>
      <c r="E444" s="102"/>
      <c r="F444" s="102"/>
      <c r="G444" s="102"/>
      <c r="I444" s="102"/>
      <c r="J444" s="102"/>
      <c r="K444" s="102"/>
    </row>
    <row r="445" spans="2:11" ht="15.75" customHeight="1" thickBot="1" x14ac:dyDescent="0.25">
      <c r="B445" s="102"/>
      <c r="C445" s="103"/>
      <c r="D445" s="102"/>
      <c r="E445" s="102"/>
      <c r="F445" s="102"/>
      <c r="G445" s="102"/>
      <c r="I445" s="102"/>
      <c r="J445" s="102"/>
      <c r="K445" s="102"/>
    </row>
    <row r="446" spans="2:11" ht="15.75" customHeight="1" thickBot="1" x14ac:dyDescent="0.25">
      <c r="B446" s="102"/>
      <c r="C446" s="103"/>
      <c r="D446" s="102"/>
      <c r="E446" s="102"/>
      <c r="F446" s="102"/>
      <c r="G446" s="102"/>
      <c r="I446" s="102"/>
      <c r="J446" s="102"/>
      <c r="K446" s="102"/>
    </row>
    <row r="447" spans="2:11" ht="15.75" customHeight="1" thickBot="1" x14ac:dyDescent="0.25">
      <c r="B447" s="102"/>
      <c r="C447" s="103"/>
      <c r="D447" s="102"/>
      <c r="E447" s="102"/>
      <c r="F447" s="102"/>
      <c r="G447" s="102"/>
      <c r="I447" s="102"/>
      <c r="J447" s="102"/>
      <c r="K447" s="102"/>
    </row>
    <row r="448" spans="2:11" ht="15.75" customHeight="1" thickBot="1" x14ac:dyDescent="0.25">
      <c r="B448" s="102"/>
      <c r="C448" s="103"/>
      <c r="D448" s="102"/>
      <c r="E448" s="102"/>
      <c r="F448" s="102"/>
      <c r="G448" s="102"/>
      <c r="I448" s="102"/>
      <c r="J448" s="102"/>
      <c r="K448" s="102"/>
    </row>
    <row r="449" spans="2:11" ht="15.75" customHeight="1" thickBot="1" x14ac:dyDescent="0.25">
      <c r="B449" s="102"/>
      <c r="C449" s="103"/>
      <c r="D449" s="102"/>
      <c r="E449" s="102"/>
      <c r="F449" s="102"/>
      <c r="G449" s="102"/>
      <c r="I449" s="102"/>
      <c r="J449" s="102"/>
      <c r="K449" s="102"/>
    </row>
    <row r="450" spans="2:11" ht="15.75" customHeight="1" thickBot="1" x14ac:dyDescent="0.25">
      <c r="B450" s="102"/>
      <c r="C450" s="103"/>
      <c r="D450" s="102"/>
      <c r="E450" s="102"/>
      <c r="F450" s="102"/>
      <c r="G450" s="102"/>
      <c r="I450" s="102"/>
      <c r="J450" s="102"/>
      <c r="K450" s="102"/>
    </row>
    <row r="451" spans="2:11" ht="15.75" customHeight="1" thickBot="1" x14ac:dyDescent="0.25">
      <c r="B451" s="102"/>
      <c r="C451" s="103"/>
      <c r="D451" s="102"/>
      <c r="E451" s="102"/>
      <c r="F451" s="102"/>
      <c r="G451" s="102"/>
      <c r="I451" s="102"/>
      <c r="J451" s="102"/>
      <c r="K451" s="102"/>
    </row>
    <row r="452" spans="2:11" ht="15.75" customHeight="1" thickBot="1" x14ac:dyDescent="0.25">
      <c r="B452" s="102"/>
      <c r="C452" s="103"/>
      <c r="D452" s="102"/>
      <c r="E452" s="102"/>
      <c r="F452" s="102"/>
      <c r="G452" s="102"/>
      <c r="I452" s="102"/>
      <c r="J452" s="102"/>
      <c r="K452" s="102"/>
    </row>
    <row r="453" spans="2:11" ht="15.75" customHeight="1" thickBot="1" x14ac:dyDescent="0.25">
      <c r="B453" s="102"/>
      <c r="C453" s="103"/>
      <c r="D453" s="102"/>
      <c r="E453" s="102"/>
      <c r="F453" s="102"/>
      <c r="G453" s="102"/>
      <c r="I453" s="102"/>
      <c r="J453" s="102"/>
      <c r="K453" s="102"/>
    </row>
    <row r="454" spans="2:11" ht="15.75" customHeight="1" thickBot="1" x14ac:dyDescent="0.25">
      <c r="B454" s="102"/>
      <c r="C454" s="103"/>
      <c r="D454" s="102"/>
      <c r="E454" s="102"/>
      <c r="F454" s="102"/>
      <c r="G454" s="102"/>
      <c r="I454" s="102"/>
      <c r="J454" s="102"/>
      <c r="K454" s="102"/>
    </row>
    <row r="455" spans="2:11" ht="15.75" customHeight="1" thickBot="1" x14ac:dyDescent="0.25">
      <c r="B455" s="102"/>
      <c r="C455" s="103"/>
      <c r="D455" s="102"/>
      <c r="E455" s="102"/>
      <c r="F455" s="102"/>
      <c r="G455" s="102"/>
      <c r="I455" s="102"/>
      <c r="J455" s="102"/>
      <c r="K455" s="102"/>
    </row>
    <row r="456" spans="2:11" ht="15.75" customHeight="1" thickBot="1" x14ac:dyDescent="0.25">
      <c r="B456" s="102"/>
      <c r="C456" s="103"/>
      <c r="D456" s="102"/>
      <c r="E456" s="102"/>
      <c r="F456" s="102"/>
      <c r="G456" s="102"/>
      <c r="I456" s="102"/>
      <c r="J456" s="102"/>
      <c r="K456" s="102"/>
    </row>
    <row r="457" spans="2:11" ht="15.75" customHeight="1" thickBot="1" x14ac:dyDescent="0.25">
      <c r="B457" s="102"/>
      <c r="C457" s="103"/>
      <c r="D457" s="102"/>
      <c r="E457" s="102"/>
      <c r="F457" s="102"/>
      <c r="G457" s="102"/>
      <c r="I457" s="102"/>
      <c r="J457" s="102"/>
      <c r="K457" s="102"/>
    </row>
    <row r="458" spans="2:11" ht="15.75" customHeight="1" thickBot="1" x14ac:dyDescent="0.25">
      <c r="B458" s="102"/>
      <c r="C458" s="103"/>
      <c r="D458" s="102"/>
      <c r="E458" s="102"/>
      <c r="F458" s="102"/>
      <c r="G458" s="102"/>
      <c r="I458" s="102"/>
      <c r="J458" s="102"/>
      <c r="K458" s="102"/>
    </row>
    <row r="459" spans="2:11" ht="15.75" customHeight="1" thickBot="1" x14ac:dyDescent="0.25">
      <c r="B459" s="102"/>
      <c r="C459" s="103"/>
      <c r="D459" s="102"/>
      <c r="E459" s="102"/>
      <c r="F459" s="102"/>
      <c r="G459" s="102"/>
      <c r="I459" s="102"/>
      <c r="J459" s="102"/>
      <c r="K459" s="102"/>
    </row>
    <row r="460" spans="2:11" ht="15.75" customHeight="1" thickBot="1" x14ac:dyDescent="0.25">
      <c r="B460" s="102"/>
      <c r="C460" s="103"/>
      <c r="D460" s="102"/>
      <c r="E460" s="102"/>
      <c r="F460" s="102"/>
      <c r="G460" s="102"/>
      <c r="I460" s="102"/>
      <c r="J460" s="102"/>
      <c r="K460" s="102"/>
    </row>
    <row r="461" spans="2:11" ht="15.75" customHeight="1" thickBot="1" x14ac:dyDescent="0.25">
      <c r="B461" s="102"/>
      <c r="C461" s="103"/>
      <c r="D461" s="102"/>
      <c r="E461" s="102"/>
      <c r="F461" s="102"/>
      <c r="G461" s="102"/>
      <c r="I461" s="102"/>
      <c r="J461" s="102"/>
      <c r="K461" s="102"/>
    </row>
    <row r="462" spans="2:11" ht="15.75" customHeight="1" thickBot="1" x14ac:dyDescent="0.25">
      <c r="B462" s="102"/>
      <c r="C462" s="103"/>
      <c r="D462" s="102"/>
      <c r="E462" s="102"/>
      <c r="F462" s="102"/>
      <c r="G462" s="102"/>
      <c r="I462" s="102"/>
      <c r="J462" s="102"/>
      <c r="K462" s="102"/>
    </row>
    <row r="463" spans="2:11" ht="15.75" customHeight="1" thickBot="1" x14ac:dyDescent="0.25">
      <c r="B463" s="102"/>
      <c r="C463" s="103"/>
      <c r="D463" s="102"/>
      <c r="E463" s="102"/>
      <c r="F463" s="102"/>
      <c r="G463" s="102"/>
      <c r="I463" s="102"/>
      <c r="J463" s="102"/>
      <c r="K463" s="102"/>
    </row>
    <row r="464" spans="2:11" ht="15.75" customHeight="1" thickBot="1" x14ac:dyDescent="0.25">
      <c r="B464" s="102"/>
      <c r="C464" s="103"/>
      <c r="D464" s="102"/>
      <c r="E464" s="102"/>
      <c r="F464" s="102"/>
      <c r="G464" s="102"/>
      <c r="I464" s="102"/>
      <c r="J464" s="102"/>
      <c r="K464" s="102"/>
    </row>
    <row r="465" spans="2:11" ht="15.75" customHeight="1" thickBot="1" x14ac:dyDescent="0.25">
      <c r="B465" s="102"/>
      <c r="C465" s="103"/>
      <c r="D465" s="102"/>
      <c r="E465" s="102"/>
      <c r="F465" s="102"/>
      <c r="G465" s="102"/>
      <c r="I465" s="102"/>
      <c r="J465" s="102"/>
      <c r="K465" s="102"/>
    </row>
    <row r="466" spans="2:11" ht="15.75" customHeight="1" thickBot="1" x14ac:dyDescent="0.25">
      <c r="B466" s="102"/>
      <c r="C466" s="103"/>
      <c r="D466" s="102"/>
      <c r="E466" s="102"/>
      <c r="F466" s="102"/>
      <c r="G466" s="102"/>
      <c r="I466" s="102"/>
      <c r="J466" s="102"/>
      <c r="K466" s="102"/>
    </row>
    <row r="467" spans="2:11" ht="15.75" customHeight="1" thickBot="1" x14ac:dyDescent="0.25">
      <c r="B467" s="102"/>
      <c r="C467" s="103"/>
      <c r="D467" s="102"/>
      <c r="E467" s="102"/>
      <c r="F467" s="102"/>
      <c r="G467" s="102"/>
      <c r="I467" s="102"/>
      <c r="J467" s="102"/>
      <c r="K467" s="102"/>
    </row>
    <row r="468" spans="2:11" ht="15.75" customHeight="1" thickBot="1" x14ac:dyDescent="0.25">
      <c r="B468" s="102"/>
      <c r="C468" s="103"/>
      <c r="D468" s="102"/>
      <c r="E468" s="102"/>
      <c r="F468" s="102"/>
      <c r="G468" s="102"/>
      <c r="I468" s="102"/>
      <c r="J468" s="102"/>
      <c r="K468" s="102"/>
    </row>
    <row r="469" spans="2:11" ht="15.75" customHeight="1" thickBot="1" x14ac:dyDescent="0.25">
      <c r="B469" s="102"/>
      <c r="C469" s="103"/>
      <c r="D469" s="102"/>
      <c r="E469" s="102"/>
      <c r="F469" s="102"/>
      <c r="G469" s="102"/>
      <c r="I469" s="102"/>
      <c r="J469" s="102"/>
      <c r="K469" s="102"/>
    </row>
    <row r="470" spans="2:11" ht="15.75" customHeight="1" thickBot="1" x14ac:dyDescent="0.25">
      <c r="B470" s="102"/>
      <c r="C470" s="103"/>
      <c r="D470" s="102"/>
      <c r="E470" s="102"/>
      <c r="F470" s="102"/>
      <c r="G470" s="102"/>
      <c r="I470" s="102"/>
      <c r="J470" s="102"/>
      <c r="K470" s="102"/>
    </row>
    <row r="471" spans="2:11" ht="15.75" customHeight="1" thickBot="1" x14ac:dyDescent="0.25">
      <c r="B471" s="102"/>
      <c r="C471" s="103"/>
      <c r="D471" s="102"/>
      <c r="E471" s="102"/>
      <c r="F471" s="102"/>
      <c r="G471" s="102"/>
      <c r="I471" s="102"/>
      <c r="J471" s="102"/>
      <c r="K471" s="102"/>
    </row>
    <row r="472" spans="2:11" ht="15.75" customHeight="1" thickBot="1" x14ac:dyDescent="0.25">
      <c r="B472" s="102"/>
      <c r="C472" s="103"/>
      <c r="D472" s="102"/>
      <c r="E472" s="102"/>
      <c r="F472" s="102"/>
      <c r="G472" s="102"/>
      <c r="I472" s="102"/>
      <c r="J472" s="102"/>
      <c r="K472" s="102"/>
    </row>
    <row r="473" spans="2:11" ht="15.75" customHeight="1" thickBot="1" x14ac:dyDescent="0.25">
      <c r="B473" s="102"/>
      <c r="C473" s="103"/>
      <c r="D473" s="102"/>
      <c r="E473" s="102"/>
      <c r="F473" s="102"/>
      <c r="G473" s="102"/>
      <c r="I473" s="102"/>
      <c r="J473" s="102"/>
      <c r="K473" s="102"/>
    </row>
    <row r="474" spans="2:11" ht="15.75" customHeight="1" thickBot="1" x14ac:dyDescent="0.25">
      <c r="B474" s="102"/>
      <c r="C474" s="103"/>
      <c r="D474" s="102"/>
      <c r="E474" s="102"/>
      <c r="F474" s="102"/>
      <c r="G474" s="102"/>
      <c r="I474" s="102"/>
      <c r="J474" s="102"/>
      <c r="K474" s="102"/>
    </row>
    <row r="475" spans="2:11" ht="15.75" customHeight="1" thickBot="1" x14ac:dyDescent="0.25">
      <c r="B475" s="102"/>
      <c r="C475" s="103"/>
      <c r="D475" s="102"/>
      <c r="E475" s="102"/>
      <c r="F475" s="102"/>
      <c r="G475" s="102"/>
      <c r="I475" s="102"/>
      <c r="J475" s="102"/>
      <c r="K475" s="102"/>
    </row>
    <row r="476" spans="2:11" ht="15.75" customHeight="1" thickBot="1" x14ac:dyDescent="0.25">
      <c r="B476" s="102"/>
      <c r="C476" s="103"/>
      <c r="D476" s="102"/>
      <c r="E476" s="102"/>
      <c r="F476" s="102"/>
      <c r="G476" s="102"/>
      <c r="I476" s="102"/>
      <c r="J476" s="102"/>
      <c r="K476" s="102"/>
    </row>
    <row r="477" spans="2:11" ht="15.75" customHeight="1" thickBot="1" x14ac:dyDescent="0.25">
      <c r="B477" s="102"/>
      <c r="C477" s="103"/>
      <c r="D477" s="102"/>
      <c r="E477" s="102"/>
      <c r="F477" s="102"/>
      <c r="G477" s="102"/>
      <c r="I477" s="102"/>
      <c r="J477" s="102"/>
      <c r="K477" s="102"/>
    </row>
    <row r="478" spans="2:11" ht="15.75" customHeight="1" thickBot="1" x14ac:dyDescent="0.25">
      <c r="B478" s="102"/>
      <c r="C478" s="103"/>
      <c r="D478" s="102"/>
      <c r="E478" s="102"/>
      <c r="F478" s="102"/>
      <c r="G478" s="102"/>
      <c r="I478" s="102"/>
      <c r="J478" s="102"/>
      <c r="K478" s="102"/>
    </row>
    <row r="479" spans="2:11" ht="15.75" customHeight="1" thickBot="1" x14ac:dyDescent="0.25">
      <c r="B479" s="102"/>
      <c r="C479" s="103"/>
      <c r="D479" s="102"/>
      <c r="E479" s="102"/>
      <c r="F479" s="102"/>
      <c r="G479" s="102"/>
      <c r="I479" s="102"/>
      <c r="J479" s="102"/>
      <c r="K479" s="102"/>
    </row>
    <row r="480" spans="2:11" ht="15.75" customHeight="1" thickBot="1" x14ac:dyDescent="0.25">
      <c r="B480" s="102"/>
      <c r="C480" s="103"/>
      <c r="D480" s="102"/>
      <c r="E480" s="102"/>
      <c r="F480" s="102"/>
      <c r="G480" s="102"/>
      <c r="I480" s="102"/>
      <c r="J480" s="102"/>
      <c r="K480" s="102"/>
    </row>
    <row r="481" spans="2:11" ht="15.75" customHeight="1" thickBot="1" x14ac:dyDescent="0.25">
      <c r="B481" s="102"/>
      <c r="C481" s="103"/>
      <c r="D481" s="102"/>
      <c r="E481" s="102"/>
      <c r="F481" s="102"/>
      <c r="G481" s="102"/>
      <c r="I481" s="102"/>
      <c r="J481" s="102"/>
      <c r="K481" s="102"/>
    </row>
    <row r="482" spans="2:11" ht="15.75" customHeight="1" thickBot="1" x14ac:dyDescent="0.25">
      <c r="B482" s="102"/>
      <c r="C482" s="103"/>
      <c r="D482" s="102"/>
      <c r="E482" s="102"/>
      <c r="F482" s="102"/>
      <c r="G482" s="102"/>
      <c r="I482" s="102"/>
      <c r="J482" s="102"/>
      <c r="K482" s="102"/>
    </row>
    <row r="483" spans="2:11" ht="15.75" customHeight="1" thickBot="1" x14ac:dyDescent="0.25">
      <c r="B483" s="102"/>
      <c r="C483" s="103"/>
      <c r="D483" s="102"/>
      <c r="E483" s="102"/>
      <c r="F483" s="102"/>
      <c r="G483" s="102"/>
      <c r="I483" s="102"/>
      <c r="J483" s="102"/>
      <c r="K483" s="102"/>
    </row>
    <row r="484" spans="2:11" ht="15.75" customHeight="1" thickBot="1" x14ac:dyDescent="0.25">
      <c r="B484" s="102"/>
      <c r="C484" s="103"/>
      <c r="D484" s="102"/>
      <c r="E484" s="102"/>
      <c r="F484" s="102"/>
      <c r="G484" s="102"/>
      <c r="I484" s="102"/>
      <c r="J484" s="102"/>
      <c r="K484" s="102"/>
    </row>
    <row r="485" spans="2:11" ht="15.75" customHeight="1" thickBot="1" x14ac:dyDescent="0.25">
      <c r="B485" s="102"/>
      <c r="C485" s="103"/>
      <c r="D485" s="102"/>
      <c r="E485" s="102"/>
      <c r="F485" s="102"/>
      <c r="G485" s="102"/>
      <c r="I485" s="102"/>
      <c r="J485" s="102"/>
      <c r="K485" s="102"/>
    </row>
    <row r="486" spans="2:11" ht="15.75" customHeight="1" thickBot="1" x14ac:dyDescent="0.25">
      <c r="B486" s="102"/>
      <c r="C486" s="103"/>
      <c r="D486" s="102"/>
      <c r="E486" s="102"/>
      <c r="F486" s="102"/>
      <c r="G486" s="102"/>
      <c r="I486" s="102"/>
      <c r="J486" s="102"/>
      <c r="K486" s="102"/>
    </row>
    <row r="487" spans="2:11" ht="15.75" customHeight="1" thickBot="1" x14ac:dyDescent="0.25">
      <c r="B487" s="102"/>
      <c r="C487" s="103"/>
      <c r="D487" s="102"/>
      <c r="E487" s="102"/>
      <c r="F487" s="102"/>
      <c r="G487" s="102"/>
      <c r="I487" s="102"/>
      <c r="J487" s="102"/>
      <c r="K487" s="102"/>
    </row>
    <row r="488" spans="2:11" ht="15.75" customHeight="1" thickBot="1" x14ac:dyDescent="0.25">
      <c r="B488" s="102"/>
      <c r="C488" s="103"/>
      <c r="D488" s="102"/>
      <c r="E488" s="102"/>
      <c r="F488" s="102"/>
      <c r="G488" s="102"/>
      <c r="I488" s="102"/>
      <c r="J488" s="102"/>
      <c r="K488" s="102"/>
    </row>
    <row r="489" spans="2:11" ht="15.75" customHeight="1" thickBot="1" x14ac:dyDescent="0.25">
      <c r="B489" s="102"/>
      <c r="C489" s="103"/>
      <c r="D489" s="102"/>
      <c r="E489" s="102"/>
      <c r="F489" s="102"/>
      <c r="G489" s="102"/>
      <c r="I489" s="102"/>
      <c r="J489" s="102"/>
      <c r="K489" s="102"/>
    </row>
    <row r="490" spans="2:11" ht="15.75" customHeight="1" thickBot="1" x14ac:dyDescent="0.25">
      <c r="B490" s="102"/>
      <c r="C490" s="103"/>
      <c r="D490" s="102"/>
      <c r="E490" s="102"/>
      <c r="F490" s="102"/>
      <c r="G490" s="102"/>
      <c r="I490" s="102"/>
      <c r="J490" s="102"/>
      <c r="K490" s="102"/>
    </row>
    <row r="491" spans="2:11" ht="15.75" customHeight="1" thickBot="1" x14ac:dyDescent="0.25">
      <c r="B491" s="102"/>
      <c r="C491" s="103"/>
      <c r="D491" s="102"/>
      <c r="E491" s="102"/>
      <c r="F491" s="102"/>
      <c r="G491" s="102"/>
      <c r="I491" s="102"/>
      <c r="J491" s="102"/>
      <c r="K491" s="102"/>
    </row>
    <row r="492" spans="2:11" ht="15.75" customHeight="1" thickBot="1" x14ac:dyDescent="0.25">
      <c r="B492" s="102"/>
      <c r="C492" s="103"/>
      <c r="D492" s="102"/>
      <c r="E492" s="102"/>
      <c r="F492" s="102"/>
      <c r="G492" s="102"/>
      <c r="I492" s="102"/>
      <c r="J492" s="102"/>
      <c r="K492" s="102"/>
    </row>
    <row r="493" spans="2:11" ht="15.75" customHeight="1" thickBot="1" x14ac:dyDescent="0.25">
      <c r="B493" s="102"/>
      <c r="C493" s="103"/>
      <c r="D493" s="102"/>
      <c r="E493" s="102"/>
      <c r="F493" s="102"/>
      <c r="G493" s="102"/>
      <c r="I493" s="102"/>
      <c r="J493" s="102"/>
      <c r="K493" s="102"/>
    </row>
    <row r="494" spans="2:11" ht="15.75" customHeight="1" thickBot="1" x14ac:dyDescent="0.25">
      <c r="B494" s="102"/>
      <c r="C494" s="103"/>
      <c r="D494" s="102"/>
      <c r="E494" s="102"/>
      <c r="F494" s="102"/>
      <c r="G494" s="102"/>
      <c r="I494" s="102"/>
      <c r="J494" s="102"/>
      <c r="K494" s="102"/>
    </row>
    <row r="495" spans="2:11" ht="15.75" customHeight="1" thickBot="1" x14ac:dyDescent="0.25">
      <c r="B495" s="102"/>
      <c r="C495" s="103"/>
      <c r="D495" s="102"/>
      <c r="E495" s="102"/>
      <c r="F495" s="102"/>
      <c r="G495" s="102"/>
      <c r="I495" s="102"/>
      <c r="J495" s="102"/>
      <c r="K495" s="102"/>
    </row>
    <row r="496" spans="2:11" ht="15.75" customHeight="1" thickBot="1" x14ac:dyDescent="0.25">
      <c r="B496" s="102"/>
      <c r="C496" s="103"/>
      <c r="D496" s="102"/>
      <c r="E496" s="102"/>
      <c r="F496" s="102"/>
      <c r="G496" s="102"/>
      <c r="I496" s="102"/>
      <c r="J496" s="102"/>
      <c r="K496" s="102"/>
    </row>
    <row r="497" spans="2:11" ht="15.75" customHeight="1" thickBot="1" x14ac:dyDescent="0.25">
      <c r="B497" s="102"/>
      <c r="C497" s="103"/>
      <c r="D497" s="102"/>
      <c r="E497" s="102"/>
      <c r="F497" s="102"/>
      <c r="G497" s="102"/>
      <c r="I497" s="102"/>
      <c r="J497" s="102"/>
      <c r="K497" s="102"/>
    </row>
    <row r="498" spans="2:11" ht="15.75" customHeight="1" thickBot="1" x14ac:dyDescent="0.25">
      <c r="B498" s="102"/>
      <c r="C498" s="103"/>
      <c r="D498" s="102"/>
      <c r="E498" s="102"/>
      <c r="F498" s="102"/>
      <c r="G498" s="102"/>
      <c r="I498" s="102"/>
      <c r="J498" s="102"/>
      <c r="K498" s="102"/>
    </row>
    <row r="499" spans="2:11" ht="15.75" customHeight="1" thickBot="1" x14ac:dyDescent="0.25">
      <c r="B499" s="102"/>
      <c r="C499" s="103"/>
      <c r="D499" s="102"/>
      <c r="E499" s="102"/>
      <c r="F499" s="102"/>
      <c r="G499" s="102"/>
      <c r="I499" s="102"/>
      <c r="J499" s="102"/>
      <c r="K499" s="102"/>
    </row>
    <row r="500" spans="2:11" ht="15.75" customHeight="1" thickBot="1" x14ac:dyDescent="0.25">
      <c r="B500" s="102"/>
      <c r="C500" s="103"/>
      <c r="D500" s="102"/>
      <c r="E500" s="102"/>
      <c r="F500" s="102"/>
      <c r="G500" s="102"/>
      <c r="I500" s="102"/>
      <c r="J500" s="102"/>
      <c r="K500" s="102"/>
    </row>
    <row r="501" spans="2:11" ht="15.75" customHeight="1" thickBot="1" x14ac:dyDescent="0.25">
      <c r="B501" s="102"/>
      <c r="C501" s="103"/>
      <c r="D501" s="102"/>
      <c r="E501" s="102"/>
      <c r="F501" s="102"/>
      <c r="G501" s="102"/>
      <c r="I501" s="102"/>
      <c r="J501" s="102"/>
      <c r="K501" s="102"/>
    </row>
    <row r="502" spans="2:11" ht="15.75" customHeight="1" thickBot="1" x14ac:dyDescent="0.25">
      <c r="B502" s="102"/>
      <c r="C502" s="103"/>
      <c r="D502" s="102"/>
      <c r="E502" s="102"/>
      <c r="F502" s="102"/>
      <c r="G502" s="102"/>
      <c r="I502" s="102"/>
      <c r="J502" s="102"/>
      <c r="K502" s="102"/>
    </row>
    <row r="503" spans="2:11" ht="15.75" customHeight="1" thickBot="1" x14ac:dyDescent="0.25">
      <c r="B503" s="102"/>
      <c r="C503" s="103"/>
      <c r="D503" s="102"/>
      <c r="E503" s="102"/>
      <c r="F503" s="102"/>
      <c r="G503" s="102"/>
      <c r="I503" s="102"/>
      <c r="J503" s="102"/>
      <c r="K503" s="102"/>
    </row>
    <row r="504" spans="2:11" ht="15.75" customHeight="1" thickBot="1" x14ac:dyDescent="0.25">
      <c r="B504" s="102"/>
      <c r="C504" s="103"/>
      <c r="D504" s="102"/>
      <c r="E504" s="102"/>
      <c r="F504" s="102"/>
      <c r="G504" s="102"/>
      <c r="I504" s="102"/>
      <c r="J504" s="102"/>
      <c r="K504" s="102"/>
    </row>
    <row r="505" spans="2:11" ht="15.75" customHeight="1" thickBot="1" x14ac:dyDescent="0.25">
      <c r="B505" s="102"/>
      <c r="C505" s="103"/>
      <c r="D505" s="102"/>
      <c r="E505" s="102"/>
      <c r="F505" s="102"/>
      <c r="G505" s="102"/>
      <c r="I505" s="102"/>
      <c r="J505" s="102"/>
      <c r="K505" s="102"/>
    </row>
    <row r="506" spans="2:11" ht="15.75" customHeight="1" thickBot="1" x14ac:dyDescent="0.25">
      <c r="B506" s="102"/>
      <c r="C506" s="103"/>
      <c r="D506" s="102"/>
      <c r="E506" s="102"/>
      <c r="F506" s="102"/>
      <c r="G506" s="102"/>
      <c r="I506" s="102"/>
      <c r="J506" s="102"/>
      <c r="K506" s="102"/>
    </row>
    <row r="507" spans="2:11" ht="15.75" customHeight="1" thickBot="1" x14ac:dyDescent="0.25">
      <c r="B507" s="102"/>
      <c r="C507" s="103"/>
      <c r="D507" s="102"/>
      <c r="E507" s="102"/>
      <c r="F507" s="102"/>
      <c r="G507" s="102"/>
      <c r="I507" s="102"/>
      <c r="J507" s="102"/>
      <c r="K507" s="102"/>
    </row>
    <row r="508" spans="2:11" ht="15.75" customHeight="1" thickBot="1" x14ac:dyDescent="0.25">
      <c r="B508" s="102"/>
      <c r="C508" s="103"/>
      <c r="D508" s="102"/>
      <c r="E508" s="102"/>
      <c r="F508" s="102"/>
      <c r="G508" s="102"/>
      <c r="I508" s="102"/>
      <c r="J508" s="102"/>
      <c r="K508" s="102"/>
    </row>
    <row r="509" spans="2:11" ht="15.75" customHeight="1" thickBot="1" x14ac:dyDescent="0.25">
      <c r="B509" s="102"/>
      <c r="C509" s="103"/>
      <c r="D509" s="102"/>
      <c r="E509" s="102"/>
      <c r="F509" s="102"/>
      <c r="G509" s="102"/>
      <c r="I509" s="102"/>
      <c r="J509" s="102"/>
      <c r="K509" s="102"/>
    </row>
    <row r="510" spans="2:11" ht="15.75" customHeight="1" thickBot="1" x14ac:dyDescent="0.25">
      <c r="B510" s="102"/>
      <c r="C510" s="103"/>
      <c r="D510" s="102"/>
      <c r="E510" s="102"/>
      <c r="F510" s="102"/>
      <c r="G510" s="102"/>
      <c r="I510" s="102"/>
      <c r="J510" s="102"/>
      <c r="K510" s="102"/>
    </row>
    <row r="511" spans="2:11" ht="15.75" customHeight="1" thickBot="1" x14ac:dyDescent="0.25">
      <c r="B511" s="102"/>
      <c r="C511" s="103"/>
      <c r="D511" s="102"/>
      <c r="E511" s="102"/>
      <c r="F511" s="102"/>
      <c r="G511" s="102"/>
      <c r="I511" s="102"/>
      <c r="J511" s="102"/>
      <c r="K511" s="102"/>
    </row>
    <row r="512" spans="2:11" ht="15.75" customHeight="1" thickBot="1" x14ac:dyDescent="0.25">
      <c r="B512" s="102"/>
      <c r="C512" s="103"/>
      <c r="D512" s="102"/>
      <c r="E512" s="102"/>
      <c r="F512" s="102"/>
      <c r="G512" s="102"/>
      <c r="I512" s="102"/>
      <c r="J512" s="102"/>
      <c r="K512" s="102"/>
    </row>
    <row r="513" spans="2:11" ht="15.75" customHeight="1" thickBot="1" x14ac:dyDescent="0.25">
      <c r="B513" s="102"/>
      <c r="C513" s="103"/>
      <c r="D513" s="102"/>
      <c r="E513" s="102"/>
      <c r="F513" s="102"/>
      <c r="G513" s="102"/>
      <c r="I513" s="102"/>
      <c r="J513" s="102"/>
      <c r="K513" s="102"/>
    </row>
    <row r="514" spans="2:11" ht="15.75" customHeight="1" thickBot="1" x14ac:dyDescent="0.25">
      <c r="B514" s="102"/>
      <c r="C514" s="103"/>
      <c r="D514" s="102"/>
      <c r="E514" s="102"/>
      <c r="F514" s="102"/>
      <c r="G514" s="102"/>
      <c r="I514" s="102"/>
      <c r="J514" s="102"/>
      <c r="K514" s="102"/>
    </row>
    <row r="515" spans="2:11" ht="15.75" customHeight="1" thickBot="1" x14ac:dyDescent="0.25">
      <c r="B515" s="102"/>
      <c r="C515" s="103"/>
      <c r="D515" s="102"/>
      <c r="E515" s="102"/>
      <c r="F515" s="102"/>
      <c r="G515" s="102"/>
      <c r="I515" s="102"/>
      <c r="J515" s="102"/>
      <c r="K515" s="102"/>
    </row>
    <row r="516" spans="2:11" ht="15.75" customHeight="1" thickBot="1" x14ac:dyDescent="0.25">
      <c r="B516" s="102"/>
      <c r="C516" s="103"/>
      <c r="D516" s="102"/>
      <c r="E516" s="102"/>
      <c r="F516" s="102"/>
      <c r="G516" s="102"/>
      <c r="I516" s="102"/>
      <c r="J516" s="102"/>
      <c r="K516" s="102"/>
    </row>
    <row r="517" spans="2:11" ht="15.75" customHeight="1" thickBot="1" x14ac:dyDescent="0.25">
      <c r="B517" s="102"/>
      <c r="C517" s="103"/>
      <c r="D517" s="102"/>
      <c r="E517" s="102"/>
      <c r="F517" s="102"/>
      <c r="G517" s="102"/>
      <c r="I517" s="102"/>
      <c r="J517" s="102"/>
      <c r="K517" s="102"/>
    </row>
    <row r="518" spans="2:11" ht="15.75" customHeight="1" thickBot="1" x14ac:dyDescent="0.25">
      <c r="B518" s="102"/>
      <c r="C518" s="103"/>
      <c r="D518" s="102"/>
      <c r="E518" s="102"/>
      <c r="F518" s="102"/>
      <c r="G518" s="102"/>
      <c r="I518" s="102"/>
      <c r="J518" s="102"/>
      <c r="K518" s="102"/>
    </row>
    <row r="519" spans="2:11" ht="15.75" customHeight="1" thickBot="1" x14ac:dyDescent="0.25">
      <c r="B519" s="102"/>
      <c r="C519" s="103"/>
      <c r="D519" s="102"/>
      <c r="E519" s="102"/>
      <c r="F519" s="102"/>
      <c r="G519" s="102"/>
      <c r="I519" s="102"/>
      <c r="J519" s="102"/>
      <c r="K519" s="102"/>
    </row>
    <row r="520" spans="2:11" ht="15.75" customHeight="1" thickBot="1" x14ac:dyDescent="0.25">
      <c r="B520" s="102"/>
      <c r="C520" s="103"/>
      <c r="D520" s="102"/>
      <c r="E520" s="102"/>
      <c r="F520" s="102"/>
      <c r="G520" s="102"/>
      <c r="I520" s="102"/>
      <c r="J520" s="102"/>
      <c r="K520" s="102"/>
    </row>
    <row r="521" spans="2:11" ht="15.75" customHeight="1" thickBot="1" x14ac:dyDescent="0.25">
      <c r="B521" s="102"/>
      <c r="C521" s="103"/>
      <c r="D521" s="102"/>
      <c r="E521" s="102"/>
      <c r="F521" s="102"/>
      <c r="G521" s="102"/>
      <c r="I521" s="102"/>
      <c r="J521" s="102"/>
      <c r="K521" s="102"/>
    </row>
    <row r="522" spans="2:11" ht="15.75" customHeight="1" thickBot="1" x14ac:dyDescent="0.25">
      <c r="B522" s="102"/>
      <c r="C522" s="103"/>
      <c r="D522" s="102"/>
      <c r="E522" s="102"/>
      <c r="F522" s="102"/>
      <c r="G522" s="102"/>
      <c r="I522" s="102"/>
      <c r="J522" s="102"/>
      <c r="K522" s="102"/>
    </row>
    <row r="523" spans="2:11" ht="15.75" customHeight="1" thickBot="1" x14ac:dyDescent="0.25">
      <c r="B523" s="102"/>
      <c r="C523" s="103"/>
      <c r="D523" s="102"/>
      <c r="E523" s="102"/>
      <c r="F523" s="102"/>
      <c r="G523" s="102"/>
      <c r="I523" s="102"/>
      <c r="J523" s="102"/>
      <c r="K523" s="102"/>
    </row>
    <row r="524" spans="2:11" ht="15.75" customHeight="1" thickBot="1" x14ac:dyDescent="0.25">
      <c r="B524" s="102"/>
      <c r="C524" s="103"/>
      <c r="D524" s="102"/>
      <c r="E524" s="102"/>
      <c r="F524" s="102"/>
      <c r="G524" s="102"/>
      <c r="I524" s="102"/>
      <c r="J524" s="102"/>
      <c r="K524" s="102"/>
    </row>
    <row r="525" spans="2:11" ht="15.75" customHeight="1" thickBot="1" x14ac:dyDescent="0.25">
      <c r="B525" s="102"/>
      <c r="C525" s="103"/>
      <c r="D525" s="102"/>
      <c r="E525" s="102"/>
      <c r="F525" s="102"/>
      <c r="G525" s="102"/>
      <c r="I525" s="102"/>
      <c r="J525" s="102"/>
      <c r="K525" s="102"/>
    </row>
    <row r="526" spans="2:11" ht="15.75" customHeight="1" thickBot="1" x14ac:dyDescent="0.25">
      <c r="B526" s="102"/>
      <c r="C526" s="103"/>
      <c r="D526" s="102"/>
      <c r="E526" s="102"/>
      <c r="F526" s="102"/>
      <c r="G526" s="102"/>
      <c r="I526" s="102"/>
      <c r="J526" s="102"/>
      <c r="K526" s="102"/>
    </row>
    <row r="527" spans="2:11" ht="15.75" customHeight="1" thickBot="1" x14ac:dyDescent="0.25">
      <c r="B527" s="102"/>
      <c r="C527" s="103"/>
      <c r="D527" s="102"/>
      <c r="E527" s="102"/>
      <c r="F527" s="102"/>
      <c r="G527" s="102"/>
      <c r="I527" s="102"/>
      <c r="J527" s="102"/>
      <c r="K527" s="102"/>
    </row>
    <row r="528" spans="2:11" ht="15.75" customHeight="1" thickBot="1" x14ac:dyDescent="0.25">
      <c r="B528" s="102"/>
      <c r="C528" s="103"/>
      <c r="D528" s="102"/>
      <c r="E528" s="102"/>
      <c r="F528" s="102"/>
      <c r="G528" s="102"/>
      <c r="I528" s="102"/>
      <c r="J528" s="102"/>
      <c r="K528" s="102"/>
    </row>
    <row r="529" spans="2:11" ht="15.75" customHeight="1" thickBot="1" x14ac:dyDescent="0.25">
      <c r="B529" s="102"/>
      <c r="C529" s="103"/>
      <c r="D529" s="102"/>
      <c r="E529" s="102"/>
      <c r="F529" s="102"/>
      <c r="G529" s="102"/>
      <c r="I529" s="102"/>
      <c r="J529" s="102"/>
      <c r="K529" s="102"/>
    </row>
    <row r="530" spans="2:11" ht="15.75" customHeight="1" thickBot="1" x14ac:dyDescent="0.25">
      <c r="B530" s="102"/>
      <c r="C530" s="103"/>
      <c r="D530" s="102"/>
      <c r="E530" s="102"/>
      <c r="F530" s="102"/>
      <c r="G530" s="102"/>
      <c r="I530" s="102"/>
      <c r="J530" s="102"/>
      <c r="K530" s="102"/>
    </row>
    <row r="531" spans="2:11" ht="15.75" customHeight="1" thickBot="1" x14ac:dyDescent="0.25">
      <c r="B531" s="102"/>
      <c r="C531" s="103"/>
      <c r="D531" s="102"/>
      <c r="E531" s="102"/>
      <c r="F531" s="102"/>
      <c r="G531" s="102"/>
      <c r="I531" s="102"/>
      <c r="J531" s="102"/>
      <c r="K531" s="102"/>
    </row>
    <row r="532" spans="2:11" ht="15.75" customHeight="1" thickBot="1" x14ac:dyDescent="0.25">
      <c r="B532" s="102"/>
      <c r="C532" s="103"/>
      <c r="D532" s="102"/>
      <c r="E532" s="102"/>
      <c r="F532" s="102"/>
      <c r="G532" s="102"/>
      <c r="I532" s="102"/>
      <c r="J532" s="102"/>
      <c r="K532" s="102"/>
    </row>
    <row r="533" spans="2:11" ht="15.75" customHeight="1" thickBot="1" x14ac:dyDescent="0.25">
      <c r="B533" s="102"/>
      <c r="C533" s="103"/>
      <c r="D533" s="102"/>
      <c r="E533" s="102"/>
      <c r="F533" s="102"/>
      <c r="G533" s="102"/>
      <c r="I533" s="102"/>
      <c r="J533" s="102"/>
      <c r="K533" s="102"/>
    </row>
    <row r="534" spans="2:11" ht="15.75" customHeight="1" thickBot="1" x14ac:dyDescent="0.25">
      <c r="B534" s="102"/>
      <c r="C534" s="103"/>
      <c r="D534" s="102"/>
      <c r="E534" s="102"/>
      <c r="F534" s="102"/>
      <c r="G534" s="102"/>
      <c r="I534" s="102"/>
      <c r="J534" s="102"/>
      <c r="K534" s="102"/>
    </row>
    <row r="535" spans="2:11" ht="15.75" customHeight="1" thickBot="1" x14ac:dyDescent="0.25">
      <c r="B535" s="102"/>
      <c r="C535" s="103"/>
      <c r="D535" s="102"/>
      <c r="E535" s="102"/>
      <c r="F535" s="102"/>
      <c r="G535" s="102"/>
      <c r="I535" s="102"/>
      <c r="J535" s="102"/>
      <c r="K535" s="102"/>
    </row>
    <row r="536" spans="2:11" ht="15.75" customHeight="1" thickBot="1" x14ac:dyDescent="0.25">
      <c r="B536" s="102"/>
      <c r="C536" s="103"/>
      <c r="D536" s="102"/>
      <c r="E536" s="102"/>
      <c r="F536" s="102"/>
      <c r="G536" s="102"/>
      <c r="I536" s="102"/>
      <c r="J536" s="102"/>
      <c r="K536" s="102"/>
    </row>
    <row r="537" spans="2:11" ht="15.75" customHeight="1" thickBot="1" x14ac:dyDescent="0.25">
      <c r="B537" s="102"/>
      <c r="C537" s="103"/>
      <c r="D537" s="102"/>
      <c r="E537" s="102"/>
      <c r="F537" s="102"/>
      <c r="G537" s="102"/>
      <c r="I537" s="102"/>
      <c r="J537" s="102"/>
      <c r="K537" s="102"/>
    </row>
    <row r="538" spans="2:11" ht="15.75" customHeight="1" thickBot="1" x14ac:dyDescent="0.25">
      <c r="B538" s="102"/>
      <c r="C538" s="103"/>
      <c r="D538" s="102"/>
      <c r="E538" s="102"/>
      <c r="F538" s="102"/>
      <c r="G538" s="102"/>
      <c r="I538" s="102"/>
      <c r="J538" s="102"/>
      <c r="K538" s="102"/>
    </row>
    <row r="539" spans="2:11" ht="15.75" customHeight="1" thickBot="1" x14ac:dyDescent="0.25">
      <c r="B539" s="102"/>
      <c r="C539" s="103"/>
      <c r="D539" s="102"/>
      <c r="E539" s="102"/>
      <c r="F539" s="102"/>
      <c r="G539" s="102"/>
      <c r="I539" s="102"/>
      <c r="J539" s="102"/>
      <c r="K539" s="102"/>
    </row>
    <row r="540" spans="2:11" ht="15.75" customHeight="1" thickBot="1" x14ac:dyDescent="0.25">
      <c r="B540" s="102"/>
      <c r="C540" s="103"/>
      <c r="D540" s="102"/>
      <c r="E540" s="102"/>
      <c r="F540" s="102"/>
      <c r="G540" s="102"/>
      <c r="I540" s="102"/>
      <c r="J540" s="102"/>
      <c r="K540" s="102"/>
    </row>
    <row r="541" spans="2:11" ht="15.75" customHeight="1" thickBot="1" x14ac:dyDescent="0.25">
      <c r="B541" s="102"/>
      <c r="C541" s="103"/>
      <c r="D541" s="102"/>
      <c r="E541" s="102"/>
      <c r="F541" s="102"/>
      <c r="G541" s="102"/>
      <c r="I541" s="102"/>
      <c r="J541" s="102"/>
      <c r="K541" s="102"/>
    </row>
    <row r="542" spans="2:11" ht="15.75" customHeight="1" thickBot="1" x14ac:dyDescent="0.25">
      <c r="B542" s="102"/>
      <c r="C542" s="103"/>
      <c r="D542" s="102"/>
      <c r="E542" s="102"/>
      <c r="F542" s="102"/>
      <c r="G542" s="102"/>
      <c r="I542" s="102"/>
      <c r="J542" s="102"/>
      <c r="K542" s="102"/>
    </row>
    <row r="543" spans="2:11" ht="15.75" customHeight="1" thickBot="1" x14ac:dyDescent="0.25">
      <c r="B543" s="102"/>
      <c r="C543" s="103"/>
      <c r="D543" s="102"/>
      <c r="E543" s="102"/>
      <c r="F543" s="102"/>
      <c r="G543" s="102"/>
      <c r="I543" s="102"/>
      <c r="J543" s="102"/>
      <c r="K543" s="102"/>
    </row>
    <row r="544" spans="2:11" ht="15.75" customHeight="1" thickBot="1" x14ac:dyDescent="0.25">
      <c r="B544" s="102"/>
      <c r="C544" s="103"/>
      <c r="D544" s="102"/>
      <c r="E544" s="102"/>
      <c r="F544" s="102"/>
      <c r="G544" s="102"/>
      <c r="I544" s="102"/>
      <c r="J544" s="102"/>
      <c r="K544" s="102"/>
    </row>
    <row r="545" spans="2:11" ht="15.75" customHeight="1" thickBot="1" x14ac:dyDescent="0.25">
      <c r="B545" s="102"/>
      <c r="C545" s="103"/>
      <c r="D545" s="102"/>
      <c r="E545" s="102"/>
      <c r="F545" s="102"/>
      <c r="G545" s="102"/>
      <c r="I545" s="102"/>
      <c r="J545" s="102"/>
      <c r="K545" s="102"/>
    </row>
    <row r="546" spans="2:11" ht="15.75" customHeight="1" thickBot="1" x14ac:dyDescent="0.25">
      <c r="B546" s="102"/>
      <c r="C546" s="103"/>
      <c r="D546" s="102"/>
      <c r="E546" s="102"/>
      <c r="F546" s="102"/>
      <c r="G546" s="102"/>
      <c r="I546" s="102"/>
      <c r="J546" s="102"/>
      <c r="K546" s="102"/>
    </row>
    <row r="547" spans="2:11" ht="15.75" customHeight="1" thickBot="1" x14ac:dyDescent="0.25">
      <c r="B547" s="102"/>
      <c r="C547" s="103"/>
      <c r="D547" s="102"/>
      <c r="E547" s="102"/>
      <c r="F547" s="102"/>
      <c r="G547" s="102"/>
      <c r="I547" s="102"/>
      <c r="J547" s="102"/>
      <c r="K547" s="102"/>
    </row>
    <row r="548" spans="2:11" ht="15.75" customHeight="1" thickBot="1" x14ac:dyDescent="0.25">
      <c r="B548" s="102"/>
      <c r="C548" s="103"/>
      <c r="D548" s="102"/>
      <c r="E548" s="102"/>
      <c r="F548" s="102"/>
      <c r="G548" s="102"/>
      <c r="I548" s="102"/>
      <c r="J548" s="102"/>
      <c r="K548" s="102"/>
    </row>
    <row r="549" spans="2:11" ht="15.75" customHeight="1" thickBot="1" x14ac:dyDescent="0.25">
      <c r="B549" s="102"/>
      <c r="C549" s="103"/>
      <c r="D549" s="102"/>
      <c r="E549" s="102"/>
      <c r="F549" s="102"/>
      <c r="G549" s="102"/>
      <c r="I549" s="102"/>
      <c r="J549" s="102"/>
      <c r="K549" s="102"/>
    </row>
    <row r="550" spans="2:11" ht="15.75" customHeight="1" thickBot="1" x14ac:dyDescent="0.25">
      <c r="B550" s="102"/>
      <c r="C550" s="103"/>
      <c r="D550" s="102"/>
      <c r="E550" s="102"/>
      <c r="F550" s="102"/>
      <c r="G550" s="102"/>
      <c r="I550" s="102"/>
      <c r="J550" s="102"/>
      <c r="K550" s="102"/>
    </row>
    <row r="551" spans="2:11" ht="15.75" customHeight="1" thickBot="1" x14ac:dyDescent="0.25">
      <c r="B551" s="102"/>
      <c r="C551" s="103"/>
      <c r="D551" s="102"/>
      <c r="E551" s="102"/>
      <c r="F551" s="102"/>
      <c r="G551" s="102"/>
      <c r="I551" s="102"/>
      <c r="J551" s="102"/>
      <c r="K551" s="102"/>
    </row>
    <row r="552" spans="2:11" ht="15.75" customHeight="1" thickBot="1" x14ac:dyDescent="0.25">
      <c r="B552" s="102"/>
      <c r="C552" s="103"/>
      <c r="D552" s="102"/>
      <c r="E552" s="102"/>
      <c r="F552" s="102"/>
      <c r="G552" s="102"/>
      <c r="I552" s="102"/>
      <c r="J552" s="102"/>
      <c r="K552" s="102"/>
    </row>
    <row r="553" spans="2:11" ht="15.75" customHeight="1" thickBot="1" x14ac:dyDescent="0.25">
      <c r="B553" s="102"/>
      <c r="C553" s="103"/>
      <c r="D553" s="102"/>
      <c r="E553" s="102"/>
      <c r="F553" s="102"/>
      <c r="G553" s="102"/>
      <c r="I553" s="102"/>
      <c r="J553" s="102"/>
      <c r="K553" s="102"/>
    </row>
    <row r="554" spans="2:11" ht="15.75" customHeight="1" thickBot="1" x14ac:dyDescent="0.25">
      <c r="B554" s="102"/>
      <c r="C554" s="103"/>
      <c r="D554" s="102"/>
      <c r="E554" s="102"/>
      <c r="F554" s="102"/>
      <c r="G554" s="102"/>
      <c r="I554" s="102"/>
      <c r="J554" s="102"/>
      <c r="K554" s="102"/>
    </row>
    <row r="555" spans="2:11" ht="15.75" customHeight="1" thickBot="1" x14ac:dyDescent="0.25">
      <c r="B555" s="102"/>
      <c r="C555" s="103"/>
      <c r="D555" s="102"/>
      <c r="E555" s="102"/>
      <c r="F555" s="102"/>
      <c r="G555" s="102"/>
      <c r="I555" s="102"/>
      <c r="J555" s="102"/>
      <c r="K555" s="102"/>
    </row>
    <row r="556" spans="2:11" ht="15.75" customHeight="1" thickBot="1" x14ac:dyDescent="0.25">
      <c r="B556" s="102"/>
      <c r="C556" s="103"/>
      <c r="D556" s="102"/>
      <c r="E556" s="102"/>
      <c r="F556" s="102"/>
      <c r="G556" s="102"/>
      <c r="I556" s="102"/>
      <c r="J556" s="102"/>
      <c r="K556" s="102"/>
    </row>
    <row r="557" spans="2:11" ht="15.75" customHeight="1" thickBot="1" x14ac:dyDescent="0.25">
      <c r="B557" s="102"/>
      <c r="C557" s="103"/>
      <c r="D557" s="102"/>
      <c r="E557" s="102"/>
      <c r="F557" s="102"/>
      <c r="G557" s="102"/>
      <c r="I557" s="102"/>
      <c r="J557" s="102"/>
      <c r="K557" s="102"/>
    </row>
    <row r="558" spans="2:11" ht="15.75" customHeight="1" thickBot="1" x14ac:dyDescent="0.25">
      <c r="B558" s="102"/>
      <c r="C558" s="103"/>
      <c r="D558" s="102"/>
      <c r="E558" s="102"/>
      <c r="F558" s="102"/>
      <c r="G558" s="102"/>
      <c r="I558" s="102"/>
      <c r="J558" s="102"/>
      <c r="K558" s="102"/>
    </row>
    <row r="559" spans="2:11" ht="15.75" customHeight="1" thickBot="1" x14ac:dyDescent="0.25">
      <c r="B559" s="102"/>
      <c r="C559" s="103"/>
      <c r="D559" s="102"/>
      <c r="E559" s="102"/>
      <c r="F559" s="102"/>
      <c r="G559" s="102"/>
      <c r="I559" s="102"/>
      <c r="J559" s="102"/>
      <c r="K559" s="102"/>
    </row>
    <row r="560" spans="2:11" ht="15.75" customHeight="1" thickBot="1" x14ac:dyDescent="0.25">
      <c r="B560" s="102"/>
      <c r="C560" s="103"/>
      <c r="D560" s="102"/>
      <c r="E560" s="102"/>
      <c r="F560" s="102"/>
      <c r="G560" s="102"/>
      <c r="I560" s="102"/>
      <c r="J560" s="102"/>
      <c r="K560" s="102"/>
    </row>
    <row r="561" spans="2:11" ht="15.75" customHeight="1" thickBot="1" x14ac:dyDescent="0.25">
      <c r="B561" s="102"/>
      <c r="C561" s="103"/>
      <c r="D561" s="102"/>
      <c r="E561" s="102"/>
      <c r="F561" s="102"/>
      <c r="G561" s="102"/>
      <c r="I561" s="102"/>
      <c r="J561" s="102"/>
      <c r="K561" s="102"/>
    </row>
    <row r="562" spans="2:11" ht="15.75" customHeight="1" thickBot="1" x14ac:dyDescent="0.25">
      <c r="B562" s="102"/>
      <c r="C562" s="103"/>
      <c r="D562" s="102"/>
      <c r="E562" s="102"/>
      <c r="F562" s="102"/>
      <c r="G562" s="102"/>
      <c r="I562" s="102"/>
      <c r="J562" s="102"/>
      <c r="K562" s="102"/>
    </row>
    <row r="563" spans="2:11" ht="15.75" customHeight="1" thickBot="1" x14ac:dyDescent="0.25">
      <c r="B563" s="102"/>
      <c r="C563" s="103"/>
      <c r="D563" s="102"/>
      <c r="E563" s="102"/>
      <c r="F563" s="102"/>
      <c r="G563" s="102"/>
      <c r="I563" s="102"/>
      <c r="J563" s="102"/>
      <c r="K563" s="102"/>
    </row>
    <row r="564" spans="2:11" ht="15.75" customHeight="1" thickBot="1" x14ac:dyDescent="0.25">
      <c r="B564" s="102"/>
      <c r="C564" s="103"/>
      <c r="D564" s="102"/>
      <c r="E564" s="102"/>
      <c r="F564" s="102"/>
      <c r="G564" s="102"/>
      <c r="I564" s="102"/>
      <c r="J564" s="102"/>
      <c r="K564" s="102"/>
    </row>
    <row r="565" spans="2:11" ht="15.75" customHeight="1" thickBot="1" x14ac:dyDescent="0.25">
      <c r="B565" s="102"/>
      <c r="C565" s="103"/>
      <c r="D565" s="102"/>
      <c r="E565" s="102"/>
      <c r="F565" s="102"/>
      <c r="G565" s="102"/>
      <c r="I565" s="102"/>
      <c r="J565" s="102"/>
      <c r="K565" s="102"/>
    </row>
    <row r="566" spans="2:11" ht="15.75" customHeight="1" thickBot="1" x14ac:dyDescent="0.25">
      <c r="B566" s="102"/>
      <c r="C566" s="103"/>
      <c r="D566" s="102"/>
      <c r="E566" s="102"/>
      <c r="F566" s="102"/>
      <c r="G566" s="102"/>
      <c r="I566" s="102"/>
      <c r="J566" s="102"/>
      <c r="K566" s="102"/>
    </row>
    <row r="567" spans="2:11" ht="15.75" customHeight="1" thickBot="1" x14ac:dyDescent="0.25">
      <c r="B567" s="102"/>
      <c r="C567" s="103"/>
      <c r="D567" s="102"/>
      <c r="E567" s="102"/>
      <c r="F567" s="102"/>
      <c r="G567" s="102"/>
      <c r="I567" s="102"/>
      <c r="J567" s="102"/>
      <c r="K567" s="102"/>
    </row>
    <row r="568" spans="2:11" ht="15.75" customHeight="1" thickBot="1" x14ac:dyDescent="0.25">
      <c r="B568" s="102"/>
      <c r="C568" s="103"/>
      <c r="D568" s="102"/>
      <c r="E568" s="102"/>
      <c r="F568" s="102"/>
      <c r="G568" s="102"/>
      <c r="I568" s="102"/>
      <c r="J568" s="102"/>
      <c r="K568" s="102"/>
    </row>
    <row r="569" spans="2:11" ht="15.75" customHeight="1" thickBot="1" x14ac:dyDescent="0.25">
      <c r="B569" s="102"/>
      <c r="C569" s="103"/>
      <c r="D569" s="102"/>
      <c r="E569" s="102"/>
      <c r="F569" s="102"/>
      <c r="G569" s="102"/>
      <c r="I569" s="102"/>
      <c r="J569" s="102"/>
      <c r="K569" s="102"/>
    </row>
    <row r="570" spans="2:11" ht="15.75" customHeight="1" thickBot="1" x14ac:dyDescent="0.25">
      <c r="B570" s="102"/>
      <c r="C570" s="103"/>
      <c r="D570" s="102"/>
      <c r="E570" s="102"/>
      <c r="F570" s="102"/>
      <c r="G570" s="102"/>
      <c r="I570" s="102"/>
      <c r="J570" s="102"/>
      <c r="K570" s="102"/>
    </row>
    <row r="571" spans="2:11" ht="15.75" customHeight="1" thickBot="1" x14ac:dyDescent="0.25">
      <c r="B571" s="102"/>
      <c r="C571" s="103"/>
      <c r="D571" s="102"/>
      <c r="E571" s="102"/>
      <c r="F571" s="102"/>
      <c r="G571" s="102"/>
      <c r="I571" s="102"/>
      <c r="J571" s="102"/>
      <c r="K571" s="102"/>
    </row>
    <row r="572" spans="2:11" ht="15.75" customHeight="1" thickBot="1" x14ac:dyDescent="0.25">
      <c r="B572" s="102"/>
      <c r="C572" s="103"/>
      <c r="D572" s="102"/>
      <c r="E572" s="102"/>
      <c r="F572" s="102"/>
      <c r="G572" s="102"/>
      <c r="I572" s="102"/>
      <c r="J572" s="102"/>
      <c r="K572" s="102"/>
    </row>
    <row r="573" spans="2:11" ht="15.75" customHeight="1" thickBot="1" x14ac:dyDescent="0.25">
      <c r="B573" s="102"/>
      <c r="C573" s="103"/>
      <c r="D573" s="102"/>
      <c r="E573" s="102"/>
      <c r="F573" s="102"/>
      <c r="G573" s="102"/>
      <c r="I573" s="102"/>
      <c r="J573" s="102"/>
      <c r="K573" s="102"/>
    </row>
    <row r="574" spans="2:11" ht="15.75" customHeight="1" thickBot="1" x14ac:dyDescent="0.25">
      <c r="B574" s="102"/>
      <c r="C574" s="103"/>
      <c r="D574" s="102"/>
      <c r="E574" s="102"/>
      <c r="F574" s="102"/>
      <c r="G574" s="102"/>
      <c r="I574" s="102"/>
      <c r="J574" s="102"/>
      <c r="K574" s="102"/>
    </row>
    <row r="575" spans="2:11" ht="15.75" customHeight="1" thickBot="1" x14ac:dyDescent="0.25">
      <c r="B575" s="102"/>
      <c r="C575" s="103"/>
      <c r="D575" s="102"/>
      <c r="E575" s="102"/>
      <c r="F575" s="102"/>
      <c r="G575" s="102"/>
      <c r="I575" s="102"/>
      <c r="J575" s="102"/>
      <c r="K575" s="102"/>
    </row>
    <row r="576" spans="2:11" ht="15.75" customHeight="1" thickBot="1" x14ac:dyDescent="0.25">
      <c r="B576" s="102"/>
      <c r="C576" s="103"/>
      <c r="D576" s="102"/>
      <c r="E576" s="102"/>
      <c r="F576" s="102"/>
      <c r="G576" s="102"/>
      <c r="I576" s="102"/>
      <c r="J576" s="102"/>
      <c r="K576" s="102"/>
    </row>
    <row r="577" spans="2:11" ht="15.75" customHeight="1" thickBot="1" x14ac:dyDescent="0.25">
      <c r="B577" s="102"/>
      <c r="C577" s="103"/>
      <c r="D577" s="102"/>
      <c r="E577" s="102"/>
      <c r="F577" s="102"/>
      <c r="G577" s="102"/>
      <c r="I577" s="102"/>
      <c r="J577" s="102"/>
      <c r="K577" s="102"/>
    </row>
    <row r="578" spans="2:11" ht="15.75" customHeight="1" thickBot="1" x14ac:dyDescent="0.25">
      <c r="B578" s="102"/>
      <c r="C578" s="103"/>
      <c r="D578" s="102"/>
      <c r="E578" s="102"/>
      <c r="F578" s="102"/>
      <c r="G578" s="102"/>
      <c r="I578" s="102"/>
      <c r="J578" s="102"/>
      <c r="K578" s="102"/>
    </row>
    <row r="579" spans="2:11" ht="15.75" customHeight="1" thickBot="1" x14ac:dyDescent="0.25">
      <c r="B579" s="102"/>
      <c r="C579" s="103"/>
      <c r="D579" s="102"/>
      <c r="E579" s="102"/>
      <c r="F579" s="102"/>
      <c r="G579" s="102"/>
      <c r="I579" s="102"/>
      <c r="J579" s="102"/>
      <c r="K579" s="102"/>
    </row>
    <row r="580" spans="2:11" ht="15.75" customHeight="1" thickBot="1" x14ac:dyDescent="0.25">
      <c r="B580" s="102"/>
      <c r="C580" s="103"/>
      <c r="D580" s="102"/>
      <c r="E580" s="102"/>
      <c r="F580" s="102"/>
      <c r="G580" s="102"/>
      <c r="I580" s="102"/>
      <c r="J580" s="102"/>
      <c r="K580" s="102"/>
    </row>
    <row r="581" spans="2:11" ht="15.75" customHeight="1" thickBot="1" x14ac:dyDescent="0.25">
      <c r="B581" s="102"/>
      <c r="C581" s="103"/>
      <c r="D581" s="102"/>
      <c r="E581" s="102"/>
      <c r="F581" s="102"/>
      <c r="G581" s="102"/>
      <c r="I581" s="102"/>
      <c r="J581" s="102"/>
      <c r="K581" s="102"/>
    </row>
    <row r="582" spans="2:11" ht="15.75" customHeight="1" thickBot="1" x14ac:dyDescent="0.25">
      <c r="B582" s="102"/>
      <c r="C582" s="103"/>
      <c r="D582" s="102"/>
      <c r="E582" s="102"/>
      <c r="F582" s="102"/>
      <c r="G582" s="102"/>
      <c r="I582" s="102"/>
      <c r="J582" s="102"/>
      <c r="K582" s="102"/>
    </row>
    <row r="583" spans="2:11" ht="15.75" customHeight="1" thickBot="1" x14ac:dyDescent="0.25">
      <c r="B583" s="102"/>
      <c r="C583" s="103"/>
      <c r="D583" s="102"/>
      <c r="E583" s="102"/>
      <c r="F583" s="102"/>
      <c r="G583" s="102"/>
      <c r="I583" s="102"/>
      <c r="J583" s="102"/>
      <c r="K583" s="102"/>
    </row>
    <row r="584" spans="2:11" ht="15.75" customHeight="1" thickBot="1" x14ac:dyDescent="0.25">
      <c r="B584" s="102"/>
      <c r="C584" s="103"/>
      <c r="D584" s="102"/>
      <c r="E584" s="102"/>
      <c r="F584" s="102"/>
      <c r="G584" s="102"/>
      <c r="I584" s="102"/>
      <c r="J584" s="102"/>
      <c r="K584" s="102"/>
    </row>
    <row r="585" spans="2:11" ht="15.75" customHeight="1" thickBot="1" x14ac:dyDescent="0.25">
      <c r="B585" s="102"/>
      <c r="C585" s="103"/>
      <c r="D585" s="102"/>
      <c r="E585" s="102"/>
      <c r="F585" s="102"/>
      <c r="G585" s="102"/>
      <c r="I585" s="102"/>
      <c r="J585" s="102"/>
      <c r="K585" s="102"/>
    </row>
    <row r="586" spans="2:11" ht="15.75" customHeight="1" thickBot="1" x14ac:dyDescent="0.25">
      <c r="B586" s="102"/>
      <c r="C586" s="103"/>
      <c r="D586" s="102"/>
      <c r="E586" s="102"/>
      <c r="F586" s="102"/>
      <c r="G586" s="102"/>
      <c r="I586" s="102"/>
      <c r="J586" s="102"/>
      <c r="K586" s="102"/>
    </row>
    <row r="587" spans="2:11" ht="15.75" customHeight="1" thickBot="1" x14ac:dyDescent="0.25">
      <c r="B587" s="102"/>
      <c r="C587" s="103"/>
      <c r="D587" s="102"/>
      <c r="E587" s="102"/>
      <c r="F587" s="102"/>
      <c r="G587" s="102"/>
      <c r="I587" s="102"/>
      <c r="J587" s="102"/>
      <c r="K587" s="102"/>
    </row>
    <row r="588" spans="2:11" ht="15.75" customHeight="1" thickBot="1" x14ac:dyDescent="0.25">
      <c r="B588" s="102"/>
      <c r="C588" s="103"/>
      <c r="D588" s="102"/>
      <c r="E588" s="102"/>
      <c r="F588" s="102"/>
      <c r="G588" s="102"/>
      <c r="I588" s="102"/>
      <c r="J588" s="102"/>
      <c r="K588" s="102"/>
    </row>
    <row r="589" spans="2:11" ht="15.75" customHeight="1" thickBot="1" x14ac:dyDescent="0.25">
      <c r="B589" s="102"/>
      <c r="C589" s="103"/>
      <c r="D589" s="102"/>
      <c r="E589" s="102"/>
      <c r="F589" s="102"/>
      <c r="G589" s="102"/>
      <c r="I589" s="102"/>
      <c r="J589" s="102"/>
      <c r="K589" s="102"/>
    </row>
    <row r="590" spans="2:11" ht="15.75" customHeight="1" thickBot="1" x14ac:dyDescent="0.25">
      <c r="B590" s="102"/>
      <c r="C590" s="103"/>
      <c r="D590" s="102"/>
      <c r="E590" s="102"/>
      <c r="F590" s="102"/>
      <c r="G590" s="102"/>
      <c r="I590" s="102"/>
      <c r="J590" s="102"/>
      <c r="K590" s="102"/>
    </row>
    <row r="591" spans="2:11" ht="15.75" customHeight="1" thickBot="1" x14ac:dyDescent="0.25">
      <c r="B591" s="102"/>
      <c r="C591" s="103"/>
      <c r="D591" s="102"/>
      <c r="E591" s="102"/>
      <c r="F591" s="102"/>
      <c r="G591" s="102"/>
      <c r="I591" s="102"/>
      <c r="J591" s="102"/>
      <c r="K591" s="102"/>
    </row>
    <row r="592" spans="2:11" ht="15.75" customHeight="1" thickBot="1" x14ac:dyDescent="0.25">
      <c r="B592" s="102"/>
      <c r="C592" s="103"/>
      <c r="D592" s="102"/>
      <c r="E592" s="102"/>
      <c r="F592" s="102"/>
      <c r="G592" s="102"/>
      <c r="I592" s="102"/>
      <c r="J592" s="102"/>
      <c r="K592" s="102"/>
    </row>
    <row r="593" spans="2:11" ht="15.75" customHeight="1" thickBot="1" x14ac:dyDescent="0.25">
      <c r="B593" s="102"/>
      <c r="C593" s="103"/>
      <c r="D593" s="102"/>
      <c r="E593" s="102"/>
      <c r="F593" s="102"/>
      <c r="G593" s="102"/>
      <c r="I593" s="102"/>
      <c r="J593" s="102"/>
      <c r="K593" s="102"/>
    </row>
    <row r="594" spans="2:11" ht="15.75" customHeight="1" thickBot="1" x14ac:dyDescent="0.25">
      <c r="B594" s="102"/>
      <c r="C594" s="103"/>
      <c r="D594" s="102"/>
      <c r="E594" s="102"/>
      <c r="F594" s="102"/>
      <c r="G594" s="102"/>
      <c r="I594" s="102"/>
      <c r="J594" s="102"/>
      <c r="K594" s="102"/>
    </row>
    <row r="595" spans="2:11" ht="15.75" customHeight="1" thickBot="1" x14ac:dyDescent="0.25">
      <c r="B595" s="102"/>
      <c r="C595" s="103"/>
      <c r="D595" s="102"/>
      <c r="E595" s="102"/>
      <c r="F595" s="102"/>
      <c r="G595" s="102"/>
      <c r="I595" s="102"/>
      <c r="J595" s="102"/>
      <c r="K595" s="102"/>
    </row>
    <row r="596" spans="2:11" ht="15.75" customHeight="1" thickBot="1" x14ac:dyDescent="0.25">
      <c r="B596" s="102"/>
      <c r="C596" s="103"/>
      <c r="D596" s="102"/>
      <c r="E596" s="102"/>
      <c r="F596" s="102"/>
      <c r="G596" s="102"/>
      <c r="I596" s="102"/>
      <c r="J596" s="102"/>
      <c r="K596" s="102"/>
    </row>
    <row r="597" spans="2:11" ht="15.75" customHeight="1" thickBot="1" x14ac:dyDescent="0.25">
      <c r="B597" s="102"/>
      <c r="C597" s="103"/>
      <c r="D597" s="102"/>
      <c r="E597" s="102"/>
      <c r="F597" s="102"/>
      <c r="G597" s="102"/>
      <c r="I597" s="102"/>
      <c r="J597" s="102"/>
      <c r="K597" s="102"/>
    </row>
    <row r="598" spans="2:11" ht="15.75" customHeight="1" thickBot="1" x14ac:dyDescent="0.25">
      <c r="B598" s="102"/>
      <c r="C598" s="103"/>
      <c r="D598" s="102"/>
      <c r="E598" s="102"/>
      <c r="F598" s="102"/>
      <c r="G598" s="102"/>
      <c r="I598" s="102"/>
      <c r="J598" s="102"/>
      <c r="K598" s="102"/>
    </row>
    <row r="599" spans="2:11" ht="15.75" customHeight="1" thickBot="1" x14ac:dyDescent="0.25">
      <c r="B599" s="102"/>
      <c r="C599" s="103"/>
      <c r="D599" s="102"/>
      <c r="E599" s="102"/>
      <c r="F599" s="102"/>
      <c r="G599" s="102"/>
      <c r="I599" s="102"/>
      <c r="J599" s="102"/>
      <c r="K599" s="102"/>
    </row>
    <row r="600" spans="2:11" ht="15.75" customHeight="1" thickBot="1" x14ac:dyDescent="0.25">
      <c r="B600" s="102"/>
      <c r="C600" s="103"/>
      <c r="D600" s="102"/>
      <c r="E600" s="102"/>
      <c r="F600" s="102"/>
      <c r="G600" s="102"/>
      <c r="I600" s="102"/>
      <c r="J600" s="102"/>
      <c r="K600" s="102"/>
    </row>
    <row r="601" spans="2:11" ht="15.75" customHeight="1" thickBot="1" x14ac:dyDescent="0.25">
      <c r="B601" s="102"/>
      <c r="C601" s="103"/>
      <c r="D601" s="102"/>
      <c r="E601" s="102"/>
      <c r="F601" s="102"/>
      <c r="G601" s="102"/>
      <c r="I601" s="102"/>
      <c r="J601" s="102"/>
      <c r="K601" s="102"/>
    </row>
    <row r="602" spans="2:11" ht="15.75" customHeight="1" thickBot="1" x14ac:dyDescent="0.25">
      <c r="B602" s="102"/>
      <c r="C602" s="103"/>
      <c r="D602" s="102"/>
      <c r="E602" s="102"/>
      <c r="F602" s="102"/>
      <c r="G602" s="102"/>
      <c r="I602" s="102"/>
      <c r="J602" s="102"/>
      <c r="K602" s="102"/>
    </row>
    <row r="603" spans="2:11" ht="15.75" customHeight="1" thickBot="1" x14ac:dyDescent="0.25">
      <c r="B603" s="102"/>
      <c r="C603" s="103"/>
      <c r="D603" s="102"/>
      <c r="E603" s="102"/>
      <c r="F603" s="102"/>
      <c r="G603" s="102"/>
      <c r="I603" s="102"/>
      <c r="J603" s="102"/>
      <c r="K603" s="102"/>
    </row>
    <row r="604" spans="2:11" ht="15.75" customHeight="1" thickBot="1" x14ac:dyDescent="0.25">
      <c r="B604" s="102"/>
      <c r="C604" s="103"/>
      <c r="D604" s="102"/>
      <c r="E604" s="102"/>
      <c r="F604" s="102"/>
      <c r="G604" s="102"/>
      <c r="I604" s="102"/>
      <c r="J604" s="102"/>
      <c r="K604" s="102"/>
    </row>
    <row r="605" spans="2:11" ht="15.75" customHeight="1" thickBot="1" x14ac:dyDescent="0.25">
      <c r="B605" s="102"/>
      <c r="C605" s="103"/>
      <c r="D605" s="102"/>
      <c r="E605" s="102"/>
      <c r="F605" s="102"/>
      <c r="G605" s="102"/>
      <c r="I605" s="102"/>
      <c r="J605" s="102"/>
      <c r="K605" s="102"/>
    </row>
    <row r="606" spans="2:11" ht="15.75" customHeight="1" thickBot="1" x14ac:dyDescent="0.25">
      <c r="B606" s="102"/>
      <c r="C606" s="103"/>
      <c r="D606" s="102"/>
      <c r="E606" s="102"/>
      <c r="F606" s="102"/>
      <c r="G606" s="102"/>
      <c r="I606" s="102"/>
      <c r="J606" s="102"/>
      <c r="K606" s="102"/>
    </row>
    <row r="607" spans="2:11" ht="15.75" customHeight="1" thickBot="1" x14ac:dyDescent="0.25">
      <c r="B607" s="102"/>
      <c r="C607" s="103"/>
      <c r="D607" s="102"/>
      <c r="E607" s="102"/>
      <c r="F607" s="102"/>
      <c r="G607" s="102"/>
      <c r="I607" s="102"/>
      <c r="J607" s="102"/>
      <c r="K607" s="102"/>
    </row>
    <row r="608" spans="2:11" ht="15.75" customHeight="1" thickBot="1" x14ac:dyDescent="0.25">
      <c r="B608" s="102"/>
      <c r="C608" s="103"/>
      <c r="D608" s="102"/>
      <c r="E608" s="102"/>
      <c r="F608" s="102"/>
      <c r="G608" s="102"/>
      <c r="I608" s="102"/>
      <c r="J608" s="102"/>
      <c r="K608" s="102"/>
    </row>
    <row r="609" spans="2:11" ht="15.75" customHeight="1" thickBot="1" x14ac:dyDescent="0.25">
      <c r="B609" s="102"/>
      <c r="C609" s="103"/>
      <c r="D609" s="102"/>
      <c r="E609" s="102"/>
      <c r="F609" s="102"/>
      <c r="G609" s="102"/>
      <c r="I609" s="102"/>
      <c r="J609" s="102"/>
      <c r="K609" s="102"/>
    </row>
    <row r="610" spans="2:11" ht="15.75" customHeight="1" thickBot="1" x14ac:dyDescent="0.25">
      <c r="B610" s="102"/>
      <c r="C610" s="103"/>
      <c r="D610" s="102"/>
      <c r="E610" s="102"/>
      <c r="F610" s="102"/>
      <c r="G610" s="102"/>
      <c r="I610" s="102"/>
      <c r="J610" s="102"/>
      <c r="K610" s="102"/>
    </row>
    <row r="611" spans="2:11" ht="15.75" customHeight="1" thickBot="1" x14ac:dyDescent="0.25">
      <c r="B611" s="102"/>
      <c r="C611" s="103"/>
      <c r="D611" s="102"/>
      <c r="E611" s="102"/>
      <c r="F611" s="102"/>
      <c r="G611" s="102"/>
      <c r="I611" s="102"/>
      <c r="J611" s="102"/>
      <c r="K611" s="102"/>
    </row>
    <row r="612" spans="2:11" ht="15.75" customHeight="1" thickBot="1" x14ac:dyDescent="0.25">
      <c r="B612" s="102"/>
      <c r="C612" s="103"/>
      <c r="D612" s="102"/>
      <c r="E612" s="102"/>
      <c r="F612" s="102"/>
      <c r="G612" s="102"/>
      <c r="I612" s="102"/>
      <c r="J612" s="102"/>
      <c r="K612" s="102"/>
    </row>
    <row r="613" spans="2:11" ht="15.75" customHeight="1" thickBot="1" x14ac:dyDescent="0.25">
      <c r="B613" s="102"/>
      <c r="C613" s="103"/>
      <c r="D613" s="102"/>
      <c r="E613" s="102"/>
      <c r="F613" s="102"/>
      <c r="G613" s="102"/>
      <c r="I613" s="102"/>
      <c r="J613" s="102"/>
      <c r="K613" s="102"/>
    </row>
    <row r="614" spans="2:11" ht="15.75" customHeight="1" thickBot="1" x14ac:dyDescent="0.25">
      <c r="B614" s="102"/>
      <c r="C614" s="103"/>
      <c r="D614" s="102"/>
      <c r="E614" s="102"/>
      <c r="F614" s="102"/>
      <c r="G614" s="102"/>
      <c r="I614" s="102"/>
      <c r="J614" s="102"/>
      <c r="K614" s="102"/>
    </row>
    <row r="615" spans="2:11" ht="15.75" customHeight="1" thickBot="1" x14ac:dyDescent="0.25">
      <c r="B615" s="102"/>
      <c r="C615" s="103"/>
      <c r="D615" s="102"/>
      <c r="E615" s="102"/>
      <c r="F615" s="102"/>
      <c r="G615" s="102"/>
      <c r="I615" s="102"/>
      <c r="J615" s="102"/>
      <c r="K615" s="102"/>
    </row>
    <row r="616" spans="2:11" ht="15.75" customHeight="1" thickBot="1" x14ac:dyDescent="0.25">
      <c r="B616" s="102"/>
      <c r="C616" s="103"/>
      <c r="D616" s="102"/>
      <c r="E616" s="102"/>
      <c r="F616" s="102"/>
      <c r="G616" s="102"/>
      <c r="I616" s="102"/>
      <c r="J616" s="102"/>
      <c r="K616" s="102"/>
    </row>
    <row r="617" spans="2:11" ht="15.75" customHeight="1" thickBot="1" x14ac:dyDescent="0.25">
      <c r="B617" s="102"/>
      <c r="C617" s="103"/>
      <c r="D617" s="102"/>
      <c r="E617" s="102"/>
      <c r="F617" s="102"/>
      <c r="G617" s="102"/>
      <c r="I617" s="102"/>
      <c r="J617" s="102"/>
      <c r="K617" s="102"/>
    </row>
    <row r="618" spans="2:11" ht="15.75" customHeight="1" thickBot="1" x14ac:dyDescent="0.25">
      <c r="B618" s="102"/>
      <c r="C618" s="103"/>
      <c r="D618" s="102"/>
      <c r="E618" s="102"/>
      <c r="F618" s="102"/>
      <c r="G618" s="102"/>
      <c r="I618" s="102"/>
      <c r="J618" s="102"/>
      <c r="K618" s="102"/>
    </row>
    <row r="619" spans="2:11" ht="15.75" customHeight="1" thickBot="1" x14ac:dyDescent="0.25">
      <c r="B619" s="102"/>
      <c r="C619" s="103"/>
      <c r="D619" s="102"/>
      <c r="E619" s="102"/>
      <c r="F619" s="102"/>
      <c r="G619" s="102"/>
      <c r="I619" s="102"/>
      <c r="J619" s="102"/>
      <c r="K619" s="102"/>
    </row>
    <row r="620" spans="2:11" ht="15.75" customHeight="1" thickBot="1" x14ac:dyDescent="0.25">
      <c r="B620" s="102"/>
      <c r="C620" s="103"/>
      <c r="D620" s="102"/>
      <c r="E620" s="102"/>
      <c r="F620" s="102"/>
      <c r="G620" s="102"/>
      <c r="I620" s="102"/>
      <c r="J620" s="102"/>
      <c r="K620" s="102"/>
    </row>
    <row r="621" spans="2:11" ht="15.75" customHeight="1" thickBot="1" x14ac:dyDescent="0.25">
      <c r="B621" s="102"/>
      <c r="C621" s="103"/>
      <c r="D621" s="102"/>
      <c r="E621" s="102"/>
      <c r="F621" s="102"/>
      <c r="G621" s="102"/>
      <c r="I621" s="102"/>
      <c r="J621" s="102"/>
      <c r="K621" s="102"/>
    </row>
    <row r="622" spans="2:11" ht="15.75" customHeight="1" thickBot="1" x14ac:dyDescent="0.25">
      <c r="B622" s="102"/>
      <c r="C622" s="103"/>
      <c r="D622" s="102"/>
      <c r="E622" s="102"/>
      <c r="F622" s="102"/>
      <c r="G622" s="102"/>
      <c r="I622" s="102"/>
      <c r="J622" s="102"/>
      <c r="K622" s="102"/>
    </row>
    <row r="623" spans="2:11" ht="15.75" customHeight="1" thickBot="1" x14ac:dyDescent="0.25">
      <c r="B623" s="102"/>
      <c r="C623" s="103"/>
      <c r="D623" s="102"/>
      <c r="E623" s="102"/>
      <c r="F623" s="102"/>
      <c r="G623" s="102"/>
      <c r="I623" s="102"/>
      <c r="J623" s="102"/>
      <c r="K623" s="102"/>
    </row>
    <row r="624" spans="2:11" ht="15.75" customHeight="1" thickBot="1" x14ac:dyDescent="0.25">
      <c r="B624" s="102"/>
      <c r="C624" s="103"/>
      <c r="D624" s="102"/>
      <c r="E624" s="102"/>
      <c r="F624" s="102"/>
      <c r="G624" s="102"/>
      <c r="I624" s="102"/>
      <c r="J624" s="102"/>
      <c r="K624" s="102"/>
    </row>
    <row r="625" spans="2:11" ht="15.75" customHeight="1" thickBot="1" x14ac:dyDescent="0.25">
      <c r="B625" s="102"/>
      <c r="C625" s="103"/>
      <c r="D625" s="102"/>
      <c r="E625" s="102"/>
      <c r="F625" s="102"/>
      <c r="G625" s="102"/>
      <c r="I625" s="102"/>
      <c r="J625" s="102"/>
      <c r="K625" s="102"/>
    </row>
    <row r="626" spans="2:11" ht="15.75" customHeight="1" thickBot="1" x14ac:dyDescent="0.25">
      <c r="B626" s="102"/>
      <c r="C626" s="103"/>
      <c r="D626" s="102"/>
      <c r="E626" s="102"/>
      <c r="F626" s="102"/>
      <c r="G626" s="102"/>
      <c r="I626" s="102"/>
      <c r="J626" s="102"/>
      <c r="K626" s="102"/>
    </row>
    <row r="627" spans="2:11" ht="15.75" customHeight="1" thickBot="1" x14ac:dyDescent="0.25">
      <c r="B627" s="102"/>
      <c r="C627" s="103"/>
      <c r="D627" s="102"/>
      <c r="E627" s="102"/>
      <c r="F627" s="102"/>
      <c r="G627" s="102"/>
      <c r="I627" s="102"/>
      <c r="J627" s="102"/>
      <c r="K627" s="102"/>
    </row>
    <row r="628" spans="2:11" ht="15.75" customHeight="1" thickBot="1" x14ac:dyDescent="0.25">
      <c r="B628" s="102"/>
      <c r="C628" s="103"/>
      <c r="D628" s="102"/>
      <c r="E628" s="102"/>
      <c r="F628" s="102"/>
      <c r="G628" s="102"/>
      <c r="I628" s="102"/>
      <c r="J628" s="102"/>
      <c r="K628" s="102"/>
    </row>
    <row r="629" spans="2:11" ht="15.75" customHeight="1" thickBot="1" x14ac:dyDescent="0.25">
      <c r="B629" s="102"/>
      <c r="C629" s="103"/>
      <c r="D629" s="102"/>
      <c r="E629" s="102"/>
      <c r="F629" s="102"/>
      <c r="G629" s="102"/>
      <c r="I629" s="102"/>
      <c r="J629" s="102"/>
      <c r="K629" s="102"/>
    </row>
    <row r="630" spans="2:11" ht="15.75" customHeight="1" thickBot="1" x14ac:dyDescent="0.25">
      <c r="B630" s="102"/>
      <c r="C630" s="103"/>
      <c r="D630" s="102"/>
      <c r="E630" s="102"/>
      <c r="F630" s="102"/>
      <c r="G630" s="102"/>
      <c r="I630" s="102"/>
      <c r="J630" s="102"/>
      <c r="K630" s="102"/>
    </row>
    <row r="631" spans="2:11" ht="15.75" customHeight="1" thickBot="1" x14ac:dyDescent="0.25">
      <c r="B631" s="102"/>
      <c r="C631" s="103"/>
      <c r="D631" s="102"/>
      <c r="E631" s="102"/>
      <c r="F631" s="102"/>
      <c r="G631" s="102"/>
      <c r="I631" s="102"/>
      <c r="J631" s="102"/>
      <c r="K631" s="102"/>
    </row>
    <row r="632" spans="2:11" ht="15.75" customHeight="1" thickBot="1" x14ac:dyDescent="0.25">
      <c r="B632" s="102"/>
      <c r="C632" s="103"/>
      <c r="D632" s="102"/>
      <c r="E632" s="102"/>
      <c r="F632" s="102"/>
      <c r="G632" s="102"/>
      <c r="I632" s="102"/>
      <c r="J632" s="102"/>
      <c r="K632" s="102"/>
    </row>
    <row r="633" spans="2:11" ht="15.75" customHeight="1" thickBot="1" x14ac:dyDescent="0.25">
      <c r="B633" s="102"/>
      <c r="C633" s="103"/>
      <c r="D633" s="102"/>
      <c r="E633" s="102"/>
      <c r="F633" s="102"/>
      <c r="G633" s="102"/>
      <c r="I633" s="102"/>
      <c r="J633" s="102"/>
      <c r="K633" s="102"/>
    </row>
    <row r="634" spans="2:11" ht="15.75" customHeight="1" thickBot="1" x14ac:dyDescent="0.25">
      <c r="B634" s="102"/>
      <c r="C634" s="103"/>
      <c r="D634" s="102"/>
      <c r="E634" s="102"/>
      <c r="F634" s="102"/>
      <c r="G634" s="102"/>
      <c r="I634" s="102"/>
      <c r="J634" s="102"/>
      <c r="K634" s="102"/>
    </row>
    <row r="635" spans="2:11" ht="15.75" customHeight="1" thickBot="1" x14ac:dyDescent="0.25">
      <c r="B635" s="102"/>
      <c r="C635" s="103"/>
      <c r="D635" s="102"/>
      <c r="E635" s="102"/>
      <c r="F635" s="102"/>
      <c r="G635" s="102"/>
      <c r="I635" s="102"/>
      <c r="J635" s="102"/>
      <c r="K635" s="102"/>
    </row>
    <row r="636" spans="2:11" ht="15.75" customHeight="1" thickBot="1" x14ac:dyDescent="0.25">
      <c r="B636" s="102"/>
      <c r="C636" s="103"/>
      <c r="D636" s="102"/>
      <c r="E636" s="102"/>
      <c r="F636" s="102"/>
      <c r="G636" s="102"/>
      <c r="I636" s="102"/>
      <c r="J636" s="102"/>
      <c r="K636" s="102"/>
    </row>
    <row r="637" spans="2:11" ht="15.75" customHeight="1" thickBot="1" x14ac:dyDescent="0.25">
      <c r="B637" s="102"/>
      <c r="C637" s="103"/>
      <c r="D637" s="102"/>
      <c r="E637" s="102"/>
      <c r="F637" s="102"/>
      <c r="G637" s="102"/>
      <c r="I637" s="102"/>
      <c r="J637" s="102"/>
      <c r="K637" s="102"/>
    </row>
    <row r="638" spans="2:11" ht="15.75" customHeight="1" thickBot="1" x14ac:dyDescent="0.25">
      <c r="B638" s="102"/>
      <c r="C638" s="103"/>
      <c r="D638" s="102"/>
      <c r="E638" s="102"/>
      <c r="F638" s="102"/>
      <c r="G638" s="102"/>
      <c r="I638" s="102"/>
      <c r="J638" s="102"/>
      <c r="K638" s="102"/>
    </row>
    <row r="639" spans="2:11" ht="15.75" customHeight="1" thickBot="1" x14ac:dyDescent="0.25">
      <c r="B639" s="102"/>
      <c r="C639" s="103"/>
      <c r="D639" s="102"/>
      <c r="E639" s="102"/>
      <c r="F639" s="102"/>
      <c r="G639" s="102"/>
      <c r="I639" s="102"/>
      <c r="J639" s="102"/>
      <c r="K639" s="102"/>
    </row>
    <row r="640" spans="2:11" ht="15.75" customHeight="1" thickBot="1" x14ac:dyDescent="0.25">
      <c r="B640" s="102"/>
      <c r="C640" s="103"/>
      <c r="D640" s="102"/>
      <c r="E640" s="102"/>
      <c r="F640" s="102"/>
      <c r="G640" s="102"/>
      <c r="I640" s="102"/>
      <c r="J640" s="102"/>
      <c r="K640" s="102"/>
    </row>
    <row r="641" spans="2:11" ht="15.75" customHeight="1" thickBot="1" x14ac:dyDescent="0.25">
      <c r="B641" s="102"/>
      <c r="C641" s="103"/>
      <c r="D641" s="102"/>
      <c r="E641" s="102"/>
      <c r="F641" s="102"/>
      <c r="G641" s="102"/>
      <c r="I641" s="102"/>
      <c r="J641" s="102"/>
      <c r="K641" s="102"/>
    </row>
    <row r="642" spans="2:11" ht="15.75" customHeight="1" thickBot="1" x14ac:dyDescent="0.25">
      <c r="B642" s="102"/>
      <c r="C642" s="103"/>
      <c r="D642" s="102"/>
      <c r="E642" s="102"/>
      <c r="F642" s="102"/>
      <c r="G642" s="102"/>
      <c r="I642" s="102"/>
      <c r="J642" s="102"/>
      <c r="K642" s="102"/>
    </row>
    <row r="643" spans="2:11" ht="15.75" customHeight="1" thickBot="1" x14ac:dyDescent="0.25">
      <c r="B643" s="102"/>
      <c r="C643" s="103"/>
      <c r="D643" s="102"/>
      <c r="E643" s="102"/>
      <c r="F643" s="102"/>
      <c r="G643" s="102"/>
      <c r="I643" s="102"/>
      <c r="J643" s="102"/>
      <c r="K643" s="102"/>
    </row>
    <row r="644" spans="2:11" ht="15.75" customHeight="1" thickBot="1" x14ac:dyDescent="0.25">
      <c r="B644" s="102"/>
      <c r="C644" s="103"/>
      <c r="D644" s="102"/>
      <c r="E644" s="102"/>
      <c r="F644" s="102"/>
      <c r="G644" s="102"/>
      <c r="I644" s="102"/>
      <c r="J644" s="102"/>
      <c r="K644" s="102"/>
    </row>
    <row r="645" spans="2:11" ht="15.75" customHeight="1" thickBot="1" x14ac:dyDescent="0.25">
      <c r="B645" s="102"/>
      <c r="C645" s="103"/>
      <c r="D645" s="102"/>
      <c r="E645" s="102"/>
      <c r="F645" s="102"/>
      <c r="G645" s="102"/>
      <c r="I645" s="102"/>
      <c r="J645" s="102"/>
      <c r="K645" s="102"/>
    </row>
    <row r="646" spans="2:11" ht="15.75" customHeight="1" thickBot="1" x14ac:dyDescent="0.25">
      <c r="B646" s="102"/>
      <c r="C646" s="103"/>
      <c r="D646" s="102"/>
      <c r="E646" s="102"/>
      <c r="F646" s="102"/>
      <c r="G646" s="102"/>
      <c r="I646" s="102"/>
      <c r="J646" s="102"/>
      <c r="K646" s="102"/>
    </row>
    <row r="647" spans="2:11" ht="15.75" customHeight="1" thickBot="1" x14ac:dyDescent="0.25">
      <c r="B647" s="102"/>
      <c r="C647" s="103"/>
      <c r="D647" s="102"/>
      <c r="E647" s="102"/>
      <c r="F647" s="102"/>
      <c r="G647" s="102"/>
      <c r="I647" s="102"/>
      <c r="J647" s="102"/>
      <c r="K647" s="102"/>
    </row>
    <row r="648" spans="2:11" ht="15.75" customHeight="1" thickBot="1" x14ac:dyDescent="0.25">
      <c r="B648" s="102"/>
      <c r="C648" s="103"/>
      <c r="D648" s="102"/>
      <c r="E648" s="102"/>
      <c r="F648" s="102"/>
      <c r="G648" s="102"/>
      <c r="I648" s="102"/>
      <c r="J648" s="102"/>
      <c r="K648" s="102"/>
    </row>
    <row r="649" spans="2:11" ht="15.75" customHeight="1" thickBot="1" x14ac:dyDescent="0.25">
      <c r="B649" s="102"/>
      <c r="C649" s="103"/>
      <c r="D649" s="102"/>
      <c r="E649" s="102"/>
      <c r="F649" s="102"/>
      <c r="G649" s="102"/>
      <c r="I649" s="102"/>
      <c r="J649" s="102"/>
      <c r="K649" s="102"/>
    </row>
    <row r="650" spans="2:11" ht="15.75" customHeight="1" thickBot="1" x14ac:dyDescent="0.25">
      <c r="B650" s="102"/>
      <c r="C650" s="103"/>
      <c r="D650" s="102"/>
      <c r="E650" s="102"/>
      <c r="F650" s="102"/>
      <c r="G650" s="102"/>
      <c r="I650" s="102"/>
      <c r="J650" s="102"/>
      <c r="K650" s="102"/>
    </row>
    <row r="651" spans="2:11" ht="15.75" customHeight="1" thickBot="1" x14ac:dyDescent="0.25">
      <c r="B651" s="102"/>
      <c r="C651" s="103"/>
      <c r="D651" s="102"/>
      <c r="E651" s="102"/>
      <c r="F651" s="102"/>
      <c r="G651" s="102"/>
      <c r="I651" s="102"/>
      <c r="J651" s="102"/>
      <c r="K651" s="102"/>
    </row>
    <row r="652" spans="2:11" ht="15.75" customHeight="1" thickBot="1" x14ac:dyDescent="0.25">
      <c r="B652" s="102"/>
      <c r="C652" s="103"/>
      <c r="D652" s="102"/>
      <c r="E652" s="102"/>
      <c r="F652" s="102"/>
      <c r="G652" s="102"/>
      <c r="I652" s="102"/>
      <c r="J652" s="102"/>
      <c r="K652" s="102"/>
    </row>
    <row r="653" spans="2:11" ht="15.75" customHeight="1" thickBot="1" x14ac:dyDescent="0.25">
      <c r="B653" s="102"/>
      <c r="C653" s="103"/>
      <c r="D653" s="102"/>
      <c r="E653" s="102"/>
      <c r="F653" s="102"/>
      <c r="G653" s="102"/>
      <c r="I653" s="102"/>
      <c r="J653" s="102"/>
      <c r="K653" s="102"/>
    </row>
    <row r="654" spans="2:11" ht="15.75" customHeight="1" thickBot="1" x14ac:dyDescent="0.25">
      <c r="B654" s="102"/>
      <c r="C654" s="103"/>
      <c r="D654" s="102"/>
      <c r="E654" s="102"/>
      <c r="F654" s="102"/>
      <c r="G654" s="102"/>
      <c r="I654" s="102"/>
      <c r="J654" s="102"/>
      <c r="K654" s="102"/>
    </row>
    <row r="655" spans="2:11" ht="15.75" customHeight="1" thickBot="1" x14ac:dyDescent="0.25">
      <c r="B655" s="102"/>
      <c r="C655" s="103"/>
      <c r="D655" s="102"/>
      <c r="E655" s="102"/>
      <c r="F655" s="102"/>
      <c r="G655" s="102"/>
      <c r="I655" s="102"/>
      <c r="J655" s="102"/>
      <c r="K655" s="102"/>
    </row>
    <row r="656" spans="2:11" ht="15.75" customHeight="1" thickBot="1" x14ac:dyDescent="0.25">
      <c r="B656" s="102"/>
      <c r="C656" s="103"/>
      <c r="D656" s="102"/>
      <c r="E656" s="102"/>
      <c r="F656" s="102"/>
      <c r="G656" s="102"/>
      <c r="I656" s="102"/>
      <c r="J656" s="102"/>
      <c r="K656" s="102"/>
    </row>
    <row r="657" spans="2:11" ht="15.75" customHeight="1" thickBot="1" x14ac:dyDescent="0.25">
      <c r="B657" s="102"/>
      <c r="C657" s="103"/>
      <c r="D657" s="102"/>
      <c r="E657" s="102"/>
      <c r="F657" s="102"/>
      <c r="G657" s="102"/>
      <c r="I657" s="102"/>
      <c r="J657" s="102"/>
      <c r="K657" s="102"/>
    </row>
    <row r="658" spans="2:11" ht="15.75" customHeight="1" thickBot="1" x14ac:dyDescent="0.25">
      <c r="B658" s="102"/>
      <c r="C658" s="103"/>
      <c r="D658" s="102"/>
      <c r="E658" s="102"/>
      <c r="F658" s="102"/>
      <c r="G658" s="102"/>
      <c r="I658" s="102"/>
      <c r="J658" s="102"/>
      <c r="K658" s="102"/>
    </row>
    <row r="659" spans="2:11" ht="15.75" customHeight="1" thickBot="1" x14ac:dyDescent="0.25">
      <c r="B659" s="102"/>
      <c r="C659" s="103"/>
      <c r="D659" s="102"/>
      <c r="E659" s="102"/>
      <c r="F659" s="102"/>
      <c r="G659" s="102"/>
      <c r="I659" s="102"/>
      <c r="J659" s="102"/>
      <c r="K659" s="102"/>
    </row>
    <row r="660" spans="2:11" ht="15.75" customHeight="1" thickBot="1" x14ac:dyDescent="0.25">
      <c r="B660" s="102"/>
      <c r="C660" s="103"/>
      <c r="D660" s="102"/>
      <c r="E660" s="102"/>
      <c r="F660" s="102"/>
      <c r="G660" s="102"/>
      <c r="I660" s="102"/>
      <c r="J660" s="102"/>
      <c r="K660" s="102"/>
    </row>
    <row r="661" spans="2:11" ht="15.75" customHeight="1" thickBot="1" x14ac:dyDescent="0.25">
      <c r="B661" s="102"/>
      <c r="C661" s="103"/>
      <c r="D661" s="102"/>
      <c r="E661" s="102"/>
      <c r="F661" s="102"/>
      <c r="G661" s="102"/>
      <c r="I661" s="102"/>
      <c r="J661" s="102"/>
      <c r="K661" s="102"/>
    </row>
    <row r="662" spans="2:11" ht="15.75" customHeight="1" thickBot="1" x14ac:dyDescent="0.25">
      <c r="B662" s="102"/>
      <c r="C662" s="103"/>
      <c r="D662" s="102"/>
      <c r="E662" s="102"/>
      <c r="F662" s="102"/>
      <c r="G662" s="102"/>
      <c r="I662" s="102"/>
      <c r="J662" s="102"/>
      <c r="K662" s="102"/>
    </row>
    <row r="663" spans="2:11" ht="15.75" customHeight="1" thickBot="1" x14ac:dyDescent="0.25">
      <c r="B663" s="102"/>
      <c r="C663" s="103"/>
      <c r="D663" s="102"/>
      <c r="E663" s="102"/>
      <c r="F663" s="102"/>
      <c r="G663" s="102"/>
      <c r="I663" s="102"/>
      <c r="J663" s="102"/>
      <c r="K663" s="102"/>
    </row>
    <row r="664" spans="2:11" ht="15.75" customHeight="1" thickBot="1" x14ac:dyDescent="0.25">
      <c r="B664" s="102"/>
      <c r="C664" s="103"/>
      <c r="D664" s="102"/>
      <c r="E664" s="102"/>
      <c r="F664" s="102"/>
      <c r="G664" s="102"/>
      <c r="I664" s="102"/>
      <c r="J664" s="102"/>
      <c r="K664" s="102"/>
    </row>
    <row r="665" spans="2:11" ht="15.75" customHeight="1" thickBot="1" x14ac:dyDescent="0.25">
      <c r="B665" s="102"/>
      <c r="C665" s="103"/>
      <c r="D665" s="102"/>
      <c r="E665" s="102"/>
      <c r="F665" s="102"/>
      <c r="G665" s="102"/>
      <c r="I665" s="102"/>
      <c r="J665" s="102"/>
      <c r="K665" s="102"/>
    </row>
    <row r="666" spans="2:11" ht="15.75" customHeight="1" thickBot="1" x14ac:dyDescent="0.25">
      <c r="B666" s="102"/>
      <c r="C666" s="103"/>
      <c r="D666" s="102"/>
      <c r="E666" s="102"/>
      <c r="F666" s="102"/>
      <c r="G666" s="102"/>
      <c r="I666" s="102"/>
      <c r="J666" s="102"/>
      <c r="K666" s="102"/>
    </row>
    <row r="667" spans="2:11" ht="15.75" customHeight="1" thickBot="1" x14ac:dyDescent="0.25">
      <c r="B667" s="102"/>
      <c r="C667" s="103"/>
      <c r="D667" s="102"/>
      <c r="E667" s="102"/>
      <c r="F667" s="102"/>
      <c r="G667" s="102"/>
      <c r="I667" s="102"/>
      <c r="J667" s="102"/>
      <c r="K667" s="102"/>
    </row>
    <row r="668" spans="2:11" ht="15.75" customHeight="1" thickBot="1" x14ac:dyDescent="0.25">
      <c r="B668" s="102"/>
      <c r="C668" s="103"/>
      <c r="D668" s="102"/>
      <c r="E668" s="102"/>
      <c r="F668" s="102"/>
      <c r="G668" s="102"/>
      <c r="I668" s="102"/>
      <c r="J668" s="102"/>
      <c r="K668" s="102"/>
    </row>
    <row r="669" spans="2:11" ht="15.75" customHeight="1" thickBot="1" x14ac:dyDescent="0.25">
      <c r="B669" s="102"/>
      <c r="C669" s="103"/>
      <c r="D669" s="102"/>
      <c r="E669" s="102"/>
      <c r="F669" s="102"/>
      <c r="G669" s="102"/>
      <c r="I669" s="102"/>
      <c r="J669" s="102"/>
      <c r="K669" s="102"/>
    </row>
    <row r="670" spans="2:11" ht="15.75" customHeight="1" thickBot="1" x14ac:dyDescent="0.25">
      <c r="B670" s="102"/>
      <c r="C670" s="103"/>
      <c r="D670" s="102"/>
      <c r="E670" s="102"/>
      <c r="F670" s="102"/>
      <c r="G670" s="102"/>
      <c r="I670" s="102"/>
      <c r="J670" s="102"/>
      <c r="K670" s="102"/>
    </row>
    <row r="671" spans="2:11" ht="15.75" customHeight="1" thickBot="1" x14ac:dyDescent="0.25">
      <c r="B671" s="102"/>
      <c r="C671" s="103"/>
      <c r="D671" s="102"/>
      <c r="E671" s="102"/>
      <c r="F671" s="102"/>
      <c r="G671" s="102"/>
      <c r="I671" s="102"/>
      <c r="J671" s="102"/>
      <c r="K671" s="102"/>
    </row>
    <row r="672" spans="2:11" ht="15.75" customHeight="1" thickBot="1" x14ac:dyDescent="0.25">
      <c r="B672" s="102"/>
      <c r="C672" s="103"/>
      <c r="D672" s="102"/>
      <c r="E672" s="102"/>
      <c r="F672" s="102"/>
      <c r="G672" s="102"/>
      <c r="I672" s="102"/>
      <c r="J672" s="102"/>
      <c r="K672" s="102"/>
    </row>
    <row r="673" spans="2:11" ht="15.75" customHeight="1" thickBot="1" x14ac:dyDescent="0.25">
      <c r="B673" s="102"/>
      <c r="C673" s="103"/>
      <c r="D673" s="102"/>
      <c r="E673" s="102"/>
      <c r="F673" s="102"/>
      <c r="G673" s="102"/>
      <c r="I673" s="102"/>
      <c r="J673" s="102"/>
      <c r="K673" s="102"/>
    </row>
    <row r="674" spans="2:11" ht="15.75" customHeight="1" thickBot="1" x14ac:dyDescent="0.25">
      <c r="B674" s="102"/>
      <c r="C674" s="103"/>
      <c r="D674" s="102"/>
      <c r="E674" s="102"/>
      <c r="F674" s="102"/>
      <c r="G674" s="102"/>
      <c r="I674" s="102"/>
      <c r="J674" s="102"/>
      <c r="K674" s="102"/>
    </row>
    <row r="675" spans="2:11" ht="15.75" customHeight="1" thickBot="1" x14ac:dyDescent="0.25">
      <c r="B675" s="102"/>
      <c r="C675" s="103"/>
      <c r="D675" s="102"/>
      <c r="E675" s="102"/>
      <c r="F675" s="102"/>
      <c r="G675" s="102"/>
      <c r="I675" s="102"/>
      <c r="J675" s="102"/>
      <c r="K675" s="102"/>
    </row>
    <row r="676" spans="2:11" ht="15.75" customHeight="1" thickBot="1" x14ac:dyDescent="0.25">
      <c r="B676" s="102"/>
      <c r="C676" s="103"/>
      <c r="D676" s="102"/>
      <c r="E676" s="102"/>
      <c r="F676" s="102"/>
      <c r="G676" s="102"/>
      <c r="I676" s="102"/>
      <c r="J676" s="102"/>
      <c r="K676" s="102"/>
    </row>
    <row r="677" spans="2:11" ht="15.75" customHeight="1" thickBot="1" x14ac:dyDescent="0.25">
      <c r="B677" s="102"/>
      <c r="C677" s="103"/>
      <c r="D677" s="102"/>
      <c r="E677" s="102"/>
      <c r="F677" s="102"/>
      <c r="G677" s="102"/>
      <c r="I677" s="102"/>
      <c r="J677" s="102"/>
      <c r="K677" s="102"/>
    </row>
    <row r="678" spans="2:11" ht="15.75" customHeight="1" thickBot="1" x14ac:dyDescent="0.25">
      <c r="B678" s="102"/>
      <c r="C678" s="103"/>
      <c r="D678" s="102"/>
      <c r="E678" s="102"/>
      <c r="F678" s="102"/>
      <c r="G678" s="102"/>
      <c r="I678" s="102"/>
      <c r="J678" s="102"/>
      <c r="K678" s="102"/>
    </row>
    <row r="679" spans="2:11" ht="15.75" customHeight="1" thickBot="1" x14ac:dyDescent="0.25">
      <c r="B679" s="102"/>
      <c r="C679" s="103"/>
      <c r="D679" s="102"/>
      <c r="E679" s="102"/>
      <c r="F679" s="102"/>
      <c r="G679" s="102"/>
      <c r="I679" s="102"/>
      <c r="J679" s="102"/>
      <c r="K679" s="102"/>
    </row>
    <row r="680" spans="2:11" ht="15.75" customHeight="1" thickBot="1" x14ac:dyDescent="0.25">
      <c r="B680" s="102"/>
      <c r="C680" s="103"/>
      <c r="D680" s="102"/>
      <c r="E680" s="102"/>
      <c r="F680" s="102"/>
      <c r="G680" s="102"/>
      <c r="I680" s="102"/>
      <c r="J680" s="102"/>
      <c r="K680" s="102"/>
    </row>
    <row r="681" spans="2:11" ht="15.75" customHeight="1" thickBot="1" x14ac:dyDescent="0.25">
      <c r="B681" s="102"/>
      <c r="C681" s="103"/>
      <c r="D681" s="102"/>
      <c r="E681" s="102"/>
      <c r="F681" s="102"/>
      <c r="G681" s="102"/>
      <c r="I681" s="102"/>
      <c r="J681" s="102"/>
      <c r="K681" s="102"/>
    </row>
    <row r="682" spans="2:11" ht="15.75" customHeight="1" thickBot="1" x14ac:dyDescent="0.25">
      <c r="B682" s="102"/>
      <c r="C682" s="103"/>
      <c r="D682" s="102"/>
      <c r="E682" s="102"/>
      <c r="F682" s="102"/>
      <c r="G682" s="102"/>
      <c r="I682" s="102"/>
      <c r="J682" s="102"/>
      <c r="K682" s="102"/>
    </row>
    <row r="683" spans="2:11" ht="15.75" customHeight="1" thickBot="1" x14ac:dyDescent="0.25">
      <c r="B683" s="102"/>
      <c r="C683" s="103"/>
      <c r="D683" s="102"/>
      <c r="E683" s="102"/>
      <c r="F683" s="102"/>
      <c r="G683" s="102"/>
      <c r="I683" s="102"/>
      <c r="J683" s="102"/>
      <c r="K683" s="102"/>
    </row>
    <row r="684" spans="2:11" ht="15.75" customHeight="1" thickBot="1" x14ac:dyDescent="0.25">
      <c r="B684" s="102"/>
      <c r="C684" s="103"/>
      <c r="D684" s="102"/>
      <c r="E684" s="102"/>
      <c r="F684" s="102"/>
      <c r="G684" s="102"/>
      <c r="I684" s="102"/>
      <c r="J684" s="102"/>
      <c r="K684" s="102"/>
    </row>
    <row r="685" spans="2:11" ht="15.75" customHeight="1" thickBot="1" x14ac:dyDescent="0.25">
      <c r="B685" s="102"/>
      <c r="C685" s="103"/>
      <c r="D685" s="102"/>
      <c r="E685" s="102"/>
      <c r="F685" s="102"/>
      <c r="G685" s="102"/>
      <c r="I685" s="102"/>
      <c r="J685" s="102"/>
      <c r="K685" s="102"/>
    </row>
    <row r="686" spans="2:11" ht="15.75" customHeight="1" thickBot="1" x14ac:dyDescent="0.25">
      <c r="B686" s="102"/>
      <c r="C686" s="103"/>
      <c r="D686" s="102"/>
      <c r="E686" s="102"/>
      <c r="F686" s="102"/>
      <c r="G686" s="102"/>
      <c r="I686" s="102"/>
      <c r="J686" s="102"/>
      <c r="K686" s="102"/>
    </row>
    <row r="687" spans="2:11" ht="15.75" customHeight="1" thickBot="1" x14ac:dyDescent="0.25">
      <c r="B687" s="102"/>
      <c r="C687" s="103"/>
      <c r="D687" s="102"/>
      <c r="E687" s="102"/>
      <c r="F687" s="102"/>
      <c r="G687" s="102"/>
      <c r="I687" s="102"/>
      <c r="J687" s="102"/>
      <c r="K687" s="102"/>
    </row>
    <row r="688" spans="2:11" ht="15.75" customHeight="1" thickBot="1" x14ac:dyDescent="0.25">
      <c r="B688" s="102"/>
      <c r="C688" s="103"/>
      <c r="D688" s="102"/>
      <c r="E688" s="102"/>
      <c r="F688" s="102"/>
      <c r="G688" s="102"/>
      <c r="I688" s="102"/>
      <c r="J688" s="102"/>
      <c r="K688" s="102"/>
    </row>
    <row r="689" spans="2:11" ht="15.75" customHeight="1" thickBot="1" x14ac:dyDescent="0.25">
      <c r="B689" s="102"/>
      <c r="C689" s="103"/>
      <c r="D689" s="102"/>
      <c r="E689" s="102"/>
      <c r="F689" s="102"/>
      <c r="G689" s="102"/>
      <c r="I689" s="102"/>
      <c r="J689" s="102"/>
      <c r="K689" s="102"/>
    </row>
    <row r="690" spans="2:11" ht="15.75" customHeight="1" thickBot="1" x14ac:dyDescent="0.25">
      <c r="B690" s="102"/>
      <c r="C690" s="103"/>
      <c r="D690" s="102"/>
      <c r="E690" s="102"/>
      <c r="F690" s="102"/>
      <c r="G690" s="102"/>
      <c r="I690" s="102"/>
      <c r="J690" s="102"/>
      <c r="K690" s="102"/>
    </row>
    <row r="691" spans="2:11" ht="15.75" customHeight="1" thickBot="1" x14ac:dyDescent="0.25">
      <c r="B691" s="102"/>
      <c r="C691" s="103"/>
      <c r="D691" s="102"/>
      <c r="E691" s="102"/>
      <c r="F691" s="102"/>
      <c r="G691" s="102"/>
      <c r="I691" s="102"/>
      <c r="J691" s="102"/>
      <c r="K691" s="102"/>
    </row>
    <row r="692" spans="2:11" ht="15.75" customHeight="1" thickBot="1" x14ac:dyDescent="0.25">
      <c r="B692" s="102"/>
      <c r="C692" s="103"/>
      <c r="D692" s="102"/>
      <c r="E692" s="102"/>
      <c r="F692" s="102"/>
      <c r="G692" s="102"/>
      <c r="I692" s="102"/>
      <c r="J692" s="102"/>
      <c r="K692" s="102"/>
    </row>
    <row r="693" spans="2:11" ht="15.75" customHeight="1" thickBot="1" x14ac:dyDescent="0.25">
      <c r="B693" s="102"/>
      <c r="C693" s="103"/>
      <c r="D693" s="102"/>
      <c r="E693" s="102"/>
      <c r="F693" s="102"/>
      <c r="G693" s="102"/>
      <c r="I693" s="102"/>
      <c r="J693" s="102"/>
      <c r="K693" s="102"/>
    </row>
    <row r="694" spans="2:11" ht="15.75" customHeight="1" thickBot="1" x14ac:dyDescent="0.25">
      <c r="B694" s="102"/>
      <c r="C694" s="103"/>
      <c r="D694" s="102"/>
      <c r="E694" s="102"/>
      <c r="F694" s="102"/>
      <c r="G694" s="102"/>
      <c r="I694" s="102"/>
      <c r="J694" s="102"/>
      <c r="K694" s="102"/>
    </row>
    <row r="695" spans="2:11" ht="15.75" customHeight="1" thickBot="1" x14ac:dyDescent="0.25">
      <c r="B695" s="102"/>
      <c r="C695" s="103"/>
      <c r="D695" s="102"/>
      <c r="E695" s="102"/>
      <c r="F695" s="102"/>
      <c r="G695" s="102"/>
      <c r="I695" s="102"/>
      <c r="J695" s="102"/>
      <c r="K695" s="102"/>
    </row>
    <row r="696" spans="2:11" ht="15.75" customHeight="1" thickBot="1" x14ac:dyDescent="0.25">
      <c r="B696" s="102"/>
      <c r="C696" s="103"/>
      <c r="D696" s="102"/>
      <c r="E696" s="102"/>
      <c r="F696" s="102"/>
      <c r="G696" s="102"/>
      <c r="I696" s="102"/>
      <c r="J696" s="102"/>
      <c r="K696" s="102"/>
    </row>
    <row r="697" spans="2:11" ht="15.75" customHeight="1" thickBot="1" x14ac:dyDescent="0.25">
      <c r="B697" s="102"/>
      <c r="C697" s="103"/>
      <c r="D697" s="102"/>
      <c r="E697" s="102"/>
      <c r="F697" s="102"/>
      <c r="G697" s="102"/>
      <c r="I697" s="102"/>
      <c r="J697" s="102"/>
      <c r="K697" s="102"/>
    </row>
    <row r="698" spans="2:11" ht="15.75" customHeight="1" thickBot="1" x14ac:dyDescent="0.25">
      <c r="B698" s="102"/>
      <c r="C698" s="103"/>
      <c r="D698" s="102"/>
      <c r="E698" s="102"/>
      <c r="F698" s="102"/>
      <c r="G698" s="102"/>
      <c r="I698" s="102"/>
      <c r="J698" s="102"/>
      <c r="K698" s="102"/>
    </row>
    <row r="699" spans="2:11" ht="15.75" customHeight="1" thickBot="1" x14ac:dyDescent="0.25">
      <c r="B699" s="102"/>
      <c r="C699" s="103"/>
      <c r="D699" s="102"/>
      <c r="E699" s="102"/>
      <c r="F699" s="102"/>
      <c r="G699" s="102"/>
      <c r="I699" s="102"/>
      <c r="J699" s="102"/>
      <c r="K699" s="102"/>
    </row>
    <row r="700" spans="2:11" ht="15.75" customHeight="1" thickBot="1" x14ac:dyDescent="0.25">
      <c r="B700" s="102"/>
      <c r="C700" s="103"/>
      <c r="D700" s="102"/>
      <c r="E700" s="102"/>
      <c r="F700" s="102"/>
      <c r="G700" s="102"/>
      <c r="I700" s="102"/>
      <c r="J700" s="102"/>
      <c r="K700" s="102"/>
    </row>
    <row r="701" spans="2:11" ht="15.75" customHeight="1" thickBot="1" x14ac:dyDescent="0.25">
      <c r="B701" s="102"/>
      <c r="C701" s="103"/>
      <c r="D701" s="102"/>
      <c r="E701" s="102"/>
      <c r="F701" s="102"/>
      <c r="G701" s="102"/>
      <c r="I701" s="102"/>
      <c r="J701" s="102"/>
      <c r="K701" s="102"/>
    </row>
    <row r="702" spans="2:11" ht="15.75" customHeight="1" thickBot="1" x14ac:dyDescent="0.25">
      <c r="B702" s="102"/>
      <c r="C702" s="103"/>
      <c r="D702" s="102"/>
      <c r="E702" s="102"/>
      <c r="F702" s="102"/>
      <c r="G702" s="102"/>
      <c r="I702" s="102"/>
      <c r="J702" s="102"/>
      <c r="K702" s="102"/>
    </row>
    <row r="703" spans="2:11" ht="15.75" customHeight="1" thickBot="1" x14ac:dyDescent="0.25">
      <c r="B703" s="102"/>
      <c r="C703" s="103"/>
      <c r="D703" s="102"/>
      <c r="E703" s="102"/>
      <c r="F703" s="102"/>
      <c r="G703" s="102"/>
      <c r="I703" s="102"/>
      <c r="J703" s="102"/>
      <c r="K703" s="102"/>
    </row>
    <row r="704" spans="2:11" ht="15.75" customHeight="1" thickBot="1" x14ac:dyDescent="0.25">
      <c r="B704" s="102"/>
      <c r="C704" s="103"/>
      <c r="D704" s="102"/>
      <c r="E704" s="102"/>
      <c r="F704" s="102"/>
      <c r="G704" s="102"/>
      <c r="I704" s="102"/>
      <c r="J704" s="102"/>
      <c r="K704" s="102"/>
    </row>
    <row r="705" spans="2:11" ht="15.75" customHeight="1" thickBot="1" x14ac:dyDescent="0.25">
      <c r="B705" s="102"/>
      <c r="C705" s="103"/>
      <c r="D705" s="102"/>
      <c r="E705" s="102"/>
      <c r="F705" s="102"/>
      <c r="G705" s="102"/>
      <c r="I705" s="102"/>
      <c r="J705" s="102"/>
      <c r="K705" s="102"/>
    </row>
    <row r="706" spans="2:11" ht="15.75" customHeight="1" thickBot="1" x14ac:dyDescent="0.25">
      <c r="B706" s="102"/>
      <c r="C706" s="103"/>
      <c r="D706" s="102"/>
      <c r="E706" s="102"/>
      <c r="F706" s="102"/>
      <c r="G706" s="102"/>
      <c r="I706" s="102"/>
      <c r="J706" s="102"/>
      <c r="K706" s="102"/>
    </row>
    <row r="707" spans="2:11" ht="15.75" customHeight="1" thickBot="1" x14ac:dyDescent="0.25">
      <c r="B707" s="102"/>
      <c r="C707" s="103"/>
      <c r="D707" s="102"/>
      <c r="E707" s="102"/>
      <c r="F707" s="102"/>
      <c r="G707" s="102"/>
      <c r="I707" s="102"/>
      <c r="J707" s="102"/>
      <c r="K707" s="102"/>
    </row>
    <row r="708" spans="2:11" ht="15.75" customHeight="1" thickBot="1" x14ac:dyDescent="0.25">
      <c r="B708" s="102"/>
      <c r="C708" s="103"/>
      <c r="D708" s="102"/>
      <c r="E708" s="102"/>
      <c r="F708" s="102"/>
      <c r="G708" s="102"/>
      <c r="I708" s="102"/>
      <c r="J708" s="102"/>
      <c r="K708" s="102"/>
    </row>
    <row r="709" spans="2:11" ht="15.75" customHeight="1" thickBot="1" x14ac:dyDescent="0.25">
      <c r="B709" s="102"/>
      <c r="C709" s="103"/>
      <c r="D709" s="102"/>
      <c r="E709" s="102"/>
      <c r="F709" s="102"/>
      <c r="G709" s="102"/>
      <c r="I709" s="102"/>
      <c r="J709" s="102"/>
      <c r="K709" s="102"/>
    </row>
    <row r="710" spans="2:11" ht="15.75" customHeight="1" thickBot="1" x14ac:dyDescent="0.25">
      <c r="B710" s="102"/>
      <c r="C710" s="103"/>
      <c r="D710" s="102"/>
      <c r="E710" s="102"/>
      <c r="F710" s="102"/>
      <c r="G710" s="102"/>
      <c r="I710" s="102"/>
      <c r="J710" s="102"/>
      <c r="K710" s="102"/>
    </row>
    <row r="711" spans="2:11" ht="15.75" customHeight="1" thickBot="1" x14ac:dyDescent="0.25">
      <c r="B711" s="102"/>
      <c r="C711" s="103"/>
      <c r="D711" s="102"/>
      <c r="E711" s="102"/>
      <c r="F711" s="102"/>
      <c r="G711" s="102"/>
      <c r="I711" s="102"/>
      <c r="J711" s="102"/>
      <c r="K711" s="102"/>
    </row>
    <row r="712" spans="2:11" ht="15.75" customHeight="1" thickBot="1" x14ac:dyDescent="0.25">
      <c r="B712" s="102"/>
      <c r="C712" s="103"/>
      <c r="D712" s="102"/>
      <c r="E712" s="102"/>
      <c r="F712" s="102"/>
      <c r="G712" s="102"/>
      <c r="I712" s="102"/>
      <c r="J712" s="102"/>
      <c r="K712" s="102"/>
    </row>
    <row r="713" spans="2:11" ht="15.75" customHeight="1" thickBot="1" x14ac:dyDescent="0.25">
      <c r="B713" s="102"/>
      <c r="C713" s="103"/>
      <c r="D713" s="102"/>
      <c r="E713" s="102"/>
      <c r="F713" s="102"/>
      <c r="G713" s="102"/>
      <c r="I713" s="102"/>
      <c r="J713" s="102"/>
      <c r="K713" s="102"/>
    </row>
    <row r="714" spans="2:11" ht="15.75" customHeight="1" thickBot="1" x14ac:dyDescent="0.25">
      <c r="B714" s="102"/>
      <c r="C714" s="103"/>
      <c r="D714" s="102"/>
      <c r="E714" s="102"/>
      <c r="F714" s="102"/>
      <c r="G714" s="102"/>
      <c r="I714" s="102"/>
      <c r="J714" s="102"/>
      <c r="K714" s="102"/>
    </row>
    <row r="715" spans="2:11" ht="15.75" customHeight="1" thickBot="1" x14ac:dyDescent="0.25">
      <c r="B715" s="102"/>
      <c r="C715" s="103"/>
      <c r="D715" s="102"/>
      <c r="E715" s="102"/>
      <c r="F715" s="102"/>
      <c r="G715" s="102"/>
      <c r="I715" s="102"/>
      <c r="J715" s="102"/>
      <c r="K715" s="102"/>
    </row>
    <row r="716" spans="2:11" ht="15.75" customHeight="1" thickBot="1" x14ac:dyDescent="0.25">
      <c r="B716" s="102"/>
      <c r="C716" s="103"/>
      <c r="D716" s="102"/>
      <c r="E716" s="102"/>
      <c r="F716" s="102"/>
      <c r="G716" s="102"/>
      <c r="I716" s="102"/>
      <c r="J716" s="102"/>
      <c r="K716" s="102"/>
    </row>
    <row r="717" spans="2:11" ht="15.75" customHeight="1" thickBot="1" x14ac:dyDescent="0.25">
      <c r="B717" s="102"/>
      <c r="C717" s="103"/>
      <c r="D717" s="102"/>
      <c r="E717" s="102"/>
      <c r="F717" s="102"/>
      <c r="G717" s="102"/>
      <c r="I717" s="102"/>
      <c r="J717" s="102"/>
      <c r="K717" s="102"/>
    </row>
    <row r="718" spans="2:11" ht="15.75" customHeight="1" thickBot="1" x14ac:dyDescent="0.25">
      <c r="B718" s="102"/>
      <c r="C718" s="103"/>
      <c r="D718" s="102"/>
      <c r="E718" s="102"/>
      <c r="F718" s="102"/>
      <c r="G718" s="102"/>
      <c r="I718" s="102"/>
      <c r="J718" s="102"/>
      <c r="K718" s="102"/>
    </row>
    <row r="719" spans="2:11" ht="15.75" customHeight="1" thickBot="1" x14ac:dyDescent="0.25">
      <c r="B719" s="102"/>
      <c r="C719" s="103"/>
      <c r="D719" s="102"/>
      <c r="E719" s="102"/>
      <c r="F719" s="102"/>
      <c r="G719" s="102"/>
      <c r="I719" s="102"/>
      <c r="J719" s="102"/>
      <c r="K719" s="102"/>
    </row>
    <row r="720" spans="2:11" ht="15.75" customHeight="1" thickBot="1" x14ac:dyDescent="0.25">
      <c r="B720" s="102"/>
      <c r="C720" s="103"/>
      <c r="D720" s="102"/>
      <c r="E720" s="102"/>
      <c r="F720" s="102"/>
      <c r="G720" s="102"/>
      <c r="I720" s="102"/>
      <c r="J720" s="102"/>
      <c r="K720" s="102"/>
    </row>
    <row r="721" spans="2:11" ht="15.75" customHeight="1" thickBot="1" x14ac:dyDescent="0.25">
      <c r="B721" s="102"/>
      <c r="C721" s="103"/>
      <c r="D721" s="102"/>
      <c r="E721" s="102"/>
      <c r="F721" s="102"/>
      <c r="G721" s="102"/>
      <c r="I721" s="102"/>
      <c r="J721" s="102"/>
      <c r="K721" s="102"/>
    </row>
    <row r="722" spans="2:11" ht="15.75" customHeight="1" thickBot="1" x14ac:dyDescent="0.25">
      <c r="B722" s="102"/>
      <c r="C722" s="103"/>
      <c r="D722" s="102"/>
      <c r="E722" s="102"/>
      <c r="F722" s="102"/>
      <c r="G722" s="102"/>
      <c r="I722" s="102"/>
      <c r="J722" s="102"/>
      <c r="K722" s="102"/>
    </row>
    <row r="723" spans="2:11" ht="15.75" customHeight="1" thickBot="1" x14ac:dyDescent="0.25">
      <c r="B723" s="102"/>
      <c r="C723" s="103"/>
      <c r="D723" s="102"/>
      <c r="E723" s="102"/>
      <c r="F723" s="102"/>
      <c r="G723" s="102"/>
      <c r="I723" s="102"/>
      <c r="J723" s="102"/>
      <c r="K723" s="102"/>
    </row>
    <row r="724" spans="2:11" ht="15.75" customHeight="1" thickBot="1" x14ac:dyDescent="0.25">
      <c r="B724" s="102"/>
      <c r="C724" s="103"/>
      <c r="D724" s="102"/>
      <c r="E724" s="102"/>
      <c r="F724" s="102"/>
      <c r="G724" s="102"/>
      <c r="I724" s="102"/>
      <c r="J724" s="102"/>
      <c r="K724" s="102"/>
    </row>
    <row r="725" spans="2:11" ht="15.75" customHeight="1" thickBot="1" x14ac:dyDescent="0.25">
      <c r="B725" s="102"/>
      <c r="C725" s="103"/>
      <c r="D725" s="102"/>
      <c r="E725" s="102"/>
      <c r="F725" s="102"/>
      <c r="G725" s="102"/>
      <c r="I725" s="102"/>
      <c r="J725" s="102"/>
      <c r="K725" s="102"/>
    </row>
    <row r="726" spans="2:11" ht="15.75" customHeight="1" thickBot="1" x14ac:dyDescent="0.25">
      <c r="B726" s="102"/>
      <c r="C726" s="103"/>
      <c r="D726" s="102"/>
      <c r="E726" s="102"/>
      <c r="F726" s="102"/>
      <c r="G726" s="102"/>
      <c r="I726" s="102"/>
      <c r="J726" s="102"/>
      <c r="K726" s="102"/>
    </row>
    <row r="727" spans="2:11" ht="15.75" customHeight="1" thickBot="1" x14ac:dyDescent="0.25">
      <c r="B727" s="102"/>
      <c r="C727" s="103"/>
      <c r="D727" s="102"/>
      <c r="E727" s="102"/>
      <c r="F727" s="102"/>
      <c r="G727" s="102"/>
      <c r="I727" s="102"/>
      <c r="J727" s="102"/>
      <c r="K727" s="102"/>
    </row>
    <row r="728" spans="2:11" ht="15.75" customHeight="1" thickBot="1" x14ac:dyDescent="0.25">
      <c r="B728" s="102"/>
      <c r="C728" s="103"/>
      <c r="D728" s="102"/>
      <c r="E728" s="102"/>
      <c r="F728" s="102"/>
      <c r="G728" s="102"/>
      <c r="I728" s="102"/>
      <c r="J728" s="102"/>
      <c r="K728" s="102"/>
    </row>
    <row r="729" spans="2:11" ht="15.75" customHeight="1" thickBot="1" x14ac:dyDescent="0.25">
      <c r="B729" s="102"/>
      <c r="C729" s="103"/>
      <c r="D729" s="102"/>
      <c r="E729" s="102"/>
      <c r="F729" s="102"/>
      <c r="G729" s="102"/>
      <c r="I729" s="102"/>
      <c r="J729" s="102"/>
      <c r="K729" s="102"/>
    </row>
    <row r="730" spans="2:11" ht="15.75" customHeight="1" thickBot="1" x14ac:dyDescent="0.25">
      <c r="B730" s="102"/>
      <c r="C730" s="103"/>
      <c r="D730" s="102"/>
      <c r="E730" s="102"/>
      <c r="F730" s="102"/>
      <c r="G730" s="102"/>
      <c r="I730" s="102"/>
      <c r="J730" s="102"/>
      <c r="K730" s="102"/>
    </row>
    <row r="731" spans="2:11" ht="15.75" customHeight="1" thickBot="1" x14ac:dyDescent="0.25">
      <c r="B731" s="102"/>
      <c r="C731" s="103"/>
      <c r="D731" s="102"/>
      <c r="E731" s="102"/>
      <c r="F731" s="102"/>
      <c r="G731" s="102"/>
      <c r="I731" s="102"/>
      <c r="J731" s="102"/>
      <c r="K731" s="102"/>
    </row>
    <row r="732" spans="2:11" ht="15.75" customHeight="1" thickBot="1" x14ac:dyDescent="0.25">
      <c r="B732" s="102"/>
      <c r="C732" s="103"/>
      <c r="D732" s="102"/>
      <c r="E732" s="102"/>
      <c r="F732" s="102"/>
      <c r="G732" s="102"/>
      <c r="I732" s="102"/>
      <c r="J732" s="102"/>
      <c r="K732" s="102"/>
    </row>
    <row r="733" spans="2:11" ht="15.75" customHeight="1" thickBot="1" x14ac:dyDescent="0.25">
      <c r="B733" s="102"/>
      <c r="C733" s="103"/>
      <c r="D733" s="102"/>
      <c r="E733" s="102"/>
      <c r="F733" s="102"/>
      <c r="G733" s="102"/>
      <c r="I733" s="102"/>
      <c r="J733" s="102"/>
      <c r="K733" s="102"/>
    </row>
    <row r="734" spans="2:11" ht="15.75" customHeight="1" thickBot="1" x14ac:dyDescent="0.25">
      <c r="B734" s="102"/>
      <c r="C734" s="103"/>
      <c r="D734" s="102"/>
      <c r="E734" s="102"/>
      <c r="F734" s="102"/>
      <c r="G734" s="102"/>
      <c r="I734" s="102"/>
      <c r="J734" s="102"/>
      <c r="K734" s="102"/>
    </row>
    <row r="735" spans="2:11" ht="15.75" customHeight="1" thickBot="1" x14ac:dyDescent="0.25">
      <c r="B735" s="102"/>
      <c r="C735" s="103"/>
      <c r="D735" s="102"/>
      <c r="E735" s="102"/>
      <c r="F735" s="102"/>
      <c r="G735" s="102"/>
      <c r="I735" s="102"/>
      <c r="J735" s="102"/>
      <c r="K735" s="102"/>
    </row>
    <row r="736" spans="2:11" ht="15.75" customHeight="1" thickBot="1" x14ac:dyDescent="0.25">
      <c r="B736" s="102"/>
      <c r="C736" s="103"/>
      <c r="D736" s="102"/>
      <c r="E736" s="102"/>
      <c r="F736" s="102"/>
      <c r="G736" s="102"/>
      <c r="I736" s="102"/>
      <c r="J736" s="102"/>
      <c r="K736" s="102"/>
    </row>
    <row r="737" spans="2:11" ht="15.75" customHeight="1" thickBot="1" x14ac:dyDescent="0.25">
      <c r="B737" s="102"/>
      <c r="C737" s="103"/>
      <c r="D737" s="102"/>
      <c r="E737" s="102"/>
      <c r="F737" s="102"/>
      <c r="G737" s="102"/>
      <c r="I737" s="102"/>
      <c r="J737" s="102"/>
      <c r="K737" s="102"/>
    </row>
    <row r="738" spans="2:11" ht="15.75" customHeight="1" thickBot="1" x14ac:dyDescent="0.25">
      <c r="B738" s="102"/>
      <c r="C738" s="103"/>
      <c r="D738" s="102"/>
      <c r="E738" s="102"/>
      <c r="F738" s="102"/>
      <c r="G738" s="102"/>
      <c r="I738" s="102"/>
      <c r="J738" s="102"/>
      <c r="K738" s="102"/>
    </row>
    <row r="739" spans="2:11" ht="15.75" customHeight="1" thickBot="1" x14ac:dyDescent="0.25">
      <c r="B739" s="102"/>
      <c r="C739" s="103"/>
      <c r="D739" s="102"/>
      <c r="E739" s="102"/>
      <c r="F739" s="102"/>
      <c r="G739" s="102"/>
      <c r="I739" s="102"/>
      <c r="J739" s="102"/>
      <c r="K739" s="102"/>
    </row>
    <row r="740" spans="2:11" ht="15.75" customHeight="1" thickBot="1" x14ac:dyDescent="0.25">
      <c r="B740" s="102"/>
      <c r="C740" s="103"/>
      <c r="D740" s="102"/>
      <c r="E740" s="102"/>
      <c r="F740" s="102"/>
      <c r="G740" s="102"/>
      <c r="I740" s="102"/>
      <c r="J740" s="102"/>
      <c r="K740" s="102"/>
    </row>
    <row r="741" spans="2:11" ht="15.75" customHeight="1" thickBot="1" x14ac:dyDescent="0.25">
      <c r="B741" s="102"/>
      <c r="C741" s="103"/>
      <c r="D741" s="102"/>
      <c r="E741" s="102"/>
      <c r="F741" s="102"/>
      <c r="G741" s="102"/>
      <c r="I741" s="102"/>
      <c r="J741" s="102"/>
      <c r="K741" s="102"/>
    </row>
    <row r="742" spans="2:11" ht="15.75" customHeight="1" thickBot="1" x14ac:dyDescent="0.25">
      <c r="B742" s="102"/>
      <c r="C742" s="103"/>
      <c r="D742" s="102"/>
      <c r="E742" s="102"/>
      <c r="F742" s="102"/>
      <c r="G742" s="102"/>
      <c r="I742" s="102"/>
      <c r="J742" s="102"/>
      <c r="K742" s="102"/>
    </row>
    <row r="743" spans="2:11" ht="15.75" customHeight="1" thickBot="1" x14ac:dyDescent="0.25">
      <c r="B743" s="102"/>
      <c r="C743" s="103"/>
      <c r="D743" s="102"/>
      <c r="E743" s="102"/>
      <c r="F743" s="102"/>
      <c r="G743" s="102"/>
      <c r="I743" s="102"/>
      <c r="J743" s="102"/>
      <c r="K743" s="102"/>
    </row>
    <row r="744" spans="2:11" ht="15.75" customHeight="1" thickBot="1" x14ac:dyDescent="0.25">
      <c r="B744" s="102"/>
      <c r="C744" s="103"/>
      <c r="D744" s="102"/>
      <c r="E744" s="102"/>
      <c r="F744" s="102"/>
      <c r="G744" s="102"/>
      <c r="I744" s="102"/>
      <c r="J744" s="102"/>
      <c r="K744" s="102"/>
    </row>
    <row r="745" spans="2:11" ht="15.75" customHeight="1" thickBot="1" x14ac:dyDescent="0.25">
      <c r="B745" s="102"/>
      <c r="C745" s="103"/>
      <c r="D745" s="102"/>
      <c r="E745" s="102"/>
      <c r="F745" s="102"/>
      <c r="G745" s="102"/>
      <c r="I745" s="102"/>
      <c r="J745" s="102"/>
      <c r="K745" s="102"/>
    </row>
    <row r="746" spans="2:11" ht="15.75" customHeight="1" thickBot="1" x14ac:dyDescent="0.25">
      <c r="B746" s="102"/>
      <c r="C746" s="103"/>
      <c r="D746" s="102"/>
      <c r="E746" s="102"/>
      <c r="F746" s="102"/>
      <c r="G746" s="102"/>
      <c r="I746" s="102"/>
      <c r="J746" s="102"/>
      <c r="K746" s="102"/>
    </row>
    <row r="747" spans="2:11" ht="15.75" customHeight="1" thickBot="1" x14ac:dyDescent="0.25">
      <c r="B747" s="102"/>
      <c r="C747" s="103"/>
      <c r="D747" s="102"/>
      <c r="E747" s="102"/>
      <c r="F747" s="102"/>
      <c r="G747" s="102"/>
      <c r="I747" s="102"/>
      <c r="J747" s="102"/>
      <c r="K747" s="102"/>
    </row>
    <row r="748" spans="2:11" ht="15.75" customHeight="1" thickBot="1" x14ac:dyDescent="0.25">
      <c r="B748" s="102"/>
      <c r="C748" s="103"/>
      <c r="D748" s="102"/>
      <c r="E748" s="102"/>
      <c r="F748" s="102"/>
      <c r="G748" s="102"/>
      <c r="I748" s="102"/>
      <c r="J748" s="102"/>
      <c r="K748" s="102"/>
    </row>
    <row r="749" spans="2:11" ht="15.75" customHeight="1" thickBot="1" x14ac:dyDescent="0.25">
      <c r="B749" s="102"/>
      <c r="C749" s="103"/>
      <c r="D749" s="102"/>
      <c r="E749" s="102"/>
      <c r="F749" s="102"/>
      <c r="G749" s="102"/>
      <c r="I749" s="102"/>
      <c r="J749" s="102"/>
      <c r="K749" s="102"/>
    </row>
    <row r="750" spans="2:11" ht="15.75" customHeight="1" thickBot="1" x14ac:dyDescent="0.25">
      <c r="B750" s="102"/>
      <c r="C750" s="103"/>
      <c r="D750" s="102"/>
      <c r="E750" s="102"/>
      <c r="F750" s="102"/>
      <c r="G750" s="102"/>
      <c r="I750" s="102"/>
      <c r="J750" s="102"/>
      <c r="K750" s="102"/>
    </row>
    <row r="751" spans="2:11" ht="15.75" customHeight="1" thickBot="1" x14ac:dyDescent="0.25">
      <c r="B751" s="102"/>
      <c r="C751" s="103"/>
      <c r="D751" s="102"/>
      <c r="E751" s="102"/>
      <c r="F751" s="102"/>
      <c r="G751" s="102"/>
      <c r="I751" s="102"/>
      <c r="J751" s="102"/>
      <c r="K751" s="102"/>
    </row>
    <row r="752" spans="2:11" ht="15.75" customHeight="1" thickBot="1" x14ac:dyDescent="0.25">
      <c r="B752" s="102"/>
      <c r="C752" s="103"/>
      <c r="D752" s="102"/>
      <c r="E752" s="102"/>
      <c r="F752" s="102"/>
      <c r="G752" s="102"/>
      <c r="I752" s="102"/>
      <c r="J752" s="102"/>
      <c r="K752" s="102"/>
    </row>
    <row r="753" spans="2:11" ht="15.75" customHeight="1" thickBot="1" x14ac:dyDescent="0.25">
      <c r="B753" s="102"/>
      <c r="C753" s="103"/>
      <c r="D753" s="102"/>
      <c r="E753" s="102"/>
      <c r="F753" s="102"/>
      <c r="G753" s="102"/>
      <c r="I753" s="102"/>
      <c r="J753" s="102"/>
      <c r="K753" s="102"/>
    </row>
    <row r="754" spans="2:11" ht="15.75" customHeight="1" thickBot="1" x14ac:dyDescent="0.25">
      <c r="B754" s="102"/>
      <c r="C754" s="103"/>
      <c r="D754" s="102"/>
      <c r="E754" s="102"/>
      <c r="F754" s="102"/>
      <c r="G754" s="102"/>
      <c r="I754" s="102"/>
      <c r="J754" s="102"/>
      <c r="K754" s="102"/>
    </row>
    <row r="755" spans="2:11" ht="15.75" customHeight="1" thickBot="1" x14ac:dyDescent="0.25">
      <c r="B755" s="102"/>
      <c r="C755" s="103"/>
      <c r="D755" s="102"/>
      <c r="E755" s="102"/>
      <c r="F755" s="102"/>
      <c r="G755" s="102"/>
      <c r="I755" s="102"/>
      <c r="J755" s="102"/>
      <c r="K755" s="102"/>
    </row>
    <row r="756" spans="2:11" ht="15.75" customHeight="1" thickBot="1" x14ac:dyDescent="0.25">
      <c r="B756" s="102"/>
      <c r="C756" s="103"/>
      <c r="D756" s="102"/>
      <c r="E756" s="102"/>
      <c r="F756" s="102"/>
      <c r="G756" s="102"/>
      <c r="I756" s="102"/>
      <c r="J756" s="102"/>
      <c r="K756" s="102"/>
    </row>
    <row r="757" spans="2:11" ht="15.75" customHeight="1" thickBot="1" x14ac:dyDescent="0.25">
      <c r="B757" s="102"/>
      <c r="C757" s="103"/>
      <c r="D757" s="102"/>
      <c r="E757" s="102"/>
      <c r="F757" s="102"/>
      <c r="G757" s="102"/>
      <c r="I757" s="102"/>
      <c r="J757" s="102"/>
      <c r="K757" s="102"/>
    </row>
    <row r="758" spans="2:11" ht="15.75" customHeight="1" thickBot="1" x14ac:dyDescent="0.25">
      <c r="B758" s="102"/>
      <c r="C758" s="103"/>
      <c r="D758" s="102"/>
      <c r="E758" s="102"/>
      <c r="F758" s="102"/>
      <c r="G758" s="102"/>
      <c r="I758" s="102"/>
      <c r="J758" s="102"/>
      <c r="K758" s="102"/>
    </row>
    <row r="759" spans="2:11" ht="15.75" customHeight="1" thickBot="1" x14ac:dyDescent="0.25">
      <c r="B759" s="102"/>
      <c r="C759" s="103"/>
      <c r="D759" s="102"/>
      <c r="E759" s="102"/>
      <c r="F759" s="102"/>
      <c r="G759" s="102"/>
      <c r="I759" s="102"/>
      <c r="J759" s="102"/>
      <c r="K759" s="102"/>
    </row>
    <row r="760" spans="2:11" ht="15.75" customHeight="1" thickBot="1" x14ac:dyDescent="0.25">
      <c r="B760" s="102"/>
      <c r="C760" s="103"/>
      <c r="D760" s="102"/>
      <c r="E760" s="102"/>
      <c r="F760" s="102"/>
      <c r="G760" s="102"/>
      <c r="I760" s="102"/>
      <c r="J760" s="102"/>
      <c r="K760" s="102"/>
    </row>
    <row r="761" spans="2:11" ht="15.75" customHeight="1" thickBot="1" x14ac:dyDescent="0.25">
      <c r="B761" s="102"/>
      <c r="C761" s="103"/>
      <c r="D761" s="102"/>
      <c r="E761" s="102"/>
      <c r="F761" s="102"/>
      <c r="G761" s="102"/>
      <c r="I761" s="102"/>
      <c r="J761" s="102"/>
      <c r="K761" s="102"/>
    </row>
    <row r="762" spans="2:11" ht="15.75" customHeight="1" thickBot="1" x14ac:dyDescent="0.25">
      <c r="B762" s="102"/>
      <c r="C762" s="103"/>
      <c r="D762" s="102"/>
      <c r="E762" s="102"/>
      <c r="F762" s="102"/>
      <c r="G762" s="102"/>
      <c r="I762" s="102"/>
      <c r="J762" s="102"/>
      <c r="K762" s="102"/>
    </row>
    <row r="763" spans="2:11" ht="15.75" customHeight="1" thickBot="1" x14ac:dyDescent="0.25">
      <c r="B763" s="102"/>
      <c r="C763" s="103"/>
      <c r="D763" s="102"/>
      <c r="E763" s="102"/>
      <c r="F763" s="102"/>
      <c r="G763" s="102"/>
      <c r="I763" s="102"/>
      <c r="J763" s="102"/>
      <c r="K763" s="102"/>
    </row>
    <row r="764" spans="2:11" ht="15.75" customHeight="1" thickBot="1" x14ac:dyDescent="0.25">
      <c r="B764" s="102"/>
      <c r="C764" s="103"/>
      <c r="D764" s="102"/>
      <c r="E764" s="102"/>
      <c r="F764" s="102"/>
      <c r="G764" s="102"/>
      <c r="I764" s="102"/>
      <c r="J764" s="102"/>
      <c r="K764" s="102"/>
    </row>
    <row r="765" spans="2:11" ht="15.75" customHeight="1" thickBot="1" x14ac:dyDescent="0.25">
      <c r="B765" s="102"/>
      <c r="C765" s="103"/>
      <c r="D765" s="102"/>
      <c r="E765" s="102"/>
      <c r="F765" s="102"/>
      <c r="G765" s="102"/>
      <c r="I765" s="102"/>
      <c r="J765" s="102"/>
      <c r="K765" s="102"/>
    </row>
    <row r="766" spans="2:11" ht="15.75" customHeight="1" thickBot="1" x14ac:dyDescent="0.25">
      <c r="B766" s="102"/>
      <c r="C766" s="103"/>
      <c r="D766" s="102"/>
      <c r="E766" s="102"/>
      <c r="F766" s="102"/>
      <c r="G766" s="102"/>
      <c r="I766" s="102"/>
      <c r="J766" s="102"/>
      <c r="K766" s="102"/>
    </row>
    <row r="767" spans="2:11" ht="15.75" customHeight="1" thickBot="1" x14ac:dyDescent="0.25">
      <c r="B767" s="102"/>
      <c r="C767" s="103"/>
      <c r="D767" s="102"/>
      <c r="E767" s="102"/>
      <c r="F767" s="102"/>
      <c r="G767" s="102"/>
      <c r="I767" s="102"/>
      <c r="J767" s="102"/>
      <c r="K767" s="102"/>
    </row>
    <row r="768" spans="2:11" ht="15.75" customHeight="1" thickBot="1" x14ac:dyDescent="0.25">
      <c r="B768" s="102"/>
      <c r="C768" s="103"/>
      <c r="D768" s="102"/>
      <c r="E768" s="102"/>
      <c r="F768" s="102"/>
      <c r="G768" s="102"/>
      <c r="I768" s="102"/>
      <c r="J768" s="102"/>
      <c r="K768" s="102"/>
    </row>
    <row r="769" spans="2:11" ht="15.75" customHeight="1" thickBot="1" x14ac:dyDescent="0.25">
      <c r="B769" s="102"/>
      <c r="C769" s="103"/>
      <c r="D769" s="102"/>
      <c r="E769" s="102"/>
      <c r="F769" s="102"/>
      <c r="G769" s="102"/>
      <c r="I769" s="102"/>
      <c r="J769" s="102"/>
      <c r="K769" s="102"/>
    </row>
    <row r="770" spans="2:11" ht="15.75" customHeight="1" thickBot="1" x14ac:dyDescent="0.25">
      <c r="B770" s="102"/>
      <c r="C770" s="103"/>
      <c r="D770" s="102"/>
      <c r="E770" s="102"/>
      <c r="F770" s="102"/>
      <c r="G770" s="102"/>
      <c r="I770" s="102"/>
      <c r="J770" s="102"/>
      <c r="K770" s="102"/>
    </row>
    <row r="771" spans="2:11" ht="15.75" customHeight="1" thickBot="1" x14ac:dyDescent="0.25">
      <c r="B771" s="102"/>
      <c r="C771" s="103"/>
      <c r="D771" s="102"/>
      <c r="E771" s="102"/>
      <c r="F771" s="102"/>
      <c r="G771" s="102"/>
      <c r="I771" s="102"/>
      <c r="J771" s="102"/>
      <c r="K771" s="102"/>
    </row>
    <row r="772" spans="2:11" ht="15.75" customHeight="1" thickBot="1" x14ac:dyDescent="0.25">
      <c r="B772" s="102"/>
      <c r="C772" s="103"/>
      <c r="D772" s="102"/>
      <c r="E772" s="102"/>
      <c r="F772" s="102"/>
      <c r="G772" s="102"/>
      <c r="I772" s="102"/>
      <c r="J772" s="102"/>
      <c r="K772" s="102"/>
    </row>
    <row r="773" spans="2:11" ht="15.75" customHeight="1" thickBot="1" x14ac:dyDescent="0.25">
      <c r="B773" s="102"/>
      <c r="C773" s="103"/>
      <c r="D773" s="102"/>
      <c r="E773" s="102"/>
      <c r="F773" s="102"/>
      <c r="G773" s="102"/>
      <c r="I773" s="102"/>
      <c r="J773" s="102"/>
      <c r="K773" s="102"/>
    </row>
    <row r="774" spans="2:11" ht="15.75" customHeight="1" thickBot="1" x14ac:dyDescent="0.25">
      <c r="B774" s="102"/>
      <c r="C774" s="103"/>
      <c r="D774" s="102"/>
      <c r="E774" s="102"/>
      <c r="F774" s="102"/>
      <c r="G774" s="102"/>
      <c r="I774" s="102"/>
      <c r="J774" s="102"/>
      <c r="K774" s="102"/>
    </row>
    <row r="775" spans="2:11" ht="15.75" customHeight="1" thickBot="1" x14ac:dyDescent="0.25">
      <c r="B775" s="102"/>
      <c r="C775" s="103"/>
      <c r="D775" s="102"/>
      <c r="E775" s="102"/>
      <c r="F775" s="102"/>
      <c r="G775" s="102"/>
      <c r="I775" s="102"/>
      <c r="J775" s="102"/>
      <c r="K775" s="102"/>
    </row>
    <row r="776" spans="2:11" ht="15.75" customHeight="1" thickBot="1" x14ac:dyDescent="0.25">
      <c r="B776" s="102"/>
      <c r="C776" s="103"/>
      <c r="D776" s="102"/>
      <c r="E776" s="102"/>
      <c r="F776" s="102"/>
      <c r="G776" s="102"/>
      <c r="I776" s="102"/>
      <c r="J776" s="102"/>
      <c r="K776" s="102"/>
    </row>
    <row r="777" spans="2:11" ht="15.75" customHeight="1" thickBot="1" x14ac:dyDescent="0.25">
      <c r="B777" s="102"/>
      <c r="C777" s="103"/>
      <c r="D777" s="102"/>
      <c r="E777" s="102"/>
      <c r="F777" s="102"/>
      <c r="G777" s="102"/>
      <c r="I777" s="102"/>
      <c r="J777" s="102"/>
      <c r="K777" s="102"/>
    </row>
    <row r="778" spans="2:11" ht="15.75" customHeight="1" thickBot="1" x14ac:dyDescent="0.25">
      <c r="B778" s="102"/>
      <c r="C778" s="103"/>
      <c r="D778" s="102"/>
      <c r="E778" s="102"/>
      <c r="F778" s="102"/>
      <c r="G778" s="102"/>
      <c r="I778" s="102"/>
      <c r="J778" s="102"/>
      <c r="K778" s="102"/>
    </row>
    <row r="779" spans="2:11" ht="15.75" customHeight="1" thickBot="1" x14ac:dyDescent="0.25">
      <c r="B779" s="102"/>
      <c r="C779" s="103"/>
      <c r="D779" s="102"/>
      <c r="E779" s="102"/>
      <c r="F779" s="102"/>
      <c r="G779" s="102"/>
      <c r="I779" s="102"/>
      <c r="J779" s="102"/>
      <c r="K779" s="102"/>
    </row>
    <row r="780" spans="2:11" ht="15.75" customHeight="1" thickBot="1" x14ac:dyDescent="0.25">
      <c r="B780" s="102"/>
      <c r="C780" s="103"/>
      <c r="D780" s="102"/>
      <c r="E780" s="102"/>
      <c r="F780" s="102"/>
      <c r="G780" s="102"/>
      <c r="I780" s="102"/>
      <c r="J780" s="102"/>
      <c r="K780" s="102"/>
    </row>
    <row r="781" spans="2:11" ht="15.75" customHeight="1" thickBot="1" x14ac:dyDescent="0.25">
      <c r="B781" s="102"/>
      <c r="C781" s="103"/>
      <c r="D781" s="102"/>
      <c r="E781" s="102"/>
      <c r="F781" s="102"/>
      <c r="G781" s="102"/>
      <c r="I781" s="102"/>
      <c r="J781" s="102"/>
      <c r="K781" s="102"/>
    </row>
    <row r="782" spans="2:11" ht="15.75" customHeight="1" thickBot="1" x14ac:dyDescent="0.25">
      <c r="B782" s="102"/>
      <c r="C782" s="103"/>
      <c r="D782" s="102"/>
      <c r="E782" s="102"/>
      <c r="F782" s="102"/>
      <c r="G782" s="102"/>
      <c r="I782" s="102"/>
      <c r="J782" s="102"/>
      <c r="K782" s="102"/>
    </row>
    <row r="783" spans="2:11" ht="15.75" customHeight="1" thickBot="1" x14ac:dyDescent="0.25">
      <c r="B783" s="102"/>
      <c r="C783" s="103"/>
      <c r="D783" s="102"/>
      <c r="E783" s="102"/>
      <c r="F783" s="102"/>
      <c r="G783" s="102"/>
      <c r="I783" s="102"/>
      <c r="J783" s="102"/>
      <c r="K783" s="102"/>
    </row>
    <row r="784" spans="2:11" ht="15.75" customHeight="1" thickBot="1" x14ac:dyDescent="0.25">
      <c r="B784" s="102"/>
      <c r="C784" s="103"/>
      <c r="D784" s="102"/>
      <c r="E784" s="102"/>
      <c r="F784" s="102"/>
      <c r="G784" s="102"/>
      <c r="I784" s="102"/>
      <c r="J784" s="102"/>
      <c r="K784" s="102"/>
    </row>
    <row r="785" spans="2:11" ht="15.75" customHeight="1" thickBot="1" x14ac:dyDescent="0.25">
      <c r="B785" s="102"/>
      <c r="C785" s="103"/>
      <c r="D785" s="102"/>
      <c r="E785" s="102"/>
      <c r="F785" s="102"/>
      <c r="G785" s="102"/>
      <c r="I785" s="102"/>
      <c r="J785" s="102"/>
      <c r="K785" s="102"/>
    </row>
    <row r="786" spans="2:11" ht="15.75" customHeight="1" thickBot="1" x14ac:dyDescent="0.25">
      <c r="B786" s="102"/>
      <c r="C786" s="103"/>
      <c r="D786" s="102"/>
      <c r="E786" s="102"/>
      <c r="F786" s="102"/>
      <c r="G786" s="102"/>
      <c r="I786" s="102"/>
      <c r="J786" s="102"/>
      <c r="K786" s="102"/>
    </row>
    <row r="787" spans="2:11" ht="15.75" customHeight="1" thickBot="1" x14ac:dyDescent="0.25">
      <c r="B787" s="102"/>
      <c r="C787" s="103"/>
      <c r="D787" s="102"/>
      <c r="E787" s="102"/>
      <c r="F787" s="102"/>
      <c r="G787" s="102"/>
      <c r="I787" s="102"/>
      <c r="J787" s="102"/>
      <c r="K787" s="102"/>
    </row>
    <row r="788" spans="2:11" ht="15.75" customHeight="1" thickBot="1" x14ac:dyDescent="0.25">
      <c r="B788" s="102"/>
      <c r="C788" s="103"/>
      <c r="D788" s="102"/>
      <c r="E788" s="102"/>
      <c r="F788" s="102"/>
      <c r="G788" s="102"/>
      <c r="I788" s="102"/>
      <c r="J788" s="102"/>
      <c r="K788" s="102"/>
    </row>
    <row r="789" spans="2:11" ht="15.75" customHeight="1" thickBot="1" x14ac:dyDescent="0.25">
      <c r="B789" s="102"/>
      <c r="C789" s="103"/>
      <c r="D789" s="102"/>
      <c r="E789" s="102"/>
      <c r="F789" s="102"/>
      <c r="G789" s="102"/>
      <c r="I789" s="102"/>
      <c r="J789" s="102"/>
      <c r="K789" s="102"/>
    </row>
    <row r="790" spans="2:11" ht="15.75" customHeight="1" thickBot="1" x14ac:dyDescent="0.25">
      <c r="B790" s="102"/>
      <c r="C790" s="103"/>
      <c r="D790" s="102"/>
      <c r="E790" s="102"/>
      <c r="F790" s="102"/>
      <c r="G790" s="102"/>
      <c r="I790" s="102"/>
      <c r="J790" s="102"/>
      <c r="K790" s="102"/>
    </row>
    <row r="791" spans="2:11" ht="15.75" customHeight="1" thickBot="1" x14ac:dyDescent="0.25">
      <c r="B791" s="102"/>
      <c r="C791" s="103"/>
      <c r="D791" s="102"/>
      <c r="E791" s="102"/>
      <c r="F791" s="102"/>
      <c r="G791" s="102"/>
      <c r="I791" s="102"/>
      <c r="J791" s="102"/>
      <c r="K791" s="102"/>
    </row>
    <row r="792" spans="2:11" ht="15.75" customHeight="1" thickBot="1" x14ac:dyDescent="0.25">
      <c r="B792" s="102"/>
      <c r="C792" s="103"/>
      <c r="D792" s="102"/>
      <c r="E792" s="102"/>
      <c r="F792" s="102"/>
      <c r="G792" s="102"/>
      <c r="I792" s="102"/>
      <c r="J792" s="102"/>
      <c r="K792" s="102"/>
    </row>
    <row r="793" spans="2:11" ht="15.75" customHeight="1" thickBot="1" x14ac:dyDescent="0.25">
      <c r="B793" s="102"/>
      <c r="C793" s="103"/>
      <c r="D793" s="102"/>
      <c r="E793" s="102"/>
      <c r="F793" s="102"/>
      <c r="G793" s="102"/>
      <c r="I793" s="102"/>
      <c r="J793" s="102"/>
      <c r="K793" s="102"/>
    </row>
    <row r="794" spans="2:11" ht="15.75" customHeight="1" thickBot="1" x14ac:dyDescent="0.25">
      <c r="B794" s="102"/>
      <c r="C794" s="103"/>
      <c r="D794" s="102"/>
      <c r="E794" s="102"/>
      <c r="F794" s="102"/>
      <c r="G794" s="102"/>
      <c r="I794" s="102"/>
      <c r="J794" s="102"/>
      <c r="K794" s="102"/>
    </row>
    <row r="795" spans="2:11" ht="15.75" customHeight="1" thickBot="1" x14ac:dyDescent="0.25">
      <c r="B795" s="102"/>
      <c r="C795" s="103"/>
      <c r="D795" s="102"/>
      <c r="E795" s="102"/>
      <c r="F795" s="102"/>
      <c r="G795" s="102"/>
      <c r="I795" s="102"/>
      <c r="J795" s="102"/>
      <c r="K795" s="102"/>
    </row>
    <row r="796" spans="2:11" ht="15.75" customHeight="1" thickBot="1" x14ac:dyDescent="0.25">
      <c r="B796" s="102"/>
      <c r="C796" s="103"/>
      <c r="D796" s="102"/>
      <c r="E796" s="102"/>
      <c r="F796" s="102"/>
      <c r="G796" s="102"/>
      <c r="I796" s="102"/>
      <c r="J796" s="102"/>
      <c r="K796" s="102"/>
    </row>
    <row r="797" spans="2:11" ht="15.75" customHeight="1" thickBot="1" x14ac:dyDescent="0.25">
      <c r="B797" s="102"/>
      <c r="C797" s="103"/>
      <c r="D797" s="102"/>
      <c r="E797" s="102"/>
      <c r="F797" s="102"/>
      <c r="G797" s="102"/>
      <c r="I797" s="102"/>
      <c r="J797" s="102"/>
      <c r="K797" s="102"/>
    </row>
    <row r="798" spans="2:11" ht="15.75" customHeight="1" thickBot="1" x14ac:dyDescent="0.25">
      <c r="B798" s="102"/>
      <c r="C798" s="103"/>
      <c r="D798" s="102"/>
      <c r="E798" s="102"/>
      <c r="F798" s="102"/>
      <c r="G798" s="102"/>
      <c r="I798" s="102"/>
      <c r="J798" s="102"/>
      <c r="K798" s="102"/>
    </row>
    <row r="799" spans="2:11" ht="15.75" customHeight="1" thickBot="1" x14ac:dyDescent="0.25">
      <c r="B799" s="102"/>
      <c r="C799" s="103"/>
      <c r="D799" s="102"/>
      <c r="E799" s="102"/>
      <c r="F799" s="102"/>
      <c r="G799" s="102"/>
      <c r="I799" s="102"/>
      <c r="J799" s="102"/>
      <c r="K799" s="102"/>
    </row>
    <row r="800" spans="2:11" ht="15.75" customHeight="1" thickBot="1" x14ac:dyDescent="0.25">
      <c r="B800" s="102"/>
      <c r="C800" s="103"/>
      <c r="D800" s="102"/>
      <c r="E800" s="102"/>
      <c r="F800" s="102"/>
      <c r="G800" s="102"/>
      <c r="I800" s="102"/>
      <c r="J800" s="102"/>
      <c r="K800" s="102"/>
    </row>
    <row r="801" spans="2:11" ht="15.75" customHeight="1" thickBot="1" x14ac:dyDescent="0.25">
      <c r="B801" s="102"/>
      <c r="C801" s="103"/>
      <c r="D801" s="102"/>
      <c r="E801" s="102"/>
      <c r="F801" s="102"/>
      <c r="G801" s="102"/>
      <c r="I801" s="102"/>
      <c r="J801" s="102"/>
      <c r="K801" s="102"/>
    </row>
    <row r="802" spans="2:11" ht="15.75" customHeight="1" thickBot="1" x14ac:dyDescent="0.25">
      <c r="B802" s="102"/>
      <c r="C802" s="103"/>
      <c r="D802" s="102"/>
      <c r="E802" s="102"/>
      <c r="F802" s="102"/>
      <c r="G802" s="102"/>
      <c r="I802" s="102"/>
      <c r="J802" s="102"/>
      <c r="K802" s="102"/>
    </row>
    <row r="803" spans="2:11" ht="15.75" customHeight="1" thickBot="1" x14ac:dyDescent="0.25">
      <c r="B803" s="102"/>
      <c r="C803" s="103"/>
      <c r="D803" s="102"/>
      <c r="E803" s="102"/>
      <c r="F803" s="102"/>
      <c r="G803" s="102"/>
      <c r="I803" s="102"/>
      <c r="J803" s="102"/>
      <c r="K803" s="102"/>
    </row>
    <row r="804" spans="2:11" ht="15.75" customHeight="1" thickBot="1" x14ac:dyDescent="0.25">
      <c r="B804" s="102"/>
      <c r="C804" s="103"/>
      <c r="D804" s="102"/>
      <c r="E804" s="102"/>
      <c r="F804" s="102"/>
      <c r="G804" s="102"/>
      <c r="I804" s="102"/>
      <c r="J804" s="102"/>
      <c r="K804" s="102"/>
    </row>
    <row r="805" spans="2:11" ht="15.75" customHeight="1" thickBot="1" x14ac:dyDescent="0.25">
      <c r="B805" s="102"/>
      <c r="C805" s="103"/>
      <c r="D805" s="102"/>
      <c r="E805" s="102"/>
      <c r="F805" s="102"/>
      <c r="G805" s="102"/>
      <c r="I805" s="102"/>
      <c r="J805" s="102"/>
      <c r="K805" s="102"/>
    </row>
    <row r="806" spans="2:11" ht="15.75" customHeight="1" thickBot="1" x14ac:dyDescent="0.25">
      <c r="B806" s="102"/>
      <c r="C806" s="103"/>
      <c r="D806" s="102"/>
      <c r="E806" s="102"/>
      <c r="F806" s="102"/>
      <c r="G806" s="102"/>
      <c r="I806" s="102"/>
      <c r="J806" s="102"/>
      <c r="K806" s="102"/>
    </row>
    <row r="807" spans="2:11" ht="15.75" customHeight="1" thickBot="1" x14ac:dyDescent="0.25">
      <c r="B807" s="102"/>
      <c r="C807" s="103"/>
      <c r="D807" s="102"/>
      <c r="E807" s="102"/>
      <c r="F807" s="102"/>
      <c r="G807" s="102"/>
      <c r="I807" s="102"/>
      <c r="J807" s="102"/>
      <c r="K807" s="102"/>
    </row>
    <row r="808" spans="2:11" ht="15.75" customHeight="1" thickBot="1" x14ac:dyDescent="0.25">
      <c r="B808" s="102"/>
      <c r="C808" s="103"/>
      <c r="D808" s="102"/>
      <c r="E808" s="102"/>
      <c r="F808" s="102"/>
      <c r="G808" s="102"/>
      <c r="I808" s="102"/>
      <c r="J808" s="102"/>
      <c r="K808" s="102"/>
    </row>
    <row r="809" spans="2:11" ht="15.75" customHeight="1" thickBot="1" x14ac:dyDescent="0.25">
      <c r="B809" s="102"/>
      <c r="C809" s="103"/>
      <c r="D809" s="102"/>
      <c r="E809" s="102"/>
      <c r="F809" s="102"/>
      <c r="G809" s="102"/>
      <c r="I809" s="102"/>
      <c r="J809" s="102"/>
      <c r="K809" s="102"/>
    </row>
    <row r="810" spans="2:11" ht="15.75" customHeight="1" thickBot="1" x14ac:dyDescent="0.25">
      <c r="B810" s="102"/>
      <c r="C810" s="103"/>
      <c r="D810" s="102"/>
      <c r="E810" s="102"/>
      <c r="F810" s="102"/>
      <c r="G810" s="102"/>
      <c r="I810" s="102"/>
      <c r="J810" s="102"/>
      <c r="K810" s="102"/>
    </row>
    <row r="811" spans="2:11" ht="15.75" customHeight="1" thickBot="1" x14ac:dyDescent="0.25">
      <c r="B811" s="102"/>
      <c r="C811" s="103"/>
      <c r="D811" s="102"/>
      <c r="E811" s="102"/>
      <c r="F811" s="102"/>
      <c r="G811" s="102"/>
      <c r="I811" s="102"/>
      <c r="J811" s="102"/>
      <c r="K811" s="102"/>
    </row>
    <row r="812" spans="2:11" ht="15.75" customHeight="1" thickBot="1" x14ac:dyDescent="0.25">
      <c r="B812" s="102"/>
      <c r="C812" s="103"/>
      <c r="D812" s="102"/>
      <c r="E812" s="102"/>
      <c r="F812" s="102"/>
      <c r="G812" s="102"/>
      <c r="I812" s="102"/>
      <c r="J812" s="102"/>
      <c r="K812" s="102"/>
    </row>
    <row r="813" spans="2:11" ht="15.75" customHeight="1" thickBot="1" x14ac:dyDescent="0.25">
      <c r="B813" s="102"/>
      <c r="C813" s="103"/>
      <c r="D813" s="102"/>
      <c r="E813" s="102"/>
      <c r="F813" s="102"/>
      <c r="G813" s="102"/>
      <c r="I813" s="102"/>
      <c r="J813" s="102"/>
      <c r="K813" s="102"/>
    </row>
    <row r="814" spans="2:11" ht="15.75" customHeight="1" thickBot="1" x14ac:dyDescent="0.25">
      <c r="B814" s="102"/>
      <c r="C814" s="103"/>
      <c r="D814" s="102"/>
      <c r="E814" s="102"/>
      <c r="F814" s="102"/>
      <c r="G814" s="102"/>
      <c r="I814" s="102"/>
      <c r="J814" s="102"/>
      <c r="K814" s="102"/>
    </row>
    <row r="815" spans="2:11" ht="15.75" customHeight="1" thickBot="1" x14ac:dyDescent="0.25">
      <c r="B815" s="102"/>
      <c r="C815" s="103"/>
      <c r="D815" s="102"/>
      <c r="E815" s="102"/>
      <c r="F815" s="102"/>
      <c r="G815" s="102"/>
      <c r="I815" s="102"/>
      <c r="J815" s="102"/>
      <c r="K815" s="102"/>
    </row>
    <row r="816" spans="2:11" ht="15.75" customHeight="1" thickBot="1" x14ac:dyDescent="0.25">
      <c r="B816" s="102"/>
      <c r="C816" s="103"/>
      <c r="D816" s="102"/>
      <c r="E816" s="102"/>
      <c r="F816" s="102"/>
      <c r="G816" s="102"/>
      <c r="I816" s="102"/>
      <c r="J816" s="102"/>
      <c r="K816" s="102"/>
    </row>
    <row r="817" spans="2:11" ht="15.75" customHeight="1" thickBot="1" x14ac:dyDescent="0.25">
      <c r="B817" s="102"/>
      <c r="C817" s="103"/>
      <c r="D817" s="102"/>
      <c r="E817" s="102"/>
      <c r="F817" s="102"/>
      <c r="G817" s="102"/>
      <c r="I817" s="102"/>
      <c r="J817" s="102"/>
      <c r="K817" s="102"/>
    </row>
    <row r="818" spans="2:11" ht="15.75" customHeight="1" thickBot="1" x14ac:dyDescent="0.25">
      <c r="B818" s="102"/>
      <c r="C818" s="103"/>
      <c r="D818" s="102"/>
      <c r="E818" s="102"/>
      <c r="F818" s="102"/>
      <c r="G818" s="102"/>
      <c r="I818" s="102"/>
      <c r="J818" s="102"/>
      <c r="K818" s="102"/>
    </row>
    <row r="819" spans="2:11" ht="15.75" customHeight="1" thickBot="1" x14ac:dyDescent="0.25">
      <c r="B819" s="102"/>
      <c r="C819" s="103"/>
      <c r="D819" s="102"/>
      <c r="E819" s="102"/>
      <c r="F819" s="102"/>
      <c r="G819" s="102"/>
      <c r="I819" s="102"/>
      <c r="J819" s="102"/>
      <c r="K819" s="102"/>
    </row>
    <row r="820" spans="2:11" ht="15.75" customHeight="1" thickBot="1" x14ac:dyDescent="0.25">
      <c r="B820" s="102"/>
      <c r="C820" s="103"/>
      <c r="D820" s="102"/>
      <c r="E820" s="102"/>
      <c r="F820" s="102"/>
      <c r="G820" s="102"/>
      <c r="I820" s="102"/>
      <c r="J820" s="102"/>
      <c r="K820" s="102"/>
    </row>
    <row r="821" spans="2:11" ht="15.75" customHeight="1" thickBot="1" x14ac:dyDescent="0.25">
      <c r="B821" s="102"/>
      <c r="C821" s="103"/>
      <c r="D821" s="102"/>
      <c r="E821" s="102"/>
      <c r="F821" s="102"/>
      <c r="G821" s="102"/>
      <c r="I821" s="102"/>
      <c r="J821" s="102"/>
      <c r="K821" s="102"/>
    </row>
    <row r="822" spans="2:11" ht="15.75" customHeight="1" thickBot="1" x14ac:dyDescent="0.25">
      <c r="B822" s="102"/>
      <c r="C822" s="103"/>
      <c r="D822" s="102"/>
      <c r="E822" s="102"/>
      <c r="F822" s="102"/>
      <c r="G822" s="102"/>
      <c r="I822" s="102"/>
      <c r="J822" s="102"/>
      <c r="K822" s="102"/>
    </row>
    <row r="823" spans="2:11" ht="15.75" customHeight="1" thickBot="1" x14ac:dyDescent="0.25">
      <c r="B823" s="102"/>
      <c r="C823" s="103"/>
      <c r="D823" s="102"/>
      <c r="E823" s="102"/>
      <c r="F823" s="102"/>
      <c r="G823" s="102"/>
      <c r="I823" s="102"/>
      <c r="J823" s="102"/>
      <c r="K823" s="102"/>
    </row>
    <row r="824" spans="2:11" ht="15.75" customHeight="1" thickBot="1" x14ac:dyDescent="0.25">
      <c r="B824" s="102"/>
      <c r="C824" s="103"/>
      <c r="D824" s="102"/>
      <c r="E824" s="102"/>
      <c r="F824" s="102"/>
      <c r="G824" s="102"/>
      <c r="I824" s="102"/>
      <c r="J824" s="102"/>
      <c r="K824" s="102"/>
    </row>
    <row r="825" spans="2:11" ht="15.75" customHeight="1" thickBot="1" x14ac:dyDescent="0.25">
      <c r="B825" s="102"/>
      <c r="C825" s="103"/>
      <c r="D825" s="102"/>
      <c r="E825" s="102"/>
      <c r="F825" s="102"/>
      <c r="G825" s="102"/>
      <c r="I825" s="102"/>
      <c r="J825" s="102"/>
      <c r="K825" s="102"/>
    </row>
    <row r="826" spans="2:11" ht="15.75" customHeight="1" thickBot="1" x14ac:dyDescent="0.25">
      <c r="B826" s="102"/>
      <c r="C826" s="103"/>
      <c r="D826" s="102"/>
      <c r="E826" s="102"/>
      <c r="F826" s="102"/>
      <c r="G826" s="102"/>
      <c r="I826" s="102"/>
      <c r="J826" s="102"/>
      <c r="K826" s="102"/>
    </row>
    <row r="827" spans="2:11" ht="15.75" customHeight="1" thickBot="1" x14ac:dyDescent="0.25">
      <c r="B827" s="102"/>
      <c r="C827" s="103"/>
      <c r="D827" s="102"/>
      <c r="E827" s="102"/>
      <c r="F827" s="102"/>
      <c r="G827" s="102"/>
      <c r="I827" s="102"/>
      <c r="J827" s="102"/>
      <c r="K827" s="102"/>
    </row>
    <row r="828" spans="2:11" ht="15.75" customHeight="1" thickBot="1" x14ac:dyDescent="0.25">
      <c r="B828" s="102"/>
      <c r="C828" s="103"/>
      <c r="D828" s="102"/>
      <c r="E828" s="102"/>
      <c r="F828" s="102"/>
      <c r="G828" s="102"/>
      <c r="I828" s="102"/>
      <c r="J828" s="102"/>
      <c r="K828" s="102"/>
    </row>
    <row r="829" spans="2:11" ht="15.75" customHeight="1" thickBot="1" x14ac:dyDescent="0.25">
      <c r="B829" s="102"/>
      <c r="C829" s="103"/>
      <c r="D829" s="102"/>
      <c r="E829" s="102"/>
      <c r="F829" s="102"/>
      <c r="G829" s="102"/>
      <c r="I829" s="102"/>
      <c r="J829" s="102"/>
      <c r="K829" s="102"/>
    </row>
    <row r="830" spans="2:11" ht="15.75" customHeight="1" thickBot="1" x14ac:dyDescent="0.25">
      <c r="B830" s="102"/>
      <c r="C830" s="103"/>
      <c r="D830" s="102"/>
      <c r="E830" s="102"/>
      <c r="F830" s="102"/>
      <c r="G830" s="102"/>
      <c r="I830" s="102"/>
      <c r="J830" s="102"/>
      <c r="K830" s="102"/>
    </row>
    <row r="831" spans="2:11" ht="15.75" customHeight="1" thickBot="1" x14ac:dyDescent="0.25">
      <c r="B831" s="102"/>
      <c r="C831" s="103"/>
      <c r="D831" s="102"/>
      <c r="E831" s="102"/>
      <c r="F831" s="102"/>
      <c r="G831" s="102"/>
      <c r="I831" s="102"/>
      <c r="J831" s="102"/>
      <c r="K831" s="102"/>
    </row>
    <row r="832" spans="2:11" ht="15.75" customHeight="1" thickBot="1" x14ac:dyDescent="0.25">
      <c r="B832" s="102"/>
      <c r="C832" s="103"/>
      <c r="D832" s="102"/>
      <c r="E832" s="102"/>
      <c r="F832" s="102"/>
      <c r="G832" s="102"/>
      <c r="I832" s="102"/>
      <c r="J832" s="102"/>
      <c r="K832" s="102"/>
    </row>
    <row r="833" spans="2:11" ht="15.75" customHeight="1" thickBot="1" x14ac:dyDescent="0.25">
      <c r="B833" s="102"/>
      <c r="C833" s="103"/>
      <c r="D833" s="102"/>
      <c r="E833" s="102"/>
      <c r="F833" s="102"/>
      <c r="G833" s="102"/>
      <c r="I833" s="102"/>
      <c r="J833" s="102"/>
      <c r="K833" s="102"/>
    </row>
    <row r="834" spans="2:11" ht="15.75" customHeight="1" thickBot="1" x14ac:dyDescent="0.25">
      <c r="B834" s="102"/>
      <c r="C834" s="103"/>
      <c r="D834" s="102"/>
      <c r="E834" s="102"/>
      <c r="F834" s="102"/>
      <c r="G834" s="102"/>
      <c r="I834" s="102"/>
      <c r="J834" s="102"/>
      <c r="K834" s="102"/>
    </row>
    <row r="835" spans="2:11" ht="15.75" customHeight="1" thickBot="1" x14ac:dyDescent="0.25">
      <c r="B835" s="102"/>
      <c r="C835" s="103"/>
      <c r="D835" s="102"/>
      <c r="E835" s="102"/>
      <c r="F835" s="102"/>
      <c r="G835" s="102"/>
      <c r="I835" s="102"/>
      <c r="J835" s="102"/>
      <c r="K835" s="102"/>
    </row>
    <row r="836" spans="2:11" ht="15.75" customHeight="1" thickBot="1" x14ac:dyDescent="0.25">
      <c r="B836" s="102"/>
      <c r="C836" s="103"/>
      <c r="D836" s="102"/>
      <c r="E836" s="102"/>
      <c r="F836" s="102"/>
      <c r="G836" s="102"/>
      <c r="I836" s="102"/>
      <c r="J836" s="102"/>
      <c r="K836" s="102"/>
    </row>
    <row r="837" spans="2:11" ht="15.75" customHeight="1" thickBot="1" x14ac:dyDescent="0.25">
      <c r="B837" s="102"/>
      <c r="C837" s="103"/>
      <c r="D837" s="102"/>
      <c r="E837" s="102"/>
      <c r="F837" s="102"/>
      <c r="G837" s="102"/>
      <c r="I837" s="102"/>
      <c r="J837" s="102"/>
      <c r="K837" s="102"/>
    </row>
    <row r="838" spans="2:11" ht="15.75" customHeight="1" thickBot="1" x14ac:dyDescent="0.25">
      <c r="B838" s="102"/>
      <c r="C838" s="103"/>
      <c r="D838" s="102"/>
      <c r="E838" s="102"/>
      <c r="F838" s="102"/>
      <c r="G838" s="102"/>
      <c r="I838" s="102"/>
      <c r="J838" s="102"/>
      <c r="K838" s="102"/>
    </row>
    <row r="839" spans="2:11" ht="15.75" customHeight="1" thickBot="1" x14ac:dyDescent="0.25">
      <c r="B839" s="102"/>
      <c r="C839" s="103"/>
      <c r="D839" s="102"/>
      <c r="E839" s="102"/>
      <c r="F839" s="102"/>
      <c r="G839" s="102"/>
      <c r="I839" s="102"/>
      <c r="J839" s="102"/>
      <c r="K839" s="102"/>
    </row>
    <row r="840" spans="2:11" ht="15.75" customHeight="1" thickBot="1" x14ac:dyDescent="0.25">
      <c r="B840" s="102"/>
      <c r="C840" s="103"/>
      <c r="D840" s="102"/>
      <c r="E840" s="102"/>
      <c r="F840" s="102"/>
      <c r="G840" s="102"/>
      <c r="I840" s="102"/>
      <c r="J840" s="102"/>
      <c r="K840" s="102"/>
    </row>
    <row r="841" spans="2:11" ht="15.75" customHeight="1" thickBot="1" x14ac:dyDescent="0.25">
      <c r="B841" s="102"/>
      <c r="C841" s="103"/>
      <c r="D841" s="102"/>
      <c r="E841" s="102"/>
      <c r="F841" s="102"/>
      <c r="G841" s="102"/>
      <c r="I841" s="102"/>
      <c r="J841" s="102"/>
      <c r="K841" s="102"/>
    </row>
    <row r="842" spans="2:11" ht="15.75" customHeight="1" thickBot="1" x14ac:dyDescent="0.25">
      <c r="B842" s="102"/>
      <c r="C842" s="103"/>
      <c r="D842" s="102"/>
      <c r="E842" s="102"/>
      <c r="F842" s="102"/>
      <c r="G842" s="102"/>
      <c r="I842" s="102"/>
      <c r="J842" s="102"/>
      <c r="K842" s="102"/>
    </row>
    <row r="843" spans="2:11" ht="15.75" customHeight="1" thickBot="1" x14ac:dyDescent="0.25">
      <c r="B843" s="102"/>
      <c r="C843" s="103"/>
      <c r="D843" s="102"/>
      <c r="E843" s="102"/>
      <c r="F843" s="102"/>
      <c r="G843" s="102"/>
      <c r="I843" s="102"/>
      <c r="J843" s="102"/>
      <c r="K843" s="102"/>
    </row>
    <row r="844" spans="2:11" ht="15.75" customHeight="1" thickBot="1" x14ac:dyDescent="0.25">
      <c r="B844" s="102"/>
      <c r="C844" s="103"/>
      <c r="D844" s="102"/>
      <c r="E844" s="102"/>
      <c r="F844" s="102"/>
      <c r="G844" s="102"/>
      <c r="I844" s="102"/>
      <c r="J844" s="102"/>
      <c r="K844" s="102"/>
    </row>
    <row r="845" spans="2:11" ht="15.75" customHeight="1" thickBot="1" x14ac:dyDescent="0.25">
      <c r="B845" s="102"/>
      <c r="C845" s="103"/>
      <c r="D845" s="102"/>
      <c r="E845" s="102"/>
      <c r="F845" s="102"/>
      <c r="G845" s="102"/>
      <c r="I845" s="102"/>
      <c r="J845" s="102"/>
      <c r="K845" s="102"/>
    </row>
    <row r="846" spans="2:11" ht="15.75" customHeight="1" thickBot="1" x14ac:dyDescent="0.25">
      <c r="B846" s="102"/>
      <c r="C846" s="103"/>
      <c r="D846" s="102"/>
      <c r="E846" s="102"/>
      <c r="F846" s="102"/>
      <c r="G846" s="102"/>
      <c r="I846" s="102"/>
      <c r="J846" s="102"/>
      <c r="K846" s="102"/>
    </row>
    <row r="847" spans="2:11" ht="15.75" customHeight="1" thickBot="1" x14ac:dyDescent="0.25">
      <c r="B847" s="102"/>
      <c r="C847" s="103"/>
      <c r="D847" s="102"/>
      <c r="E847" s="102"/>
      <c r="F847" s="102"/>
      <c r="G847" s="102"/>
      <c r="I847" s="102"/>
      <c r="J847" s="102"/>
      <c r="K847" s="102"/>
    </row>
    <row r="848" spans="2:11" ht="15.75" customHeight="1" thickBot="1" x14ac:dyDescent="0.25">
      <c r="B848" s="102"/>
      <c r="C848" s="103"/>
      <c r="D848" s="102"/>
      <c r="E848" s="102"/>
      <c r="F848" s="102"/>
      <c r="G848" s="102"/>
      <c r="I848" s="102"/>
      <c r="J848" s="102"/>
      <c r="K848" s="102"/>
    </row>
    <row r="849" spans="2:11" ht="15.75" customHeight="1" thickBot="1" x14ac:dyDescent="0.25">
      <c r="B849" s="102"/>
      <c r="C849" s="103"/>
      <c r="D849" s="102"/>
      <c r="E849" s="102"/>
      <c r="F849" s="102"/>
      <c r="G849" s="102"/>
      <c r="I849" s="102"/>
      <c r="J849" s="102"/>
      <c r="K849" s="102"/>
    </row>
    <row r="850" spans="2:11" ht="15.75" customHeight="1" thickBot="1" x14ac:dyDescent="0.25">
      <c r="B850" s="102"/>
      <c r="C850" s="103"/>
      <c r="D850" s="102"/>
      <c r="E850" s="102"/>
      <c r="F850" s="102"/>
      <c r="G850" s="102"/>
      <c r="I850" s="102"/>
      <c r="J850" s="102"/>
      <c r="K850" s="102"/>
    </row>
    <row r="851" spans="2:11" ht="15.75" customHeight="1" thickBot="1" x14ac:dyDescent="0.25">
      <c r="B851" s="102"/>
      <c r="C851" s="103"/>
      <c r="D851" s="102"/>
      <c r="E851" s="102"/>
      <c r="F851" s="102"/>
      <c r="G851" s="102"/>
      <c r="I851" s="102"/>
      <c r="J851" s="102"/>
      <c r="K851" s="102"/>
    </row>
    <row r="852" spans="2:11" ht="15.75" customHeight="1" thickBot="1" x14ac:dyDescent="0.25">
      <c r="B852" s="102"/>
      <c r="C852" s="103"/>
      <c r="D852" s="102"/>
      <c r="E852" s="102"/>
      <c r="F852" s="102"/>
      <c r="G852" s="102"/>
      <c r="I852" s="102"/>
      <c r="J852" s="102"/>
      <c r="K852" s="102"/>
    </row>
    <row r="853" spans="2:11" ht="15.75" customHeight="1" thickBot="1" x14ac:dyDescent="0.25">
      <c r="B853" s="102"/>
      <c r="C853" s="103"/>
      <c r="D853" s="102"/>
      <c r="E853" s="102"/>
      <c r="F853" s="102"/>
      <c r="G853" s="102"/>
      <c r="I853" s="102"/>
      <c r="J853" s="102"/>
      <c r="K853" s="102"/>
    </row>
    <row r="854" spans="2:11" ht="15.75" customHeight="1" thickBot="1" x14ac:dyDescent="0.25">
      <c r="B854" s="102"/>
      <c r="C854" s="103"/>
      <c r="D854" s="102"/>
      <c r="E854" s="102"/>
      <c r="F854" s="102"/>
      <c r="G854" s="102"/>
      <c r="I854" s="102"/>
      <c r="J854" s="102"/>
      <c r="K854" s="102"/>
    </row>
    <row r="855" spans="2:11" ht="15.75" customHeight="1" thickBot="1" x14ac:dyDescent="0.25">
      <c r="B855" s="102"/>
      <c r="C855" s="103"/>
      <c r="D855" s="102"/>
      <c r="E855" s="102"/>
      <c r="F855" s="102"/>
      <c r="G855" s="102"/>
      <c r="I855" s="102"/>
      <c r="J855" s="102"/>
      <c r="K855" s="102"/>
    </row>
    <row r="856" spans="2:11" ht="15.75" customHeight="1" thickBot="1" x14ac:dyDescent="0.25">
      <c r="B856" s="102"/>
      <c r="C856" s="103"/>
      <c r="D856" s="102"/>
      <c r="E856" s="102"/>
      <c r="F856" s="102"/>
      <c r="G856" s="102"/>
      <c r="I856" s="102"/>
      <c r="J856" s="102"/>
      <c r="K856" s="102"/>
    </row>
    <row r="857" spans="2:11" ht="15.75" customHeight="1" thickBot="1" x14ac:dyDescent="0.25">
      <c r="B857" s="102"/>
      <c r="C857" s="103"/>
      <c r="D857" s="102"/>
      <c r="E857" s="102"/>
      <c r="F857" s="102"/>
      <c r="G857" s="102"/>
      <c r="I857" s="102"/>
      <c r="J857" s="102"/>
      <c r="K857" s="102"/>
    </row>
    <row r="858" spans="2:11" ht="15.75" customHeight="1" thickBot="1" x14ac:dyDescent="0.25">
      <c r="B858" s="102"/>
      <c r="C858" s="103"/>
      <c r="D858" s="102"/>
      <c r="E858" s="102"/>
      <c r="F858" s="102"/>
      <c r="G858" s="102"/>
      <c r="I858" s="102"/>
      <c r="J858" s="102"/>
      <c r="K858" s="102"/>
    </row>
    <row r="859" spans="2:11" ht="15.75" customHeight="1" thickBot="1" x14ac:dyDescent="0.25">
      <c r="B859" s="102"/>
      <c r="C859" s="103"/>
      <c r="D859" s="102"/>
      <c r="E859" s="102"/>
      <c r="F859" s="102"/>
      <c r="G859" s="102"/>
      <c r="I859" s="102"/>
      <c r="J859" s="102"/>
      <c r="K859" s="102"/>
    </row>
    <row r="860" spans="2:11" ht="15.75" customHeight="1" thickBot="1" x14ac:dyDescent="0.25">
      <c r="B860" s="102"/>
      <c r="C860" s="103"/>
      <c r="D860" s="102"/>
      <c r="E860" s="102"/>
      <c r="F860" s="102"/>
      <c r="G860" s="102"/>
      <c r="I860" s="102"/>
      <c r="J860" s="102"/>
      <c r="K860" s="102"/>
    </row>
    <row r="861" spans="2:11" ht="15.75" customHeight="1" thickBot="1" x14ac:dyDescent="0.25">
      <c r="B861" s="102"/>
      <c r="C861" s="103"/>
      <c r="D861" s="102"/>
      <c r="E861" s="102"/>
      <c r="F861" s="102"/>
      <c r="G861" s="102"/>
      <c r="I861" s="102"/>
      <c r="J861" s="102"/>
      <c r="K861" s="102"/>
    </row>
    <row r="862" spans="2:11" ht="15.75" customHeight="1" thickBot="1" x14ac:dyDescent="0.25">
      <c r="B862" s="102"/>
      <c r="C862" s="103"/>
      <c r="D862" s="102"/>
      <c r="E862" s="102"/>
      <c r="F862" s="102"/>
      <c r="G862" s="102"/>
      <c r="I862" s="102"/>
      <c r="J862" s="102"/>
      <c r="K862" s="102"/>
    </row>
    <row r="863" spans="2:11" ht="15.75" customHeight="1" thickBot="1" x14ac:dyDescent="0.25">
      <c r="B863" s="102"/>
      <c r="C863" s="103"/>
      <c r="D863" s="102"/>
      <c r="E863" s="102"/>
      <c r="F863" s="102"/>
      <c r="G863" s="102"/>
      <c r="I863" s="102"/>
      <c r="J863" s="102"/>
      <c r="K863" s="102"/>
    </row>
    <row r="864" spans="2:11" ht="15.75" customHeight="1" thickBot="1" x14ac:dyDescent="0.25">
      <c r="B864" s="102"/>
      <c r="C864" s="103"/>
      <c r="D864" s="102"/>
      <c r="E864" s="102"/>
      <c r="F864" s="102"/>
      <c r="G864" s="102"/>
      <c r="I864" s="102"/>
      <c r="J864" s="102"/>
      <c r="K864" s="102"/>
    </row>
    <row r="865" spans="2:11" ht="15.75" customHeight="1" thickBot="1" x14ac:dyDescent="0.25">
      <c r="B865" s="102"/>
      <c r="C865" s="103"/>
      <c r="D865" s="102"/>
      <c r="E865" s="102"/>
      <c r="F865" s="102"/>
      <c r="G865" s="102"/>
      <c r="I865" s="102"/>
      <c r="J865" s="102"/>
      <c r="K865" s="102"/>
    </row>
    <row r="866" spans="2:11" ht="15.75" customHeight="1" thickBot="1" x14ac:dyDescent="0.25">
      <c r="B866" s="102"/>
      <c r="C866" s="103"/>
      <c r="D866" s="102"/>
      <c r="E866" s="102"/>
      <c r="F866" s="102"/>
      <c r="G866" s="102"/>
      <c r="I866" s="102"/>
      <c r="J866" s="102"/>
      <c r="K866" s="102"/>
    </row>
    <row r="867" spans="2:11" ht="15.75" customHeight="1" thickBot="1" x14ac:dyDescent="0.25">
      <c r="B867" s="102"/>
      <c r="C867" s="103"/>
      <c r="D867" s="102"/>
      <c r="E867" s="102"/>
      <c r="F867" s="102"/>
      <c r="G867" s="102"/>
      <c r="I867" s="102"/>
      <c r="J867" s="102"/>
      <c r="K867" s="102"/>
    </row>
    <row r="868" spans="2:11" ht="15.75" customHeight="1" thickBot="1" x14ac:dyDescent="0.25">
      <c r="B868" s="102"/>
      <c r="C868" s="103"/>
      <c r="D868" s="102"/>
      <c r="E868" s="102"/>
      <c r="F868" s="102"/>
      <c r="G868" s="102"/>
      <c r="I868" s="102"/>
      <c r="J868" s="102"/>
      <c r="K868" s="102"/>
    </row>
    <row r="869" spans="2:11" ht="15.75" customHeight="1" thickBot="1" x14ac:dyDescent="0.25">
      <c r="B869" s="102"/>
      <c r="C869" s="103"/>
      <c r="D869" s="102"/>
      <c r="E869" s="102"/>
      <c r="F869" s="102"/>
      <c r="G869" s="102"/>
      <c r="I869" s="102"/>
      <c r="J869" s="102"/>
      <c r="K869" s="102"/>
    </row>
    <row r="870" spans="2:11" ht="15.75" customHeight="1" thickBot="1" x14ac:dyDescent="0.25">
      <c r="B870" s="102"/>
      <c r="C870" s="103"/>
      <c r="D870" s="102"/>
      <c r="E870" s="102"/>
      <c r="F870" s="102"/>
      <c r="G870" s="102"/>
      <c r="I870" s="102"/>
      <c r="J870" s="102"/>
      <c r="K870" s="102"/>
    </row>
    <row r="871" spans="2:11" ht="15.75" customHeight="1" thickBot="1" x14ac:dyDescent="0.25">
      <c r="B871" s="102"/>
      <c r="C871" s="103"/>
      <c r="D871" s="102"/>
      <c r="E871" s="102"/>
      <c r="F871" s="102"/>
      <c r="G871" s="102"/>
      <c r="I871" s="102"/>
      <c r="J871" s="102"/>
      <c r="K871" s="102"/>
    </row>
    <row r="872" spans="2:11" ht="15.75" customHeight="1" thickBot="1" x14ac:dyDescent="0.25">
      <c r="B872" s="102"/>
      <c r="C872" s="103"/>
      <c r="D872" s="102"/>
      <c r="E872" s="102"/>
      <c r="F872" s="102"/>
      <c r="G872" s="102"/>
      <c r="I872" s="102"/>
      <c r="J872" s="102"/>
      <c r="K872" s="102"/>
    </row>
    <row r="873" spans="2:11" ht="15.75" customHeight="1" thickBot="1" x14ac:dyDescent="0.25">
      <c r="B873" s="102"/>
      <c r="C873" s="103"/>
      <c r="D873" s="102"/>
      <c r="E873" s="102"/>
      <c r="F873" s="102"/>
      <c r="G873" s="102"/>
      <c r="I873" s="102"/>
      <c r="J873" s="102"/>
      <c r="K873" s="102"/>
    </row>
    <row r="874" spans="2:11" ht="15.75" customHeight="1" thickBot="1" x14ac:dyDescent="0.25">
      <c r="B874" s="102"/>
      <c r="C874" s="103"/>
      <c r="D874" s="102"/>
      <c r="E874" s="102"/>
      <c r="F874" s="102"/>
      <c r="G874" s="102"/>
      <c r="I874" s="102"/>
      <c r="J874" s="102"/>
      <c r="K874" s="102"/>
    </row>
    <row r="875" spans="2:11" ht="15.75" customHeight="1" thickBot="1" x14ac:dyDescent="0.25">
      <c r="B875" s="102"/>
      <c r="C875" s="103"/>
      <c r="D875" s="102"/>
      <c r="E875" s="102"/>
      <c r="F875" s="102"/>
      <c r="G875" s="102"/>
      <c r="I875" s="102"/>
      <c r="J875" s="102"/>
      <c r="K875" s="102"/>
    </row>
    <row r="876" spans="2:11" ht="15.75" customHeight="1" thickBot="1" x14ac:dyDescent="0.25">
      <c r="B876" s="102"/>
      <c r="C876" s="103"/>
      <c r="D876" s="102"/>
      <c r="E876" s="102"/>
      <c r="F876" s="102"/>
      <c r="G876" s="102"/>
      <c r="I876" s="102"/>
      <c r="J876" s="102"/>
      <c r="K876" s="102"/>
    </row>
    <row r="877" spans="2:11" ht="15.75" customHeight="1" thickBot="1" x14ac:dyDescent="0.25">
      <c r="B877" s="102"/>
      <c r="C877" s="103"/>
      <c r="D877" s="102"/>
      <c r="E877" s="102"/>
      <c r="F877" s="102"/>
      <c r="G877" s="102"/>
      <c r="I877" s="102"/>
      <c r="J877" s="102"/>
      <c r="K877" s="102"/>
    </row>
    <row r="878" spans="2:11" ht="15.75" customHeight="1" thickBot="1" x14ac:dyDescent="0.25">
      <c r="B878" s="102"/>
      <c r="C878" s="103"/>
      <c r="D878" s="102"/>
      <c r="E878" s="102"/>
      <c r="F878" s="102"/>
      <c r="G878" s="102"/>
      <c r="I878" s="102"/>
      <c r="J878" s="102"/>
      <c r="K878" s="102"/>
    </row>
    <row r="879" spans="2:11" ht="15.75" customHeight="1" thickBot="1" x14ac:dyDescent="0.25">
      <c r="B879" s="102"/>
      <c r="C879" s="103"/>
      <c r="D879" s="102"/>
      <c r="E879" s="102"/>
      <c r="F879" s="102"/>
      <c r="G879" s="102"/>
      <c r="I879" s="102"/>
      <c r="J879" s="102"/>
      <c r="K879" s="102"/>
    </row>
    <row r="880" spans="2:11" ht="15.75" customHeight="1" thickBot="1" x14ac:dyDescent="0.25">
      <c r="B880" s="102"/>
      <c r="C880" s="103"/>
      <c r="D880" s="102"/>
      <c r="E880" s="102"/>
      <c r="F880" s="102"/>
      <c r="G880" s="102"/>
      <c r="I880" s="102"/>
      <c r="J880" s="102"/>
      <c r="K880" s="102"/>
    </row>
    <row r="881" spans="2:11" ht="15.75" customHeight="1" thickBot="1" x14ac:dyDescent="0.25">
      <c r="B881" s="102"/>
      <c r="C881" s="103"/>
      <c r="D881" s="102"/>
      <c r="E881" s="102"/>
      <c r="F881" s="102"/>
      <c r="G881" s="102"/>
      <c r="I881" s="102"/>
      <c r="J881" s="102"/>
      <c r="K881" s="102"/>
    </row>
    <row r="882" spans="2:11" ht="15.75" customHeight="1" thickBot="1" x14ac:dyDescent="0.25">
      <c r="B882" s="102"/>
      <c r="C882" s="103"/>
      <c r="D882" s="102"/>
      <c r="E882" s="102"/>
      <c r="F882" s="102"/>
      <c r="G882" s="102"/>
      <c r="I882" s="102"/>
      <c r="J882" s="102"/>
      <c r="K882" s="102"/>
    </row>
    <row r="883" spans="2:11" ht="15.75" customHeight="1" thickBot="1" x14ac:dyDescent="0.25">
      <c r="B883" s="102"/>
      <c r="C883" s="103"/>
      <c r="D883" s="102"/>
      <c r="E883" s="102"/>
      <c r="F883" s="102"/>
      <c r="G883" s="102"/>
      <c r="I883" s="102"/>
      <c r="J883" s="102"/>
      <c r="K883" s="102"/>
    </row>
    <row r="884" spans="2:11" ht="15.75" customHeight="1" thickBot="1" x14ac:dyDescent="0.25">
      <c r="B884" s="102"/>
      <c r="C884" s="103"/>
      <c r="D884" s="102"/>
      <c r="E884" s="102"/>
      <c r="F884" s="102"/>
      <c r="G884" s="102"/>
      <c r="I884" s="102"/>
      <c r="J884" s="102"/>
      <c r="K884" s="102"/>
    </row>
    <row r="885" spans="2:11" ht="15.75" customHeight="1" thickBot="1" x14ac:dyDescent="0.25">
      <c r="B885" s="102"/>
      <c r="C885" s="103"/>
      <c r="D885" s="102"/>
      <c r="E885" s="102"/>
      <c r="F885" s="102"/>
      <c r="G885" s="102"/>
      <c r="I885" s="102"/>
      <c r="J885" s="102"/>
      <c r="K885" s="102"/>
    </row>
    <row r="886" spans="2:11" ht="15.75" customHeight="1" thickBot="1" x14ac:dyDescent="0.25">
      <c r="B886" s="102"/>
      <c r="C886" s="103"/>
      <c r="D886" s="102"/>
      <c r="E886" s="102"/>
      <c r="F886" s="102"/>
      <c r="G886" s="102"/>
      <c r="I886" s="102"/>
      <c r="J886" s="102"/>
      <c r="K886" s="102"/>
    </row>
    <row r="887" spans="2:11" ht="15.75" customHeight="1" thickBot="1" x14ac:dyDescent="0.25">
      <c r="B887" s="102"/>
      <c r="C887" s="103"/>
      <c r="D887" s="102"/>
      <c r="E887" s="102"/>
      <c r="F887" s="102"/>
      <c r="G887" s="102"/>
      <c r="I887" s="102"/>
      <c r="J887" s="102"/>
      <c r="K887" s="102"/>
    </row>
    <row r="888" spans="2:11" ht="15.75" customHeight="1" thickBot="1" x14ac:dyDescent="0.25">
      <c r="B888" s="102"/>
      <c r="C888" s="103"/>
      <c r="D888" s="102"/>
      <c r="E888" s="102"/>
      <c r="F888" s="102"/>
      <c r="G888" s="102"/>
      <c r="I888" s="102"/>
      <c r="J888" s="102"/>
      <c r="K888" s="102"/>
    </row>
    <row r="889" spans="2:11" ht="15.75" customHeight="1" thickBot="1" x14ac:dyDescent="0.25">
      <c r="B889" s="102"/>
      <c r="C889" s="103"/>
      <c r="D889" s="102"/>
      <c r="E889" s="102"/>
      <c r="F889" s="102"/>
      <c r="G889" s="102"/>
      <c r="I889" s="102"/>
      <c r="J889" s="102"/>
      <c r="K889" s="102"/>
    </row>
    <row r="890" spans="2:11" ht="15.75" customHeight="1" thickBot="1" x14ac:dyDescent="0.25">
      <c r="B890" s="102"/>
      <c r="C890" s="103"/>
      <c r="D890" s="102"/>
      <c r="E890" s="102"/>
      <c r="F890" s="102"/>
      <c r="G890" s="102"/>
      <c r="I890" s="102"/>
      <c r="J890" s="102"/>
      <c r="K890" s="102"/>
    </row>
    <row r="891" spans="2:11" ht="15.75" customHeight="1" thickBot="1" x14ac:dyDescent="0.25">
      <c r="B891" s="102"/>
      <c r="C891" s="103"/>
      <c r="D891" s="102"/>
      <c r="E891" s="102"/>
      <c r="F891" s="102"/>
      <c r="G891" s="102"/>
      <c r="I891" s="102"/>
      <c r="J891" s="102"/>
      <c r="K891" s="102"/>
    </row>
    <row r="892" spans="2:11" ht="15.75" customHeight="1" thickBot="1" x14ac:dyDescent="0.25">
      <c r="B892" s="102"/>
      <c r="C892" s="103"/>
      <c r="D892" s="102"/>
      <c r="E892" s="102"/>
      <c r="F892" s="102"/>
      <c r="G892" s="102"/>
      <c r="I892" s="102"/>
      <c r="J892" s="102"/>
      <c r="K892" s="102"/>
    </row>
    <row r="893" spans="2:11" ht="15.75" customHeight="1" thickBot="1" x14ac:dyDescent="0.25">
      <c r="B893" s="102"/>
      <c r="C893" s="103"/>
      <c r="D893" s="102"/>
      <c r="E893" s="102"/>
      <c r="F893" s="102"/>
      <c r="G893" s="102"/>
      <c r="I893" s="102"/>
      <c r="J893" s="102"/>
      <c r="K893" s="102"/>
    </row>
    <row r="894" spans="2:11" ht="15.75" customHeight="1" thickBot="1" x14ac:dyDescent="0.25">
      <c r="B894" s="102"/>
      <c r="C894" s="103"/>
      <c r="D894" s="102"/>
      <c r="E894" s="102"/>
      <c r="F894" s="102"/>
      <c r="G894" s="102"/>
      <c r="I894" s="102"/>
      <c r="J894" s="102"/>
      <c r="K894" s="102"/>
    </row>
    <row r="895" spans="2:11" ht="15.75" customHeight="1" thickBot="1" x14ac:dyDescent="0.25">
      <c r="B895" s="102"/>
      <c r="C895" s="103"/>
      <c r="D895" s="102"/>
      <c r="E895" s="102"/>
      <c r="F895" s="102"/>
      <c r="G895" s="102"/>
      <c r="I895" s="102"/>
      <c r="J895" s="102"/>
      <c r="K895" s="102"/>
    </row>
    <row r="896" spans="2:11" ht="15.75" customHeight="1" thickBot="1" x14ac:dyDescent="0.25">
      <c r="B896" s="102"/>
      <c r="C896" s="103"/>
      <c r="D896" s="102"/>
      <c r="E896" s="102"/>
      <c r="F896" s="102"/>
      <c r="G896" s="102"/>
      <c r="I896" s="102"/>
      <c r="J896" s="102"/>
      <c r="K896" s="102"/>
    </row>
    <row r="897" spans="2:11" ht="15.75" customHeight="1" thickBot="1" x14ac:dyDescent="0.25">
      <c r="B897" s="102"/>
      <c r="C897" s="103"/>
      <c r="D897" s="102"/>
      <c r="E897" s="102"/>
      <c r="F897" s="102"/>
      <c r="G897" s="102"/>
      <c r="I897" s="102"/>
      <c r="J897" s="102"/>
      <c r="K897" s="102"/>
    </row>
    <row r="898" spans="2:11" ht="15.75" customHeight="1" thickBot="1" x14ac:dyDescent="0.25">
      <c r="B898" s="102"/>
      <c r="C898" s="103"/>
      <c r="D898" s="102"/>
      <c r="E898" s="102"/>
      <c r="F898" s="102"/>
      <c r="G898" s="102"/>
      <c r="I898" s="102"/>
      <c r="J898" s="102"/>
      <c r="K898" s="102"/>
    </row>
    <row r="899" spans="2:11" ht="15.75" customHeight="1" thickBot="1" x14ac:dyDescent="0.25">
      <c r="B899" s="102"/>
      <c r="C899" s="103"/>
      <c r="D899" s="102"/>
      <c r="E899" s="102"/>
      <c r="F899" s="102"/>
      <c r="G899" s="102"/>
      <c r="I899" s="102"/>
      <c r="J899" s="102"/>
      <c r="K899" s="102"/>
    </row>
    <row r="900" spans="2:11" ht="15.75" customHeight="1" thickBot="1" x14ac:dyDescent="0.25">
      <c r="B900" s="102"/>
      <c r="C900" s="103"/>
      <c r="D900" s="102"/>
      <c r="E900" s="102"/>
      <c r="F900" s="102"/>
      <c r="G900" s="102"/>
      <c r="I900" s="102"/>
      <c r="J900" s="102"/>
      <c r="K900" s="102"/>
    </row>
    <row r="901" spans="2:11" ht="15.75" customHeight="1" thickBot="1" x14ac:dyDescent="0.25">
      <c r="B901" s="102"/>
      <c r="C901" s="103"/>
      <c r="D901" s="102"/>
      <c r="E901" s="102"/>
      <c r="F901" s="102"/>
      <c r="G901" s="102"/>
      <c r="I901" s="102"/>
      <c r="J901" s="102"/>
      <c r="K901" s="102"/>
    </row>
    <row r="902" spans="2:11" ht="15.75" customHeight="1" thickBot="1" x14ac:dyDescent="0.25">
      <c r="B902" s="102"/>
      <c r="C902" s="103"/>
      <c r="D902" s="102"/>
      <c r="E902" s="102"/>
      <c r="F902" s="102"/>
      <c r="G902" s="102"/>
      <c r="I902" s="102"/>
      <c r="J902" s="102"/>
      <c r="K902" s="102"/>
    </row>
    <row r="903" spans="2:11" ht="15.75" customHeight="1" thickBot="1" x14ac:dyDescent="0.25">
      <c r="B903" s="102"/>
      <c r="C903" s="103"/>
      <c r="D903" s="102"/>
      <c r="E903" s="102"/>
      <c r="F903" s="102"/>
      <c r="G903" s="102"/>
      <c r="I903" s="102"/>
      <c r="J903" s="102"/>
      <c r="K903" s="102"/>
    </row>
    <row r="904" spans="2:11" ht="15.75" customHeight="1" thickBot="1" x14ac:dyDescent="0.25">
      <c r="B904" s="102"/>
      <c r="C904" s="103"/>
      <c r="D904" s="102"/>
      <c r="E904" s="102"/>
      <c r="F904" s="102"/>
      <c r="G904" s="102"/>
      <c r="I904" s="102"/>
      <c r="J904" s="102"/>
      <c r="K904" s="102"/>
    </row>
    <row r="905" spans="2:11" ht="15.75" customHeight="1" thickBot="1" x14ac:dyDescent="0.25">
      <c r="B905" s="102"/>
      <c r="C905" s="103"/>
      <c r="D905" s="102"/>
      <c r="E905" s="102"/>
      <c r="F905" s="102"/>
      <c r="G905" s="102"/>
      <c r="I905" s="102"/>
      <c r="J905" s="102"/>
      <c r="K905" s="102"/>
    </row>
    <row r="906" spans="2:11" ht="15.75" customHeight="1" thickBot="1" x14ac:dyDescent="0.25">
      <c r="B906" s="102"/>
      <c r="C906" s="103"/>
      <c r="D906" s="102"/>
      <c r="E906" s="102"/>
      <c r="F906" s="102"/>
      <c r="G906" s="102"/>
      <c r="I906" s="102"/>
      <c r="J906" s="102"/>
      <c r="K906" s="102"/>
    </row>
    <row r="907" spans="2:11" ht="15.75" customHeight="1" thickBot="1" x14ac:dyDescent="0.25">
      <c r="B907" s="102"/>
      <c r="C907" s="103"/>
      <c r="D907" s="102"/>
      <c r="E907" s="102"/>
      <c r="F907" s="102"/>
      <c r="G907" s="102"/>
      <c r="I907" s="102"/>
      <c r="J907" s="102"/>
      <c r="K907" s="102"/>
    </row>
    <row r="908" spans="2:11" ht="15.75" customHeight="1" thickBot="1" x14ac:dyDescent="0.25">
      <c r="B908" s="102"/>
      <c r="C908" s="103"/>
      <c r="D908" s="102"/>
      <c r="E908" s="102"/>
      <c r="F908" s="102"/>
      <c r="G908" s="102"/>
      <c r="I908" s="102"/>
      <c r="J908" s="102"/>
      <c r="K908" s="102"/>
    </row>
    <row r="909" spans="2:11" ht="15.75" customHeight="1" thickBot="1" x14ac:dyDescent="0.25">
      <c r="B909" s="102"/>
      <c r="C909" s="103"/>
      <c r="D909" s="102"/>
      <c r="E909" s="102"/>
      <c r="F909" s="102"/>
      <c r="G909" s="102"/>
      <c r="I909" s="102"/>
      <c r="J909" s="102"/>
      <c r="K909" s="102"/>
    </row>
    <row r="910" spans="2:11" ht="15.75" customHeight="1" thickBot="1" x14ac:dyDescent="0.25">
      <c r="B910" s="102"/>
      <c r="C910" s="103"/>
      <c r="D910" s="102"/>
      <c r="E910" s="102"/>
      <c r="F910" s="102"/>
      <c r="G910" s="102"/>
      <c r="I910" s="102"/>
      <c r="J910" s="102"/>
      <c r="K910" s="102"/>
    </row>
    <row r="911" spans="2:11" ht="15.75" customHeight="1" thickBot="1" x14ac:dyDescent="0.25">
      <c r="B911" s="102"/>
      <c r="C911" s="103"/>
      <c r="D911" s="102"/>
      <c r="E911" s="102"/>
      <c r="F911" s="102"/>
      <c r="G911" s="102"/>
      <c r="I911" s="102"/>
      <c r="J911" s="102"/>
      <c r="K911" s="102"/>
    </row>
    <row r="912" spans="2:11" ht="15.75" customHeight="1" thickBot="1" x14ac:dyDescent="0.25">
      <c r="B912" s="102"/>
      <c r="C912" s="103"/>
      <c r="D912" s="102"/>
      <c r="E912" s="102"/>
      <c r="F912" s="102"/>
      <c r="G912" s="102"/>
      <c r="I912" s="102"/>
      <c r="J912" s="102"/>
      <c r="K912" s="102"/>
    </row>
    <row r="913" spans="2:11" ht="15.75" customHeight="1" thickBot="1" x14ac:dyDescent="0.25">
      <c r="B913" s="102"/>
      <c r="C913" s="103"/>
      <c r="D913" s="102"/>
      <c r="E913" s="102"/>
      <c r="F913" s="102"/>
      <c r="G913" s="102"/>
      <c r="I913" s="102"/>
      <c r="J913" s="102"/>
      <c r="K913" s="102"/>
    </row>
    <row r="914" spans="2:11" ht="15.75" customHeight="1" thickBot="1" x14ac:dyDescent="0.25">
      <c r="B914" s="102"/>
      <c r="C914" s="103"/>
      <c r="D914" s="102"/>
      <c r="E914" s="102"/>
      <c r="F914" s="102"/>
      <c r="G914" s="102"/>
      <c r="I914" s="102"/>
      <c r="J914" s="102"/>
      <c r="K914" s="102"/>
    </row>
    <row r="915" spans="2:11" ht="15.75" customHeight="1" thickBot="1" x14ac:dyDescent="0.25">
      <c r="B915" s="102"/>
      <c r="C915" s="103"/>
      <c r="D915" s="102"/>
      <c r="E915" s="102"/>
      <c r="F915" s="102"/>
      <c r="G915" s="102"/>
      <c r="I915" s="102"/>
      <c r="J915" s="102"/>
      <c r="K915" s="102"/>
    </row>
    <row r="916" spans="2:11" ht="15.75" customHeight="1" thickBot="1" x14ac:dyDescent="0.25">
      <c r="B916" s="102"/>
      <c r="C916" s="103"/>
      <c r="D916" s="102"/>
      <c r="E916" s="102"/>
      <c r="F916" s="102"/>
      <c r="G916" s="102"/>
      <c r="I916" s="102"/>
      <c r="J916" s="102"/>
      <c r="K916" s="102"/>
    </row>
    <row r="917" spans="2:11" ht="15.75" customHeight="1" thickBot="1" x14ac:dyDescent="0.25">
      <c r="B917" s="102"/>
      <c r="C917" s="103"/>
      <c r="D917" s="102"/>
      <c r="E917" s="102"/>
      <c r="F917" s="102"/>
      <c r="G917" s="102"/>
      <c r="I917" s="102"/>
      <c r="J917" s="102"/>
      <c r="K917" s="102"/>
    </row>
    <row r="918" spans="2:11" ht="15.75" customHeight="1" thickBot="1" x14ac:dyDescent="0.25">
      <c r="B918" s="102"/>
      <c r="C918" s="103"/>
      <c r="D918" s="102"/>
      <c r="E918" s="102"/>
      <c r="F918" s="102"/>
      <c r="G918" s="102"/>
      <c r="I918" s="102"/>
      <c r="J918" s="102"/>
      <c r="K918" s="102"/>
    </row>
    <row r="919" spans="2:11" ht="15.75" customHeight="1" thickBot="1" x14ac:dyDescent="0.25">
      <c r="B919" s="102"/>
      <c r="C919" s="103"/>
      <c r="D919" s="102"/>
      <c r="E919" s="102"/>
      <c r="F919" s="102"/>
      <c r="G919" s="102"/>
      <c r="I919" s="102"/>
      <c r="J919" s="102"/>
      <c r="K919" s="102"/>
    </row>
    <row r="920" spans="2:11" ht="15.75" customHeight="1" thickBot="1" x14ac:dyDescent="0.25">
      <c r="B920" s="102"/>
      <c r="C920" s="103"/>
      <c r="D920" s="102"/>
      <c r="E920" s="102"/>
      <c r="F920" s="102"/>
      <c r="G920" s="102"/>
      <c r="I920" s="102"/>
      <c r="J920" s="102"/>
      <c r="K920" s="102"/>
    </row>
    <row r="921" spans="2:11" ht="15.75" customHeight="1" thickBot="1" x14ac:dyDescent="0.25">
      <c r="B921" s="102"/>
      <c r="C921" s="103"/>
      <c r="D921" s="102"/>
      <c r="E921" s="102"/>
      <c r="F921" s="102"/>
      <c r="G921" s="102"/>
      <c r="I921" s="102"/>
      <c r="J921" s="102"/>
      <c r="K921" s="102"/>
    </row>
    <row r="922" spans="2:11" ht="15.75" customHeight="1" thickBot="1" x14ac:dyDescent="0.25">
      <c r="B922" s="102"/>
      <c r="C922" s="103"/>
      <c r="D922" s="102"/>
      <c r="E922" s="102"/>
      <c r="F922" s="102"/>
      <c r="G922" s="102"/>
      <c r="I922" s="102"/>
      <c r="J922" s="102"/>
      <c r="K922" s="102"/>
    </row>
    <row r="923" spans="2:11" ht="15.75" customHeight="1" thickBot="1" x14ac:dyDescent="0.25">
      <c r="B923" s="102"/>
      <c r="C923" s="103"/>
      <c r="D923" s="102"/>
      <c r="E923" s="102"/>
      <c r="F923" s="102"/>
      <c r="G923" s="102"/>
      <c r="I923" s="102"/>
      <c r="J923" s="102"/>
      <c r="K923" s="102"/>
    </row>
    <row r="924" spans="2:11" ht="15.75" customHeight="1" thickBot="1" x14ac:dyDescent="0.25">
      <c r="B924" s="102"/>
      <c r="C924" s="103"/>
      <c r="D924" s="102"/>
      <c r="E924" s="102"/>
      <c r="F924" s="102"/>
      <c r="G924" s="102"/>
      <c r="I924" s="102"/>
      <c r="J924" s="102"/>
      <c r="K924" s="102"/>
    </row>
    <row r="925" spans="2:11" ht="15.75" customHeight="1" thickBot="1" x14ac:dyDescent="0.25">
      <c r="B925" s="102"/>
      <c r="C925" s="103"/>
      <c r="D925" s="102"/>
      <c r="E925" s="102"/>
      <c r="F925" s="102"/>
      <c r="G925" s="102"/>
      <c r="I925" s="102"/>
      <c r="J925" s="102"/>
      <c r="K925" s="102"/>
    </row>
    <row r="926" spans="2:11" ht="15.75" customHeight="1" thickBot="1" x14ac:dyDescent="0.25">
      <c r="B926" s="102"/>
      <c r="C926" s="103"/>
      <c r="D926" s="102"/>
      <c r="E926" s="102"/>
      <c r="F926" s="102"/>
      <c r="G926" s="102"/>
      <c r="I926" s="102"/>
      <c r="J926" s="102"/>
      <c r="K926" s="102"/>
    </row>
    <row r="927" spans="2:11" ht="15.75" customHeight="1" thickBot="1" x14ac:dyDescent="0.25">
      <c r="B927" s="102"/>
      <c r="C927" s="103"/>
      <c r="D927" s="102"/>
      <c r="E927" s="102"/>
      <c r="F927" s="102"/>
      <c r="G927" s="102"/>
      <c r="I927" s="102"/>
      <c r="J927" s="102"/>
      <c r="K927" s="102"/>
    </row>
    <row r="928" spans="2:11" ht="15.75" customHeight="1" thickBot="1" x14ac:dyDescent="0.25">
      <c r="B928" s="102"/>
      <c r="C928" s="103"/>
      <c r="D928" s="102"/>
      <c r="E928" s="102"/>
      <c r="F928" s="102"/>
      <c r="G928" s="102"/>
      <c r="I928" s="102"/>
      <c r="J928" s="102"/>
      <c r="K928" s="102"/>
    </row>
    <row r="929" spans="2:11" ht="15.75" customHeight="1" thickBot="1" x14ac:dyDescent="0.25">
      <c r="B929" s="102"/>
      <c r="C929" s="103"/>
      <c r="D929" s="102"/>
      <c r="E929" s="102"/>
      <c r="F929" s="102"/>
      <c r="G929" s="102"/>
      <c r="I929" s="102"/>
      <c r="J929" s="102"/>
      <c r="K929" s="102"/>
    </row>
    <row r="930" spans="2:11" ht="15.75" customHeight="1" thickBot="1" x14ac:dyDescent="0.25">
      <c r="B930" s="102"/>
      <c r="C930" s="103"/>
      <c r="D930" s="102"/>
      <c r="E930" s="102"/>
      <c r="F930" s="102"/>
      <c r="G930" s="102"/>
      <c r="I930" s="102"/>
      <c r="J930" s="102"/>
      <c r="K930" s="102"/>
    </row>
    <row r="931" spans="2:11" ht="15.75" customHeight="1" thickBot="1" x14ac:dyDescent="0.25">
      <c r="B931" s="102"/>
      <c r="C931" s="103"/>
      <c r="D931" s="102"/>
      <c r="E931" s="102"/>
      <c r="F931" s="102"/>
      <c r="G931" s="102"/>
      <c r="I931" s="102"/>
      <c r="J931" s="102"/>
      <c r="K931" s="102"/>
    </row>
    <row r="932" spans="2:11" ht="15.75" customHeight="1" thickBot="1" x14ac:dyDescent="0.25">
      <c r="B932" s="102"/>
      <c r="C932" s="103"/>
      <c r="D932" s="102"/>
      <c r="E932" s="102"/>
      <c r="F932" s="102"/>
      <c r="G932" s="102"/>
      <c r="I932" s="102"/>
      <c r="J932" s="102"/>
      <c r="K932" s="102"/>
    </row>
    <row r="933" spans="2:11" ht="15.75" customHeight="1" thickBot="1" x14ac:dyDescent="0.25">
      <c r="B933" s="102"/>
      <c r="C933" s="103"/>
      <c r="D933" s="102"/>
      <c r="E933" s="102"/>
      <c r="F933" s="102"/>
      <c r="G933" s="102"/>
      <c r="I933" s="102"/>
      <c r="J933" s="102"/>
      <c r="K933" s="102"/>
    </row>
    <row r="934" spans="2:11" ht="15.75" customHeight="1" thickBot="1" x14ac:dyDescent="0.25">
      <c r="B934" s="102"/>
      <c r="C934" s="103"/>
      <c r="D934" s="102"/>
      <c r="E934" s="102"/>
      <c r="F934" s="102"/>
      <c r="G934" s="102"/>
      <c r="I934" s="102"/>
      <c r="J934" s="102"/>
      <c r="K934" s="102"/>
    </row>
    <row r="935" spans="2:11" ht="15.75" customHeight="1" thickBot="1" x14ac:dyDescent="0.25">
      <c r="B935" s="102"/>
      <c r="C935" s="103"/>
      <c r="D935" s="102"/>
      <c r="E935" s="102"/>
      <c r="F935" s="102"/>
      <c r="G935" s="102"/>
      <c r="I935" s="102"/>
      <c r="J935" s="102"/>
      <c r="K935" s="102"/>
    </row>
    <row r="936" spans="2:11" ht="15.75" customHeight="1" thickBot="1" x14ac:dyDescent="0.25">
      <c r="B936" s="102"/>
      <c r="C936" s="103"/>
      <c r="D936" s="102"/>
      <c r="E936" s="102"/>
      <c r="F936" s="102"/>
      <c r="G936" s="102"/>
      <c r="I936" s="102"/>
      <c r="J936" s="102"/>
      <c r="K936" s="102"/>
    </row>
    <row r="937" spans="2:11" ht="15.75" customHeight="1" thickBot="1" x14ac:dyDescent="0.25">
      <c r="B937" s="102"/>
      <c r="C937" s="103"/>
      <c r="D937" s="102"/>
      <c r="E937" s="102"/>
      <c r="F937" s="102"/>
      <c r="G937" s="102"/>
      <c r="I937" s="102"/>
      <c r="J937" s="102"/>
      <c r="K937" s="102"/>
    </row>
    <row r="938" spans="2:11" ht="15.75" customHeight="1" thickBot="1" x14ac:dyDescent="0.25">
      <c r="B938" s="102"/>
      <c r="C938" s="103"/>
      <c r="D938" s="102"/>
      <c r="E938" s="102"/>
      <c r="F938" s="102"/>
      <c r="G938" s="102"/>
      <c r="I938" s="102"/>
      <c r="J938" s="102"/>
      <c r="K938" s="102"/>
    </row>
    <row r="939" spans="2:11" ht="15.75" customHeight="1" thickBot="1" x14ac:dyDescent="0.25">
      <c r="B939" s="102"/>
      <c r="C939" s="103"/>
      <c r="D939" s="102"/>
      <c r="E939" s="102"/>
      <c r="F939" s="102"/>
      <c r="G939" s="102"/>
      <c r="I939" s="102"/>
      <c r="J939" s="102"/>
      <c r="K939" s="102"/>
    </row>
    <row r="940" spans="2:11" ht="15.75" customHeight="1" thickBot="1" x14ac:dyDescent="0.25">
      <c r="B940" s="102"/>
      <c r="C940" s="103"/>
      <c r="D940" s="102"/>
      <c r="E940" s="102"/>
      <c r="F940" s="102"/>
      <c r="G940" s="102"/>
      <c r="I940" s="102"/>
      <c r="J940" s="102"/>
      <c r="K940" s="102"/>
    </row>
    <row r="941" spans="2:11" ht="15.75" customHeight="1" thickBot="1" x14ac:dyDescent="0.25">
      <c r="B941" s="102"/>
      <c r="C941" s="103"/>
      <c r="D941" s="102"/>
      <c r="E941" s="102"/>
      <c r="F941" s="102"/>
      <c r="G941" s="102"/>
      <c r="I941" s="102"/>
      <c r="J941" s="102"/>
      <c r="K941" s="102"/>
    </row>
    <row r="942" spans="2:11" ht="15.75" customHeight="1" thickBot="1" x14ac:dyDescent="0.25">
      <c r="B942" s="102"/>
      <c r="C942" s="103"/>
      <c r="D942" s="102"/>
      <c r="E942" s="102"/>
      <c r="F942" s="102"/>
      <c r="G942" s="102"/>
      <c r="I942" s="102"/>
      <c r="J942" s="102"/>
      <c r="K942" s="102"/>
    </row>
    <row r="943" spans="2:11" ht="15.75" customHeight="1" thickBot="1" x14ac:dyDescent="0.25">
      <c r="B943" s="102"/>
      <c r="C943" s="103"/>
      <c r="D943" s="102"/>
      <c r="E943" s="102"/>
      <c r="F943" s="102"/>
      <c r="G943" s="102"/>
      <c r="I943" s="102"/>
      <c r="J943" s="102"/>
      <c r="K943" s="102"/>
    </row>
    <row r="944" spans="2:11" ht="15.75" customHeight="1" thickBot="1" x14ac:dyDescent="0.25">
      <c r="B944" s="102"/>
      <c r="C944" s="103"/>
      <c r="D944" s="102"/>
      <c r="E944" s="102"/>
      <c r="F944" s="102"/>
      <c r="G944" s="102"/>
      <c r="I944" s="102"/>
      <c r="J944" s="102"/>
      <c r="K944" s="102"/>
    </row>
    <row r="945" spans="2:11" ht="15.75" customHeight="1" thickBot="1" x14ac:dyDescent="0.25">
      <c r="B945" s="102"/>
      <c r="C945" s="103"/>
      <c r="D945" s="102"/>
      <c r="E945" s="102"/>
      <c r="F945" s="102"/>
      <c r="G945" s="102"/>
      <c r="I945" s="102"/>
      <c r="J945" s="102"/>
      <c r="K945" s="102"/>
    </row>
    <row r="946" spans="2:11" ht="15.75" customHeight="1" thickBot="1" x14ac:dyDescent="0.25">
      <c r="B946" s="102"/>
      <c r="C946" s="103"/>
      <c r="D946" s="102"/>
      <c r="E946" s="102"/>
      <c r="F946" s="102"/>
      <c r="G946" s="102"/>
      <c r="I946" s="102"/>
      <c r="J946" s="102"/>
      <c r="K946" s="102"/>
    </row>
    <row r="947" spans="2:11" ht="15.75" customHeight="1" thickBot="1" x14ac:dyDescent="0.25">
      <c r="B947" s="102"/>
      <c r="C947" s="103"/>
      <c r="D947" s="102"/>
      <c r="E947" s="102"/>
      <c r="F947" s="102"/>
      <c r="G947" s="102"/>
      <c r="I947" s="102"/>
      <c r="J947" s="102"/>
      <c r="K947" s="102"/>
    </row>
    <row r="948" spans="2:11" ht="15.75" customHeight="1" thickBot="1" x14ac:dyDescent="0.25">
      <c r="B948" s="102"/>
      <c r="C948" s="103"/>
      <c r="D948" s="102"/>
      <c r="E948" s="102"/>
      <c r="F948" s="102"/>
      <c r="G948" s="102"/>
      <c r="I948" s="102"/>
      <c r="J948" s="102"/>
      <c r="K948" s="102"/>
    </row>
    <row r="949" spans="2:11" ht="15.75" customHeight="1" thickBot="1" x14ac:dyDescent="0.25">
      <c r="B949" s="102"/>
      <c r="C949" s="103"/>
      <c r="D949" s="102"/>
      <c r="E949" s="102"/>
      <c r="F949" s="102"/>
      <c r="G949" s="102"/>
      <c r="I949" s="102"/>
      <c r="J949" s="102"/>
      <c r="K949" s="102"/>
    </row>
    <row r="950" spans="2:11" ht="15.75" customHeight="1" thickBot="1" x14ac:dyDescent="0.25">
      <c r="B950" s="102"/>
      <c r="C950" s="103"/>
      <c r="D950" s="102"/>
      <c r="E950" s="102"/>
      <c r="F950" s="102"/>
      <c r="G950" s="102"/>
      <c r="I950" s="102"/>
      <c r="J950" s="102"/>
      <c r="K950" s="102"/>
    </row>
    <row r="951" spans="2:11" ht="15.75" customHeight="1" thickBot="1" x14ac:dyDescent="0.25">
      <c r="B951" s="102"/>
      <c r="C951" s="103"/>
      <c r="D951" s="102"/>
      <c r="E951" s="102"/>
      <c r="F951" s="102"/>
      <c r="G951" s="102"/>
      <c r="I951" s="102"/>
      <c r="J951" s="102"/>
      <c r="K951" s="102"/>
    </row>
    <row r="952" spans="2:11" ht="15.75" customHeight="1" thickBot="1" x14ac:dyDescent="0.25">
      <c r="B952" s="102"/>
      <c r="C952" s="103"/>
      <c r="D952" s="102"/>
      <c r="E952" s="102"/>
      <c r="F952" s="102"/>
      <c r="G952" s="102"/>
      <c r="I952" s="102"/>
      <c r="J952" s="102"/>
      <c r="K952" s="102"/>
    </row>
    <row r="953" spans="2:11" ht="15.75" customHeight="1" thickBot="1" x14ac:dyDescent="0.25">
      <c r="B953" s="102"/>
      <c r="C953" s="103"/>
      <c r="D953" s="102"/>
      <c r="E953" s="102"/>
      <c r="F953" s="102"/>
      <c r="G953" s="102"/>
      <c r="I953" s="102"/>
      <c r="J953" s="102"/>
      <c r="K953" s="102"/>
    </row>
    <row r="954" spans="2:11" ht="15.75" customHeight="1" thickBot="1" x14ac:dyDescent="0.25">
      <c r="B954" s="102"/>
      <c r="C954" s="103"/>
      <c r="D954" s="102"/>
      <c r="E954" s="102"/>
      <c r="F954" s="102"/>
      <c r="G954" s="102"/>
      <c r="I954" s="102"/>
      <c r="J954" s="102"/>
      <c r="K954" s="102"/>
    </row>
    <row r="955" spans="2:11" ht="15.75" customHeight="1" thickBot="1" x14ac:dyDescent="0.25">
      <c r="B955" s="102"/>
      <c r="C955" s="103"/>
      <c r="D955" s="102"/>
      <c r="E955" s="102"/>
      <c r="F955" s="102"/>
      <c r="G955" s="102"/>
      <c r="I955" s="102"/>
      <c r="J955" s="102"/>
      <c r="K955" s="102"/>
    </row>
    <row r="956" spans="2:11" ht="15.75" customHeight="1" thickBot="1" x14ac:dyDescent="0.25">
      <c r="B956" s="102"/>
      <c r="C956" s="103"/>
      <c r="D956" s="102"/>
      <c r="E956" s="102"/>
      <c r="F956" s="102"/>
      <c r="G956" s="102"/>
      <c r="I956" s="102"/>
      <c r="J956" s="102"/>
      <c r="K956" s="102"/>
    </row>
    <row r="957" spans="2:11" ht="15.75" customHeight="1" thickBot="1" x14ac:dyDescent="0.25">
      <c r="B957" s="102"/>
      <c r="C957" s="103"/>
      <c r="D957" s="102"/>
      <c r="E957" s="102"/>
      <c r="F957" s="102"/>
      <c r="G957" s="102"/>
      <c r="I957" s="102"/>
      <c r="J957" s="102"/>
      <c r="K957" s="102"/>
    </row>
    <row r="958" spans="2:11" ht="15.75" customHeight="1" thickBot="1" x14ac:dyDescent="0.25">
      <c r="B958" s="102"/>
      <c r="C958" s="103"/>
      <c r="D958" s="102"/>
      <c r="E958" s="102"/>
      <c r="F958" s="102"/>
      <c r="G958" s="102"/>
      <c r="I958" s="102"/>
      <c r="J958" s="102"/>
      <c r="K958" s="102"/>
    </row>
    <row r="959" spans="2:11" ht="15.75" customHeight="1" thickBot="1" x14ac:dyDescent="0.25">
      <c r="B959" s="102"/>
      <c r="C959" s="103"/>
      <c r="D959" s="102"/>
      <c r="E959" s="102"/>
      <c r="F959" s="102"/>
      <c r="G959" s="102"/>
      <c r="I959" s="102"/>
      <c r="J959" s="102"/>
      <c r="K959" s="102"/>
    </row>
    <row r="960" spans="2:11" ht="15.75" customHeight="1" thickBot="1" x14ac:dyDescent="0.25">
      <c r="B960" s="102"/>
      <c r="C960" s="103"/>
      <c r="D960" s="102"/>
      <c r="E960" s="102"/>
      <c r="F960" s="102"/>
      <c r="G960" s="102"/>
      <c r="I960" s="102"/>
      <c r="J960" s="102"/>
      <c r="K960" s="102"/>
    </row>
    <row r="961" spans="2:11" ht="15.75" customHeight="1" thickBot="1" x14ac:dyDescent="0.25">
      <c r="B961" s="102"/>
      <c r="C961" s="103"/>
      <c r="D961" s="102"/>
      <c r="E961" s="102"/>
      <c r="F961" s="102"/>
      <c r="G961" s="102"/>
      <c r="I961" s="102"/>
      <c r="J961" s="102"/>
      <c r="K961" s="102"/>
    </row>
    <row r="962" spans="2:11" ht="15.75" customHeight="1" thickBot="1" x14ac:dyDescent="0.25">
      <c r="B962" s="102"/>
      <c r="C962" s="103"/>
      <c r="D962" s="102"/>
      <c r="E962" s="102"/>
      <c r="F962" s="102"/>
      <c r="G962" s="102"/>
      <c r="I962" s="102"/>
      <c r="J962" s="102"/>
      <c r="K962" s="102"/>
    </row>
    <row r="963" spans="2:11" ht="15.75" customHeight="1" thickBot="1" x14ac:dyDescent="0.25">
      <c r="B963" s="102"/>
      <c r="C963" s="103"/>
      <c r="D963" s="102"/>
      <c r="E963" s="102"/>
      <c r="F963" s="102"/>
      <c r="G963" s="102"/>
      <c r="I963" s="102"/>
      <c r="J963" s="102"/>
      <c r="K963" s="102"/>
    </row>
    <row r="964" spans="2:11" ht="15.75" customHeight="1" thickBot="1" x14ac:dyDescent="0.25">
      <c r="B964" s="102"/>
      <c r="C964" s="103"/>
      <c r="D964" s="102"/>
      <c r="E964" s="102"/>
      <c r="F964" s="102"/>
      <c r="G964" s="102"/>
      <c r="I964" s="102"/>
      <c r="J964" s="102"/>
      <c r="K964" s="102"/>
    </row>
    <row r="965" spans="2:11" ht="15.75" customHeight="1" thickBot="1" x14ac:dyDescent="0.25">
      <c r="B965" s="102"/>
      <c r="C965" s="103"/>
      <c r="D965" s="102"/>
      <c r="E965" s="102"/>
      <c r="F965" s="102"/>
      <c r="G965" s="102"/>
      <c r="I965" s="102"/>
      <c r="J965" s="102"/>
      <c r="K965" s="102"/>
    </row>
    <row r="966" spans="2:11" ht="15.75" customHeight="1" thickBot="1" x14ac:dyDescent="0.25">
      <c r="B966" s="102"/>
      <c r="C966" s="103"/>
      <c r="D966" s="102"/>
      <c r="E966" s="102"/>
      <c r="F966" s="102"/>
      <c r="G966" s="102"/>
      <c r="I966" s="102"/>
      <c r="J966" s="102"/>
      <c r="K966" s="102"/>
    </row>
    <row r="967" spans="2:11" ht="15.75" customHeight="1" thickBot="1" x14ac:dyDescent="0.25">
      <c r="B967" s="102"/>
      <c r="C967" s="103"/>
      <c r="D967" s="102"/>
      <c r="E967" s="102"/>
      <c r="F967" s="102"/>
      <c r="G967" s="102"/>
      <c r="I967" s="102"/>
      <c r="J967" s="102"/>
      <c r="K967" s="102"/>
    </row>
    <row r="968" spans="2:11" ht="15.75" customHeight="1" thickBot="1" x14ac:dyDescent="0.25">
      <c r="B968" s="102"/>
      <c r="C968" s="103"/>
      <c r="D968" s="102"/>
      <c r="E968" s="102"/>
      <c r="F968" s="102"/>
      <c r="G968" s="102"/>
      <c r="I968" s="102"/>
      <c r="J968" s="102"/>
      <c r="K968" s="102"/>
    </row>
    <row r="969" spans="2:11" ht="15.75" customHeight="1" thickBot="1" x14ac:dyDescent="0.25">
      <c r="B969" s="102"/>
      <c r="C969" s="103"/>
      <c r="D969" s="102"/>
      <c r="E969" s="102"/>
      <c r="F969" s="102"/>
      <c r="G969" s="102"/>
      <c r="I969" s="102"/>
      <c r="J969" s="102"/>
      <c r="K969" s="102"/>
    </row>
    <row r="970" spans="2:11" ht="15.75" customHeight="1" thickBot="1" x14ac:dyDescent="0.25">
      <c r="B970" s="102"/>
      <c r="C970" s="103"/>
      <c r="D970" s="102"/>
      <c r="E970" s="102"/>
      <c r="F970" s="102"/>
      <c r="G970" s="102"/>
      <c r="I970" s="102"/>
      <c r="J970" s="102"/>
      <c r="K970" s="102"/>
    </row>
    <row r="971" spans="2:11" ht="15.75" customHeight="1" thickBot="1" x14ac:dyDescent="0.25">
      <c r="B971" s="102"/>
      <c r="C971" s="103"/>
      <c r="D971" s="102"/>
      <c r="E971" s="102"/>
      <c r="F971" s="102"/>
      <c r="G971" s="102"/>
      <c r="I971" s="102"/>
      <c r="J971" s="102"/>
      <c r="K971" s="102"/>
    </row>
    <row r="972" spans="2:11" ht="15.75" customHeight="1" thickBot="1" x14ac:dyDescent="0.25">
      <c r="B972" s="102"/>
      <c r="C972" s="103"/>
      <c r="D972" s="102"/>
      <c r="E972" s="102"/>
      <c r="F972" s="102"/>
      <c r="G972" s="102"/>
      <c r="I972" s="102"/>
      <c r="J972" s="102"/>
      <c r="K972" s="102"/>
    </row>
    <row r="973" spans="2:11" ht="15.75" customHeight="1" thickBot="1" x14ac:dyDescent="0.25">
      <c r="B973" s="102"/>
      <c r="C973" s="103"/>
      <c r="D973" s="102"/>
      <c r="E973" s="102"/>
      <c r="F973" s="102"/>
      <c r="G973" s="102"/>
      <c r="I973" s="102"/>
      <c r="J973" s="102"/>
      <c r="K973" s="102"/>
    </row>
    <row r="974" spans="2:11" ht="15.75" customHeight="1" thickBot="1" x14ac:dyDescent="0.25">
      <c r="B974" s="102"/>
      <c r="C974" s="103"/>
      <c r="D974" s="102"/>
      <c r="E974" s="102"/>
      <c r="F974" s="102"/>
      <c r="G974" s="102"/>
      <c r="I974" s="102"/>
      <c r="J974" s="102"/>
      <c r="K974" s="102"/>
    </row>
    <row r="975" spans="2:11" ht="15.75" customHeight="1" thickBot="1" x14ac:dyDescent="0.25">
      <c r="B975" s="102"/>
      <c r="C975" s="103"/>
      <c r="D975" s="102"/>
      <c r="E975" s="102"/>
      <c r="F975" s="102"/>
      <c r="G975" s="102"/>
      <c r="I975" s="102"/>
      <c r="J975" s="102"/>
      <c r="K975" s="102"/>
    </row>
    <row r="976" spans="2:11" ht="15.75" customHeight="1" thickBot="1" x14ac:dyDescent="0.25">
      <c r="B976" s="102"/>
      <c r="C976" s="103"/>
      <c r="D976" s="102"/>
      <c r="E976" s="102"/>
      <c r="F976" s="102"/>
      <c r="G976" s="102"/>
      <c r="I976" s="102"/>
      <c r="J976" s="102"/>
      <c r="K976" s="102"/>
    </row>
    <row r="977" spans="2:11" ht="15.75" customHeight="1" thickBot="1" x14ac:dyDescent="0.25">
      <c r="B977" s="102"/>
      <c r="C977" s="103"/>
      <c r="D977" s="102"/>
      <c r="E977" s="102"/>
      <c r="F977" s="102"/>
      <c r="G977" s="102"/>
      <c r="I977" s="102"/>
      <c r="J977" s="102"/>
      <c r="K977" s="102"/>
    </row>
    <row r="978" spans="2:11" ht="15.75" customHeight="1" thickBot="1" x14ac:dyDescent="0.25">
      <c r="B978" s="102"/>
      <c r="C978" s="103"/>
      <c r="D978" s="102"/>
      <c r="E978" s="102"/>
      <c r="F978" s="102"/>
      <c r="G978" s="102"/>
      <c r="I978" s="102"/>
      <c r="J978" s="102"/>
      <c r="K978" s="102"/>
    </row>
    <row r="979" spans="2:11" ht="15.75" customHeight="1" thickBot="1" x14ac:dyDescent="0.25">
      <c r="B979" s="102"/>
      <c r="C979" s="103"/>
      <c r="D979" s="102"/>
      <c r="E979" s="102"/>
      <c r="F979" s="102"/>
      <c r="G979" s="102"/>
      <c r="I979" s="102"/>
      <c r="J979" s="102"/>
      <c r="K979" s="102"/>
    </row>
    <row r="980" spans="2:11" ht="15.75" customHeight="1" thickBot="1" x14ac:dyDescent="0.25">
      <c r="B980" s="102"/>
      <c r="C980" s="103"/>
      <c r="D980" s="102"/>
      <c r="E980" s="102"/>
      <c r="F980" s="102"/>
      <c r="G980" s="102"/>
      <c r="I980" s="102"/>
      <c r="J980" s="102"/>
      <c r="K980" s="102"/>
    </row>
    <row r="981" spans="2:11" ht="15.75" customHeight="1" thickBot="1" x14ac:dyDescent="0.25">
      <c r="B981" s="102"/>
      <c r="C981" s="103"/>
      <c r="D981" s="102"/>
      <c r="E981" s="102"/>
      <c r="F981" s="102"/>
      <c r="G981" s="102"/>
      <c r="I981" s="102"/>
      <c r="J981" s="102"/>
      <c r="K981" s="102"/>
    </row>
    <row r="982" spans="2:11" ht="15.75" customHeight="1" thickBot="1" x14ac:dyDescent="0.25">
      <c r="B982" s="102"/>
      <c r="C982" s="103"/>
      <c r="D982" s="102"/>
      <c r="E982" s="102"/>
      <c r="F982" s="102"/>
      <c r="G982" s="102"/>
      <c r="I982" s="102"/>
      <c r="J982" s="102"/>
      <c r="K982" s="102"/>
    </row>
    <row r="983" spans="2:11" ht="15.75" customHeight="1" thickBot="1" x14ac:dyDescent="0.25">
      <c r="B983" s="102"/>
      <c r="C983" s="103"/>
      <c r="D983" s="102"/>
      <c r="E983" s="102"/>
      <c r="F983" s="102"/>
      <c r="G983" s="102"/>
      <c r="I983" s="102"/>
      <c r="J983" s="102"/>
      <c r="K983" s="102"/>
    </row>
    <row r="984" spans="2:11" ht="15.75" customHeight="1" thickBot="1" x14ac:dyDescent="0.25">
      <c r="B984" s="102"/>
      <c r="C984" s="103"/>
      <c r="D984" s="102"/>
      <c r="E984" s="102"/>
      <c r="F984" s="102"/>
      <c r="G984" s="102"/>
      <c r="I984" s="102"/>
      <c r="J984" s="102"/>
      <c r="K984" s="102"/>
    </row>
    <row r="985" spans="2:11" ht="15.75" customHeight="1" thickBot="1" x14ac:dyDescent="0.25">
      <c r="B985" s="102"/>
      <c r="C985" s="103"/>
      <c r="D985" s="102"/>
      <c r="E985" s="102"/>
      <c r="F985" s="102"/>
      <c r="G985" s="102"/>
      <c r="I985" s="102"/>
      <c r="J985" s="102"/>
      <c r="K985" s="102"/>
    </row>
    <row r="986" spans="2:11" ht="15.75" customHeight="1" thickBot="1" x14ac:dyDescent="0.25">
      <c r="B986" s="102"/>
      <c r="C986" s="103"/>
      <c r="D986" s="102"/>
      <c r="E986" s="102"/>
      <c r="F986" s="102"/>
      <c r="G986" s="102"/>
      <c r="I986" s="102"/>
      <c r="J986" s="102"/>
      <c r="K986" s="102"/>
    </row>
    <row r="987" spans="2:11" ht="15.75" customHeight="1" thickBot="1" x14ac:dyDescent="0.25">
      <c r="B987" s="102"/>
      <c r="C987" s="103"/>
      <c r="D987" s="102"/>
      <c r="E987" s="102"/>
      <c r="F987" s="102"/>
      <c r="G987" s="102"/>
      <c r="I987" s="102"/>
      <c r="J987" s="102"/>
      <c r="K987" s="102"/>
    </row>
    <row r="988" spans="2:11" ht="15.75" customHeight="1" thickBot="1" x14ac:dyDescent="0.25">
      <c r="B988" s="102"/>
      <c r="C988" s="103"/>
      <c r="D988" s="102"/>
      <c r="E988" s="102"/>
      <c r="F988" s="102"/>
      <c r="G988" s="102"/>
      <c r="I988" s="102"/>
      <c r="J988" s="102"/>
      <c r="K988" s="102"/>
    </row>
    <row r="989" spans="2:11" ht="15.75" customHeight="1" thickBot="1" x14ac:dyDescent="0.25">
      <c r="B989" s="102"/>
      <c r="C989" s="103"/>
      <c r="D989" s="102"/>
      <c r="E989" s="102"/>
      <c r="F989" s="102"/>
      <c r="G989" s="102"/>
      <c r="I989" s="102"/>
      <c r="J989" s="102"/>
      <c r="K989" s="102"/>
    </row>
    <row r="990" spans="2:11" ht="15.75" customHeight="1" thickBot="1" x14ac:dyDescent="0.25">
      <c r="B990" s="102"/>
      <c r="C990" s="103"/>
      <c r="D990" s="102"/>
      <c r="E990" s="102"/>
      <c r="F990" s="102"/>
      <c r="G990" s="102"/>
      <c r="I990" s="102"/>
      <c r="J990" s="102"/>
      <c r="K990" s="102"/>
    </row>
    <row r="991" spans="2:11" ht="15.75" customHeight="1" thickBot="1" x14ac:dyDescent="0.25">
      <c r="B991" s="102"/>
      <c r="C991" s="103"/>
      <c r="D991" s="102"/>
      <c r="E991" s="102"/>
      <c r="F991" s="102"/>
      <c r="G991" s="102"/>
      <c r="I991" s="102"/>
      <c r="J991" s="102"/>
      <c r="K991" s="102"/>
    </row>
    <row r="992" spans="2:11" ht="15.75" customHeight="1" thickBot="1" x14ac:dyDescent="0.25">
      <c r="B992" s="102"/>
      <c r="C992" s="103"/>
      <c r="D992" s="102"/>
      <c r="E992" s="102"/>
      <c r="F992" s="102"/>
      <c r="G992" s="102"/>
      <c r="I992" s="102"/>
      <c r="J992" s="102"/>
      <c r="K992" s="102"/>
    </row>
    <row r="993" spans="2:11" ht="15.75" customHeight="1" thickBot="1" x14ac:dyDescent="0.25">
      <c r="B993" s="102"/>
      <c r="C993" s="103"/>
      <c r="D993" s="102"/>
      <c r="E993" s="102"/>
      <c r="F993" s="102"/>
      <c r="G993" s="102"/>
      <c r="I993" s="102"/>
      <c r="J993" s="102"/>
      <c r="K993" s="102"/>
    </row>
    <row r="994" spans="2:11" ht="15.75" customHeight="1" thickBot="1" x14ac:dyDescent="0.25">
      <c r="B994" s="102"/>
      <c r="C994" s="103"/>
      <c r="D994" s="102"/>
      <c r="E994" s="102"/>
      <c r="F994" s="102"/>
      <c r="G994" s="102"/>
      <c r="I994" s="102"/>
      <c r="J994" s="102"/>
      <c r="K994" s="102"/>
    </row>
    <row r="995" spans="2:11" ht="15.75" customHeight="1" thickBot="1" x14ac:dyDescent="0.25">
      <c r="B995" s="102"/>
      <c r="C995" s="103"/>
      <c r="D995" s="102"/>
      <c r="E995" s="102"/>
      <c r="F995" s="102"/>
      <c r="G995" s="102"/>
      <c r="I995" s="102"/>
      <c r="J995" s="102"/>
      <c r="K995" s="102"/>
    </row>
    <row r="996" spans="2:11" ht="15.75" customHeight="1" thickBot="1" x14ac:dyDescent="0.25">
      <c r="B996" s="102"/>
      <c r="C996" s="103"/>
      <c r="D996" s="102"/>
      <c r="E996" s="102"/>
      <c r="F996" s="102"/>
      <c r="G996" s="102"/>
      <c r="I996" s="102"/>
      <c r="J996" s="102"/>
      <c r="K996" s="102"/>
    </row>
    <row r="997" spans="2:11" ht="15.75" customHeight="1" thickBot="1" x14ac:dyDescent="0.25">
      <c r="B997" s="102"/>
      <c r="C997" s="103"/>
      <c r="D997" s="102"/>
      <c r="E997" s="102"/>
      <c r="F997" s="102"/>
      <c r="G997" s="102"/>
      <c r="I997" s="102"/>
      <c r="J997" s="102"/>
      <c r="K997" s="102"/>
    </row>
    <row r="998" spans="2:11" ht="15.75" customHeight="1" thickBot="1" x14ac:dyDescent="0.25">
      <c r="B998" s="102"/>
      <c r="C998" s="103"/>
      <c r="D998" s="102"/>
      <c r="E998" s="102"/>
      <c r="F998" s="102"/>
      <c r="G998" s="102"/>
      <c r="I998" s="102"/>
      <c r="J998" s="102"/>
      <c r="K998" s="102"/>
    </row>
    <row r="999" spans="2:11" ht="15.75" customHeight="1" thickBot="1" x14ac:dyDescent="0.25">
      <c r="B999" s="102"/>
      <c r="C999" s="103"/>
      <c r="D999" s="102"/>
      <c r="E999" s="102"/>
      <c r="F999" s="102"/>
      <c r="G999" s="102"/>
      <c r="I999" s="102"/>
      <c r="J999" s="102"/>
      <c r="K999" s="102"/>
    </row>
    <row r="1000" spans="2:11" ht="15.75" customHeight="1" thickBot="1" x14ac:dyDescent="0.25">
      <c r="B1000" s="102"/>
      <c r="C1000" s="103"/>
      <c r="D1000" s="102"/>
      <c r="E1000" s="102"/>
      <c r="F1000" s="102"/>
      <c r="G1000" s="102"/>
      <c r="I1000" s="102"/>
      <c r="J1000" s="102"/>
      <c r="K1000" s="102"/>
    </row>
  </sheetData>
  <autoFilter ref="A1:T1000" xr:uid="{00000000-0001-0000-0B00-000000000000}">
    <sortState xmlns:xlrd2="http://schemas.microsoft.com/office/spreadsheetml/2017/richdata2" ref="A2:N1000">
      <sortCondition ref="A1:A1000"/>
    </sortState>
  </autoFilter>
  <phoneticPr fontId="20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6"/>
  <dimension ref="A1:J5"/>
  <sheetViews>
    <sheetView zoomScaleNormal="100" workbookViewId="0">
      <pane xSplit="1" ySplit="1" topLeftCell="B2" activePane="bottomRight" state="frozen"/>
      <selection pane="bottomLeft" activeCell="A2" sqref="A2"/>
      <selection pane="topRight" activeCell="B1" sqref="B1"/>
      <selection pane="bottomRight" activeCell="H3" sqref="H3"/>
    </sheetView>
  </sheetViews>
  <sheetFormatPr defaultColWidth="8.7421875" defaultRowHeight="15" x14ac:dyDescent="0.2"/>
  <cols>
    <col min="1" max="1" width="20.04296875" customWidth="1"/>
    <col min="2" max="2" width="7.93359375" customWidth="1"/>
    <col min="3" max="3" width="11.1640625" customWidth="1"/>
    <col min="4" max="4" width="6.9921875" customWidth="1"/>
    <col min="5" max="5" width="6.05078125" customWidth="1"/>
    <col min="6" max="7" width="10.76171875" customWidth="1"/>
    <col min="8" max="9" width="39.953125" customWidth="1"/>
    <col min="10" max="10" width="36.05078125" customWidth="1"/>
  </cols>
  <sheetData>
    <row r="1" spans="1:10" ht="31.5" customHeight="1" x14ac:dyDescent="0.2">
      <c r="A1" s="2" t="s">
        <v>1077</v>
      </c>
      <c r="B1" s="2" t="s">
        <v>1078</v>
      </c>
      <c r="C1" s="2" t="s">
        <v>117</v>
      </c>
      <c r="D1" s="2" t="s">
        <v>1079</v>
      </c>
      <c r="E1" s="2" t="s">
        <v>1080</v>
      </c>
      <c r="F1" s="2" t="s">
        <v>1081</v>
      </c>
      <c r="G1" s="2" t="s">
        <v>1082</v>
      </c>
      <c r="H1" s="2" t="s">
        <v>1083</v>
      </c>
      <c r="I1" s="2" t="s">
        <v>1084</v>
      </c>
      <c r="J1" s="2" t="s">
        <v>1085</v>
      </c>
    </row>
    <row r="2" spans="1:10" ht="42" customHeight="1" x14ac:dyDescent="0.35">
      <c r="A2" s="4" t="s">
        <v>1086</v>
      </c>
      <c r="B2" s="6" t="s">
        <v>1087</v>
      </c>
      <c r="C2" s="4" t="s">
        <v>895</v>
      </c>
      <c r="D2" s="80">
        <f>Segments!F4</f>
        <v>15</v>
      </c>
      <c r="E2" s="4">
        <v>0</v>
      </c>
      <c r="F2" s="4">
        <v>100</v>
      </c>
      <c r="G2" s="4">
        <v>20</v>
      </c>
      <c r="H2" s="4" t="s">
        <v>1088</v>
      </c>
      <c r="I2" s="4">
        <v>80</v>
      </c>
      <c r="J2" s="4" t="s">
        <v>13</v>
      </c>
    </row>
    <row r="3" spans="1:10" ht="16.5" customHeight="1" x14ac:dyDescent="0.35">
      <c r="A3" s="4" t="s">
        <v>1089</v>
      </c>
      <c r="B3" s="6" t="s">
        <v>1090</v>
      </c>
      <c r="C3" s="65" t="s">
        <v>1091</v>
      </c>
      <c r="D3" s="80">
        <f>(Segments!F2+Segments!F4+Segments!F5+Segments!F6)/5</f>
        <v>6</v>
      </c>
      <c r="E3" s="4">
        <v>0</v>
      </c>
      <c r="F3" s="4">
        <v>100</v>
      </c>
      <c r="G3" s="4">
        <v>20</v>
      </c>
      <c r="H3" s="4" t="s">
        <v>1092</v>
      </c>
      <c r="I3" s="4">
        <v>80</v>
      </c>
    </row>
    <row r="4" spans="1:10" ht="16.5" customHeight="1" x14ac:dyDescent="0.35">
      <c r="A4" s="4" t="s">
        <v>1093</v>
      </c>
      <c r="B4" s="6" t="s">
        <v>1094</v>
      </c>
      <c r="C4" s="65" t="s">
        <v>839</v>
      </c>
      <c r="D4" s="73">
        <v>50000</v>
      </c>
      <c r="E4" s="4">
        <v>0</v>
      </c>
      <c r="F4" s="73">
        <v>1000000</v>
      </c>
      <c r="G4" s="73">
        <v>50000</v>
      </c>
      <c r="H4" s="4" t="s">
        <v>13</v>
      </c>
      <c r="I4" s="73">
        <v>950000</v>
      </c>
      <c r="J4" s="4" t="s">
        <v>13</v>
      </c>
    </row>
    <row r="5" spans="1:10" ht="32.25" customHeight="1" x14ac:dyDescent="0.35">
      <c r="A5" s="4" t="s">
        <v>1095</v>
      </c>
      <c r="B5" s="6" t="s">
        <v>1096</v>
      </c>
      <c r="C5" s="4" t="s">
        <v>1097</v>
      </c>
      <c r="D5" s="80">
        <f>Segments!F3</f>
        <v>10</v>
      </c>
      <c r="E5" s="4">
        <v>0</v>
      </c>
      <c r="F5" s="4">
        <v>100</v>
      </c>
      <c r="G5" s="4">
        <v>20</v>
      </c>
      <c r="H5" s="4" t="s">
        <v>1098</v>
      </c>
      <c r="I5" s="4">
        <v>85</v>
      </c>
      <c r="J5" s="4" t="s">
        <v>13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9"/>
  <dimension ref="A1:E260"/>
  <sheetViews>
    <sheetView tabSelected="1" workbookViewId="0">
      <pane ySplit="1" topLeftCell="A196" activePane="bottomLeft" state="frozen"/>
      <selection pane="bottomLeft" activeCell="A213" sqref="A213"/>
    </sheetView>
  </sheetViews>
  <sheetFormatPr defaultRowHeight="15" x14ac:dyDescent="0.2"/>
  <cols>
    <col min="1" max="1" width="29.99609375" customWidth="1"/>
    <col min="2" max="2" width="34.03125" customWidth="1"/>
    <col min="3" max="3" width="52.05859375" customWidth="1"/>
    <col min="4" max="4" width="16.0078125" customWidth="1"/>
    <col min="5" max="5" width="66.05078125" customWidth="1"/>
  </cols>
  <sheetData>
    <row r="1" spans="1:5" x14ac:dyDescent="0.2">
      <c r="A1" s="12" t="s">
        <v>1099</v>
      </c>
      <c r="B1" s="12" t="s">
        <v>1100</v>
      </c>
      <c r="C1" s="12" t="s">
        <v>1101</v>
      </c>
      <c r="D1" s="12" t="s">
        <v>1102</v>
      </c>
      <c r="E1" s="12" t="s">
        <v>1103</v>
      </c>
    </row>
    <row r="2" spans="1:5" x14ac:dyDescent="0.2">
      <c r="A2" t="s">
        <v>1104</v>
      </c>
      <c r="B2" t="s">
        <v>1105</v>
      </c>
      <c r="C2" s="13" t="s">
        <v>2767</v>
      </c>
      <c r="E2" s="13" t="s">
        <v>1106</v>
      </c>
    </row>
    <row r="3" spans="1:5" x14ac:dyDescent="0.2">
      <c r="A3" t="s">
        <v>1107</v>
      </c>
      <c r="B3" t="s">
        <v>1105</v>
      </c>
      <c r="C3" s="13" t="s">
        <v>1108</v>
      </c>
      <c r="E3" s="13" t="s">
        <v>1109</v>
      </c>
    </row>
    <row r="4" spans="1:5" x14ac:dyDescent="0.2">
      <c r="A4" t="s">
        <v>1110</v>
      </c>
      <c r="B4" t="s">
        <v>1105</v>
      </c>
      <c r="C4" s="13" t="s">
        <v>1111</v>
      </c>
      <c r="E4" s="13" t="s">
        <v>1112</v>
      </c>
    </row>
    <row r="5" spans="1:5" ht="30" customHeight="1" x14ac:dyDescent="0.2">
      <c r="A5" t="s">
        <v>1113</v>
      </c>
      <c r="B5" t="s">
        <v>1105</v>
      </c>
      <c r="C5" s="13" t="s">
        <v>1114</v>
      </c>
      <c r="E5" s="13" t="s">
        <v>1115</v>
      </c>
    </row>
    <row r="6" spans="1:5" ht="30" customHeight="1" x14ac:dyDescent="0.2">
      <c r="A6" t="s">
        <v>1116</v>
      </c>
      <c r="B6" t="s">
        <v>1105</v>
      </c>
      <c r="C6" s="13" t="s">
        <v>2766</v>
      </c>
      <c r="D6" t="s">
        <v>1117</v>
      </c>
      <c r="E6" s="13" t="s">
        <v>1118</v>
      </c>
    </row>
    <row r="7" spans="1:5" x14ac:dyDescent="0.2">
      <c r="A7" t="s">
        <v>1119</v>
      </c>
      <c r="B7" t="s">
        <v>1105</v>
      </c>
      <c r="C7" s="13" t="s">
        <v>1120</v>
      </c>
      <c r="E7" s="13" t="s">
        <v>1121</v>
      </c>
    </row>
    <row r="8" spans="1:5" x14ac:dyDescent="0.2">
      <c r="A8" t="s">
        <v>1122</v>
      </c>
      <c r="B8" t="s">
        <v>1123</v>
      </c>
      <c r="C8" s="13" t="s">
        <v>1124</v>
      </c>
      <c r="D8" t="s">
        <v>1125</v>
      </c>
      <c r="E8" s="13" t="s">
        <v>1126</v>
      </c>
    </row>
    <row r="9" spans="1:5" ht="30" customHeight="1" x14ac:dyDescent="0.2">
      <c r="A9" t="s">
        <v>1127</v>
      </c>
      <c r="B9" t="s">
        <v>1123</v>
      </c>
      <c r="C9" s="13" t="s">
        <v>1128</v>
      </c>
      <c r="D9" t="s">
        <v>1125</v>
      </c>
      <c r="E9" s="13" t="s">
        <v>1129</v>
      </c>
    </row>
    <row r="10" spans="1:5" x14ac:dyDescent="0.2">
      <c r="A10" t="s">
        <v>1130</v>
      </c>
      <c r="B10" t="s">
        <v>1123</v>
      </c>
      <c r="C10" s="13" t="s">
        <v>1131</v>
      </c>
      <c r="D10" t="s">
        <v>1132</v>
      </c>
      <c r="E10" s="13" t="s">
        <v>1133</v>
      </c>
    </row>
    <row r="11" spans="1:5" ht="30" customHeight="1" x14ac:dyDescent="0.2">
      <c r="A11" t="s">
        <v>1134</v>
      </c>
      <c r="B11" t="s">
        <v>1123</v>
      </c>
      <c r="C11" s="13" t="s">
        <v>1135</v>
      </c>
      <c r="E11" s="13" t="s">
        <v>1136</v>
      </c>
    </row>
    <row r="12" spans="1:5" x14ac:dyDescent="0.2">
      <c r="A12" t="s">
        <v>1137</v>
      </c>
      <c r="B12" t="s">
        <v>1123</v>
      </c>
      <c r="C12" s="13" t="s">
        <v>1138</v>
      </c>
      <c r="D12" t="s">
        <v>1125</v>
      </c>
      <c r="E12" s="13" t="s">
        <v>1139</v>
      </c>
    </row>
    <row r="13" spans="1:5" ht="30" customHeight="1" x14ac:dyDescent="0.2">
      <c r="A13" t="s">
        <v>1140</v>
      </c>
      <c r="B13" t="s">
        <v>1141</v>
      </c>
      <c r="C13" s="13" t="s">
        <v>1142</v>
      </c>
      <c r="E13" s="13" t="s">
        <v>1143</v>
      </c>
    </row>
    <row r="14" spans="1:5" ht="30" customHeight="1" x14ac:dyDescent="0.2">
      <c r="A14" t="s">
        <v>1144</v>
      </c>
      <c r="B14" t="s">
        <v>1141</v>
      </c>
      <c r="C14" s="13" t="s">
        <v>1145</v>
      </c>
      <c r="D14" t="s">
        <v>1146</v>
      </c>
      <c r="E14" s="13" t="s">
        <v>1147</v>
      </c>
    </row>
    <row r="15" spans="1:5" x14ac:dyDescent="0.2">
      <c r="A15" t="s">
        <v>1148</v>
      </c>
      <c r="B15" t="s">
        <v>1149</v>
      </c>
      <c r="C15" s="13" t="s">
        <v>1150</v>
      </c>
      <c r="E15" s="13" t="s">
        <v>1151</v>
      </c>
    </row>
    <row r="16" spans="1:5" x14ac:dyDescent="0.2">
      <c r="A16" t="s">
        <v>1152</v>
      </c>
      <c r="B16" t="s">
        <v>1149</v>
      </c>
      <c r="C16" s="13" t="s">
        <v>1153</v>
      </c>
      <c r="E16" s="13" t="s">
        <v>1154</v>
      </c>
    </row>
    <row r="17" spans="1:5" x14ac:dyDescent="0.2">
      <c r="A17" t="s">
        <v>1155</v>
      </c>
      <c r="B17" t="s">
        <v>1149</v>
      </c>
      <c r="C17" s="13" t="s">
        <v>1156</v>
      </c>
      <c r="E17" s="13" t="s">
        <v>1157</v>
      </c>
    </row>
    <row r="18" spans="1:5" x14ac:dyDescent="0.2">
      <c r="A18" t="s">
        <v>1158</v>
      </c>
      <c r="B18" t="s">
        <v>1159</v>
      </c>
      <c r="C18" s="13" t="s">
        <v>1160</v>
      </c>
      <c r="E18" s="13" t="s">
        <v>1161</v>
      </c>
    </row>
    <row r="19" spans="1:5" ht="30" customHeight="1" x14ac:dyDescent="0.2">
      <c r="A19" t="s">
        <v>1162</v>
      </c>
      <c r="B19" t="s">
        <v>1159</v>
      </c>
      <c r="C19" s="13" t="s">
        <v>1163</v>
      </c>
      <c r="D19" t="s">
        <v>1164</v>
      </c>
      <c r="E19" s="13" t="s">
        <v>1165</v>
      </c>
    </row>
    <row r="20" spans="1:5" x14ac:dyDescent="0.2">
      <c r="A20" t="s">
        <v>1166</v>
      </c>
      <c r="B20" t="s">
        <v>1159</v>
      </c>
      <c r="C20" s="13" t="s">
        <v>1167</v>
      </c>
      <c r="E20" s="13" t="s">
        <v>1168</v>
      </c>
    </row>
    <row r="21" spans="1:5" x14ac:dyDescent="0.2">
      <c r="A21" t="s">
        <v>1169</v>
      </c>
      <c r="B21" t="s">
        <v>1159</v>
      </c>
      <c r="C21" s="13" t="s">
        <v>1170</v>
      </c>
      <c r="E21" s="13" t="s">
        <v>1171</v>
      </c>
    </row>
    <row r="22" spans="1:5" x14ac:dyDescent="0.2">
      <c r="A22" t="s">
        <v>1172</v>
      </c>
      <c r="B22" t="s">
        <v>1159</v>
      </c>
      <c r="C22" s="13" t="s">
        <v>1173</v>
      </c>
      <c r="E22" s="13" t="s">
        <v>1174</v>
      </c>
    </row>
    <row r="23" spans="1:5" x14ac:dyDescent="0.2">
      <c r="A23" t="s">
        <v>1175</v>
      </c>
      <c r="B23" t="s">
        <v>1176</v>
      </c>
      <c r="C23" s="13" t="s">
        <v>1177</v>
      </c>
      <c r="D23" t="s">
        <v>1178</v>
      </c>
      <c r="E23" s="13" t="s">
        <v>1179</v>
      </c>
    </row>
    <row r="24" spans="1:5" x14ac:dyDescent="0.2">
      <c r="A24" t="s">
        <v>1180</v>
      </c>
      <c r="B24" t="s">
        <v>1176</v>
      </c>
      <c r="C24" s="13" t="s">
        <v>1181</v>
      </c>
      <c r="E24" s="13" t="s">
        <v>1182</v>
      </c>
    </row>
    <row r="25" spans="1:5" x14ac:dyDescent="0.2">
      <c r="A25" t="s">
        <v>1183</v>
      </c>
      <c r="B25" t="s">
        <v>1176</v>
      </c>
      <c r="C25" s="13" t="s">
        <v>1184</v>
      </c>
      <c r="E25" s="13" t="s">
        <v>1185</v>
      </c>
    </row>
    <row r="26" spans="1:5" x14ac:dyDescent="0.2">
      <c r="A26" t="s">
        <v>1186</v>
      </c>
      <c r="B26" t="s">
        <v>1176</v>
      </c>
      <c r="C26" s="13" t="s">
        <v>1187</v>
      </c>
      <c r="E26" s="13" t="s">
        <v>1188</v>
      </c>
    </row>
    <row r="27" spans="1:5" x14ac:dyDescent="0.2">
      <c r="A27" t="s">
        <v>1189</v>
      </c>
      <c r="B27" t="s">
        <v>1176</v>
      </c>
      <c r="C27" s="13" t="s">
        <v>1190</v>
      </c>
      <c r="E27" s="13" t="s">
        <v>1191</v>
      </c>
    </row>
    <row r="28" spans="1:5" x14ac:dyDescent="0.2">
      <c r="A28" t="s">
        <v>1192</v>
      </c>
      <c r="B28" t="s">
        <v>1176</v>
      </c>
      <c r="C28" s="13" t="s">
        <v>1193</v>
      </c>
      <c r="E28" s="13" t="s">
        <v>1194</v>
      </c>
    </row>
    <row r="29" spans="1:5" x14ac:dyDescent="0.2">
      <c r="A29" t="s">
        <v>1195</v>
      </c>
      <c r="B29" t="s">
        <v>1176</v>
      </c>
      <c r="C29" s="13" t="s">
        <v>1196</v>
      </c>
      <c r="E29" s="13" t="s">
        <v>1197</v>
      </c>
    </row>
    <row r="30" spans="1:5" x14ac:dyDescent="0.2">
      <c r="A30" t="s">
        <v>1198</v>
      </c>
      <c r="B30" t="s">
        <v>1176</v>
      </c>
      <c r="C30" s="13" t="s">
        <v>1199</v>
      </c>
      <c r="D30" t="s">
        <v>1200</v>
      </c>
      <c r="E30" s="13" t="s">
        <v>1201</v>
      </c>
    </row>
    <row r="31" spans="1:5" x14ac:dyDescent="0.2">
      <c r="A31" t="s">
        <v>1202</v>
      </c>
      <c r="B31" t="s">
        <v>1203</v>
      </c>
      <c r="C31" s="13" t="s">
        <v>1204</v>
      </c>
      <c r="D31" t="s">
        <v>1205</v>
      </c>
      <c r="E31" s="13" t="s">
        <v>1206</v>
      </c>
    </row>
    <row r="32" spans="1:5" x14ac:dyDescent="0.2">
      <c r="A32" t="s">
        <v>1207</v>
      </c>
      <c r="B32" t="s">
        <v>1203</v>
      </c>
      <c r="C32" s="13" t="s">
        <v>1208</v>
      </c>
      <c r="D32" t="s">
        <v>1209</v>
      </c>
      <c r="E32" s="13" t="s">
        <v>1210</v>
      </c>
    </row>
    <row r="33" spans="1:5" x14ac:dyDescent="0.2">
      <c r="A33" t="s">
        <v>1211</v>
      </c>
      <c r="B33" t="s">
        <v>1203</v>
      </c>
      <c r="C33" s="13" t="s">
        <v>1212</v>
      </c>
      <c r="D33" t="s">
        <v>1125</v>
      </c>
      <c r="E33" s="13"/>
    </row>
    <row r="34" spans="1:5" x14ac:dyDescent="0.2">
      <c r="A34" t="s">
        <v>1213</v>
      </c>
      <c r="B34" t="s">
        <v>1203</v>
      </c>
      <c r="C34" s="13" t="s">
        <v>1214</v>
      </c>
      <c r="D34" t="s">
        <v>1125</v>
      </c>
      <c r="E34" s="13"/>
    </row>
    <row r="35" spans="1:5" x14ac:dyDescent="0.2">
      <c r="A35" t="s">
        <v>1215</v>
      </c>
      <c r="B35" t="s">
        <v>1203</v>
      </c>
      <c r="C35" s="13" t="s">
        <v>1216</v>
      </c>
      <c r="D35" t="s">
        <v>1217</v>
      </c>
      <c r="E35" s="13"/>
    </row>
    <row r="36" spans="1:5" x14ac:dyDescent="0.2">
      <c r="A36" t="s">
        <v>1218</v>
      </c>
      <c r="B36" t="s">
        <v>1203</v>
      </c>
      <c r="C36" s="13" t="s">
        <v>1219</v>
      </c>
      <c r="D36" t="s">
        <v>1220</v>
      </c>
      <c r="E36" s="13" t="s">
        <v>1221</v>
      </c>
    </row>
    <row r="37" spans="1:5" x14ac:dyDescent="0.2">
      <c r="A37" t="s">
        <v>1222</v>
      </c>
      <c r="B37" t="s">
        <v>1203</v>
      </c>
      <c r="C37" s="13" t="s">
        <v>1223</v>
      </c>
      <c r="D37" t="s">
        <v>1224</v>
      </c>
      <c r="E37" s="13" t="s">
        <v>1225</v>
      </c>
    </row>
    <row r="38" spans="1:5" x14ac:dyDescent="0.2">
      <c r="A38" t="s">
        <v>1226</v>
      </c>
      <c r="B38" t="s">
        <v>1203</v>
      </c>
      <c r="C38" s="13" t="s">
        <v>1227</v>
      </c>
      <c r="D38" t="s">
        <v>1228</v>
      </c>
      <c r="E38" s="13"/>
    </row>
    <row r="39" spans="1:5" x14ac:dyDescent="0.2">
      <c r="A39" t="s">
        <v>1229</v>
      </c>
      <c r="B39" t="s">
        <v>1203</v>
      </c>
      <c r="C39" s="13" t="s">
        <v>1230</v>
      </c>
      <c r="D39" t="s">
        <v>1125</v>
      </c>
      <c r="E39" s="13" t="s">
        <v>1231</v>
      </c>
    </row>
    <row r="40" spans="1:5" x14ac:dyDescent="0.2">
      <c r="A40" t="s">
        <v>1232</v>
      </c>
      <c r="B40" t="s">
        <v>1203</v>
      </c>
      <c r="C40" s="13" t="s">
        <v>1233</v>
      </c>
      <c r="D40" t="s">
        <v>1125</v>
      </c>
      <c r="E40" s="13"/>
    </row>
    <row r="41" spans="1:5" x14ac:dyDescent="0.2">
      <c r="A41" t="s">
        <v>1234</v>
      </c>
      <c r="B41" t="s">
        <v>1203</v>
      </c>
      <c r="C41" s="13" t="s">
        <v>1235</v>
      </c>
      <c r="D41" t="s">
        <v>1236</v>
      </c>
      <c r="E41" s="13"/>
    </row>
    <row r="42" spans="1:5" x14ac:dyDescent="0.2">
      <c r="A42" t="s">
        <v>1237</v>
      </c>
      <c r="B42" t="s">
        <v>1203</v>
      </c>
      <c r="C42" s="13" t="s">
        <v>1238</v>
      </c>
      <c r="D42" t="s">
        <v>1239</v>
      </c>
      <c r="E42" s="13"/>
    </row>
    <row r="43" spans="1:5" x14ac:dyDescent="0.2">
      <c r="A43" t="s">
        <v>1240</v>
      </c>
      <c r="B43" t="s">
        <v>1203</v>
      </c>
      <c r="C43" s="13" t="s">
        <v>1241</v>
      </c>
      <c r="D43" t="s">
        <v>1242</v>
      </c>
      <c r="E43" s="13" t="s">
        <v>1243</v>
      </c>
    </row>
    <row r="44" spans="1:5" x14ac:dyDescent="0.2">
      <c r="A44" t="s">
        <v>1244</v>
      </c>
      <c r="B44" t="s">
        <v>1203</v>
      </c>
      <c r="C44" s="13" t="s">
        <v>1245</v>
      </c>
      <c r="D44" t="s">
        <v>1246</v>
      </c>
      <c r="E44" s="13"/>
    </row>
    <row r="45" spans="1:5" x14ac:dyDescent="0.2">
      <c r="A45" t="s">
        <v>1247</v>
      </c>
      <c r="B45" t="s">
        <v>1248</v>
      </c>
      <c r="C45" s="13" t="s">
        <v>1249</v>
      </c>
      <c r="D45" t="s">
        <v>1125</v>
      </c>
      <c r="E45" s="13"/>
    </row>
    <row r="46" spans="1:5" x14ac:dyDescent="0.2">
      <c r="A46" t="s">
        <v>1250</v>
      </c>
      <c r="B46" t="s">
        <v>1248</v>
      </c>
      <c r="C46" s="13" t="s">
        <v>1251</v>
      </c>
      <c r="D46" t="s">
        <v>1217</v>
      </c>
      <c r="E46" s="13"/>
    </row>
    <row r="47" spans="1:5" x14ac:dyDescent="0.2">
      <c r="A47" t="s">
        <v>1252</v>
      </c>
      <c r="B47" t="s">
        <v>1248</v>
      </c>
      <c r="C47" s="13" t="s">
        <v>1253</v>
      </c>
      <c r="E47" s="13" t="s">
        <v>1254</v>
      </c>
    </row>
    <row r="48" spans="1:5" x14ac:dyDescent="0.2">
      <c r="A48" t="s">
        <v>1255</v>
      </c>
      <c r="B48" t="s">
        <v>1248</v>
      </c>
      <c r="C48" s="13" t="s">
        <v>1256</v>
      </c>
      <c r="E48" s="13" t="s">
        <v>1257</v>
      </c>
    </row>
    <row r="49" spans="1:5" x14ac:dyDescent="0.2">
      <c r="A49" t="s">
        <v>1258</v>
      </c>
      <c r="B49" t="s">
        <v>1248</v>
      </c>
      <c r="C49" s="13" t="s">
        <v>1259</v>
      </c>
      <c r="D49" t="s">
        <v>1242</v>
      </c>
      <c r="E49" s="13"/>
    </row>
    <row r="50" spans="1:5" x14ac:dyDescent="0.2">
      <c r="A50" t="s">
        <v>1260</v>
      </c>
      <c r="B50" t="s">
        <v>1248</v>
      </c>
      <c r="C50" s="13" t="s">
        <v>1261</v>
      </c>
      <c r="D50" t="s">
        <v>1125</v>
      </c>
      <c r="E50" s="13"/>
    </row>
    <row r="51" spans="1:5" x14ac:dyDescent="0.2">
      <c r="A51" t="s">
        <v>1262</v>
      </c>
      <c r="B51" t="s">
        <v>1248</v>
      </c>
      <c r="C51" s="13" t="s">
        <v>1263</v>
      </c>
      <c r="D51" t="s">
        <v>1242</v>
      </c>
      <c r="E51" s="13" t="s">
        <v>1264</v>
      </c>
    </row>
    <row r="52" spans="1:5" x14ac:dyDescent="0.2">
      <c r="A52" t="s">
        <v>1265</v>
      </c>
      <c r="B52" t="s">
        <v>1248</v>
      </c>
      <c r="C52" s="13" t="s">
        <v>1266</v>
      </c>
      <c r="D52" t="s">
        <v>1267</v>
      </c>
      <c r="E52" s="13" t="s">
        <v>1268</v>
      </c>
    </row>
    <row r="53" spans="1:5" x14ac:dyDescent="0.2">
      <c r="A53" t="s">
        <v>1269</v>
      </c>
      <c r="B53" t="s">
        <v>1248</v>
      </c>
      <c r="C53" s="13" t="s">
        <v>1270</v>
      </c>
      <c r="D53" t="s">
        <v>1242</v>
      </c>
      <c r="E53" s="13"/>
    </row>
    <row r="54" spans="1:5" x14ac:dyDescent="0.2">
      <c r="A54" t="s">
        <v>1271</v>
      </c>
      <c r="B54" t="s">
        <v>1248</v>
      </c>
      <c r="C54" s="13" t="s">
        <v>1272</v>
      </c>
      <c r="D54" t="s">
        <v>1242</v>
      </c>
      <c r="E54" s="13" t="s">
        <v>1273</v>
      </c>
    </row>
    <row r="55" spans="1:5" ht="30" customHeight="1" x14ac:dyDescent="0.2">
      <c r="A55" t="s">
        <v>1274</v>
      </c>
      <c r="B55" t="s">
        <v>1248</v>
      </c>
      <c r="C55" s="13" t="s">
        <v>1275</v>
      </c>
      <c r="D55" t="s">
        <v>1217</v>
      </c>
      <c r="E55" s="13" t="s">
        <v>1276</v>
      </c>
    </row>
    <row r="56" spans="1:5" x14ac:dyDescent="0.2">
      <c r="A56" t="s">
        <v>1277</v>
      </c>
      <c r="B56" t="s">
        <v>1278</v>
      </c>
      <c r="C56" s="13" t="s">
        <v>1279</v>
      </c>
      <c r="E56" s="13"/>
    </row>
    <row r="57" spans="1:5" x14ac:dyDescent="0.2">
      <c r="A57" t="s">
        <v>1280</v>
      </c>
      <c r="B57" t="s">
        <v>1278</v>
      </c>
      <c r="C57" s="13" t="s">
        <v>1281</v>
      </c>
      <c r="D57" t="s">
        <v>1282</v>
      </c>
      <c r="E57" s="13" t="s">
        <v>1283</v>
      </c>
    </row>
    <row r="58" spans="1:5" x14ac:dyDescent="0.2">
      <c r="A58" t="s">
        <v>1284</v>
      </c>
      <c r="B58" t="s">
        <v>1278</v>
      </c>
      <c r="C58" s="13" t="s">
        <v>1285</v>
      </c>
      <c r="E58" s="13"/>
    </row>
    <row r="59" spans="1:5" x14ac:dyDescent="0.2">
      <c r="A59" t="s">
        <v>1286</v>
      </c>
      <c r="B59" t="s">
        <v>1278</v>
      </c>
      <c r="C59" s="13" t="s">
        <v>1287</v>
      </c>
      <c r="E59" s="13"/>
    </row>
    <row r="60" spans="1:5" x14ac:dyDescent="0.2">
      <c r="A60" t="s">
        <v>1288</v>
      </c>
      <c r="B60" t="s">
        <v>1278</v>
      </c>
      <c r="C60" s="13" t="s">
        <v>1289</v>
      </c>
      <c r="E60" s="13"/>
    </row>
    <row r="61" spans="1:5" x14ac:dyDescent="0.2">
      <c r="A61" t="s">
        <v>1290</v>
      </c>
      <c r="B61" t="s">
        <v>1278</v>
      </c>
      <c r="C61" s="13" t="s">
        <v>1291</v>
      </c>
      <c r="E61" s="13"/>
    </row>
    <row r="62" spans="1:5" x14ac:dyDescent="0.2">
      <c r="A62" t="s">
        <v>1292</v>
      </c>
      <c r="B62" t="s">
        <v>1278</v>
      </c>
      <c r="C62" s="13" t="s">
        <v>475</v>
      </c>
      <c r="E62" s="13"/>
    </row>
    <row r="63" spans="1:5" x14ac:dyDescent="0.2">
      <c r="A63" t="s">
        <v>1293</v>
      </c>
      <c r="B63" t="s">
        <v>1278</v>
      </c>
      <c r="C63" s="13" t="s">
        <v>1294</v>
      </c>
      <c r="E63" s="13"/>
    </row>
    <row r="64" spans="1:5" x14ac:dyDescent="0.2">
      <c r="A64" t="s">
        <v>1295</v>
      </c>
      <c r="B64" t="s">
        <v>1278</v>
      </c>
      <c r="C64" s="13" t="s">
        <v>1296</v>
      </c>
      <c r="E64" s="13"/>
    </row>
    <row r="65" spans="1:5" x14ac:dyDescent="0.2">
      <c r="A65" t="s">
        <v>1297</v>
      </c>
      <c r="B65" t="s">
        <v>1278</v>
      </c>
      <c r="C65" s="13" t="s">
        <v>1298</v>
      </c>
      <c r="E65" s="13"/>
    </row>
    <row r="66" spans="1:5" x14ac:dyDescent="0.2">
      <c r="A66" t="s">
        <v>1299</v>
      </c>
      <c r="B66" t="s">
        <v>1278</v>
      </c>
      <c r="C66" s="13" t="s">
        <v>1300</v>
      </c>
      <c r="E66" s="13"/>
    </row>
    <row r="67" spans="1:5" x14ac:dyDescent="0.2">
      <c r="A67" t="s">
        <v>1301</v>
      </c>
      <c r="B67" t="s">
        <v>1278</v>
      </c>
      <c r="C67" s="13" t="s">
        <v>1302</v>
      </c>
      <c r="D67" t="s">
        <v>1125</v>
      </c>
      <c r="E67" s="13"/>
    </row>
    <row r="68" spans="1:5" ht="30" customHeight="1" x14ac:dyDescent="0.2">
      <c r="A68" t="s">
        <v>1303</v>
      </c>
      <c r="B68" t="s">
        <v>1278</v>
      </c>
      <c r="C68" s="13" t="s">
        <v>1304</v>
      </c>
      <c r="D68" t="s">
        <v>1305</v>
      </c>
      <c r="E68" s="13" t="s">
        <v>1306</v>
      </c>
    </row>
    <row r="69" spans="1:5" x14ac:dyDescent="0.2">
      <c r="A69" t="s">
        <v>1307</v>
      </c>
      <c r="B69" t="s">
        <v>1278</v>
      </c>
      <c r="C69" s="13" t="s">
        <v>1308</v>
      </c>
      <c r="D69" t="s">
        <v>1125</v>
      </c>
      <c r="E69" s="13" t="s">
        <v>1309</v>
      </c>
    </row>
    <row r="70" spans="1:5" ht="30" customHeight="1" x14ac:dyDescent="0.2">
      <c r="A70" t="s">
        <v>1310</v>
      </c>
      <c r="B70" t="s">
        <v>1278</v>
      </c>
      <c r="C70" s="13" t="s">
        <v>1311</v>
      </c>
      <c r="D70" t="s">
        <v>1125</v>
      </c>
      <c r="E70" s="13" t="s">
        <v>1312</v>
      </c>
    </row>
    <row r="71" spans="1:5" x14ac:dyDescent="0.2">
      <c r="A71" t="s">
        <v>1313</v>
      </c>
      <c r="B71" t="s">
        <v>1278</v>
      </c>
      <c r="C71" s="13" t="s">
        <v>1314</v>
      </c>
      <c r="D71" t="s">
        <v>1315</v>
      </c>
      <c r="E71" s="13" t="s">
        <v>1316</v>
      </c>
    </row>
    <row r="72" spans="1:5" ht="30" customHeight="1" x14ac:dyDescent="0.2">
      <c r="A72" t="s">
        <v>1317</v>
      </c>
      <c r="B72" t="s">
        <v>1278</v>
      </c>
      <c r="C72" s="13" t="s">
        <v>1318</v>
      </c>
      <c r="D72" t="s">
        <v>1319</v>
      </c>
      <c r="E72" s="13" t="s">
        <v>1320</v>
      </c>
    </row>
    <row r="73" spans="1:5" ht="30" customHeight="1" x14ac:dyDescent="0.2">
      <c r="A73" t="s">
        <v>1321</v>
      </c>
      <c r="B73" t="s">
        <v>1278</v>
      </c>
      <c r="C73" s="13" t="s">
        <v>1322</v>
      </c>
      <c r="E73" s="13" t="s">
        <v>1323</v>
      </c>
    </row>
    <row r="74" spans="1:5" x14ac:dyDescent="0.2">
      <c r="A74" t="s">
        <v>1324</v>
      </c>
      <c r="B74" t="s">
        <v>1278</v>
      </c>
      <c r="C74" s="13" t="s">
        <v>1325</v>
      </c>
      <c r="E74" s="13"/>
    </row>
    <row r="75" spans="1:5" x14ac:dyDescent="0.2">
      <c r="A75" t="s">
        <v>1326</v>
      </c>
      <c r="B75" t="s">
        <v>1278</v>
      </c>
      <c r="C75" s="13" t="s">
        <v>1327</v>
      </c>
      <c r="D75" t="s">
        <v>1125</v>
      </c>
      <c r="E75" s="13"/>
    </row>
    <row r="76" spans="1:5" x14ac:dyDescent="0.2">
      <c r="A76" t="s">
        <v>1328</v>
      </c>
      <c r="B76" t="s">
        <v>1278</v>
      </c>
      <c r="C76" s="13" t="s">
        <v>1329</v>
      </c>
      <c r="E76" s="13" t="s">
        <v>1330</v>
      </c>
    </row>
    <row r="77" spans="1:5" x14ac:dyDescent="0.2">
      <c r="A77" t="s">
        <v>1331</v>
      </c>
      <c r="B77" t="s">
        <v>1278</v>
      </c>
      <c r="C77" s="13" t="s">
        <v>1332</v>
      </c>
      <c r="D77" t="s">
        <v>1125</v>
      </c>
      <c r="E77" s="13"/>
    </row>
    <row r="78" spans="1:5" ht="30" customHeight="1" x14ac:dyDescent="0.2">
      <c r="A78" t="s">
        <v>1333</v>
      </c>
      <c r="B78" t="s">
        <v>1278</v>
      </c>
      <c r="C78" s="13" t="s">
        <v>1334</v>
      </c>
      <c r="D78" t="s">
        <v>1335</v>
      </c>
      <c r="E78" s="13"/>
    </row>
    <row r="79" spans="1:5" ht="30" customHeight="1" x14ac:dyDescent="0.2">
      <c r="A79" t="s">
        <v>1336</v>
      </c>
      <c r="B79" t="s">
        <v>1278</v>
      </c>
      <c r="C79" s="13" t="s">
        <v>1337</v>
      </c>
      <c r="D79" t="s">
        <v>1125</v>
      </c>
      <c r="E79" s="13"/>
    </row>
    <row r="80" spans="1:5" ht="30" customHeight="1" x14ac:dyDescent="0.2">
      <c r="A80" t="s">
        <v>1338</v>
      </c>
      <c r="B80" t="s">
        <v>1278</v>
      </c>
      <c r="C80" s="13" t="s">
        <v>1339</v>
      </c>
      <c r="D80" t="s">
        <v>1125</v>
      </c>
      <c r="E80" s="13"/>
    </row>
    <row r="81" spans="1:5" x14ac:dyDescent="0.2">
      <c r="A81" t="s">
        <v>1340</v>
      </c>
      <c r="B81" t="s">
        <v>1278</v>
      </c>
      <c r="C81" s="13" t="s">
        <v>1341</v>
      </c>
      <c r="D81" t="s">
        <v>1125</v>
      </c>
      <c r="E81" s="13"/>
    </row>
    <row r="82" spans="1:5" ht="30" customHeight="1" x14ac:dyDescent="0.2">
      <c r="A82" t="s">
        <v>1342</v>
      </c>
      <c r="B82" t="s">
        <v>1278</v>
      </c>
      <c r="C82" s="13" t="s">
        <v>1343</v>
      </c>
      <c r="E82" s="13"/>
    </row>
    <row r="83" spans="1:5" x14ac:dyDescent="0.2">
      <c r="A83" t="s">
        <v>1344</v>
      </c>
      <c r="B83" t="s">
        <v>1278</v>
      </c>
      <c r="C83" s="13" t="s">
        <v>1345</v>
      </c>
      <c r="E83" s="13"/>
    </row>
    <row r="84" spans="1:5" ht="30" customHeight="1" x14ac:dyDescent="0.2">
      <c r="A84" t="s">
        <v>1346</v>
      </c>
      <c r="B84" t="s">
        <v>1278</v>
      </c>
      <c r="C84" s="13" t="s">
        <v>1347</v>
      </c>
      <c r="D84" t="s">
        <v>1348</v>
      </c>
      <c r="E84" s="13"/>
    </row>
    <row r="85" spans="1:5" ht="45" customHeight="1" x14ac:dyDescent="0.2">
      <c r="A85" t="s">
        <v>1349</v>
      </c>
      <c r="B85" t="s">
        <v>1278</v>
      </c>
      <c r="C85" s="13" t="s">
        <v>1350</v>
      </c>
      <c r="D85" t="s">
        <v>1348</v>
      </c>
      <c r="E85" s="13"/>
    </row>
    <row r="86" spans="1:5" ht="30" customHeight="1" x14ac:dyDescent="0.2">
      <c r="A86" t="s">
        <v>1351</v>
      </c>
      <c r="B86" t="s">
        <v>1278</v>
      </c>
      <c r="C86" s="13" t="s">
        <v>1352</v>
      </c>
      <c r="D86" t="s">
        <v>1348</v>
      </c>
      <c r="E86" s="13"/>
    </row>
    <row r="87" spans="1:5" x14ac:dyDescent="0.2">
      <c r="A87" t="s">
        <v>1353</v>
      </c>
      <c r="B87" t="s">
        <v>1278</v>
      </c>
      <c r="C87" s="13" t="s">
        <v>1354</v>
      </c>
      <c r="D87" t="s">
        <v>1348</v>
      </c>
      <c r="E87" s="13"/>
    </row>
    <row r="88" spans="1:5" x14ac:dyDescent="0.2">
      <c r="A88" t="s">
        <v>1355</v>
      </c>
      <c r="B88" t="s">
        <v>1278</v>
      </c>
      <c r="C88" s="13" t="s">
        <v>1356</v>
      </c>
      <c r="D88" t="s">
        <v>1125</v>
      </c>
      <c r="E88" s="13"/>
    </row>
    <row r="89" spans="1:5" x14ac:dyDescent="0.2">
      <c r="A89" t="s">
        <v>1357</v>
      </c>
      <c r="B89" t="s">
        <v>1358</v>
      </c>
      <c r="C89" s="13" t="s">
        <v>1359</v>
      </c>
      <c r="E89" s="13"/>
    </row>
    <row r="90" spans="1:5" x14ac:dyDescent="0.2">
      <c r="A90" t="s">
        <v>1360</v>
      </c>
      <c r="B90" t="s">
        <v>1361</v>
      </c>
      <c r="C90" s="13" t="s">
        <v>1362</v>
      </c>
      <c r="E90" s="13"/>
    </row>
    <row r="91" spans="1:5" x14ac:dyDescent="0.2">
      <c r="A91" t="s">
        <v>1363</v>
      </c>
      <c r="B91" t="s">
        <v>1361</v>
      </c>
      <c r="C91" s="13" t="s">
        <v>1364</v>
      </c>
      <c r="E91" s="13" t="s">
        <v>1365</v>
      </c>
    </row>
    <row r="92" spans="1:5" x14ac:dyDescent="0.2">
      <c r="A92" t="s">
        <v>1366</v>
      </c>
      <c r="B92" t="s">
        <v>1361</v>
      </c>
      <c r="C92" s="13" t="s">
        <v>1367</v>
      </c>
      <c r="E92" s="13"/>
    </row>
    <row r="93" spans="1:5" x14ac:dyDescent="0.2">
      <c r="A93" t="s">
        <v>1368</v>
      </c>
      <c r="B93" t="s">
        <v>1358</v>
      </c>
      <c r="C93" s="13" t="s">
        <v>1369</v>
      </c>
      <c r="E93" s="13" t="s">
        <v>1370</v>
      </c>
    </row>
    <row r="94" spans="1:5" x14ac:dyDescent="0.2">
      <c r="A94" t="s">
        <v>1371</v>
      </c>
      <c r="B94" t="s">
        <v>1358</v>
      </c>
      <c r="C94" s="13" t="s">
        <v>1372</v>
      </c>
      <c r="D94" t="s">
        <v>1373</v>
      </c>
      <c r="E94" s="13"/>
    </row>
    <row r="95" spans="1:5" x14ac:dyDescent="0.2">
      <c r="A95" t="s">
        <v>1374</v>
      </c>
      <c r="B95" t="s">
        <v>1358</v>
      </c>
      <c r="C95" s="13" t="s">
        <v>2768</v>
      </c>
      <c r="E95" s="13" t="s">
        <v>1375</v>
      </c>
    </row>
    <row r="96" spans="1:5" x14ac:dyDescent="0.2">
      <c r="A96" t="s">
        <v>1376</v>
      </c>
      <c r="B96" t="s">
        <v>1358</v>
      </c>
      <c r="C96" s="13" t="s">
        <v>2769</v>
      </c>
      <c r="E96" s="13"/>
    </row>
    <row r="97" spans="1:5" x14ac:dyDescent="0.2">
      <c r="A97" t="s">
        <v>1377</v>
      </c>
      <c r="B97" t="s">
        <v>1358</v>
      </c>
      <c r="C97" s="13" t="s">
        <v>2770</v>
      </c>
      <c r="E97" s="13"/>
    </row>
    <row r="98" spans="1:5" x14ac:dyDescent="0.2">
      <c r="A98" t="s">
        <v>1378</v>
      </c>
      <c r="B98" t="s">
        <v>1379</v>
      </c>
      <c r="C98" s="13" t="s">
        <v>1380</v>
      </c>
      <c r="D98" t="s">
        <v>1125</v>
      </c>
      <c r="E98" s="13"/>
    </row>
    <row r="99" spans="1:5" x14ac:dyDescent="0.2">
      <c r="A99" t="s">
        <v>1381</v>
      </c>
      <c r="B99" t="s">
        <v>1379</v>
      </c>
      <c r="C99" s="13" t="s">
        <v>1382</v>
      </c>
      <c r="E99" s="13"/>
    </row>
    <row r="100" spans="1:5" x14ac:dyDescent="0.2">
      <c r="A100" t="s">
        <v>1383</v>
      </c>
      <c r="B100" t="s">
        <v>1379</v>
      </c>
      <c r="C100" s="13" t="s">
        <v>1384</v>
      </c>
      <c r="D100" t="s">
        <v>1125</v>
      </c>
      <c r="E100" s="13"/>
    </row>
    <row r="101" spans="1:5" ht="30" customHeight="1" x14ac:dyDescent="0.2">
      <c r="A101" t="s">
        <v>1385</v>
      </c>
      <c r="B101" t="s">
        <v>1379</v>
      </c>
      <c r="C101" s="13" t="s">
        <v>1386</v>
      </c>
      <c r="E101" s="13"/>
    </row>
    <row r="102" spans="1:5" x14ac:dyDescent="0.2">
      <c r="A102" t="s">
        <v>1387</v>
      </c>
      <c r="B102" t="s">
        <v>1379</v>
      </c>
      <c r="C102" s="13" t="s">
        <v>1388</v>
      </c>
      <c r="D102" t="s">
        <v>1389</v>
      </c>
      <c r="E102" s="13"/>
    </row>
    <row r="103" spans="1:5" x14ac:dyDescent="0.2">
      <c r="A103" t="s">
        <v>1390</v>
      </c>
      <c r="B103" t="s">
        <v>1379</v>
      </c>
      <c r="C103" s="13" t="s">
        <v>1391</v>
      </c>
      <c r="E103" s="13"/>
    </row>
    <row r="104" spans="1:5" x14ac:dyDescent="0.2">
      <c r="A104" t="s">
        <v>1392</v>
      </c>
      <c r="B104" t="s">
        <v>1393</v>
      </c>
      <c r="C104" s="13" t="s">
        <v>1394</v>
      </c>
      <c r="E104" s="13" t="s">
        <v>1395</v>
      </c>
    </row>
    <row r="105" spans="1:5" x14ac:dyDescent="0.2">
      <c r="A105" t="s">
        <v>1396</v>
      </c>
      <c r="B105" t="s">
        <v>1397</v>
      </c>
      <c r="C105" s="13" t="s">
        <v>1398</v>
      </c>
      <c r="E105" s="13" t="s">
        <v>1395</v>
      </c>
    </row>
    <row r="106" spans="1:5" x14ac:dyDescent="0.2">
      <c r="A106" t="s">
        <v>1399</v>
      </c>
      <c r="B106" t="s">
        <v>1400</v>
      </c>
      <c r="C106" s="13" t="s">
        <v>1401</v>
      </c>
      <c r="E106" s="13" t="s">
        <v>1402</v>
      </c>
    </row>
    <row r="107" spans="1:5" ht="30" customHeight="1" x14ac:dyDescent="0.2">
      <c r="A107" t="s">
        <v>1403</v>
      </c>
      <c r="B107" t="s">
        <v>1393</v>
      </c>
      <c r="C107" s="13" t="s">
        <v>1404</v>
      </c>
      <c r="E107" s="13"/>
    </row>
    <row r="108" spans="1:5" x14ac:dyDescent="0.2">
      <c r="A108" t="s">
        <v>1405</v>
      </c>
      <c r="B108" t="s">
        <v>1393</v>
      </c>
      <c r="C108" s="13" t="s">
        <v>1406</v>
      </c>
      <c r="D108" t="s">
        <v>1125</v>
      </c>
      <c r="E108" s="13"/>
    </row>
    <row r="109" spans="1:5" x14ac:dyDescent="0.2">
      <c r="A109" t="s">
        <v>1407</v>
      </c>
      <c r="B109" t="s">
        <v>1393</v>
      </c>
      <c r="C109" s="13" t="s">
        <v>1408</v>
      </c>
      <c r="D109" t="s">
        <v>1125</v>
      </c>
      <c r="E109" s="13"/>
    </row>
    <row r="110" spans="1:5" x14ac:dyDescent="0.2">
      <c r="A110" t="s">
        <v>1409</v>
      </c>
      <c r="B110" t="s">
        <v>1393</v>
      </c>
      <c r="C110" s="13" t="s">
        <v>1410</v>
      </c>
      <c r="E110" s="13" t="s">
        <v>1411</v>
      </c>
    </row>
    <row r="111" spans="1:5" x14ac:dyDescent="0.2">
      <c r="A111" t="s">
        <v>1412</v>
      </c>
      <c r="B111" t="s">
        <v>1393</v>
      </c>
      <c r="C111" s="13" t="s">
        <v>1413</v>
      </c>
      <c r="D111" t="s">
        <v>1414</v>
      </c>
      <c r="E111" s="13"/>
    </row>
    <row r="112" spans="1:5" x14ac:dyDescent="0.2">
      <c r="A112" t="s">
        <v>1415</v>
      </c>
      <c r="B112" t="s">
        <v>1397</v>
      </c>
      <c r="C112" s="13" t="s">
        <v>1416</v>
      </c>
      <c r="D112" t="s">
        <v>1417</v>
      </c>
      <c r="E112" s="13" t="s">
        <v>1418</v>
      </c>
    </row>
    <row r="113" spans="1:5" x14ac:dyDescent="0.2">
      <c r="A113" t="s">
        <v>1419</v>
      </c>
      <c r="B113" t="s">
        <v>1397</v>
      </c>
      <c r="C113" s="13" t="s">
        <v>1420</v>
      </c>
      <c r="D113" t="s">
        <v>1373</v>
      </c>
      <c r="E113" s="13"/>
    </row>
    <row r="114" spans="1:5" x14ac:dyDescent="0.2">
      <c r="A114" t="s">
        <v>1421</v>
      </c>
      <c r="B114" t="s">
        <v>1397</v>
      </c>
      <c r="C114" s="13" t="s">
        <v>1422</v>
      </c>
      <c r="E114" s="13"/>
    </row>
    <row r="115" spans="1:5" x14ac:dyDescent="0.2">
      <c r="A115" t="s">
        <v>1423</v>
      </c>
      <c r="B115" t="s">
        <v>1397</v>
      </c>
      <c r="C115" s="13" t="s">
        <v>1424</v>
      </c>
      <c r="E115" s="13" t="s">
        <v>1425</v>
      </c>
    </row>
    <row r="116" spans="1:5" ht="45" customHeight="1" x14ac:dyDescent="0.2">
      <c r="A116" t="s">
        <v>1426</v>
      </c>
      <c r="B116" t="s">
        <v>1427</v>
      </c>
      <c r="C116" s="13" t="s">
        <v>1428</v>
      </c>
      <c r="E116" s="13"/>
    </row>
    <row r="117" spans="1:5" ht="45" customHeight="1" x14ac:dyDescent="0.2">
      <c r="A117" t="s">
        <v>1429</v>
      </c>
      <c r="B117" t="s">
        <v>1400</v>
      </c>
      <c r="C117" s="13" t="s">
        <v>1430</v>
      </c>
      <c r="E117" s="13"/>
    </row>
    <row r="118" spans="1:5" x14ac:dyDescent="0.2">
      <c r="A118" t="s">
        <v>1431</v>
      </c>
      <c r="B118" t="s">
        <v>1400</v>
      </c>
      <c r="C118" s="13" t="s">
        <v>1432</v>
      </c>
      <c r="E118" s="13"/>
    </row>
    <row r="119" spans="1:5" x14ac:dyDescent="0.2">
      <c r="A119" t="s">
        <v>1433</v>
      </c>
      <c r="B119" t="s">
        <v>1400</v>
      </c>
      <c r="C119" s="13" t="s">
        <v>1434</v>
      </c>
      <c r="E119" s="13"/>
    </row>
    <row r="120" spans="1:5" ht="30" customHeight="1" x14ac:dyDescent="0.2">
      <c r="A120" t="s">
        <v>1435</v>
      </c>
      <c r="B120" t="s">
        <v>1400</v>
      </c>
      <c r="C120" s="13" t="s">
        <v>1436</v>
      </c>
      <c r="E120" s="13"/>
    </row>
    <row r="121" spans="1:5" ht="30" customHeight="1" x14ac:dyDescent="0.2">
      <c r="A121" t="s">
        <v>1437</v>
      </c>
      <c r="B121" t="s">
        <v>1400</v>
      </c>
      <c r="C121" s="13" t="s">
        <v>1438</v>
      </c>
      <c r="E121" s="13" t="s">
        <v>1439</v>
      </c>
    </row>
    <row r="122" spans="1:5" x14ac:dyDescent="0.2">
      <c r="A122" t="s">
        <v>1440</v>
      </c>
      <c r="B122" t="s">
        <v>1441</v>
      </c>
      <c r="C122" s="13" t="s">
        <v>1442</v>
      </c>
      <c r="E122" s="13" t="s">
        <v>1443</v>
      </c>
    </row>
    <row r="123" spans="1:5" x14ac:dyDescent="0.2">
      <c r="A123" t="s">
        <v>1444</v>
      </c>
      <c r="B123" t="s">
        <v>1441</v>
      </c>
      <c r="C123" s="13" t="s">
        <v>1445</v>
      </c>
      <c r="E123" s="13"/>
    </row>
    <row r="124" spans="1:5" x14ac:dyDescent="0.2">
      <c r="A124" t="s">
        <v>1446</v>
      </c>
      <c r="B124" t="s">
        <v>1441</v>
      </c>
      <c r="C124" s="13" t="s">
        <v>1447</v>
      </c>
      <c r="D124" t="s">
        <v>1125</v>
      </c>
      <c r="E124" s="13"/>
    </row>
    <row r="125" spans="1:5" x14ac:dyDescent="0.2">
      <c r="A125" t="s">
        <v>1448</v>
      </c>
      <c r="B125" t="s">
        <v>1441</v>
      </c>
      <c r="C125" s="13" t="s">
        <v>1449</v>
      </c>
      <c r="E125" s="13"/>
    </row>
    <row r="126" spans="1:5" x14ac:dyDescent="0.2">
      <c r="A126" t="s">
        <v>1450</v>
      </c>
      <c r="B126" t="s">
        <v>1441</v>
      </c>
      <c r="C126" s="13" t="s">
        <v>1451</v>
      </c>
      <c r="E126" s="13"/>
    </row>
    <row r="127" spans="1:5" x14ac:dyDescent="0.2">
      <c r="A127" t="s">
        <v>1452</v>
      </c>
      <c r="B127" t="s">
        <v>1441</v>
      </c>
      <c r="C127" s="13" t="s">
        <v>1453</v>
      </c>
      <c r="D127" t="s">
        <v>1454</v>
      </c>
      <c r="E127" s="13"/>
    </row>
    <row r="128" spans="1:5" x14ac:dyDescent="0.2">
      <c r="A128" t="s">
        <v>1455</v>
      </c>
      <c r="B128" t="s">
        <v>1441</v>
      </c>
      <c r="C128" s="13" t="s">
        <v>1456</v>
      </c>
      <c r="D128" t="s">
        <v>1125</v>
      </c>
      <c r="E128" s="13" t="s">
        <v>1457</v>
      </c>
    </row>
    <row r="129" spans="1:5" x14ac:dyDescent="0.2">
      <c r="A129" t="s">
        <v>1458</v>
      </c>
      <c r="B129" t="s">
        <v>1441</v>
      </c>
      <c r="C129" s="13" t="s">
        <v>1459</v>
      </c>
      <c r="D129" t="s">
        <v>1460</v>
      </c>
      <c r="E129" s="13"/>
    </row>
    <row r="130" spans="1:5" x14ac:dyDescent="0.2">
      <c r="A130" t="s">
        <v>1461</v>
      </c>
      <c r="B130" t="s">
        <v>1441</v>
      </c>
      <c r="C130" s="13" t="s">
        <v>1462</v>
      </c>
      <c r="D130" t="s">
        <v>1460</v>
      </c>
      <c r="E130" s="13"/>
    </row>
    <row r="131" spans="1:5" x14ac:dyDescent="0.2">
      <c r="A131" t="s">
        <v>1463</v>
      </c>
      <c r="B131" t="s">
        <v>1441</v>
      </c>
      <c r="C131" s="13" t="s">
        <v>1464</v>
      </c>
      <c r="D131" t="s">
        <v>1125</v>
      </c>
      <c r="E131" s="13"/>
    </row>
    <row r="132" spans="1:5" x14ac:dyDescent="0.2">
      <c r="A132" t="s">
        <v>1465</v>
      </c>
      <c r="B132" t="s">
        <v>1441</v>
      </c>
      <c r="C132" s="13" t="s">
        <v>1466</v>
      </c>
      <c r="D132" t="s">
        <v>1125</v>
      </c>
      <c r="E132" s="13"/>
    </row>
    <row r="133" spans="1:5" x14ac:dyDescent="0.2">
      <c r="A133" t="s">
        <v>1467</v>
      </c>
      <c r="B133" t="s">
        <v>1393</v>
      </c>
      <c r="C133" s="13" t="s">
        <v>1468</v>
      </c>
      <c r="D133" t="s">
        <v>1469</v>
      </c>
      <c r="E133" s="13"/>
    </row>
    <row r="134" spans="1:5" ht="30" customHeight="1" x14ac:dyDescent="0.2">
      <c r="A134" t="s">
        <v>1470</v>
      </c>
      <c r="B134" t="s">
        <v>1358</v>
      </c>
      <c r="C134" s="13" t="s">
        <v>1471</v>
      </c>
      <c r="E134" s="13" t="s">
        <v>1472</v>
      </c>
    </row>
    <row r="135" spans="1:5" ht="30" customHeight="1" x14ac:dyDescent="0.2">
      <c r="A135" t="s">
        <v>1473</v>
      </c>
      <c r="B135" t="s">
        <v>1474</v>
      </c>
      <c r="C135" s="13" t="s">
        <v>1475</v>
      </c>
      <c r="E135" s="13" t="s">
        <v>1476</v>
      </c>
    </row>
    <row r="136" spans="1:5" x14ac:dyDescent="0.2">
      <c r="A136" t="s">
        <v>1477</v>
      </c>
      <c r="B136" t="s">
        <v>1474</v>
      </c>
      <c r="C136" s="13" t="s">
        <v>1478</v>
      </c>
      <c r="E136" s="13"/>
    </row>
    <row r="137" spans="1:5" x14ac:dyDescent="0.2">
      <c r="A137" t="s">
        <v>1479</v>
      </c>
      <c r="B137" t="s">
        <v>1474</v>
      </c>
      <c r="C137" s="13" t="s">
        <v>1480</v>
      </c>
      <c r="E137" s="13"/>
    </row>
    <row r="138" spans="1:5" ht="30" customHeight="1" x14ac:dyDescent="0.2">
      <c r="A138" t="s">
        <v>1481</v>
      </c>
      <c r="B138" t="s">
        <v>1474</v>
      </c>
      <c r="C138" s="13" t="s">
        <v>1482</v>
      </c>
      <c r="E138" s="13"/>
    </row>
    <row r="139" spans="1:5" x14ac:dyDescent="0.2">
      <c r="A139" t="s">
        <v>1483</v>
      </c>
      <c r="B139" t="s">
        <v>1474</v>
      </c>
      <c r="C139" s="13" t="s">
        <v>1484</v>
      </c>
      <c r="E139" s="13"/>
    </row>
    <row r="140" spans="1:5" x14ac:dyDescent="0.2">
      <c r="A140" t="s">
        <v>1485</v>
      </c>
      <c r="B140" t="s">
        <v>1474</v>
      </c>
      <c r="C140" s="13" t="s">
        <v>1486</v>
      </c>
      <c r="E140" s="13"/>
    </row>
    <row r="141" spans="1:5" x14ac:dyDescent="0.2">
      <c r="A141" t="s">
        <v>1487</v>
      </c>
      <c r="B141" t="s">
        <v>1474</v>
      </c>
      <c r="C141" s="13" t="s">
        <v>1488</v>
      </c>
      <c r="E141" s="13" t="s">
        <v>1489</v>
      </c>
    </row>
    <row r="142" spans="1:5" x14ac:dyDescent="0.2">
      <c r="A142" t="s">
        <v>1490</v>
      </c>
      <c r="B142" t="s">
        <v>1474</v>
      </c>
      <c r="C142" s="13" t="s">
        <v>1491</v>
      </c>
      <c r="E142" s="13"/>
    </row>
    <row r="143" spans="1:5" x14ac:dyDescent="0.2">
      <c r="A143" t="s">
        <v>1492</v>
      </c>
      <c r="B143" t="s">
        <v>1474</v>
      </c>
      <c r="C143" s="13" t="s">
        <v>1493</v>
      </c>
      <c r="D143" t="s">
        <v>1125</v>
      </c>
      <c r="E143" s="13"/>
    </row>
    <row r="144" spans="1:5" x14ac:dyDescent="0.2">
      <c r="A144" t="s">
        <v>1494</v>
      </c>
      <c r="B144" t="s">
        <v>1474</v>
      </c>
      <c r="C144" s="13" t="s">
        <v>1495</v>
      </c>
      <c r="E144" s="13"/>
    </row>
    <row r="145" spans="1:5" x14ac:dyDescent="0.2">
      <c r="A145" t="s">
        <v>1496</v>
      </c>
      <c r="B145" t="s">
        <v>1474</v>
      </c>
      <c r="C145" s="13" t="s">
        <v>1497</v>
      </c>
      <c r="D145" t="s">
        <v>1498</v>
      </c>
      <c r="E145" s="13" t="s">
        <v>1499</v>
      </c>
    </row>
    <row r="146" spans="1:5" x14ac:dyDescent="0.2">
      <c r="A146" t="s">
        <v>1500</v>
      </c>
      <c r="B146" t="s">
        <v>1474</v>
      </c>
      <c r="C146" s="13" t="s">
        <v>1501</v>
      </c>
      <c r="D146" t="s">
        <v>1502</v>
      </c>
      <c r="E146" s="13"/>
    </row>
    <row r="147" spans="1:5" x14ac:dyDescent="0.2">
      <c r="A147" t="s">
        <v>1503</v>
      </c>
      <c r="B147" t="s">
        <v>1474</v>
      </c>
      <c r="C147" s="13" t="s">
        <v>1504</v>
      </c>
      <c r="D147" t="s">
        <v>1125</v>
      </c>
      <c r="E147" s="13" t="s">
        <v>1505</v>
      </c>
    </row>
    <row r="148" spans="1:5" x14ac:dyDescent="0.2">
      <c r="A148" t="s">
        <v>1506</v>
      </c>
      <c r="B148" t="s">
        <v>1474</v>
      </c>
      <c r="C148" s="13" t="s">
        <v>1507</v>
      </c>
      <c r="D148" t="s">
        <v>1348</v>
      </c>
      <c r="E148" s="13" t="s">
        <v>1505</v>
      </c>
    </row>
    <row r="149" spans="1:5" x14ac:dyDescent="0.2">
      <c r="A149" t="s">
        <v>1508</v>
      </c>
      <c r="B149" t="s">
        <v>1474</v>
      </c>
      <c r="C149" s="13" t="s">
        <v>1509</v>
      </c>
      <c r="E149" s="13"/>
    </row>
    <row r="150" spans="1:5" x14ac:dyDescent="0.2">
      <c r="A150" t="s">
        <v>1510</v>
      </c>
      <c r="B150" t="s">
        <v>1474</v>
      </c>
      <c r="C150" s="13" t="s">
        <v>1511</v>
      </c>
      <c r="E150" s="13"/>
    </row>
    <row r="151" spans="1:5" x14ac:dyDescent="0.2">
      <c r="A151" t="s">
        <v>1512</v>
      </c>
      <c r="B151" t="s">
        <v>1474</v>
      </c>
      <c r="C151" s="13" t="s">
        <v>1513</v>
      </c>
      <c r="E151" s="13"/>
    </row>
    <row r="152" spans="1:5" x14ac:dyDescent="0.2">
      <c r="A152" t="s">
        <v>1514</v>
      </c>
      <c r="B152" t="s">
        <v>1474</v>
      </c>
      <c r="C152" s="13" t="s">
        <v>1515</v>
      </c>
      <c r="E152" s="13"/>
    </row>
    <row r="153" spans="1:5" x14ac:dyDescent="0.2">
      <c r="A153" t="s">
        <v>1516</v>
      </c>
      <c r="B153" t="s">
        <v>1474</v>
      </c>
      <c r="C153" s="13" t="s">
        <v>1517</v>
      </c>
      <c r="D153" t="s">
        <v>1117</v>
      </c>
      <c r="E153" s="13"/>
    </row>
    <row r="154" spans="1:5" x14ac:dyDescent="0.2">
      <c r="A154" t="s">
        <v>1518</v>
      </c>
      <c r="B154" t="s">
        <v>1474</v>
      </c>
      <c r="C154" s="13" t="s">
        <v>1519</v>
      </c>
      <c r="E154" s="13"/>
    </row>
    <row r="155" spans="1:5" x14ac:dyDescent="0.2">
      <c r="A155" t="s">
        <v>1520</v>
      </c>
      <c r="B155" t="s">
        <v>1474</v>
      </c>
      <c r="C155" s="13" t="s">
        <v>1521</v>
      </c>
      <c r="E155" s="13"/>
    </row>
    <row r="156" spans="1:5" x14ac:dyDescent="0.2">
      <c r="A156" t="s">
        <v>1522</v>
      </c>
      <c r="B156" t="s">
        <v>1474</v>
      </c>
      <c r="C156" s="13" t="s">
        <v>1523</v>
      </c>
      <c r="D156" t="s">
        <v>1125</v>
      </c>
      <c r="E156" s="13"/>
    </row>
    <row r="157" spans="1:5" x14ac:dyDescent="0.2">
      <c r="A157" t="s">
        <v>1524</v>
      </c>
      <c r="B157" t="s">
        <v>1474</v>
      </c>
      <c r="C157" s="13" t="s">
        <v>1525</v>
      </c>
      <c r="D157" t="s">
        <v>1125</v>
      </c>
      <c r="E157" s="13"/>
    </row>
    <row r="158" spans="1:5" x14ac:dyDescent="0.2">
      <c r="A158" t="s">
        <v>1526</v>
      </c>
      <c r="B158" t="s">
        <v>1527</v>
      </c>
      <c r="C158" s="13" t="s">
        <v>1528</v>
      </c>
      <c r="D158" t="s">
        <v>1529</v>
      </c>
      <c r="E158" s="13"/>
    </row>
    <row r="159" spans="1:5" x14ac:dyDescent="0.2">
      <c r="A159" t="s">
        <v>1530</v>
      </c>
      <c r="B159" t="s">
        <v>1527</v>
      </c>
      <c r="C159" s="13" t="s">
        <v>1531</v>
      </c>
      <c r="D159" t="s">
        <v>1532</v>
      </c>
      <c r="E159" s="13"/>
    </row>
    <row r="160" spans="1:5" x14ac:dyDescent="0.2">
      <c r="A160" t="s">
        <v>1533</v>
      </c>
      <c r="B160" t="s">
        <v>1527</v>
      </c>
      <c r="C160" s="13" t="s">
        <v>1534</v>
      </c>
      <c r="D160" t="s">
        <v>1532</v>
      </c>
      <c r="E160" s="13" t="s">
        <v>1535</v>
      </c>
    </row>
    <row r="161" spans="1:5" x14ac:dyDescent="0.2">
      <c r="A161" t="s">
        <v>1536</v>
      </c>
      <c r="B161" t="s">
        <v>1537</v>
      </c>
      <c r="C161" s="13" t="s">
        <v>1538</v>
      </c>
      <c r="D161" t="s">
        <v>1532</v>
      </c>
      <c r="E161" s="13"/>
    </row>
    <row r="162" spans="1:5" x14ac:dyDescent="0.2">
      <c r="A162" t="s">
        <v>1539</v>
      </c>
      <c r="B162" t="s">
        <v>1540</v>
      </c>
      <c r="C162" s="13" t="s">
        <v>1541</v>
      </c>
      <c r="E162" s="13" t="s">
        <v>1542</v>
      </c>
    </row>
    <row r="163" spans="1:5" x14ac:dyDescent="0.2">
      <c r="A163" t="s">
        <v>1543</v>
      </c>
      <c r="B163" t="s">
        <v>1540</v>
      </c>
      <c r="C163" s="13" t="s">
        <v>1544</v>
      </c>
      <c r="D163" t="s">
        <v>1217</v>
      </c>
      <c r="E163" s="13" t="s">
        <v>1545</v>
      </c>
    </row>
    <row r="164" spans="1:5" x14ac:dyDescent="0.2">
      <c r="A164" t="s">
        <v>1546</v>
      </c>
      <c r="B164" t="s">
        <v>1540</v>
      </c>
      <c r="C164" s="13" t="s">
        <v>1547</v>
      </c>
      <c r="D164" t="s">
        <v>1217</v>
      </c>
      <c r="E164" s="13"/>
    </row>
    <row r="165" spans="1:5" x14ac:dyDescent="0.2">
      <c r="A165" t="s">
        <v>1548</v>
      </c>
      <c r="B165" t="s">
        <v>1540</v>
      </c>
      <c r="C165" s="13" t="s">
        <v>1549</v>
      </c>
      <c r="D165" t="s">
        <v>1217</v>
      </c>
      <c r="E165" s="13"/>
    </row>
    <row r="166" spans="1:5" x14ac:dyDescent="0.2">
      <c r="A166" t="s">
        <v>1550</v>
      </c>
      <c r="B166" t="s">
        <v>1540</v>
      </c>
      <c r="C166" s="13" t="s">
        <v>1551</v>
      </c>
      <c r="D166" t="s">
        <v>1217</v>
      </c>
      <c r="E166" s="13" t="s">
        <v>1552</v>
      </c>
    </row>
    <row r="167" spans="1:5" x14ac:dyDescent="0.2">
      <c r="A167" t="s">
        <v>1553</v>
      </c>
      <c r="B167" t="s">
        <v>1554</v>
      </c>
      <c r="C167" t="s">
        <v>1555</v>
      </c>
      <c r="D167" t="s">
        <v>1556</v>
      </c>
      <c r="E167" t="s">
        <v>1557</v>
      </c>
    </row>
    <row r="168" spans="1:5" x14ac:dyDescent="0.2">
      <c r="A168" t="s">
        <v>1558</v>
      </c>
      <c r="B168" t="s">
        <v>1559</v>
      </c>
      <c r="C168" t="s">
        <v>1560</v>
      </c>
      <c r="D168" t="s">
        <v>1561</v>
      </c>
    </row>
    <row r="169" spans="1:5" x14ac:dyDescent="0.2">
      <c r="A169" t="s">
        <v>1562</v>
      </c>
      <c r="B169" t="s">
        <v>1559</v>
      </c>
      <c r="C169" t="s">
        <v>1563</v>
      </c>
      <c r="D169" t="s">
        <v>1561</v>
      </c>
    </row>
    <row r="170" spans="1:5" x14ac:dyDescent="0.2">
      <c r="A170" t="s">
        <v>1564</v>
      </c>
      <c r="B170" t="s">
        <v>1559</v>
      </c>
      <c r="C170" t="s">
        <v>1565</v>
      </c>
      <c r="D170" t="s">
        <v>1132</v>
      </c>
    </row>
    <row r="171" spans="1:5" x14ac:dyDescent="0.2">
      <c r="A171" t="s">
        <v>1566</v>
      </c>
      <c r="B171" t="s">
        <v>1559</v>
      </c>
      <c r="C171" t="s">
        <v>1567</v>
      </c>
      <c r="D171" t="s">
        <v>1568</v>
      </c>
      <c r="E171" t="s">
        <v>1569</v>
      </c>
    </row>
    <row r="172" spans="1:5" x14ac:dyDescent="0.2">
      <c r="A172" t="s">
        <v>1570</v>
      </c>
      <c r="B172" t="s">
        <v>1571</v>
      </c>
      <c r="C172" t="s">
        <v>1572</v>
      </c>
      <c r="D172" t="s">
        <v>1573</v>
      </c>
      <c r="E172" t="s">
        <v>1574</v>
      </c>
    </row>
    <row r="173" spans="1:5" x14ac:dyDescent="0.2">
      <c r="A173" t="s">
        <v>1575</v>
      </c>
      <c r="B173" t="s">
        <v>1571</v>
      </c>
      <c r="C173" t="s">
        <v>1576</v>
      </c>
      <c r="D173" t="s">
        <v>1577</v>
      </c>
    </row>
    <row r="174" spans="1:5" x14ac:dyDescent="0.2">
      <c r="A174" t="s">
        <v>1578</v>
      </c>
      <c r="B174" t="s">
        <v>1571</v>
      </c>
      <c r="C174" t="s">
        <v>1579</v>
      </c>
      <c r="D174" t="s">
        <v>1568</v>
      </c>
    </row>
    <row r="175" spans="1:5" x14ac:dyDescent="0.2">
      <c r="A175" t="s">
        <v>1580</v>
      </c>
      <c r="B175" t="s">
        <v>1571</v>
      </c>
      <c r="C175" t="s">
        <v>1581</v>
      </c>
      <c r="D175" t="s">
        <v>1582</v>
      </c>
      <c r="E175" t="s">
        <v>1583</v>
      </c>
    </row>
    <row r="176" spans="1:5" x14ac:dyDescent="0.2">
      <c r="A176" t="s">
        <v>1584</v>
      </c>
      <c r="B176" t="s">
        <v>1571</v>
      </c>
      <c r="C176" t="s">
        <v>1585</v>
      </c>
      <c r="D176" t="s">
        <v>1568</v>
      </c>
    </row>
    <row r="177" spans="1:5" x14ac:dyDescent="0.2">
      <c r="A177" t="s">
        <v>1586</v>
      </c>
      <c r="B177" t="s">
        <v>1587</v>
      </c>
      <c r="C177" t="s">
        <v>1588</v>
      </c>
      <c r="D177" t="s">
        <v>1125</v>
      </c>
    </row>
    <row r="178" spans="1:5" x14ac:dyDescent="0.2">
      <c r="A178" t="s">
        <v>1589</v>
      </c>
      <c r="B178" t="s">
        <v>1587</v>
      </c>
      <c r="C178" t="s">
        <v>1590</v>
      </c>
      <c r="D178" t="s">
        <v>1125</v>
      </c>
    </row>
    <row r="179" spans="1:5" x14ac:dyDescent="0.2">
      <c r="A179" t="s">
        <v>1591</v>
      </c>
      <c r="B179" t="s">
        <v>1587</v>
      </c>
      <c r="C179" t="s">
        <v>1592</v>
      </c>
      <c r="D179" t="s">
        <v>1125</v>
      </c>
    </row>
    <row r="180" spans="1:5" x14ac:dyDescent="0.2">
      <c r="A180" t="s">
        <v>1593</v>
      </c>
      <c r="B180" t="s">
        <v>1559</v>
      </c>
      <c r="C180" t="s">
        <v>1594</v>
      </c>
      <c r="D180" t="s">
        <v>1595</v>
      </c>
    </row>
    <row r="181" spans="1:5" x14ac:dyDescent="0.2">
      <c r="A181" t="s">
        <v>1596</v>
      </c>
      <c r="B181" t="s">
        <v>1559</v>
      </c>
      <c r="C181" t="s">
        <v>1597</v>
      </c>
      <c r="D181" t="s">
        <v>1568</v>
      </c>
    </row>
    <row r="182" spans="1:5" x14ac:dyDescent="0.2">
      <c r="A182" t="s">
        <v>1598</v>
      </c>
      <c r="B182" t="s">
        <v>1599</v>
      </c>
      <c r="C182" t="s">
        <v>1600</v>
      </c>
      <c r="D182" t="s">
        <v>1568</v>
      </c>
    </row>
    <row r="183" spans="1:5" x14ac:dyDescent="0.2">
      <c r="A183" t="s">
        <v>1601</v>
      </c>
      <c r="B183" t="s">
        <v>1602</v>
      </c>
      <c r="C183" t="s">
        <v>1603</v>
      </c>
      <c r="D183" t="s">
        <v>1604</v>
      </c>
    </row>
    <row r="184" spans="1:5" x14ac:dyDescent="0.2">
      <c r="A184" t="s">
        <v>1605</v>
      </c>
      <c r="B184" t="s">
        <v>1606</v>
      </c>
      <c r="C184" t="s">
        <v>1607</v>
      </c>
      <c r="D184" t="s">
        <v>1608</v>
      </c>
    </row>
    <row r="185" spans="1:5" x14ac:dyDescent="0.2">
      <c r="A185" t="s">
        <v>1609</v>
      </c>
      <c r="B185" t="s">
        <v>1606</v>
      </c>
      <c r="C185" t="s">
        <v>1610</v>
      </c>
      <c r="D185" t="s">
        <v>1608</v>
      </c>
    </row>
    <row r="186" spans="1:5" x14ac:dyDescent="0.2">
      <c r="A186" t="s">
        <v>1611</v>
      </c>
      <c r="B186" t="s">
        <v>1612</v>
      </c>
      <c r="C186" t="s">
        <v>1613</v>
      </c>
      <c r="D186" t="s">
        <v>1217</v>
      </c>
    </row>
    <row r="187" spans="1:5" x14ac:dyDescent="0.2">
      <c r="A187" t="s">
        <v>1614</v>
      </c>
      <c r="B187" t="s">
        <v>1612</v>
      </c>
      <c r="C187" t="s">
        <v>1615</v>
      </c>
      <c r="D187" t="s">
        <v>1217</v>
      </c>
      <c r="E187" t="s">
        <v>1616</v>
      </c>
    </row>
    <row r="188" spans="1:5" x14ac:dyDescent="0.2">
      <c r="A188" t="s">
        <v>1617</v>
      </c>
      <c r="B188" t="s">
        <v>1612</v>
      </c>
      <c r="C188" t="s">
        <v>1618</v>
      </c>
      <c r="D188" t="s">
        <v>1568</v>
      </c>
    </row>
    <row r="189" spans="1:5" x14ac:dyDescent="0.2">
      <c r="A189" t="s">
        <v>1619</v>
      </c>
      <c r="B189" t="s">
        <v>1612</v>
      </c>
      <c r="C189" t="s">
        <v>1620</v>
      </c>
      <c r="D189" t="s">
        <v>1228</v>
      </c>
    </row>
    <row r="190" spans="1:5" x14ac:dyDescent="0.2">
      <c r="A190" t="s">
        <v>1621</v>
      </c>
      <c r="B190" t="s">
        <v>1612</v>
      </c>
      <c r="C190" t="s">
        <v>1622</v>
      </c>
      <c r="D190" t="s">
        <v>1623</v>
      </c>
    </row>
    <row r="191" spans="1:5" x14ac:dyDescent="0.2">
      <c r="A191" t="s">
        <v>1624</v>
      </c>
      <c r="B191" t="s">
        <v>1612</v>
      </c>
      <c r="C191" t="s">
        <v>1625</v>
      </c>
      <c r="D191" t="s">
        <v>1626</v>
      </c>
    </row>
    <row r="192" spans="1:5" x14ac:dyDescent="0.2">
      <c r="A192" t="s">
        <v>1627</v>
      </c>
      <c r="B192" t="s">
        <v>1612</v>
      </c>
      <c r="C192" t="s">
        <v>1628</v>
      </c>
      <c r="D192" t="s">
        <v>1568</v>
      </c>
      <c r="E192" t="s">
        <v>1629</v>
      </c>
    </row>
    <row r="193" spans="1:5" x14ac:dyDescent="0.2">
      <c r="A193" t="s">
        <v>1630</v>
      </c>
      <c r="B193" t="s">
        <v>1631</v>
      </c>
      <c r="C193" t="s">
        <v>1632</v>
      </c>
      <c r="D193" t="s">
        <v>1125</v>
      </c>
    </row>
    <row r="194" spans="1:5" x14ac:dyDescent="0.2">
      <c r="A194" t="s">
        <v>1633</v>
      </c>
      <c r="B194" t="s">
        <v>1631</v>
      </c>
      <c r="C194" t="s">
        <v>1634</v>
      </c>
      <c r="D194" t="s">
        <v>1125</v>
      </c>
    </row>
    <row r="195" spans="1:5" x14ac:dyDescent="0.2">
      <c r="A195" t="s">
        <v>1635</v>
      </c>
      <c r="B195" t="s">
        <v>1631</v>
      </c>
      <c r="C195" t="s">
        <v>1636</v>
      </c>
      <c r="D195" t="s">
        <v>1125</v>
      </c>
    </row>
    <row r="196" spans="1:5" x14ac:dyDescent="0.2">
      <c r="A196" t="s">
        <v>1637</v>
      </c>
      <c r="B196" t="s">
        <v>1631</v>
      </c>
      <c r="C196" t="s">
        <v>1638</v>
      </c>
      <c r="D196" t="s">
        <v>1125</v>
      </c>
    </row>
    <row r="197" spans="1:5" x14ac:dyDescent="0.2">
      <c r="A197" t="s">
        <v>1639</v>
      </c>
      <c r="B197" t="s">
        <v>1631</v>
      </c>
      <c r="C197" t="s">
        <v>1640</v>
      </c>
      <c r="D197" t="s">
        <v>1217</v>
      </c>
      <c r="E197" t="s">
        <v>1583</v>
      </c>
    </row>
    <row r="198" spans="1:5" x14ac:dyDescent="0.2">
      <c r="A198" t="s">
        <v>1641</v>
      </c>
      <c r="B198" t="s">
        <v>1631</v>
      </c>
      <c r="C198" t="s">
        <v>1642</v>
      </c>
      <c r="D198" t="s">
        <v>1568</v>
      </c>
    </row>
    <row r="199" spans="1:5" x14ac:dyDescent="0.2">
      <c r="A199" t="s">
        <v>1643</v>
      </c>
      <c r="B199" t="s">
        <v>1631</v>
      </c>
      <c r="C199" t="s">
        <v>1644</v>
      </c>
      <c r="D199" t="s">
        <v>1568</v>
      </c>
    </row>
    <row r="200" spans="1:5" x14ac:dyDescent="0.2">
      <c r="A200" t="s">
        <v>1645</v>
      </c>
      <c r="B200" t="s">
        <v>1646</v>
      </c>
      <c r="C200" t="s">
        <v>1647</v>
      </c>
      <c r="D200" t="s">
        <v>1648</v>
      </c>
    </row>
    <row r="201" spans="1:5" x14ac:dyDescent="0.2">
      <c r="A201" t="s">
        <v>1649</v>
      </c>
      <c r="B201" t="s">
        <v>1646</v>
      </c>
      <c r="C201" t="s">
        <v>1650</v>
      </c>
      <c r="D201" t="s">
        <v>1651</v>
      </c>
    </row>
    <row r="203" spans="1:5" x14ac:dyDescent="0.2">
      <c r="A203" t="s">
        <v>2825</v>
      </c>
      <c r="B203" t="s">
        <v>2826</v>
      </c>
      <c r="C203" t="s">
        <v>2784</v>
      </c>
    </row>
    <row r="204" spans="1:5" x14ac:dyDescent="0.2">
      <c r="A204" t="s">
        <v>2827</v>
      </c>
      <c r="B204" t="s">
        <v>2828</v>
      </c>
      <c r="C204" t="s">
        <v>2829</v>
      </c>
    </row>
    <row r="205" spans="1:5" x14ac:dyDescent="0.2">
      <c r="A205" t="s">
        <v>2830</v>
      </c>
      <c r="B205" t="s">
        <v>2831</v>
      </c>
      <c r="C205" t="s">
        <v>2832</v>
      </c>
      <c r="D205" t="s">
        <v>2833</v>
      </c>
    </row>
    <row r="206" spans="1:5" x14ac:dyDescent="0.2">
      <c r="A206" t="s">
        <v>2834</v>
      </c>
      <c r="B206" t="s">
        <v>2835</v>
      </c>
      <c r="C206" t="s">
        <v>2836</v>
      </c>
    </row>
    <row r="207" spans="1:5" x14ac:dyDescent="0.2">
      <c r="A207" t="s">
        <v>2837</v>
      </c>
      <c r="B207" t="s">
        <v>2838</v>
      </c>
      <c r="C207" t="s">
        <v>2839</v>
      </c>
      <c r="D207" t="s">
        <v>2840</v>
      </c>
    </row>
    <row r="208" spans="1:5" x14ac:dyDescent="0.2">
      <c r="A208" t="s">
        <v>2841</v>
      </c>
      <c r="B208" t="s">
        <v>2842</v>
      </c>
      <c r="C208" t="s">
        <v>2843</v>
      </c>
      <c r="D208" t="s">
        <v>2844</v>
      </c>
    </row>
    <row r="209" spans="1:3" x14ac:dyDescent="0.2">
      <c r="A209" t="s">
        <v>2845</v>
      </c>
      <c r="B209" t="s">
        <v>2846</v>
      </c>
      <c r="C209" t="s">
        <v>2847</v>
      </c>
    </row>
    <row r="213" spans="1:3" x14ac:dyDescent="0.2">
      <c r="A213" t="s">
        <v>2848</v>
      </c>
    </row>
    <row r="214" spans="1:5">
      <c r="A214" t="inlineStr">
        <is>
          <t xml:space="preserve">office.briefing.surprise_stage</t>
        </is>
      </c>
      <c r="B214" t="inlineStr">
        <is>
          <t xml:space="preserve">Office — briefing</t>
        </is>
      </c>
      <c r="C214" t="inlineStr">
        <is>
          <t xml:space="preserve">Something is coming — you will not know what until you are in the room.</t>
        </is>
      </c>
      <c r="E214" t="inlineStr">
        <is>
          <t xml:space="preserve">Shown in place of a stage's name and opponent when its Reveal In Briefing column is No, so a stage meant as a surprise (an ambush) is not spoiled before the player goes in.</t>
        </is>
      </c>
    </row>
    <row r="215" spans="1:5">
      <c r="A215" t="inlineStr">
        <is>
          <t xml:space="preserve">office.level_cooldown</t>
        </is>
      </c>
      <c r="B215" t="inlineStr">
        <is>
          <t xml:space="preserve">Office — levels</t>
        </is>
      </c>
      <c r="C215" t="inlineStr">
        <is>
          <t xml:space="preserve">{count} more level(s) first</t>
        </is>
      </c>
      <c r="D215" t="inlineStr">
        <is>
          <t xml:space="preserve">count</t>
        </is>
      </c>
      <c r="E215" t="inlineStr">
        <is>
          <t xml:space="preserve">Shown on a level still on cooldown when level_gating_enabled is true.</t>
        </is>
      </c>
    </row>
    <row r="216" spans="1:5">
      <c r="A216" t="inlineStr">
        <is>
          <t xml:space="preserve">office.level_unlock_cost</t>
        </is>
      </c>
      <c r="B216" t="inlineStr">
        <is>
          <t xml:space="preserve">Office — levels</t>
        </is>
      </c>
      <c r="C216" t="inlineStr">
        <is>
          <t xml:space="preserve">Unlock — {cost} XP</t>
        </is>
      </c>
      <c r="D216" t="inlineStr">
        <is>
          <t xml:space="preserve">cost</t>
        </is>
      </c>
      <c r="E216" t="inlineStr">
        <is>
          <t xml:space="preserve">Shown on a locked level button when level_gating_enabled is true and the level is affordable.</t>
        </is>
      </c>
    </row>
    <row r="217" spans="1:5">
      <c r="A217" t="inlineStr">
        <is>
          <t xml:space="preserve">office.look_it_over</t>
        </is>
      </c>
      <c r="B217" t="inlineStr">
        <is>
          <t xml:space="preserve">Office — levels</t>
        </is>
      </c>
      <c r="C217" t="inlineStr">
        <is>
          <t xml:space="preserve">Look it over</t>
        </is>
      </c>
      <c r="E217" t="inlineStr">
        <is>
          <t xml:space="preserve">Was a literal string in OfficeScreen.gd; moved to the Text tab 2026-09-24 alongside the level-gating work.</t>
        </is>
      </c>
    </row>
    <row r="218" spans="1:5">
      <c r="A218" t="inlineStr">
        <is>
          <t xml:space="preserve">shop.level_no_id</t>
        </is>
      </c>
      <c r="B218" t="inlineStr">
        <is>
          <t xml:space="preserve">Shop — refusals</t>
        </is>
      </c>
      <c r="C218" t="inlineStr">
        <is>
          <t xml:space="preserve">This level has no ID.</t>
        </is>
      </c>
      <c r="E218" t="inlineStr">
        <is>
          <t xml:space="preserve">A data-integrity guard, not expected to be seen by a player — every real levels.json row has a level_id.</t>
        </is>
      </c>
    </row>
    <row r="219" spans="1:5">
      <c r="A219" t="inlineStr">
        <is>
          <t xml:space="preserve">inventory.button</t>
        </is>
      </c>
      <c r="B219" t="inlineStr">
        <is>
          <t xml:space="preserve">Office main screen and battle header, Inventory button</t>
        </is>
      </c>
      <c r="C219" t="inlineStr">
        <is>
          <t xml:space="preserve">Inventory</t>
        </is>
      </c>
    </row>
    <row r="220" spans="1:5">
      <c r="A220" t="inlineStr">
        <is>
          <t xml:space="preserve">inventory.title</t>
        </is>
      </c>
      <c r="B220" t="inlineStr">
        <is>
          <t xml:space="preserve">Inventory panel, heading</t>
        </is>
      </c>
      <c r="C220" t="inlineStr">
        <is>
          <t xml:space="preserve">Inventory</t>
        </is>
      </c>
    </row>
    <row r="221" spans="1:5">
      <c r="A221" t="inlineStr">
        <is>
          <t xml:space="preserve">inventory.empty</t>
        </is>
      </c>
      <c r="B221" t="inlineStr">
        <is>
          <t xml:space="preserve">Inventory panel, when nothing is held</t>
        </is>
      </c>
      <c r="C221" t="inlineStr">
        <is>
          <t xml:space="preserve">Nothing here yet. Supplies you buy or are given will appear here.</t>
        </is>
      </c>
    </row>
    <row r="222" spans="1:5">
      <c r="A222" t="inlineStr">
        <is>
          <t xml:space="preserve">inventory.entry</t>
        </is>
      </c>
      <c r="B222" t="inlineStr">
        <is>
          <t xml:space="preserve">Inventory panel, one item's button</t>
        </is>
      </c>
      <c r="C222" t="inlineStr">
        <is>
          <t xml:space="preserve">{name} ×{count}</t>
        </is>
      </c>
      <c r="D222" t="inlineStr">
        <is>
          <t xml:space="preserve">name, count</t>
        </is>
      </c>
    </row>
    <row r="223" spans="1:5">
      <c r="A223" t="inlineStr">
        <is>
          <t xml:space="preserve">item.quantity</t>
        </is>
      </c>
      <c r="B223" t="inlineStr">
        <is>
          <t xml:space="preserve">Item pop-up</t>
        </is>
      </c>
      <c r="C223" t="inlineStr">
        <is>
          <t xml:space="preserve">You have {count}.</t>
        </is>
      </c>
      <c r="D223" t="inlineStr">
        <is>
          <t xml:space="preserve">count</t>
        </is>
      </c>
    </row>
    <row r="224" spans="1:5">
      <c r="A224" t="inlineStr">
        <is>
          <t xml:space="preserve">item.stack_cap</t>
        </is>
      </c>
      <c r="B224" t="inlineStr">
        <is>
          <t xml:space="preserve">Item pop-up, when the item has a Stack Cap</t>
        </is>
      </c>
      <c r="C224" t="inlineStr">
        <is>
          <t xml:space="preserve">You can carry up to {count}.</t>
        </is>
      </c>
      <c r="D224" t="inlineStr">
        <is>
          <t xml:space="preserve">count</t>
        </is>
      </c>
      <c r="E224" t="inlineStr">
        <is>
          <t xml:space="preserve">Shown only when the Shop tab's Stack Cap is set for this item.</t>
        </is>
      </c>
    </row>
    <row r="225" spans="1:5">
      <c r="A225" t="inlineStr">
        <is>
          <t xml:space="preserve">item.use</t>
        </is>
      </c>
      <c r="B225" t="inlineStr">
        <is>
          <t xml:space="preserve">Item pop-up, use button</t>
        </is>
      </c>
      <c r="C225" t="inlineStr">
        <is>
          <t xml:space="preserve">Use</t>
        </is>
      </c>
    </row>
    <row r="226" spans="1:5">
      <c r="A226" t="inlineStr">
        <is>
          <t xml:space="preserve">item.close</t>
        </is>
      </c>
      <c r="B226" t="inlineStr">
        <is>
          <t xml:space="preserve">Item pop-up, close button</t>
        </is>
      </c>
      <c r="C226" t="inlineStr">
        <is>
          <t xml:space="preserve">Close</t>
        </is>
      </c>
    </row>
    <row r="227" spans="1:5">
      <c r="A227" t="inlineStr">
        <is>
          <t xml:space="preserve">item.timing.now</t>
        </is>
      </c>
      <c r="B227" t="inlineStr">
        <is>
          <t xml:space="preserve">Item pop-up, an item with no stage effect</t>
        </is>
      </c>
      <c r="C227" t="inlineStr">
        <is>
          <t xml:space="preserve">Takes effect immediately.</t>
        </is>
      </c>
    </row>
    <row r="228" spans="1:5">
      <c r="A228" t="inlineStr">
        <is>
          <t xml:space="preserve">item.timing.stage_next</t>
        </is>
      </c>
      <c r="B228" t="inlineStr">
        <is>
          <t xml:space="preserve">Item pop-up, in the Office, Duration Stage</t>
        </is>
      </c>
      <c r="C228" t="inlineStr">
        <is>
          <t xml:space="preserve">Takes effect at the start of your next stage.</t>
        </is>
      </c>
    </row>
    <row r="229" spans="1:5">
      <c r="A229" t="inlineStr">
        <is>
          <t xml:space="preserve">item.timing.level_next</t>
        </is>
      </c>
      <c r="B229" t="inlineStr">
        <is>
          <t xml:space="preserve">Item pop-up, in the Office, Duration Level</t>
        </is>
      </c>
      <c r="C229" t="inlineStr">
        <is>
          <t xml:space="preserve">Lasts for the whole of your next level.</t>
        </is>
      </c>
    </row>
    <row r="230" spans="1:5">
      <c r="A230" t="inlineStr">
        <is>
          <t xml:space="preserve">item.timing.stage_now</t>
        </is>
      </c>
      <c r="B230" t="inlineStr">
        <is>
          <t xml:space="preserve">Item pop-up, during a stage, Duration Stage</t>
        </is>
      </c>
      <c r="C230" t="inlineStr">
        <is>
          <t xml:space="preserve">Takes effect now, for the rest of this stage.</t>
        </is>
      </c>
    </row>
    <row r="231" spans="1:5">
      <c r="A231" t="inlineStr">
        <is>
          <t xml:space="preserve">item.timing.level_now</t>
        </is>
      </c>
      <c r="B231" t="inlineStr">
        <is>
          <t xml:space="preserve">Item pop-up, during a stage, Duration Level</t>
        </is>
      </c>
      <c r="C231" t="inlineStr">
        <is>
          <t xml:space="preserve">Takes effect now and lasts for the rest of this level.</t>
        </is>
      </c>
    </row>
    <row r="232" spans="1:5">
      <c r="A232" t="inlineStr">
        <is>
          <t xml:space="preserve">item.used</t>
        </is>
      </c>
      <c r="B232" t="inlineStr">
        <is>
          <t xml:space="preserve">Message after using an item</t>
        </is>
      </c>
      <c r="C232" t="inlineStr">
        <is>
          <t xml:space="preserve">{name} used.</t>
        </is>
      </c>
      <c r="D232" t="inlineStr">
        <is>
          <t xml:space="preserve">name</t>
        </is>
      </c>
    </row>
    <row r="233" spans="1:5">
      <c r="A233" t="inlineStr">
        <is>
          <t xml:space="preserve">item.queued</t>
        </is>
      </c>
      <c r="B233" t="inlineStr">
        <is>
          <t xml:space="preserve">Message after using a Stage item in the Office</t>
        </is>
      </c>
      <c r="C233" t="inlineStr">
        <is>
          <t xml:space="preserve">{name} is ready for your next stage.</t>
        </is>
      </c>
      <c r="D233" t="inlineStr">
        <is>
          <t xml:space="preserve">name</t>
        </is>
      </c>
    </row>
    <row r="234" spans="1:5">
      <c r="A234" t="inlineStr">
        <is>
          <t xml:space="preserve">item.queued_level</t>
        </is>
      </c>
      <c r="B234" t="inlineStr">
        <is>
          <t xml:space="preserve">Message after using a Level item in the Office</t>
        </is>
      </c>
      <c r="C234" t="inlineStr">
        <is>
          <t xml:space="preserve">{name} will last through your next level.</t>
        </is>
      </c>
      <c r="D234" t="inlineStr">
        <is>
          <t xml:space="preserve">name</t>
        </is>
      </c>
    </row>
    <row r="235" spans="1:5">
      <c r="A235" t="inlineStr">
        <is>
          <t xml:space="preserve">item.refused.none_left</t>
        </is>
      </c>
      <c r="B235" t="inlineStr">
        <is>
          <t xml:space="preserve">Item pop-up, refusal</t>
        </is>
      </c>
      <c r="C235" t="inlineStr">
        <is>
          <t xml:space="preserve">You have none left.</t>
        </is>
      </c>
    </row>
    <row r="236" spans="1:5">
      <c r="A236" t="inlineStr">
        <is>
          <t xml:space="preserve">item.refused.not_here</t>
        </is>
      </c>
      <c r="B236" t="inlineStr">
        <is>
          <t xml:space="preserve">Item pop-up, refusal</t>
        </is>
      </c>
      <c r="C236" t="inlineStr">
        <is>
          <t xml:space="preserve">This can't be used here.</t>
        </is>
      </c>
      <c r="E236" t="inlineStr">
        <is>
          <t xml:space="preserve">The Shop tab's Use In Office / Use In Stage cell for this item says No.</t>
        </is>
      </c>
    </row>
    <row r="237" spans="1:5">
      <c r="A237" t="inlineStr">
        <is>
          <t xml:space="preserve">item.refused.no_effect</t>
        </is>
      </c>
      <c r="B237" t="inlineStr">
        <is>
          <t xml:space="preserve">Item pop-up, refusal</t>
        </is>
      </c>
      <c r="C237" t="inlineStr">
        <is>
          <t xml:space="preserve">This item has no effect set yet.</t>
        </is>
      </c>
      <c r="E237" t="inlineStr">
        <is>
          <t xml:space="preserve">The Shop tab's Grants cell for this item is blank.</t>
        </is>
      </c>
    </row>
    <row r="238" spans="1:5">
      <c r="A238" t="inlineStr">
        <is>
          <t xml:space="preserve">item.refused.turn_limit</t>
        </is>
      </c>
      <c r="B238" t="inlineStr">
        <is>
          <t xml:space="preserve">Item pop-up, refusal during a stage</t>
        </is>
      </c>
      <c r="C238" t="inlineStr">
        <is>
          <t xml:space="preserve">You can't use this again until next turn.</t>
        </is>
      </c>
      <c r="E238" t="inlineStr">
        <is>
          <t xml:space="preserve">The Shop tab's Uses Per Turn cap for this item is reached.</t>
        </is>
      </c>
    </row>
    <row r="239" spans="1:5">
      <c r="A239" t="inlineStr">
        <is>
          <t xml:space="preserve">item.refused.battle_over</t>
        </is>
      </c>
      <c r="B239" t="inlineStr">
        <is>
          <t xml:space="preserve">Item pop-up, refusal during a stage</t>
        </is>
      </c>
      <c r="C239" t="inlineStr">
        <is>
          <t xml:space="preserve">This stage is already over.</t>
        </is>
      </c>
    </row>
    <row r="240" spans="1:5">
      <c r="A240" t="inlineStr">
        <is>
          <t xml:space="preserve">shop.supplies</t>
        </is>
      </c>
      <c r="B240" t="inlineStr">
        <is>
          <t xml:space="preserve">Office Management, Supplies button and panel heading</t>
        </is>
      </c>
      <c r="C240" t="inlineStr">
        <is>
          <t xml:space="preserve">Supplies</t>
        </is>
      </c>
    </row>
    <row r="241" spans="1:5">
      <c r="A241" t="inlineStr">
        <is>
          <t xml:space="preserve">shop.supplies_blurb</t>
        </is>
      </c>
      <c r="B241" t="inlineStr">
        <is>
          <t xml:space="preserve">Supplies panel</t>
        </is>
      </c>
      <c r="C241" t="inlineStr">
        <is>
          <t xml:space="preserve">Supplies go into your inventory. Open the inventory from the Office or during a stage to use them.</t>
        </is>
      </c>
    </row>
    <row r="242" spans="1:5">
      <c r="A242" t="inlineStr">
        <is>
          <t xml:space="preserve">shop.item_title</t>
        </is>
      </c>
      <c r="B242" t="inlineStr">
        <is>
          <t xml:space="preserve">Supplies panel, one item</t>
        </is>
      </c>
      <c r="C242" t="inlineStr">
        <is>
          <t xml:space="preserve">{name}  —  {price}</t>
        </is>
      </c>
      <c r="D242" t="inlineStr">
        <is>
          <t xml:space="preserve">name, price</t>
        </is>
      </c>
    </row>
    <row r="243" spans="1:5">
      <c r="A243" t="inlineStr">
        <is>
          <t xml:space="preserve">shop.item_price_xp</t>
        </is>
      </c>
      <c r="B243" t="inlineStr">
        <is>
          <t xml:space="preserve">Supplies panel, price part</t>
        </is>
      </c>
      <c r="C243" t="inlineStr">
        <is>
          <t xml:space="preserve">{count} XP</t>
        </is>
      </c>
      <c r="D243" t="inlineStr">
        <is>
          <t xml:space="preserve">count</t>
        </is>
      </c>
    </row>
    <row r="244" spans="1:5">
      <c r="A244" t="inlineStr">
        <is>
          <t xml:space="preserve">shop.item_price_yen</t>
        </is>
      </c>
      <c r="B244" t="inlineStr">
        <is>
          <t xml:space="preserve">Supplies panel, price part</t>
        </is>
      </c>
      <c r="C244" t="inlineStr">
        <is>
          <t xml:space="preserve">{count} Yen</t>
        </is>
      </c>
      <c r="D244" t="inlineStr">
        <is>
          <t xml:space="preserve">count</t>
        </is>
      </c>
    </row>
    <row r="245" spans="1:5">
      <c r="A245" t="inlineStr">
        <is>
          <t xml:space="preserve">shop.item_free</t>
        </is>
      </c>
      <c r="B245" t="inlineStr">
        <is>
          <t xml:space="preserve">Supplies panel, an item with no price</t>
        </is>
      </c>
      <c r="C245" t="inlineStr">
        <is>
          <t xml:space="preserve">Free</t>
        </is>
      </c>
    </row>
    <row r="246" spans="1:5">
      <c r="A246" t="inlineStr">
        <is>
          <t xml:space="preserve">shop.buy</t>
        </is>
      </c>
      <c r="B246" t="inlineStr">
        <is>
          <t xml:space="preserve">Supplies panel, buy button</t>
        </is>
      </c>
      <c r="C246" t="inlineStr">
        <is>
          <t xml:space="preserve">Buy</t>
        </is>
      </c>
    </row>
    <row r="247" spans="1:5">
      <c r="A247" t="inlineStr">
        <is>
          <t xml:space="preserve">shop.item_bought</t>
        </is>
      </c>
      <c r="B247" t="inlineStr">
        <is>
          <t xml:space="preserve">Office report after buying</t>
        </is>
      </c>
      <c r="C247" t="inlineStr">
        <is>
          <t xml:space="preserve">{name} added to your inventory.</t>
        </is>
      </c>
      <c r="D247" t="inlineStr">
        <is>
          <t xml:space="preserve">name</t>
        </is>
      </c>
    </row>
    <row r="248" spans="1:5">
      <c r="A248" t="inlineStr">
        <is>
          <t xml:space="preserve">shop.out_of_stock</t>
        </is>
      </c>
      <c r="B248" t="inlineStr">
        <is>
          <t xml:space="preserve">Supplies panel, item at its Purchase Limit for this level</t>
        </is>
      </c>
      <c r="C248" t="inlineStr">
        <is>
          <t xml:space="preserve">Out of Stock</t>
        </is>
      </c>
      <c r="E248" t="inlineStr">
        <is>
          <t xml:space="preserve">Resets when a level concludes, win or loss.</t>
        </is>
      </c>
    </row>
    <row r="249" spans="1:5">
      <c r="A249" t="inlineStr">
        <is>
          <t xml:space="preserve">shop.stack_full</t>
        </is>
      </c>
      <c r="B249" t="inlineStr">
        <is>
          <t xml:space="preserve">Supplies panel, item at its Stack Cap</t>
        </is>
      </c>
      <c r="C249" t="inlineStr">
        <is>
          <t xml:space="preserve">You can't carry any more of these.</t>
        </is>
      </c>
    </row>
    <row r="250" spans="1:5">
      <c r="A250" t="inlineStr">
        <is>
          <t xml:space="preserve">shop.item_no_id</t>
        </is>
      </c>
      <c r="B250" t="inlineStr">
        <is>
          <t xml:space="preserve">Shop — refusals</t>
        </is>
      </c>
      <c r="C250" t="inlineStr">
        <is>
          <t xml:space="preserve">This item has no ID.</t>
        </is>
      </c>
      <c r="E250" t="inlineStr">
        <is>
          <t xml:space="preserve">A data-integrity guard, not expected to be seen by a player.</t>
        </is>
      </c>
    </row>
    <row r="251" spans="1:5">
      <c r="A251" t="inlineStr">
        <is>
          <t xml:space="preserve">item.choose_heading</t>
        </is>
      </c>
      <c r="B251" t="inlineStr">
        <is>
          <t xml:space="preserve">Item pop-up, Player Choice item, picker heading</t>
        </is>
      </c>
      <c r="C251" t="inlineStr">
        <is>
          <t xml:space="preserve">{name}  —  choose a group</t>
        </is>
      </c>
      <c r="D251" t="inlineStr">
        <is>
          <t xml:space="preserve">name</t>
        </is>
      </c>
      <c r="E251" t="inlineStr">
        <is>
          <t xml:space="preserve">Shown instead of the ordinary pop-up when the Shop tab's Player Choice cell for this item is Yes.</t>
        </is>
      </c>
    </row>
    <row r="252" spans="1:5">
      <c r="A252" t="inlineStr">
        <is>
          <t xml:space="preserve">office.resume_level</t>
        </is>
      </c>
      <c r="B252" t="inlineStr">
        <is>
          <t xml:space="preserve">Office, Start button, when a saved run stopped partway through a level</t>
        </is>
      </c>
      <c r="C252" t="inlineStr">
        <is>
          <t xml:space="preserve">Resume level</t>
        </is>
      </c>
      <c r="E252" t="inlineStr">
        <is>
          <t xml:space="preserve">Takes the player straight back into the level they were playing, at the stage they had reached.</t>
        </is>
      </c>
    </row>
    <row r="253" spans="1:5">
      <c r="A253" t="inlineStr">
        <is>
          <t xml:space="preserve">office.new_game</t>
        </is>
      </c>
      <c r="B253" t="inlineStr">
        <is>
          <t xml:space="preserve">Office Management, button; and the heading of the warning it opens</t>
        </is>
      </c>
      <c r="C253" t="inlineStr">
        <is>
          <t xml:space="preserve">New game</t>
        </is>
      </c>
    </row>
    <row r="254" spans="1:5">
      <c r="A254" t="inlineStr">
        <is>
          <t xml:space="preserve">office.new_game_warning</t>
        </is>
      </c>
      <c r="B254" t="inlineStr">
        <is>
          <t xml:space="preserve">New game, the warning before the run is thrown away</t>
        </is>
      </c>
      <c r="C254" t="inlineStr">
        <is>
          <t xml:space="preserve">Starting a new game ends this run. Your standing, cards, staff and items all go back to the start.</t>
        </is>
      </c>
    </row>
    <row r="255" spans="1:5">
      <c r="A255" t="inlineStr">
        <is>
          <t xml:space="preserve">office.new_game_confirm</t>
        </is>
      </c>
      <c r="B255" t="inlineStr">
        <is>
          <t xml:space="preserve">New game warning, confirm button</t>
        </is>
      </c>
      <c r="C255" t="inlineStr">
        <is>
          <t xml:space="preserve">Start over</t>
        </is>
      </c>
    </row>
    <row r="256" spans="1:5">
      <c r="A256" t="inlineStr">
        <is>
          <t xml:space="preserve">office.new_game_started</t>
        </is>
      </c>
      <c r="B256" t="inlineStr">
        <is>
          <t xml:space="preserve">Office report line, after a protagonist is chosen</t>
        </is>
      </c>
      <c r="C256" t="inlineStr">
        <is>
          <t xml:space="preserve">A new run begins. Welcome to the Office, {name}.</t>
        </is>
      </c>
      <c r="D256" t="inlineStr">
        <is>
          <t xml:space="preserve">name</t>
        </is>
      </c>
    </row>
    <row r="257" spans="1:5">
      <c r="A257" t="inlineStr">
        <is>
          <t xml:space="preserve">new_game.title</t>
        </is>
      </c>
      <c r="B257" t="inlineStr">
        <is>
          <t xml:space="preserve">New Game screen heading</t>
        </is>
      </c>
      <c r="C257" t="inlineStr">
        <is>
          <t xml:space="preserve">Choose your legislator</t>
        </is>
      </c>
      <c r="E257" t="inlineStr">
        <is>
          <t xml:space="preserve">Shown on first launch, and after New game.</t>
        </is>
      </c>
    </row>
    <row r="258" spans="1:5">
      <c r="A258" t="inlineStr">
        <is>
          <t xml:space="preserve">new_game.blurb</t>
        </is>
      </c>
      <c r="B258" t="inlineStr">
        <is>
          <t xml:space="preserve">New Game screen, line under the heading</t>
        </is>
      </c>
      <c r="C258" t="inlineStr">
        <is>
          <t xml:space="preserve">Who are you in Parliament? You play the whole run as the one you choose.</t>
        </is>
      </c>
    </row>
    <row r="259" spans="1:5">
      <c r="A259" t="inlineStr">
        <is>
          <t xml:space="preserve">new_game.no_party</t>
        </is>
      </c>
      <c r="B259" t="inlineStr">
        <is>
          <t xml:space="preserve">New Game screen, a protagonist with no party set in player.json</t>
        </is>
      </c>
      <c r="C259" t="inlineStr">
        <is>
          <t xml:space="preserve">No party yet</t>
        </is>
      </c>
      <c r="E259" t="inlineStr">
        <is>
          <t xml:space="preserve">All four protagonists are placeholders until the cast is decided (data/player.json).</t>
        </is>
      </c>
    </row>
    <row r="260" spans="1:5">
      <c r="A260" t="inlineStr">
        <is>
          <t xml:space="preserve">new_game.choose</t>
        </is>
      </c>
      <c r="B260" t="inlineStr">
        <is>
          <t xml:space="preserve">New Game screen, button under each protagonist</t>
        </is>
      </c>
      <c r="C260" t="inlineStr">
        <is>
          <t xml:space="preserve">Play as {name}</t>
        </is>
      </c>
      <c r="D260" t="inlineStr">
        <is>
          <t xml:space="preserve">name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20"/>
  <dimension ref="A1:Q55"/>
  <sheetViews>
    <sheetView workbookViewId="0">
      <pane xSplit="3" ySplit="1" topLeftCell="D2" activePane="bottomRight" state="frozen"/>
      <selection pane="bottomLeft"/>
      <selection pane="topRight"/>
      <selection pane="bottomRight"/>
    </sheetView>
  </sheetViews>
  <sheetFormatPr defaultRowHeight="15" x14ac:dyDescent="0.2"/>
  <cols>
    <col min="1" max="1" width="7.93359375" customWidth="1"/>
    <col min="2" max="2" width="27.98046875" customWidth="1"/>
    <col min="3" max="3" width="11.97265625" customWidth="1"/>
    <col min="4" max="4" width="34.03125" customWidth="1"/>
    <col min="9" max="9" width="4.9765625" customWidth="1"/>
    <col min="14" max="14" width="7.93359375" customWidth="1"/>
    <col min="16" max="16" width="18.0234375" customWidth="1"/>
    <col min="17" max="17" width="7.93359375" customWidth="1"/>
  </cols>
  <sheetData>
    <row r="1" spans="1:17" ht="25.5" customHeight="1" x14ac:dyDescent="0.2">
      <c r="A1" s="14" t="s">
        <v>467</v>
      </c>
      <c r="B1" s="14" t="s">
        <v>468</v>
      </c>
      <c r="C1" s="14" t="s">
        <v>1652</v>
      </c>
      <c r="D1" s="14" t="s">
        <v>1653</v>
      </c>
      <c r="E1" s="14" t="s">
        <v>1654</v>
      </c>
      <c r="F1" s="14" t="s">
        <v>1655</v>
      </c>
      <c r="G1" s="14" t="s">
        <v>1656</v>
      </c>
      <c r="H1" s="14" t="s">
        <v>1657</v>
      </c>
      <c r="I1" s="15" t="s">
        <v>1658</v>
      </c>
      <c r="J1" s="15" t="s">
        <v>1659</v>
      </c>
      <c r="K1" s="15" t="s">
        <v>1660</v>
      </c>
      <c r="L1" s="15" t="s">
        <v>1661</v>
      </c>
      <c r="M1" s="15" t="s">
        <v>1662</v>
      </c>
      <c r="N1" s="15" t="s">
        <v>1663</v>
      </c>
      <c r="P1" s="16" t="s">
        <v>1664</v>
      </c>
    </row>
    <row r="2" spans="1:17" ht="89.25" customHeight="1" x14ac:dyDescent="0.2">
      <c r="A2" s="17" t="s">
        <v>484</v>
      </c>
      <c r="B2" s="18" t="s">
        <v>485</v>
      </c>
      <c r="C2" s="19" t="s">
        <v>120</v>
      </c>
      <c r="D2" s="20" t="s">
        <v>1665</v>
      </c>
      <c r="E2" s="20" t="s">
        <v>1666</v>
      </c>
      <c r="F2" s="20" t="s">
        <v>1667</v>
      </c>
      <c r="G2" s="20" t="s">
        <v>1668</v>
      </c>
      <c r="H2" s="20" t="s">
        <v>1669</v>
      </c>
      <c r="I2" s="17">
        <f t="shared" ref="I2:I33" si="0">IF(LEN(TRIM(D2))=0,0,LEN(TRIM(D2))-LEN(SUBSTITUTE(TRIM(D2)," ",""))+1)</f>
        <v>5</v>
      </c>
      <c r="J2" s="17">
        <f t="shared" ref="J2:J33" si="1">IF(LEN(TRIM(E2))=0,0,LEN(TRIM(E2))-LEN(SUBSTITUTE(TRIM(E2)," ",""))+1)</f>
        <v>7</v>
      </c>
      <c r="K2" s="17">
        <f t="shared" ref="K2:K33" si="2">IF(LEN(TRIM(F2))=0,0,LEN(TRIM(F2))-LEN(SUBSTITUTE(TRIM(F2)," ",""))+1)</f>
        <v>5</v>
      </c>
      <c r="L2" s="17">
        <f t="shared" ref="L2:L33" si="3">IF(LEN(TRIM(G2))=0,0,LEN(TRIM(G2))-LEN(SUBSTITUTE(TRIM(G2)," ",""))+1)</f>
        <v>7</v>
      </c>
      <c r="M2" s="17">
        <f t="shared" ref="M2:M33" si="4">IF(LEN(TRIM(H2))=0,0,LEN(TRIM(H2))-LEN(SUBSTITUTE(TRIM(H2)," ",""))+1)</f>
        <v>7</v>
      </c>
      <c r="N2" s="17">
        <f t="shared" ref="N2:N33" si="5">MAX(I2:M2)</f>
        <v>7</v>
      </c>
      <c r="P2" s="21" t="s">
        <v>1670</v>
      </c>
    </row>
    <row r="3" spans="1:17" ht="51" customHeight="1" x14ac:dyDescent="0.2">
      <c r="A3" s="17" t="s">
        <v>491</v>
      </c>
      <c r="B3" s="18" t="s">
        <v>492</v>
      </c>
      <c r="C3" s="19" t="s">
        <v>120</v>
      </c>
      <c r="D3" s="20" t="s">
        <v>1671</v>
      </c>
      <c r="E3" s="20" t="s">
        <v>1672</v>
      </c>
      <c r="F3" s="20" t="s">
        <v>1673</v>
      </c>
      <c r="G3" s="20" t="s">
        <v>1674</v>
      </c>
      <c r="H3" s="20" t="s">
        <v>1675</v>
      </c>
      <c r="I3" s="17">
        <f t="shared" si="0"/>
        <v>6</v>
      </c>
      <c r="J3" s="17">
        <f t="shared" si="1"/>
        <v>5</v>
      </c>
      <c r="K3" s="17">
        <f t="shared" si="2"/>
        <v>5</v>
      </c>
      <c r="L3" s="17">
        <f t="shared" si="3"/>
        <v>5</v>
      </c>
      <c r="M3" s="17">
        <f t="shared" si="4"/>
        <v>9</v>
      </c>
      <c r="N3" s="17">
        <f t="shared" si="5"/>
        <v>9</v>
      </c>
    </row>
    <row r="4" spans="1:17" ht="76.5" customHeight="1" x14ac:dyDescent="0.2">
      <c r="A4" s="17" t="s">
        <v>497</v>
      </c>
      <c r="B4" s="18" t="s">
        <v>498</v>
      </c>
      <c r="C4" s="19" t="s">
        <v>120</v>
      </c>
      <c r="D4" s="20" t="s">
        <v>1676</v>
      </c>
      <c r="E4" s="20" t="s">
        <v>1677</v>
      </c>
      <c r="F4" s="20" t="s">
        <v>1678</v>
      </c>
      <c r="G4" s="20" t="s">
        <v>1679</v>
      </c>
      <c r="H4" s="20" t="s">
        <v>1680</v>
      </c>
      <c r="I4" s="17">
        <f t="shared" si="0"/>
        <v>3</v>
      </c>
      <c r="J4" s="17">
        <f t="shared" si="1"/>
        <v>7</v>
      </c>
      <c r="K4" s="17">
        <f t="shared" si="2"/>
        <v>7</v>
      </c>
      <c r="L4" s="17">
        <f t="shared" si="3"/>
        <v>8</v>
      </c>
      <c r="M4" s="17">
        <f t="shared" si="4"/>
        <v>9</v>
      </c>
      <c r="N4" s="17">
        <f t="shared" si="5"/>
        <v>9</v>
      </c>
      <c r="P4" s="16" t="s">
        <v>1681</v>
      </c>
      <c r="Q4" s="16">
        <f>COUNTIF(I2:M55,"&gt;=10")</f>
        <v>0</v>
      </c>
    </row>
    <row r="5" spans="1:17" ht="76.5" customHeight="1" x14ac:dyDescent="0.2">
      <c r="A5" s="17" t="s">
        <v>503</v>
      </c>
      <c r="B5" s="18" t="s">
        <v>504</v>
      </c>
      <c r="C5" s="19" t="s">
        <v>120</v>
      </c>
      <c r="D5" s="20" t="s">
        <v>1682</v>
      </c>
      <c r="E5" s="20" t="s">
        <v>1683</v>
      </c>
      <c r="F5" s="20" t="s">
        <v>1684</v>
      </c>
      <c r="G5" s="20" t="s">
        <v>1685</v>
      </c>
      <c r="H5" s="20" t="s">
        <v>1686</v>
      </c>
      <c r="I5" s="17">
        <f t="shared" si="0"/>
        <v>7</v>
      </c>
      <c r="J5" s="17">
        <f t="shared" si="1"/>
        <v>7</v>
      </c>
      <c r="K5" s="17">
        <f t="shared" si="2"/>
        <v>8</v>
      </c>
      <c r="L5" s="17">
        <f t="shared" si="3"/>
        <v>7</v>
      </c>
      <c r="M5" s="17">
        <f t="shared" si="4"/>
        <v>8</v>
      </c>
      <c r="N5" s="17">
        <f t="shared" si="5"/>
        <v>8</v>
      </c>
      <c r="P5" s="16" t="s">
        <v>1687</v>
      </c>
      <c r="Q5" s="16">
        <f>COUNTA(D2:H55)</f>
        <v>270</v>
      </c>
    </row>
    <row r="6" spans="1:17" ht="76.5" customHeight="1" x14ac:dyDescent="0.2">
      <c r="A6" s="17" t="s">
        <v>510</v>
      </c>
      <c r="B6" s="18" t="s">
        <v>511</v>
      </c>
      <c r="C6" s="19" t="s">
        <v>120</v>
      </c>
      <c r="D6" s="20" t="s">
        <v>1688</v>
      </c>
      <c r="E6" s="20" t="s">
        <v>1689</v>
      </c>
      <c r="F6" s="20" t="s">
        <v>1690</v>
      </c>
      <c r="G6" s="20" t="s">
        <v>1691</v>
      </c>
      <c r="H6" s="20" t="s">
        <v>1692</v>
      </c>
      <c r="I6" s="17">
        <f t="shared" si="0"/>
        <v>8</v>
      </c>
      <c r="J6" s="17">
        <f t="shared" si="1"/>
        <v>5</v>
      </c>
      <c r="K6" s="17">
        <f t="shared" si="2"/>
        <v>6</v>
      </c>
      <c r="L6" s="17">
        <f t="shared" si="3"/>
        <v>6</v>
      </c>
      <c r="M6" s="17">
        <f t="shared" si="4"/>
        <v>7</v>
      </c>
      <c r="N6" s="17">
        <f t="shared" si="5"/>
        <v>8</v>
      </c>
    </row>
    <row r="7" spans="1:17" ht="76.5" customHeight="1" x14ac:dyDescent="0.2">
      <c r="A7" s="17" t="s">
        <v>517</v>
      </c>
      <c r="B7" s="18" t="s">
        <v>518</v>
      </c>
      <c r="C7" s="19" t="s">
        <v>120</v>
      </c>
      <c r="D7" s="20" t="s">
        <v>1693</v>
      </c>
      <c r="E7" s="20" t="s">
        <v>1694</v>
      </c>
      <c r="F7" s="20" t="s">
        <v>1695</v>
      </c>
      <c r="G7" s="20" t="s">
        <v>1696</v>
      </c>
      <c r="H7" s="20" t="s">
        <v>1697</v>
      </c>
      <c r="I7" s="17">
        <f t="shared" si="0"/>
        <v>6</v>
      </c>
      <c r="J7" s="17">
        <f t="shared" si="1"/>
        <v>7</v>
      </c>
      <c r="K7" s="17">
        <f t="shared" si="2"/>
        <v>6</v>
      </c>
      <c r="L7" s="17">
        <f t="shared" si="3"/>
        <v>7</v>
      </c>
      <c r="M7" s="17">
        <f t="shared" si="4"/>
        <v>6</v>
      </c>
      <c r="N7" s="17">
        <f t="shared" si="5"/>
        <v>7</v>
      </c>
    </row>
    <row r="8" spans="1:17" ht="76.5" customHeight="1" x14ac:dyDescent="0.2">
      <c r="A8" s="17" t="s">
        <v>522</v>
      </c>
      <c r="B8" s="18" t="s">
        <v>523</v>
      </c>
      <c r="C8" s="19" t="s">
        <v>120</v>
      </c>
      <c r="D8" s="20" t="s">
        <v>1698</v>
      </c>
      <c r="E8" s="20" t="s">
        <v>1699</v>
      </c>
      <c r="F8" s="20" t="s">
        <v>1700</v>
      </c>
      <c r="G8" s="20" t="s">
        <v>1701</v>
      </c>
      <c r="H8" s="20" t="s">
        <v>1702</v>
      </c>
      <c r="I8" s="17">
        <f t="shared" si="0"/>
        <v>7</v>
      </c>
      <c r="J8" s="17">
        <f t="shared" si="1"/>
        <v>8</v>
      </c>
      <c r="K8" s="17">
        <f t="shared" si="2"/>
        <v>8</v>
      </c>
      <c r="L8" s="17">
        <f t="shared" si="3"/>
        <v>7</v>
      </c>
      <c r="M8" s="17">
        <f t="shared" si="4"/>
        <v>7</v>
      </c>
      <c r="N8" s="17">
        <f t="shared" si="5"/>
        <v>8</v>
      </c>
    </row>
    <row r="9" spans="1:17" ht="76.5" customHeight="1" x14ac:dyDescent="0.2">
      <c r="A9" s="17" t="s">
        <v>528</v>
      </c>
      <c r="B9" s="18" t="s">
        <v>529</v>
      </c>
      <c r="C9" s="19" t="s">
        <v>120</v>
      </c>
      <c r="D9" s="20" t="s">
        <v>1703</v>
      </c>
      <c r="E9" s="20" t="s">
        <v>1704</v>
      </c>
      <c r="F9" s="20" t="s">
        <v>1705</v>
      </c>
      <c r="G9" s="20" t="s">
        <v>1706</v>
      </c>
      <c r="H9" s="20" t="s">
        <v>1707</v>
      </c>
      <c r="I9" s="17">
        <f t="shared" si="0"/>
        <v>9</v>
      </c>
      <c r="J9" s="17">
        <f t="shared" si="1"/>
        <v>7</v>
      </c>
      <c r="K9" s="17">
        <f t="shared" si="2"/>
        <v>7</v>
      </c>
      <c r="L9" s="17">
        <f t="shared" si="3"/>
        <v>7</v>
      </c>
      <c r="M9" s="17">
        <f t="shared" si="4"/>
        <v>7</v>
      </c>
      <c r="N9" s="17">
        <f t="shared" si="5"/>
        <v>9</v>
      </c>
    </row>
    <row r="10" spans="1:17" ht="63.75" customHeight="1" x14ac:dyDescent="0.2">
      <c r="A10" s="17" t="s">
        <v>536</v>
      </c>
      <c r="B10" s="18" t="s">
        <v>537</v>
      </c>
      <c r="C10" s="19" t="s">
        <v>120</v>
      </c>
      <c r="D10" s="20" t="s">
        <v>1708</v>
      </c>
      <c r="E10" s="20" t="s">
        <v>1709</v>
      </c>
      <c r="F10" s="20" t="s">
        <v>1710</v>
      </c>
      <c r="G10" s="20" t="s">
        <v>1711</v>
      </c>
      <c r="H10" s="20" t="s">
        <v>1712</v>
      </c>
      <c r="I10" s="17">
        <f t="shared" si="0"/>
        <v>4</v>
      </c>
      <c r="J10" s="17">
        <f t="shared" si="1"/>
        <v>8</v>
      </c>
      <c r="K10" s="17">
        <f t="shared" si="2"/>
        <v>7</v>
      </c>
      <c r="L10" s="17">
        <f t="shared" si="3"/>
        <v>7</v>
      </c>
      <c r="M10" s="17">
        <f t="shared" si="4"/>
        <v>8</v>
      </c>
      <c r="N10" s="17">
        <f t="shared" si="5"/>
        <v>8</v>
      </c>
    </row>
    <row r="11" spans="1:17" ht="63.75" customHeight="1" x14ac:dyDescent="0.2">
      <c r="A11" s="22" t="s">
        <v>542</v>
      </c>
      <c r="B11" s="23" t="s">
        <v>543</v>
      </c>
      <c r="C11" s="24" t="s">
        <v>125</v>
      </c>
      <c r="D11" s="25" t="s">
        <v>1713</v>
      </c>
      <c r="E11" s="25" t="s">
        <v>1714</v>
      </c>
      <c r="F11" s="25" t="s">
        <v>1715</v>
      </c>
      <c r="G11" s="25" t="s">
        <v>1716</v>
      </c>
      <c r="H11" s="25" t="s">
        <v>1717</v>
      </c>
      <c r="I11" s="22">
        <f t="shared" si="0"/>
        <v>8</v>
      </c>
      <c r="J11" s="22">
        <f t="shared" si="1"/>
        <v>7</v>
      </c>
      <c r="K11" s="22">
        <f t="shared" si="2"/>
        <v>6</v>
      </c>
      <c r="L11" s="22">
        <f t="shared" si="3"/>
        <v>8</v>
      </c>
      <c r="M11" s="22">
        <f t="shared" si="4"/>
        <v>6</v>
      </c>
      <c r="N11" s="22">
        <f t="shared" si="5"/>
        <v>8</v>
      </c>
    </row>
    <row r="12" spans="1:17" ht="89.25" customHeight="1" x14ac:dyDescent="0.2">
      <c r="A12" s="22" t="s">
        <v>547</v>
      </c>
      <c r="B12" s="23" t="s">
        <v>548</v>
      </c>
      <c r="C12" s="24" t="s">
        <v>125</v>
      </c>
      <c r="D12" s="25" t="s">
        <v>1718</v>
      </c>
      <c r="E12" s="25" t="s">
        <v>1719</v>
      </c>
      <c r="F12" s="25" t="s">
        <v>1720</v>
      </c>
      <c r="G12" s="25" t="s">
        <v>1721</v>
      </c>
      <c r="H12" s="25" t="s">
        <v>1722</v>
      </c>
      <c r="I12" s="22">
        <f t="shared" si="0"/>
        <v>6</v>
      </c>
      <c r="J12" s="22">
        <f t="shared" si="1"/>
        <v>6</v>
      </c>
      <c r="K12" s="22">
        <f t="shared" si="2"/>
        <v>7</v>
      </c>
      <c r="L12" s="22">
        <f t="shared" si="3"/>
        <v>6</v>
      </c>
      <c r="M12" s="22">
        <f t="shared" si="4"/>
        <v>8</v>
      </c>
      <c r="N12" s="22">
        <f t="shared" si="5"/>
        <v>8</v>
      </c>
    </row>
    <row r="13" spans="1:17" ht="63.75" customHeight="1" x14ac:dyDescent="0.2">
      <c r="A13" s="22" t="s">
        <v>554</v>
      </c>
      <c r="B13" s="23" t="s">
        <v>555</v>
      </c>
      <c r="C13" s="24" t="s">
        <v>125</v>
      </c>
      <c r="D13" s="25" t="s">
        <v>1723</v>
      </c>
      <c r="E13" s="25" t="s">
        <v>1724</v>
      </c>
      <c r="F13" s="25" t="s">
        <v>1725</v>
      </c>
      <c r="G13" s="25" t="s">
        <v>1726</v>
      </c>
      <c r="H13" s="25" t="s">
        <v>1727</v>
      </c>
      <c r="I13" s="22">
        <f t="shared" si="0"/>
        <v>7</v>
      </c>
      <c r="J13" s="22">
        <f t="shared" si="1"/>
        <v>5</v>
      </c>
      <c r="K13" s="22">
        <f t="shared" si="2"/>
        <v>6</v>
      </c>
      <c r="L13" s="22">
        <f t="shared" si="3"/>
        <v>6</v>
      </c>
      <c r="M13" s="22">
        <f t="shared" si="4"/>
        <v>5</v>
      </c>
      <c r="N13" s="22">
        <f t="shared" si="5"/>
        <v>7</v>
      </c>
    </row>
    <row r="14" spans="1:17" ht="76.5" customHeight="1" x14ac:dyDescent="0.2">
      <c r="A14" s="22" t="s">
        <v>559</v>
      </c>
      <c r="B14" s="23" t="s">
        <v>560</v>
      </c>
      <c r="C14" s="24" t="s">
        <v>125</v>
      </c>
      <c r="D14" s="25" t="s">
        <v>1728</v>
      </c>
      <c r="E14" s="25" t="s">
        <v>1729</v>
      </c>
      <c r="F14" s="25" t="s">
        <v>1730</v>
      </c>
      <c r="G14" s="25" t="s">
        <v>1731</v>
      </c>
      <c r="H14" s="25" t="s">
        <v>1732</v>
      </c>
      <c r="I14" s="22">
        <f t="shared" si="0"/>
        <v>7</v>
      </c>
      <c r="J14" s="22">
        <f t="shared" si="1"/>
        <v>8</v>
      </c>
      <c r="K14" s="22">
        <f t="shared" si="2"/>
        <v>8</v>
      </c>
      <c r="L14" s="22">
        <f t="shared" si="3"/>
        <v>7</v>
      </c>
      <c r="M14" s="22">
        <f t="shared" si="4"/>
        <v>7</v>
      </c>
      <c r="N14" s="22">
        <f t="shared" si="5"/>
        <v>8</v>
      </c>
    </row>
    <row r="15" spans="1:17" ht="63.75" customHeight="1" x14ac:dyDescent="0.2">
      <c r="A15" s="22" t="s">
        <v>564</v>
      </c>
      <c r="B15" s="23" t="s">
        <v>565</v>
      </c>
      <c r="C15" s="24" t="s">
        <v>125</v>
      </c>
      <c r="D15" s="25" t="s">
        <v>1733</v>
      </c>
      <c r="E15" s="25" t="s">
        <v>1734</v>
      </c>
      <c r="F15" s="25" t="s">
        <v>1735</v>
      </c>
      <c r="G15" s="25" t="s">
        <v>1736</v>
      </c>
      <c r="H15" s="25" t="s">
        <v>1737</v>
      </c>
      <c r="I15" s="22">
        <f t="shared" si="0"/>
        <v>6</v>
      </c>
      <c r="J15" s="22">
        <f t="shared" si="1"/>
        <v>5</v>
      </c>
      <c r="K15" s="22">
        <f t="shared" si="2"/>
        <v>7</v>
      </c>
      <c r="L15" s="22">
        <f t="shared" si="3"/>
        <v>7</v>
      </c>
      <c r="M15" s="22">
        <f t="shared" si="4"/>
        <v>7</v>
      </c>
      <c r="N15" s="22">
        <f t="shared" si="5"/>
        <v>7</v>
      </c>
    </row>
    <row r="16" spans="1:17" ht="76.5" customHeight="1" x14ac:dyDescent="0.2">
      <c r="A16" s="22" t="s">
        <v>571</v>
      </c>
      <c r="B16" s="23" t="s">
        <v>572</v>
      </c>
      <c r="C16" s="24" t="s">
        <v>125</v>
      </c>
      <c r="D16" s="25" t="s">
        <v>1738</v>
      </c>
      <c r="E16" s="25" t="s">
        <v>1739</v>
      </c>
      <c r="F16" s="25" t="s">
        <v>1740</v>
      </c>
      <c r="G16" s="25" t="s">
        <v>1741</v>
      </c>
      <c r="H16" s="25" t="s">
        <v>1742</v>
      </c>
      <c r="I16" s="22">
        <f t="shared" si="0"/>
        <v>7</v>
      </c>
      <c r="J16" s="22">
        <f t="shared" si="1"/>
        <v>8</v>
      </c>
      <c r="K16" s="22">
        <f t="shared" si="2"/>
        <v>6</v>
      </c>
      <c r="L16" s="22">
        <f t="shared" si="3"/>
        <v>7</v>
      </c>
      <c r="M16" s="22">
        <f t="shared" si="4"/>
        <v>6</v>
      </c>
      <c r="N16" s="22">
        <f t="shared" si="5"/>
        <v>8</v>
      </c>
    </row>
    <row r="17" spans="1:14" ht="76.5" customHeight="1" x14ac:dyDescent="0.2">
      <c r="A17" s="22" t="s">
        <v>576</v>
      </c>
      <c r="B17" s="23" t="s">
        <v>577</v>
      </c>
      <c r="C17" s="24" t="s">
        <v>125</v>
      </c>
      <c r="D17" s="25" t="s">
        <v>1743</v>
      </c>
      <c r="E17" s="25" t="s">
        <v>1744</v>
      </c>
      <c r="F17" s="25" t="s">
        <v>1745</v>
      </c>
      <c r="G17" s="25" t="s">
        <v>1746</v>
      </c>
      <c r="H17" s="25" t="s">
        <v>1747</v>
      </c>
      <c r="I17" s="22">
        <f t="shared" si="0"/>
        <v>6</v>
      </c>
      <c r="J17" s="22">
        <f t="shared" si="1"/>
        <v>6</v>
      </c>
      <c r="K17" s="22">
        <f t="shared" si="2"/>
        <v>6</v>
      </c>
      <c r="L17" s="22">
        <f t="shared" si="3"/>
        <v>7</v>
      </c>
      <c r="M17" s="22">
        <f t="shared" si="4"/>
        <v>6</v>
      </c>
      <c r="N17" s="22">
        <f t="shared" si="5"/>
        <v>7</v>
      </c>
    </row>
    <row r="18" spans="1:14" ht="51" customHeight="1" x14ac:dyDescent="0.2">
      <c r="A18" s="22" t="s">
        <v>581</v>
      </c>
      <c r="B18" s="23" t="s">
        <v>582</v>
      </c>
      <c r="C18" s="24" t="s">
        <v>125</v>
      </c>
      <c r="D18" s="25" t="s">
        <v>1748</v>
      </c>
      <c r="E18" s="25" t="s">
        <v>1749</v>
      </c>
      <c r="F18" s="25" t="s">
        <v>1750</v>
      </c>
      <c r="G18" s="25" t="s">
        <v>1751</v>
      </c>
      <c r="H18" s="25" t="s">
        <v>1752</v>
      </c>
      <c r="I18" s="22">
        <f t="shared" si="0"/>
        <v>6</v>
      </c>
      <c r="J18" s="22">
        <f t="shared" si="1"/>
        <v>7</v>
      </c>
      <c r="K18" s="22">
        <f t="shared" si="2"/>
        <v>6</v>
      </c>
      <c r="L18" s="22">
        <f t="shared" si="3"/>
        <v>5</v>
      </c>
      <c r="M18" s="22">
        <f t="shared" si="4"/>
        <v>7</v>
      </c>
      <c r="N18" s="22">
        <f t="shared" si="5"/>
        <v>7</v>
      </c>
    </row>
    <row r="19" spans="1:14" ht="76.5" customHeight="1" x14ac:dyDescent="0.2">
      <c r="A19" s="22" t="s">
        <v>588</v>
      </c>
      <c r="B19" s="23" t="s">
        <v>589</v>
      </c>
      <c r="C19" s="24" t="s">
        <v>125</v>
      </c>
      <c r="D19" s="25" t="s">
        <v>1753</v>
      </c>
      <c r="E19" s="25" t="s">
        <v>1754</v>
      </c>
      <c r="F19" s="25" t="s">
        <v>1755</v>
      </c>
      <c r="G19" s="25" t="s">
        <v>1756</v>
      </c>
      <c r="H19" s="25" t="s">
        <v>1757</v>
      </c>
      <c r="I19" s="22">
        <f t="shared" si="0"/>
        <v>7</v>
      </c>
      <c r="J19" s="22">
        <f t="shared" si="1"/>
        <v>6</v>
      </c>
      <c r="K19" s="22">
        <f t="shared" si="2"/>
        <v>5</v>
      </c>
      <c r="L19" s="22">
        <f t="shared" si="3"/>
        <v>5</v>
      </c>
      <c r="M19" s="22">
        <f t="shared" si="4"/>
        <v>7</v>
      </c>
      <c r="N19" s="22">
        <f t="shared" si="5"/>
        <v>7</v>
      </c>
    </row>
    <row r="20" spans="1:14" ht="76.5" customHeight="1" x14ac:dyDescent="0.2">
      <c r="A20" s="26" t="s">
        <v>594</v>
      </c>
      <c r="B20" s="27" t="s">
        <v>595</v>
      </c>
      <c r="C20" s="28" t="s">
        <v>130</v>
      </c>
      <c r="D20" s="29" t="s">
        <v>1758</v>
      </c>
      <c r="E20" s="29" t="s">
        <v>1759</v>
      </c>
      <c r="F20" s="29" t="s">
        <v>1760</v>
      </c>
      <c r="G20" s="29" t="s">
        <v>1761</v>
      </c>
      <c r="H20" s="29" t="s">
        <v>1762</v>
      </c>
      <c r="I20" s="26">
        <f t="shared" si="0"/>
        <v>5</v>
      </c>
      <c r="J20" s="26">
        <f t="shared" si="1"/>
        <v>6</v>
      </c>
      <c r="K20" s="26">
        <f t="shared" si="2"/>
        <v>6</v>
      </c>
      <c r="L20" s="26">
        <f t="shared" si="3"/>
        <v>6</v>
      </c>
      <c r="M20" s="26">
        <f t="shared" si="4"/>
        <v>8</v>
      </c>
      <c r="N20" s="26">
        <f t="shared" si="5"/>
        <v>8</v>
      </c>
    </row>
    <row r="21" spans="1:14" ht="76.5" customHeight="1" x14ac:dyDescent="0.2">
      <c r="A21" s="26" t="s">
        <v>599</v>
      </c>
      <c r="B21" s="27" t="s">
        <v>600</v>
      </c>
      <c r="C21" s="28" t="s">
        <v>130</v>
      </c>
      <c r="D21" s="29" t="s">
        <v>1763</v>
      </c>
      <c r="E21" s="29" t="s">
        <v>1764</v>
      </c>
      <c r="F21" s="29" t="s">
        <v>1765</v>
      </c>
      <c r="G21" s="29" t="s">
        <v>1766</v>
      </c>
      <c r="H21" s="29" t="s">
        <v>1767</v>
      </c>
      <c r="I21" s="26">
        <f t="shared" si="0"/>
        <v>9</v>
      </c>
      <c r="J21" s="26">
        <f t="shared" si="1"/>
        <v>6</v>
      </c>
      <c r="K21" s="26">
        <f t="shared" si="2"/>
        <v>8</v>
      </c>
      <c r="L21" s="26">
        <f t="shared" si="3"/>
        <v>8</v>
      </c>
      <c r="M21" s="26">
        <f t="shared" si="4"/>
        <v>6</v>
      </c>
      <c r="N21" s="26">
        <f t="shared" si="5"/>
        <v>9</v>
      </c>
    </row>
    <row r="22" spans="1:14" ht="63.75" customHeight="1" x14ac:dyDescent="0.2">
      <c r="A22" s="26" t="s">
        <v>605</v>
      </c>
      <c r="B22" s="27" t="s">
        <v>606</v>
      </c>
      <c r="C22" s="28" t="s">
        <v>130</v>
      </c>
      <c r="D22" s="29" t="s">
        <v>1768</v>
      </c>
      <c r="E22" s="29" t="s">
        <v>1769</v>
      </c>
      <c r="F22" s="29" t="s">
        <v>1770</v>
      </c>
      <c r="G22" s="29" t="s">
        <v>1771</v>
      </c>
      <c r="H22" s="29" t="s">
        <v>1772</v>
      </c>
      <c r="I22" s="26">
        <f t="shared" si="0"/>
        <v>6</v>
      </c>
      <c r="J22" s="26">
        <f t="shared" si="1"/>
        <v>6</v>
      </c>
      <c r="K22" s="26">
        <f t="shared" si="2"/>
        <v>6</v>
      </c>
      <c r="L22" s="26">
        <f t="shared" si="3"/>
        <v>7</v>
      </c>
      <c r="M22" s="26">
        <f t="shared" si="4"/>
        <v>6</v>
      </c>
      <c r="N22" s="26">
        <f t="shared" si="5"/>
        <v>7</v>
      </c>
    </row>
    <row r="23" spans="1:14" ht="63.75" customHeight="1" x14ac:dyDescent="0.2">
      <c r="A23" s="26" t="s">
        <v>613</v>
      </c>
      <c r="B23" s="27" t="s">
        <v>614</v>
      </c>
      <c r="C23" s="28" t="s">
        <v>130</v>
      </c>
      <c r="D23" s="29" t="s">
        <v>1773</v>
      </c>
      <c r="E23" s="29" t="s">
        <v>1774</v>
      </c>
      <c r="F23" s="29" t="s">
        <v>1775</v>
      </c>
      <c r="G23" s="29" t="s">
        <v>1776</v>
      </c>
      <c r="H23" s="29" t="s">
        <v>1777</v>
      </c>
      <c r="I23" s="26">
        <f t="shared" si="0"/>
        <v>6</v>
      </c>
      <c r="J23" s="26">
        <f t="shared" si="1"/>
        <v>5</v>
      </c>
      <c r="K23" s="26">
        <f t="shared" si="2"/>
        <v>9</v>
      </c>
      <c r="L23" s="26">
        <f t="shared" si="3"/>
        <v>6</v>
      </c>
      <c r="M23" s="26">
        <f t="shared" si="4"/>
        <v>7</v>
      </c>
      <c r="N23" s="26">
        <f t="shared" si="5"/>
        <v>9</v>
      </c>
    </row>
    <row r="24" spans="1:14" ht="76.5" customHeight="1" x14ac:dyDescent="0.2">
      <c r="A24" s="26" t="s">
        <v>620</v>
      </c>
      <c r="B24" s="27" t="s">
        <v>621</v>
      </c>
      <c r="C24" s="28" t="s">
        <v>130</v>
      </c>
      <c r="D24" s="29" t="s">
        <v>1778</v>
      </c>
      <c r="E24" s="29" t="s">
        <v>1779</v>
      </c>
      <c r="F24" s="29" t="s">
        <v>1780</v>
      </c>
      <c r="G24" s="29" t="s">
        <v>1781</v>
      </c>
      <c r="H24" s="29" t="s">
        <v>1782</v>
      </c>
      <c r="I24" s="26">
        <f t="shared" si="0"/>
        <v>8</v>
      </c>
      <c r="J24" s="26">
        <f t="shared" si="1"/>
        <v>6</v>
      </c>
      <c r="K24" s="26">
        <f t="shared" si="2"/>
        <v>6</v>
      </c>
      <c r="L24" s="26">
        <f t="shared" si="3"/>
        <v>7</v>
      </c>
      <c r="M24" s="26">
        <f t="shared" si="4"/>
        <v>8</v>
      </c>
      <c r="N24" s="26">
        <f t="shared" si="5"/>
        <v>8</v>
      </c>
    </row>
    <row r="25" spans="1:14" ht="76.5" customHeight="1" x14ac:dyDescent="0.2">
      <c r="A25" s="26" t="s">
        <v>625</v>
      </c>
      <c r="B25" s="27" t="s">
        <v>626</v>
      </c>
      <c r="C25" s="28" t="s">
        <v>130</v>
      </c>
      <c r="D25" s="29" t="s">
        <v>1783</v>
      </c>
      <c r="E25" s="29" t="s">
        <v>1784</v>
      </c>
      <c r="F25" s="29" t="s">
        <v>1785</v>
      </c>
      <c r="G25" s="29" t="s">
        <v>1786</v>
      </c>
      <c r="H25" s="29" t="s">
        <v>1787</v>
      </c>
      <c r="I25" s="26">
        <f t="shared" si="0"/>
        <v>8</v>
      </c>
      <c r="J25" s="26">
        <f t="shared" si="1"/>
        <v>9</v>
      </c>
      <c r="K25" s="26">
        <f t="shared" si="2"/>
        <v>7</v>
      </c>
      <c r="L25" s="26">
        <f t="shared" si="3"/>
        <v>5</v>
      </c>
      <c r="M25" s="26">
        <f t="shared" si="4"/>
        <v>7</v>
      </c>
      <c r="N25" s="26">
        <f t="shared" si="5"/>
        <v>9</v>
      </c>
    </row>
    <row r="26" spans="1:14" ht="89.25" customHeight="1" x14ac:dyDescent="0.2">
      <c r="A26" s="26" t="s">
        <v>633</v>
      </c>
      <c r="B26" s="27" t="s">
        <v>634</v>
      </c>
      <c r="C26" s="28" t="s">
        <v>130</v>
      </c>
      <c r="D26" s="29" t="s">
        <v>1788</v>
      </c>
      <c r="E26" s="29" t="s">
        <v>1789</v>
      </c>
      <c r="F26" s="29" t="s">
        <v>1790</v>
      </c>
      <c r="G26" s="29" t="s">
        <v>1791</v>
      </c>
      <c r="H26" s="29" t="s">
        <v>1792</v>
      </c>
      <c r="I26" s="26">
        <f t="shared" si="0"/>
        <v>7</v>
      </c>
      <c r="J26" s="26">
        <f t="shared" si="1"/>
        <v>8</v>
      </c>
      <c r="K26" s="26">
        <f t="shared" si="2"/>
        <v>8</v>
      </c>
      <c r="L26" s="26">
        <f t="shared" si="3"/>
        <v>7</v>
      </c>
      <c r="M26" s="26">
        <f t="shared" si="4"/>
        <v>7</v>
      </c>
      <c r="N26" s="26">
        <f t="shared" si="5"/>
        <v>8</v>
      </c>
    </row>
    <row r="27" spans="1:14" ht="63.75" customHeight="1" x14ac:dyDescent="0.2">
      <c r="A27" s="26" t="s">
        <v>638</v>
      </c>
      <c r="B27" s="27" t="s">
        <v>639</v>
      </c>
      <c r="C27" s="28" t="s">
        <v>130</v>
      </c>
      <c r="D27" s="29" t="s">
        <v>1793</v>
      </c>
      <c r="E27" s="29" t="s">
        <v>1794</v>
      </c>
      <c r="F27" s="29" t="s">
        <v>1795</v>
      </c>
      <c r="G27" s="29" t="s">
        <v>1796</v>
      </c>
      <c r="H27" s="29" t="s">
        <v>1797</v>
      </c>
      <c r="I27" s="26">
        <f t="shared" si="0"/>
        <v>5</v>
      </c>
      <c r="J27" s="26">
        <f t="shared" si="1"/>
        <v>7</v>
      </c>
      <c r="K27" s="26">
        <f t="shared" si="2"/>
        <v>5</v>
      </c>
      <c r="L27" s="26">
        <f t="shared" si="3"/>
        <v>6</v>
      </c>
      <c r="M27" s="26">
        <f t="shared" si="4"/>
        <v>7</v>
      </c>
      <c r="N27" s="26">
        <f t="shared" si="5"/>
        <v>7</v>
      </c>
    </row>
    <row r="28" spans="1:14" ht="76.5" customHeight="1" x14ac:dyDescent="0.2">
      <c r="A28" s="26" t="s">
        <v>643</v>
      </c>
      <c r="B28" s="27" t="s">
        <v>644</v>
      </c>
      <c r="C28" s="28" t="s">
        <v>130</v>
      </c>
      <c r="D28" s="29" t="s">
        <v>1798</v>
      </c>
      <c r="E28" s="29" t="s">
        <v>1799</v>
      </c>
      <c r="F28" s="29" t="s">
        <v>1800</v>
      </c>
      <c r="G28" s="29" t="s">
        <v>1801</v>
      </c>
      <c r="H28" s="29" t="s">
        <v>1802</v>
      </c>
      <c r="I28" s="26">
        <f t="shared" si="0"/>
        <v>7</v>
      </c>
      <c r="J28" s="26">
        <f t="shared" si="1"/>
        <v>6</v>
      </c>
      <c r="K28" s="26">
        <f t="shared" si="2"/>
        <v>8</v>
      </c>
      <c r="L28" s="26">
        <f t="shared" si="3"/>
        <v>8</v>
      </c>
      <c r="M28" s="26">
        <f t="shared" si="4"/>
        <v>5</v>
      </c>
      <c r="N28" s="26">
        <f t="shared" si="5"/>
        <v>8</v>
      </c>
    </row>
    <row r="29" spans="1:14" ht="63.75" customHeight="1" x14ac:dyDescent="0.2">
      <c r="A29" s="30" t="s">
        <v>649</v>
      </c>
      <c r="B29" s="31" t="s">
        <v>650</v>
      </c>
      <c r="C29" s="32" t="s">
        <v>135</v>
      </c>
      <c r="D29" s="33" t="s">
        <v>1803</v>
      </c>
      <c r="E29" s="33" t="s">
        <v>1804</v>
      </c>
      <c r="F29" s="33" t="s">
        <v>1805</v>
      </c>
      <c r="G29" s="33" t="s">
        <v>1806</v>
      </c>
      <c r="H29" s="33" t="s">
        <v>1807</v>
      </c>
      <c r="I29" s="30">
        <f t="shared" si="0"/>
        <v>6</v>
      </c>
      <c r="J29" s="30">
        <f t="shared" si="1"/>
        <v>6</v>
      </c>
      <c r="K29" s="30">
        <f t="shared" si="2"/>
        <v>6</v>
      </c>
      <c r="L29" s="30">
        <f t="shared" si="3"/>
        <v>6</v>
      </c>
      <c r="M29" s="30">
        <f t="shared" si="4"/>
        <v>5</v>
      </c>
      <c r="N29" s="30">
        <f t="shared" si="5"/>
        <v>6</v>
      </c>
    </row>
    <row r="30" spans="1:14" ht="76.5" customHeight="1" x14ac:dyDescent="0.2">
      <c r="A30" s="30" t="s">
        <v>654</v>
      </c>
      <c r="B30" s="31" t="s">
        <v>655</v>
      </c>
      <c r="C30" s="32" t="s">
        <v>135</v>
      </c>
      <c r="D30" s="33" t="s">
        <v>1808</v>
      </c>
      <c r="E30" s="33" t="s">
        <v>1809</v>
      </c>
      <c r="F30" s="33" t="s">
        <v>1810</v>
      </c>
      <c r="G30" s="33" t="s">
        <v>1811</v>
      </c>
      <c r="H30" s="33" t="s">
        <v>1812</v>
      </c>
      <c r="I30" s="30">
        <f t="shared" si="0"/>
        <v>8</v>
      </c>
      <c r="J30" s="30">
        <f t="shared" si="1"/>
        <v>5</v>
      </c>
      <c r="K30" s="30">
        <f t="shared" si="2"/>
        <v>5</v>
      </c>
      <c r="L30" s="30">
        <f t="shared" si="3"/>
        <v>5</v>
      </c>
      <c r="M30" s="30">
        <f t="shared" si="4"/>
        <v>4</v>
      </c>
      <c r="N30" s="30">
        <f t="shared" si="5"/>
        <v>8</v>
      </c>
    </row>
    <row r="31" spans="1:14" ht="63.75" customHeight="1" x14ac:dyDescent="0.2">
      <c r="A31" s="30" t="s">
        <v>660</v>
      </c>
      <c r="B31" s="31" t="s">
        <v>661</v>
      </c>
      <c r="C31" s="32" t="s">
        <v>135</v>
      </c>
      <c r="D31" s="33" t="s">
        <v>1813</v>
      </c>
      <c r="E31" s="33" t="s">
        <v>1814</v>
      </c>
      <c r="F31" s="33" t="s">
        <v>1815</v>
      </c>
      <c r="G31" s="33" t="s">
        <v>1816</v>
      </c>
      <c r="H31" s="33" t="s">
        <v>1817</v>
      </c>
      <c r="I31" s="30">
        <f t="shared" si="0"/>
        <v>7</v>
      </c>
      <c r="J31" s="30">
        <f t="shared" si="1"/>
        <v>4</v>
      </c>
      <c r="K31" s="30">
        <f t="shared" si="2"/>
        <v>6</v>
      </c>
      <c r="L31" s="30">
        <f t="shared" si="3"/>
        <v>7</v>
      </c>
      <c r="M31" s="30">
        <f t="shared" si="4"/>
        <v>6</v>
      </c>
      <c r="N31" s="30">
        <f t="shared" si="5"/>
        <v>7</v>
      </c>
    </row>
    <row r="32" spans="1:14" ht="76.5" customHeight="1" x14ac:dyDescent="0.2">
      <c r="A32" s="30" t="s">
        <v>665</v>
      </c>
      <c r="B32" s="31" t="s">
        <v>666</v>
      </c>
      <c r="C32" s="32" t="s">
        <v>135</v>
      </c>
      <c r="D32" s="33" t="s">
        <v>1818</v>
      </c>
      <c r="E32" s="33" t="s">
        <v>1819</v>
      </c>
      <c r="F32" s="33" t="s">
        <v>1820</v>
      </c>
      <c r="G32" s="33" t="s">
        <v>1821</v>
      </c>
      <c r="H32" s="33" t="s">
        <v>1822</v>
      </c>
      <c r="I32" s="30">
        <f t="shared" si="0"/>
        <v>7</v>
      </c>
      <c r="J32" s="30">
        <f t="shared" si="1"/>
        <v>6</v>
      </c>
      <c r="K32" s="30">
        <f t="shared" si="2"/>
        <v>7</v>
      </c>
      <c r="L32" s="30">
        <f t="shared" si="3"/>
        <v>6</v>
      </c>
      <c r="M32" s="30">
        <f t="shared" si="4"/>
        <v>8</v>
      </c>
      <c r="N32" s="30">
        <f t="shared" si="5"/>
        <v>8</v>
      </c>
    </row>
    <row r="33" spans="1:14" ht="76.5" customHeight="1" x14ac:dyDescent="0.2">
      <c r="A33" s="30" t="s">
        <v>672</v>
      </c>
      <c r="B33" s="31" t="s">
        <v>673</v>
      </c>
      <c r="C33" s="32" t="s">
        <v>135</v>
      </c>
      <c r="D33" s="33" t="s">
        <v>1823</v>
      </c>
      <c r="E33" s="33" t="s">
        <v>1824</v>
      </c>
      <c r="F33" s="33" t="s">
        <v>1825</v>
      </c>
      <c r="G33" s="33" t="s">
        <v>1826</v>
      </c>
      <c r="H33" s="33" t="s">
        <v>1827</v>
      </c>
      <c r="I33" s="30">
        <f t="shared" si="0"/>
        <v>5</v>
      </c>
      <c r="J33" s="30">
        <f t="shared" si="1"/>
        <v>8</v>
      </c>
      <c r="K33" s="30">
        <f t="shared" si="2"/>
        <v>7</v>
      </c>
      <c r="L33" s="30">
        <f t="shared" si="3"/>
        <v>6</v>
      </c>
      <c r="M33" s="30">
        <f t="shared" si="4"/>
        <v>6</v>
      </c>
      <c r="N33" s="30">
        <f t="shared" si="5"/>
        <v>8</v>
      </c>
    </row>
    <row r="34" spans="1:14" ht="76.5" customHeight="1" x14ac:dyDescent="0.2">
      <c r="A34" s="30" t="s">
        <v>677</v>
      </c>
      <c r="B34" s="31" t="s">
        <v>678</v>
      </c>
      <c r="C34" s="32" t="s">
        <v>135</v>
      </c>
      <c r="D34" s="33" t="s">
        <v>1828</v>
      </c>
      <c r="E34" s="33" t="s">
        <v>1829</v>
      </c>
      <c r="F34" s="33" t="s">
        <v>1830</v>
      </c>
      <c r="G34" s="33" t="s">
        <v>1831</v>
      </c>
      <c r="H34" s="33" t="s">
        <v>1832</v>
      </c>
      <c r="I34" s="30">
        <f t="shared" ref="I34:I55" si="6">IF(LEN(TRIM(D34))=0,0,LEN(TRIM(D34))-LEN(SUBSTITUTE(TRIM(D34)," ",""))+1)</f>
        <v>6</v>
      </c>
      <c r="J34" s="30">
        <f t="shared" ref="J34:J55" si="7">IF(LEN(TRIM(E34))=0,0,LEN(TRIM(E34))-LEN(SUBSTITUTE(TRIM(E34)," ",""))+1)</f>
        <v>7</v>
      </c>
      <c r="K34" s="30">
        <f t="shared" ref="K34:K55" si="8">IF(LEN(TRIM(F34))=0,0,LEN(TRIM(F34))-LEN(SUBSTITUTE(TRIM(F34)," ",""))+1)</f>
        <v>5</v>
      </c>
      <c r="L34" s="30">
        <f t="shared" ref="L34:L55" si="9">IF(LEN(TRIM(G34))=0,0,LEN(TRIM(G34))-LEN(SUBSTITUTE(TRIM(G34)," ",""))+1)</f>
        <v>6</v>
      </c>
      <c r="M34" s="30">
        <f t="shared" ref="M34:M55" si="10">IF(LEN(TRIM(H34))=0,0,LEN(TRIM(H34))-LEN(SUBSTITUTE(TRIM(H34)," ",""))+1)</f>
        <v>6</v>
      </c>
      <c r="N34" s="30">
        <f t="shared" ref="N34:N55" si="11">MAX(I34:M34)</f>
        <v>7</v>
      </c>
    </row>
    <row r="35" spans="1:14" ht="63.75" customHeight="1" x14ac:dyDescent="0.2">
      <c r="A35" s="30" t="s">
        <v>683</v>
      </c>
      <c r="B35" s="31" t="s">
        <v>684</v>
      </c>
      <c r="C35" s="32" t="s">
        <v>135</v>
      </c>
      <c r="D35" s="33" t="s">
        <v>1833</v>
      </c>
      <c r="E35" s="33" t="s">
        <v>1834</v>
      </c>
      <c r="F35" s="33" t="s">
        <v>1835</v>
      </c>
      <c r="G35" s="33" t="s">
        <v>1836</v>
      </c>
      <c r="H35" s="33" t="s">
        <v>1837</v>
      </c>
      <c r="I35" s="30">
        <f t="shared" si="6"/>
        <v>7</v>
      </c>
      <c r="J35" s="30">
        <f t="shared" si="7"/>
        <v>4</v>
      </c>
      <c r="K35" s="30">
        <f t="shared" si="8"/>
        <v>6</v>
      </c>
      <c r="L35" s="30">
        <f t="shared" si="9"/>
        <v>5</v>
      </c>
      <c r="M35" s="30">
        <f t="shared" si="10"/>
        <v>5</v>
      </c>
      <c r="N35" s="30">
        <f t="shared" si="11"/>
        <v>7</v>
      </c>
    </row>
    <row r="36" spans="1:14" ht="51" customHeight="1" x14ac:dyDescent="0.2">
      <c r="A36" s="30" t="s">
        <v>689</v>
      </c>
      <c r="B36" s="31" t="s">
        <v>690</v>
      </c>
      <c r="C36" s="32" t="s">
        <v>135</v>
      </c>
      <c r="D36" s="33" t="s">
        <v>1838</v>
      </c>
      <c r="E36" s="33" t="s">
        <v>1839</v>
      </c>
      <c r="F36" s="33" t="s">
        <v>1840</v>
      </c>
      <c r="G36" s="33" t="s">
        <v>1841</v>
      </c>
      <c r="H36" s="33" t="s">
        <v>1842</v>
      </c>
      <c r="I36" s="30">
        <f t="shared" si="6"/>
        <v>2</v>
      </c>
      <c r="J36" s="30">
        <f t="shared" si="7"/>
        <v>3</v>
      </c>
      <c r="K36" s="30">
        <f t="shared" si="8"/>
        <v>5</v>
      </c>
      <c r="L36" s="30">
        <f t="shared" si="9"/>
        <v>4</v>
      </c>
      <c r="M36" s="30">
        <f t="shared" si="10"/>
        <v>5</v>
      </c>
      <c r="N36" s="30">
        <f t="shared" si="11"/>
        <v>5</v>
      </c>
    </row>
    <row r="37" spans="1:14" ht="76.5" customHeight="1" x14ac:dyDescent="0.2">
      <c r="A37" s="30" t="s">
        <v>694</v>
      </c>
      <c r="B37" s="31" t="s">
        <v>695</v>
      </c>
      <c r="C37" s="32" t="s">
        <v>135</v>
      </c>
      <c r="D37" s="33" t="s">
        <v>1843</v>
      </c>
      <c r="E37" s="33" t="s">
        <v>1844</v>
      </c>
      <c r="F37" s="33" t="s">
        <v>1845</v>
      </c>
      <c r="G37" s="33" t="s">
        <v>1846</v>
      </c>
      <c r="H37" s="33" t="s">
        <v>1847</v>
      </c>
      <c r="I37" s="30">
        <f t="shared" si="6"/>
        <v>5</v>
      </c>
      <c r="J37" s="30">
        <f t="shared" si="7"/>
        <v>6</v>
      </c>
      <c r="K37" s="30">
        <f t="shared" si="8"/>
        <v>6</v>
      </c>
      <c r="L37" s="30">
        <f t="shared" si="9"/>
        <v>7</v>
      </c>
      <c r="M37" s="30">
        <f t="shared" si="10"/>
        <v>7</v>
      </c>
      <c r="N37" s="30">
        <f t="shared" si="11"/>
        <v>7</v>
      </c>
    </row>
    <row r="38" spans="1:14" ht="63.75" customHeight="1" x14ac:dyDescent="0.2">
      <c r="A38" s="34" t="s">
        <v>699</v>
      </c>
      <c r="B38" s="35" t="s">
        <v>700</v>
      </c>
      <c r="C38" s="36" t="s">
        <v>140</v>
      </c>
      <c r="D38" s="37" t="s">
        <v>1848</v>
      </c>
      <c r="E38" s="37" t="s">
        <v>1849</v>
      </c>
      <c r="F38" s="37" t="s">
        <v>1850</v>
      </c>
      <c r="G38" s="37" t="s">
        <v>1851</v>
      </c>
      <c r="H38" s="37" t="s">
        <v>1852</v>
      </c>
      <c r="I38" s="34">
        <f t="shared" si="6"/>
        <v>7</v>
      </c>
      <c r="J38" s="34">
        <f t="shared" si="7"/>
        <v>3</v>
      </c>
      <c r="K38" s="34">
        <f t="shared" si="8"/>
        <v>6</v>
      </c>
      <c r="L38" s="34">
        <f t="shared" si="9"/>
        <v>4</v>
      </c>
      <c r="M38" s="34">
        <f t="shared" si="10"/>
        <v>6</v>
      </c>
      <c r="N38" s="34">
        <f t="shared" si="11"/>
        <v>7</v>
      </c>
    </row>
    <row r="39" spans="1:14" ht="76.5" customHeight="1" x14ac:dyDescent="0.2">
      <c r="A39" s="34" t="s">
        <v>704</v>
      </c>
      <c r="B39" s="35" t="s">
        <v>705</v>
      </c>
      <c r="C39" s="36" t="s">
        <v>140</v>
      </c>
      <c r="D39" s="37" t="s">
        <v>1853</v>
      </c>
      <c r="E39" s="37" t="s">
        <v>1854</v>
      </c>
      <c r="F39" s="37" t="s">
        <v>1855</v>
      </c>
      <c r="G39" s="37" t="s">
        <v>1856</v>
      </c>
      <c r="H39" s="37" t="s">
        <v>1857</v>
      </c>
      <c r="I39" s="34">
        <f t="shared" si="6"/>
        <v>7</v>
      </c>
      <c r="J39" s="34">
        <f t="shared" si="7"/>
        <v>8</v>
      </c>
      <c r="K39" s="34">
        <f t="shared" si="8"/>
        <v>7</v>
      </c>
      <c r="L39" s="34">
        <f t="shared" si="9"/>
        <v>8</v>
      </c>
      <c r="M39" s="34">
        <f t="shared" si="10"/>
        <v>8</v>
      </c>
      <c r="N39" s="34">
        <f t="shared" si="11"/>
        <v>8</v>
      </c>
    </row>
    <row r="40" spans="1:14" ht="76.5" customHeight="1" x14ac:dyDescent="0.2">
      <c r="A40" s="34" t="s">
        <v>709</v>
      </c>
      <c r="B40" s="35" t="s">
        <v>710</v>
      </c>
      <c r="C40" s="36" t="s">
        <v>140</v>
      </c>
      <c r="D40" s="37" t="s">
        <v>1858</v>
      </c>
      <c r="E40" s="37" t="s">
        <v>1859</v>
      </c>
      <c r="F40" s="37" t="s">
        <v>1860</v>
      </c>
      <c r="G40" s="37" t="s">
        <v>1861</v>
      </c>
      <c r="H40" s="37" t="s">
        <v>1862</v>
      </c>
      <c r="I40" s="34">
        <f t="shared" si="6"/>
        <v>8</v>
      </c>
      <c r="J40" s="34">
        <f t="shared" si="7"/>
        <v>6</v>
      </c>
      <c r="K40" s="34">
        <f t="shared" si="8"/>
        <v>6</v>
      </c>
      <c r="L40" s="34">
        <f t="shared" si="9"/>
        <v>8</v>
      </c>
      <c r="M40" s="34">
        <f t="shared" si="10"/>
        <v>8</v>
      </c>
      <c r="N40" s="34">
        <f t="shared" si="11"/>
        <v>8</v>
      </c>
    </row>
    <row r="41" spans="1:14" ht="76.5" customHeight="1" x14ac:dyDescent="0.2">
      <c r="A41" s="34" t="s">
        <v>714</v>
      </c>
      <c r="B41" s="35" t="s">
        <v>715</v>
      </c>
      <c r="C41" s="36" t="s">
        <v>140</v>
      </c>
      <c r="D41" s="37" t="s">
        <v>1863</v>
      </c>
      <c r="E41" s="37" t="s">
        <v>1864</v>
      </c>
      <c r="F41" s="37" t="s">
        <v>1865</v>
      </c>
      <c r="G41" s="37" t="s">
        <v>1866</v>
      </c>
      <c r="H41" s="37" t="s">
        <v>1867</v>
      </c>
      <c r="I41" s="34">
        <f t="shared" si="6"/>
        <v>8</v>
      </c>
      <c r="J41" s="34">
        <f t="shared" si="7"/>
        <v>6</v>
      </c>
      <c r="K41" s="34">
        <f t="shared" si="8"/>
        <v>5</v>
      </c>
      <c r="L41" s="34">
        <f t="shared" si="9"/>
        <v>7</v>
      </c>
      <c r="M41" s="34">
        <f t="shared" si="10"/>
        <v>3</v>
      </c>
      <c r="N41" s="34">
        <f t="shared" si="11"/>
        <v>8</v>
      </c>
    </row>
    <row r="42" spans="1:14" ht="76.5" customHeight="1" x14ac:dyDescent="0.2">
      <c r="A42" s="34" t="s">
        <v>719</v>
      </c>
      <c r="B42" s="35" t="s">
        <v>720</v>
      </c>
      <c r="C42" s="36" t="s">
        <v>140</v>
      </c>
      <c r="D42" s="37" t="s">
        <v>1868</v>
      </c>
      <c r="E42" s="37" t="s">
        <v>1869</v>
      </c>
      <c r="F42" s="37" t="s">
        <v>1870</v>
      </c>
      <c r="G42" s="37" t="s">
        <v>1871</v>
      </c>
      <c r="H42" s="37" t="s">
        <v>1872</v>
      </c>
      <c r="I42" s="34">
        <f t="shared" si="6"/>
        <v>6</v>
      </c>
      <c r="J42" s="34">
        <f t="shared" si="7"/>
        <v>7</v>
      </c>
      <c r="K42" s="34">
        <f t="shared" si="8"/>
        <v>8</v>
      </c>
      <c r="L42" s="34">
        <f t="shared" si="9"/>
        <v>6</v>
      </c>
      <c r="M42" s="34">
        <f t="shared" si="10"/>
        <v>8</v>
      </c>
      <c r="N42" s="34">
        <f t="shared" si="11"/>
        <v>8</v>
      </c>
    </row>
    <row r="43" spans="1:14" ht="76.5" customHeight="1" x14ac:dyDescent="0.2">
      <c r="A43" s="34" t="s">
        <v>724</v>
      </c>
      <c r="B43" s="35" t="s">
        <v>725</v>
      </c>
      <c r="C43" s="36" t="s">
        <v>140</v>
      </c>
      <c r="D43" s="37" t="s">
        <v>1873</v>
      </c>
      <c r="E43" s="37" t="s">
        <v>1874</v>
      </c>
      <c r="F43" s="37" t="s">
        <v>1875</v>
      </c>
      <c r="G43" s="37" t="s">
        <v>1876</v>
      </c>
      <c r="H43" s="37" t="s">
        <v>1877</v>
      </c>
      <c r="I43" s="34">
        <f t="shared" si="6"/>
        <v>5</v>
      </c>
      <c r="J43" s="34">
        <f t="shared" si="7"/>
        <v>7</v>
      </c>
      <c r="K43" s="34">
        <f t="shared" si="8"/>
        <v>8</v>
      </c>
      <c r="L43" s="34">
        <f t="shared" si="9"/>
        <v>7</v>
      </c>
      <c r="M43" s="34">
        <f t="shared" si="10"/>
        <v>7</v>
      </c>
      <c r="N43" s="34">
        <f t="shared" si="11"/>
        <v>8</v>
      </c>
    </row>
    <row r="44" spans="1:14" ht="89.25" customHeight="1" x14ac:dyDescent="0.2">
      <c r="A44" s="34" t="s">
        <v>729</v>
      </c>
      <c r="B44" s="35" t="s">
        <v>730</v>
      </c>
      <c r="C44" s="36" t="s">
        <v>140</v>
      </c>
      <c r="D44" s="37" t="s">
        <v>1878</v>
      </c>
      <c r="E44" s="37" t="s">
        <v>1879</v>
      </c>
      <c r="F44" s="37" t="s">
        <v>1880</v>
      </c>
      <c r="G44" s="37" t="s">
        <v>1881</v>
      </c>
      <c r="H44" s="37" t="s">
        <v>1882</v>
      </c>
      <c r="I44" s="34">
        <f t="shared" si="6"/>
        <v>6</v>
      </c>
      <c r="J44" s="34">
        <f t="shared" si="7"/>
        <v>7</v>
      </c>
      <c r="K44" s="34">
        <f t="shared" si="8"/>
        <v>6</v>
      </c>
      <c r="L44" s="34">
        <f t="shared" si="9"/>
        <v>6</v>
      </c>
      <c r="M44" s="34">
        <f t="shared" si="10"/>
        <v>7</v>
      </c>
      <c r="N44" s="34">
        <f t="shared" si="11"/>
        <v>7</v>
      </c>
    </row>
    <row r="45" spans="1:14" ht="76.5" customHeight="1" x14ac:dyDescent="0.2">
      <c r="A45" s="34" t="s">
        <v>734</v>
      </c>
      <c r="B45" s="35" t="s">
        <v>735</v>
      </c>
      <c r="C45" s="36" t="s">
        <v>140</v>
      </c>
      <c r="D45" s="37" t="s">
        <v>1883</v>
      </c>
      <c r="E45" s="37" t="s">
        <v>1884</v>
      </c>
      <c r="F45" s="37" t="s">
        <v>1885</v>
      </c>
      <c r="G45" s="37" t="s">
        <v>1886</v>
      </c>
      <c r="H45" s="37" t="s">
        <v>1887</v>
      </c>
      <c r="I45" s="34">
        <f t="shared" si="6"/>
        <v>6</v>
      </c>
      <c r="J45" s="34">
        <f t="shared" si="7"/>
        <v>6</v>
      </c>
      <c r="K45" s="34">
        <f t="shared" si="8"/>
        <v>6</v>
      </c>
      <c r="L45" s="34">
        <f t="shared" si="9"/>
        <v>7</v>
      </c>
      <c r="M45" s="34">
        <f t="shared" si="10"/>
        <v>6</v>
      </c>
      <c r="N45" s="34">
        <f t="shared" si="11"/>
        <v>7</v>
      </c>
    </row>
    <row r="46" spans="1:14" ht="76.5" customHeight="1" x14ac:dyDescent="0.2">
      <c r="A46" s="34" t="s">
        <v>740</v>
      </c>
      <c r="B46" s="35" t="s">
        <v>741</v>
      </c>
      <c r="C46" s="36" t="s">
        <v>140</v>
      </c>
      <c r="D46" s="37" t="s">
        <v>1888</v>
      </c>
      <c r="E46" s="37" t="s">
        <v>1889</v>
      </c>
      <c r="F46" s="37" t="s">
        <v>1890</v>
      </c>
      <c r="G46" s="37" t="s">
        <v>1891</v>
      </c>
      <c r="H46" s="37" t="s">
        <v>1892</v>
      </c>
      <c r="I46" s="34">
        <f t="shared" si="6"/>
        <v>7</v>
      </c>
      <c r="J46" s="34">
        <f t="shared" si="7"/>
        <v>6</v>
      </c>
      <c r="K46" s="34">
        <f t="shared" si="8"/>
        <v>7</v>
      </c>
      <c r="L46" s="34">
        <f t="shared" si="9"/>
        <v>7</v>
      </c>
      <c r="M46" s="34">
        <f t="shared" si="10"/>
        <v>7</v>
      </c>
      <c r="N46" s="34">
        <f t="shared" si="11"/>
        <v>7</v>
      </c>
    </row>
    <row r="47" spans="1:14" ht="63.75" customHeight="1" x14ac:dyDescent="0.2">
      <c r="A47" s="38" t="s">
        <v>745</v>
      </c>
      <c r="B47" s="39" t="s">
        <v>746</v>
      </c>
      <c r="C47" s="40" t="s">
        <v>145</v>
      </c>
      <c r="D47" s="41" t="s">
        <v>1893</v>
      </c>
      <c r="E47" s="41" t="s">
        <v>1894</v>
      </c>
      <c r="F47" s="41" t="s">
        <v>1895</v>
      </c>
      <c r="G47" s="41" t="s">
        <v>1896</v>
      </c>
      <c r="H47" s="41" t="s">
        <v>1897</v>
      </c>
      <c r="I47" s="38">
        <f t="shared" si="6"/>
        <v>7</v>
      </c>
      <c r="J47" s="38">
        <f t="shared" si="7"/>
        <v>7</v>
      </c>
      <c r="K47" s="38">
        <f t="shared" si="8"/>
        <v>7</v>
      </c>
      <c r="L47" s="38">
        <f t="shared" si="9"/>
        <v>7</v>
      </c>
      <c r="M47" s="38">
        <f t="shared" si="10"/>
        <v>7</v>
      </c>
      <c r="N47" s="38">
        <f t="shared" si="11"/>
        <v>7</v>
      </c>
    </row>
    <row r="48" spans="1:14" ht="63.75" customHeight="1" x14ac:dyDescent="0.2">
      <c r="A48" s="38" t="s">
        <v>750</v>
      </c>
      <c r="B48" s="39" t="s">
        <v>751</v>
      </c>
      <c r="C48" s="40" t="s">
        <v>145</v>
      </c>
      <c r="D48" s="41" t="s">
        <v>1898</v>
      </c>
      <c r="E48" s="41" t="s">
        <v>1899</v>
      </c>
      <c r="F48" s="41" t="s">
        <v>1900</v>
      </c>
      <c r="G48" s="41" t="s">
        <v>1901</v>
      </c>
      <c r="H48" s="41" t="s">
        <v>1902</v>
      </c>
      <c r="I48" s="38">
        <f t="shared" si="6"/>
        <v>6</v>
      </c>
      <c r="J48" s="38">
        <f t="shared" si="7"/>
        <v>6</v>
      </c>
      <c r="K48" s="38">
        <f t="shared" si="8"/>
        <v>5</v>
      </c>
      <c r="L48" s="38">
        <f t="shared" si="9"/>
        <v>7</v>
      </c>
      <c r="M48" s="38">
        <f t="shared" si="10"/>
        <v>6</v>
      </c>
      <c r="N48" s="38">
        <f t="shared" si="11"/>
        <v>7</v>
      </c>
    </row>
    <row r="49" spans="1:14" ht="63.75" customHeight="1" x14ac:dyDescent="0.2">
      <c r="A49" s="38" t="s">
        <v>755</v>
      </c>
      <c r="B49" s="39" t="s">
        <v>756</v>
      </c>
      <c r="C49" s="40" t="s">
        <v>145</v>
      </c>
      <c r="D49" s="41" t="s">
        <v>1903</v>
      </c>
      <c r="E49" s="41" t="s">
        <v>1904</v>
      </c>
      <c r="F49" s="41" t="s">
        <v>1905</v>
      </c>
      <c r="G49" s="41" t="s">
        <v>1906</v>
      </c>
      <c r="H49" s="41" t="s">
        <v>1907</v>
      </c>
      <c r="I49" s="38">
        <f t="shared" si="6"/>
        <v>7</v>
      </c>
      <c r="J49" s="38">
        <f t="shared" si="7"/>
        <v>6</v>
      </c>
      <c r="K49" s="38">
        <f t="shared" si="8"/>
        <v>7</v>
      </c>
      <c r="L49" s="38">
        <f t="shared" si="9"/>
        <v>6</v>
      </c>
      <c r="M49" s="38">
        <f t="shared" si="10"/>
        <v>7</v>
      </c>
      <c r="N49" s="38">
        <f t="shared" si="11"/>
        <v>7</v>
      </c>
    </row>
    <row r="50" spans="1:14" ht="76.5" customHeight="1" x14ac:dyDescent="0.2">
      <c r="A50" s="38" t="s">
        <v>760</v>
      </c>
      <c r="B50" s="39" t="s">
        <v>761</v>
      </c>
      <c r="C50" s="40" t="s">
        <v>145</v>
      </c>
      <c r="D50" s="41" t="s">
        <v>1908</v>
      </c>
      <c r="E50" s="41" t="s">
        <v>1909</v>
      </c>
      <c r="F50" s="41" t="s">
        <v>1910</v>
      </c>
      <c r="G50" s="41" t="s">
        <v>1911</v>
      </c>
      <c r="H50" s="41" t="s">
        <v>1912</v>
      </c>
      <c r="I50" s="38">
        <f t="shared" si="6"/>
        <v>7</v>
      </c>
      <c r="J50" s="38">
        <f t="shared" si="7"/>
        <v>7</v>
      </c>
      <c r="K50" s="38">
        <f t="shared" si="8"/>
        <v>7</v>
      </c>
      <c r="L50" s="38">
        <f t="shared" si="9"/>
        <v>6</v>
      </c>
      <c r="M50" s="38">
        <f t="shared" si="10"/>
        <v>6</v>
      </c>
      <c r="N50" s="38">
        <f t="shared" si="11"/>
        <v>7</v>
      </c>
    </row>
    <row r="51" spans="1:14" ht="63.75" customHeight="1" x14ac:dyDescent="0.2">
      <c r="A51" s="38" t="s">
        <v>766</v>
      </c>
      <c r="B51" s="39" t="s">
        <v>767</v>
      </c>
      <c r="C51" s="40" t="s">
        <v>145</v>
      </c>
      <c r="D51" s="41" t="s">
        <v>1913</v>
      </c>
      <c r="E51" s="41" t="s">
        <v>1914</v>
      </c>
      <c r="F51" s="41" t="s">
        <v>1915</v>
      </c>
      <c r="G51" s="41" t="s">
        <v>1916</v>
      </c>
      <c r="H51" s="41" t="s">
        <v>1917</v>
      </c>
      <c r="I51" s="38">
        <f t="shared" si="6"/>
        <v>5</v>
      </c>
      <c r="J51" s="38">
        <f t="shared" si="7"/>
        <v>5</v>
      </c>
      <c r="K51" s="38">
        <f t="shared" si="8"/>
        <v>5</v>
      </c>
      <c r="L51" s="38">
        <f t="shared" si="9"/>
        <v>5</v>
      </c>
      <c r="M51" s="38">
        <f t="shared" si="10"/>
        <v>6</v>
      </c>
      <c r="N51" s="38">
        <f t="shared" si="11"/>
        <v>6</v>
      </c>
    </row>
    <row r="52" spans="1:14" ht="76.5" customHeight="1" x14ac:dyDescent="0.2">
      <c r="A52" s="38" t="s">
        <v>771</v>
      </c>
      <c r="B52" s="39" t="s">
        <v>772</v>
      </c>
      <c r="C52" s="40" t="s">
        <v>145</v>
      </c>
      <c r="D52" s="41" t="s">
        <v>1918</v>
      </c>
      <c r="E52" s="41" t="s">
        <v>1919</v>
      </c>
      <c r="F52" s="41" t="s">
        <v>1920</v>
      </c>
      <c r="G52" s="41" t="s">
        <v>1921</v>
      </c>
      <c r="H52" s="41" t="s">
        <v>1922</v>
      </c>
      <c r="I52" s="38">
        <f t="shared" si="6"/>
        <v>7</v>
      </c>
      <c r="J52" s="38">
        <f t="shared" si="7"/>
        <v>7</v>
      </c>
      <c r="K52" s="38">
        <f t="shared" si="8"/>
        <v>7</v>
      </c>
      <c r="L52" s="38">
        <f t="shared" si="9"/>
        <v>7</v>
      </c>
      <c r="M52" s="38">
        <f t="shared" si="10"/>
        <v>8</v>
      </c>
      <c r="N52" s="38">
        <f t="shared" si="11"/>
        <v>8</v>
      </c>
    </row>
    <row r="53" spans="1:14" ht="102" customHeight="1" x14ac:dyDescent="0.2">
      <c r="A53" s="38" t="s">
        <v>776</v>
      </c>
      <c r="B53" s="39" t="s">
        <v>777</v>
      </c>
      <c r="C53" s="40" t="s">
        <v>145</v>
      </c>
      <c r="D53" s="41" t="s">
        <v>1923</v>
      </c>
      <c r="E53" s="41" t="s">
        <v>1924</v>
      </c>
      <c r="F53" s="41" t="s">
        <v>1925</v>
      </c>
      <c r="G53" s="41" t="s">
        <v>1926</v>
      </c>
      <c r="H53" s="41" t="s">
        <v>1927</v>
      </c>
      <c r="I53" s="38">
        <f t="shared" si="6"/>
        <v>7</v>
      </c>
      <c r="J53" s="38">
        <f t="shared" si="7"/>
        <v>7</v>
      </c>
      <c r="K53" s="38">
        <f t="shared" si="8"/>
        <v>6</v>
      </c>
      <c r="L53" s="38">
        <f t="shared" si="9"/>
        <v>7</v>
      </c>
      <c r="M53" s="38">
        <f t="shared" si="10"/>
        <v>8</v>
      </c>
      <c r="N53" s="38">
        <f t="shared" si="11"/>
        <v>8</v>
      </c>
    </row>
    <row r="54" spans="1:14" ht="76.5" customHeight="1" x14ac:dyDescent="0.2">
      <c r="A54" s="38" t="s">
        <v>782</v>
      </c>
      <c r="B54" s="39" t="s">
        <v>783</v>
      </c>
      <c r="C54" s="40" t="s">
        <v>145</v>
      </c>
      <c r="D54" s="41" t="s">
        <v>1928</v>
      </c>
      <c r="E54" s="41" t="s">
        <v>1929</v>
      </c>
      <c r="F54" s="41" t="s">
        <v>1930</v>
      </c>
      <c r="G54" s="41" t="s">
        <v>1931</v>
      </c>
      <c r="H54" s="41" t="s">
        <v>1932</v>
      </c>
      <c r="I54" s="38">
        <f t="shared" si="6"/>
        <v>7</v>
      </c>
      <c r="J54" s="38">
        <f t="shared" si="7"/>
        <v>8</v>
      </c>
      <c r="K54" s="38">
        <f t="shared" si="8"/>
        <v>5</v>
      </c>
      <c r="L54" s="38">
        <f t="shared" si="9"/>
        <v>6</v>
      </c>
      <c r="M54" s="38">
        <f t="shared" si="10"/>
        <v>7</v>
      </c>
      <c r="N54" s="38">
        <f t="shared" si="11"/>
        <v>8</v>
      </c>
    </row>
    <row r="55" spans="1:14" ht="63.75" customHeight="1" x14ac:dyDescent="0.2">
      <c r="A55" s="38" t="s">
        <v>787</v>
      </c>
      <c r="B55" s="39" t="s">
        <v>788</v>
      </c>
      <c r="C55" s="40" t="s">
        <v>145</v>
      </c>
      <c r="D55" s="41" t="s">
        <v>1933</v>
      </c>
      <c r="E55" s="41" t="s">
        <v>1934</v>
      </c>
      <c r="F55" s="41" t="s">
        <v>1935</v>
      </c>
      <c r="G55" s="41" t="s">
        <v>1936</v>
      </c>
      <c r="H55" s="41" t="s">
        <v>1937</v>
      </c>
      <c r="I55" s="38">
        <f t="shared" si="6"/>
        <v>7</v>
      </c>
      <c r="J55" s="38">
        <f t="shared" si="7"/>
        <v>4</v>
      </c>
      <c r="K55" s="38">
        <f t="shared" si="8"/>
        <v>5</v>
      </c>
      <c r="L55" s="38">
        <f t="shared" si="9"/>
        <v>5</v>
      </c>
      <c r="M55" s="38">
        <f t="shared" si="10"/>
        <v>8</v>
      </c>
      <c r="N55" s="38">
        <f t="shared" si="11"/>
        <v>8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21"/>
  <dimension ref="A1:E19"/>
  <sheetViews>
    <sheetView workbookViewId="0"/>
  </sheetViews>
  <sheetFormatPr defaultRowHeight="15" x14ac:dyDescent="0.2"/>
  <cols>
    <col min="1" max="1" width="13.046875" customWidth="1"/>
    <col min="2" max="2" width="43.98828125" customWidth="1"/>
    <col min="4" max="4" width="39.953125" customWidth="1"/>
    <col min="5" max="5" width="36.05078125" customWidth="1"/>
  </cols>
  <sheetData>
    <row r="1" spans="1:5" ht="15.75" customHeight="1" x14ac:dyDescent="0.2">
      <c r="A1" s="42" t="s">
        <v>1938</v>
      </c>
    </row>
    <row r="2" spans="1:5" x14ac:dyDescent="0.2">
      <c r="A2" s="43" t="s">
        <v>1939</v>
      </c>
    </row>
    <row r="4" spans="1:5" x14ac:dyDescent="0.2">
      <c r="A4" s="44" t="s">
        <v>1652</v>
      </c>
      <c r="B4" s="44" t="s">
        <v>1940</v>
      </c>
      <c r="C4" s="44" t="s">
        <v>1941</v>
      </c>
      <c r="D4" s="44" t="s">
        <v>1942</v>
      </c>
      <c r="E4" s="44" t="s">
        <v>1943</v>
      </c>
    </row>
    <row r="5" spans="1:5" ht="76.5" customHeight="1" x14ac:dyDescent="0.2">
      <c r="A5" s="45" t="s">
        <v>120</v>
      </c>
      <c r="B5" s="46" t="s">
        <v>1944</v>
      </c>
      <c r="C5" s="46" t="s">
        <v>1945</v>
      </c>
      <c r="D5" s="46" t="s">
        <v>1946</v>
      </c>
      <c r="E5" s="46" t="s">
        <v>1665</v>
      </c>
    </row>
    <row r="6" spans="1:5" ht="63.75" customHeight="1" x14ac:dyDescent="0.2">
      <c r="A6" s="47" t="s">
        <v>125</v>
      </c>
      <c r="B6" s="48" t="s">
        <v>1947</v>
      </c>
      <c r="C6" s="48" t="s">
        <v>1948</v>
      </c>
      <c r="D6" s="48" t="s">
        <v>1949</v>
      </c>
      <c r="E6" s="48" t="s">
        <v>1744</v>
      </c>
    </row>
    <row r="7" spans="1:5" ht="63.75" customHeight="1" x14ac:dyDescent="0.2">
      <c r="A7" s="49" t="s">
        <v>130</v>
      </c>
      <c r="B7" s="50" t="s">
        <v>1950</v>
      </c>
      <c r="C7" s="50" t="s">
        <v>1951</v>
      </c>
      <c r="D7" s="50" t="s">
        <v>1952</v>
      </c>
      <c r="E7" s="50" t="s">
        <v>1793</v>
      </c>
    </row>
    <row r="8" spans="1:5" ht="76.5" customHeight="1" x14ac:dyDescent="0.2">
      <c r="A8" s="51" t="s">
        <v>135</v>
      </c>
      <c r="B8" s="52" t="s">
        <v>1953</v>
      </c>
      <c r="C8" s="52" t="s">
        <v>1954</v>
      </c>
      <c r="D8" s="52" t="s">
        <v>1955</v>
      </c>
      <c r="E8" s="52" t="s">
        <v>1813</v>
      </c>
    </row>
    <row r="9" spans="1:5" ht="63.75" customHeight="1" x14ac:dyDescent="0.2">
      <c r="A9" s="53" t="s">
        <v>140</v>
      </c>
      <c r="B9" s="54" t="s">
        <v>1956</v>
      </c>
      <c r="C9" s="54" t="s">
        <v>1957</v>
      </c>
      <c r="D9" s="54" t="s">
        <v>1958</v>
      </c>
      <c r="E9" s="54" t="s">
        <v>1877</v>
      </c>
    </row>
    <row r="10" spans="1:5" ht="63.75" customHeight="1" x14ac:dyDescent="0.2">
      <c r="A10" s="55" t="s">
        <v>145</v>
      </c>
      <c r="B10" s="56" t="s">
        <v>1959</v>
      </c>
      <c r="C10" s="56" t="s">
        <v>1960</v>
      </c>
      <c r="D10" s="56" t="s">
        <v>1961</v>
      </c>
      <c r="E10" s="56" t="s">
        <v>1913</v>
      </c>
    </row>
    <row r="13" spans="1:5" ht="15.75" customHeight="1" x14ac:dyDescent="0.2">
      <c r="A13" s="42" t="s">
        <v>1962</v>
      </c>
    </row>
    <row r="14" spans="1:5" x14ac:dyDescent="0.2">
      <c r="A14" s="44" t="s">
        <v>1963</v>
      </c>
      <c r="B14" s="44" t="s">
        <v>1964</v>
      </c>
      <c r="C14" s="44" t="s">
        <v>1965</v>
      </c>
      <c r="D14" s="44" t="s">
        <v>1966</v>
      </c>
    </row>
    <row r="15" spans="1:5" ht="25.5" customHeight="1" x14ac:dyDescent="0.2">
      <c r="A15" s="57" t="s">
        <v>1967</v>
      </c>
      <c r="B15" s="58" t="s">
        <v>1968</v>
      </c>
      <c r="C15" s="58" t="s">
        <v>1969</v>
      </c>
      <c r="D15" s="58" t="s">
        <v>1877</v>
      </c>
    </row>
    <row r="16" spans="1:5" ht="127.5" customHeight="1" x14ac:dyDescent="0.2">
      <c r="A16" s="57" t="s">
        <v>1970</v>
      </c>
      <c r="B16" s="58" t="s">
        <v>1971</v>
      </c>
      <c r="C16" s="58" t="s">
        <v>1972</v>
      </c>
      <c r="D16" s="58" t="s">
        <v>1833</v>
      </c>
    </row>
    <row r="17" spans="1:4" ht="76.5" customHeight="1" x14ac:dyDescent="0.2">
      <c r="A17" s="57" t="s">
        <v>1973</v>
      </c>
      <c r="B17" s="58" t="s">
        <v>1974</v>
      </c>
      <c r="C17" s="58" t="s">
        <v>1975</v>
      </c>
      <c r="D17" s="58" t="s">
        <v>1814</v>
      </c>
    </row>
    <row r="18" spans="1:4" ht="114.75" customHeight="1" x14ac:dyDescent="0.2">
      <c r="A18" s="57" t="s">
        <v>1976</v>
      </c>
      <c r="B18" s="58" t="s">
        <v>1977</v>
      </c>
      <c r="C18" s="58" t="s">
        <v>1978</v>
      </c>
      <c r="D18" s="58" t="s">
        <v>1793</v>
      </c>
    </row>
    <row r="19" spans="1:4" ht="114.75" customHeight="1" x14ac:dyDescent="0.2">
      <c r="A19" s="57" t="s">
        <v>1979</v>
      </c>
      <c r="B19" s="58" t="s">
        <v>1980</v>
      </c>
      <c r="C19" s="58" t="s">
        <v>1981</v>
      </c>
      <c r="D19" s="58" t="s">
        <v>1742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22"/>
  <dimension ref="A1:N27"/>
  <sheetViews>
    <sheetView workbookViewId="0">
      <pane xSplit="2" ySplit="1" topLeftCell="C2" activePane="bottomRight" state="frozen"/>
      <selection pane="bottomLeft"/>
      <selection pane="topRight"/>
      <selection pane="bottomRight"/>
    </sheetView>
  </sheetViews>
  <sheetFormatPr defaultRowHeight="15" x14ac:dyDescent="0.2"/>
  <cols>
    <col min="1" max="1" width="6.05078125" customWidth="1"/>
    <col min="2" max="2" width="39.953125" customWidth="1"/>
    <col min="3" max="3" width="13.046875" customWidth="1"/>
    <col min="4" max="4" width="9.01171875" customWidth="1"/>
    <col min="5" max="5" width="9.953125" customWidth="1"/>
    <col min="6" max="6" width="9.01171875" customWidth="1"/>
    <col min="7" max="7" width="9.953125" customWidth="1"/>
    <col min="8" max="8" width="9.01171875" customWidth="1"/>
    <col min="9" max="9" width="11.02734375" customWidth="1"/>
    <col min="10" max="10" width="7.93359375" customWidth="1"/>
    <col min="11" max="11" width="6.9921875" customWidth="1"/>
    <col min="12" max="12" width="43.98828125" customWidth="1"/>
  </cols>
  <sheetData>
    <row r="1" spans="1:14" ht="25.5" customHeight="1" x14ac:dyDescent="0.2">
      <c r="A1" s="14" t="s">
        <v>1982</v>
      </c>
      <c r="B1" s="14" t="s">
        <v>1983</v>
      </c>
      <c r="C1" s="14" t="s">
        <v>1984</v>
      </c>
      <c r="D1" s="14" t="s">
        <v>120</v>
      </c>
      <c r="E1" s="14" t="s">
        <v>125</v>
      </c>
      <c r="F1" s="14" t="s">
        <v>130</v>
      </c>
      <c r="G1" s="14" t="s">
        <v>135</v>
      </c>
      <c r="H1" s="14" t="s">
        <v>140</v>
      </c>
      <c r="I1" s="14" t="s">
        <v>145</v>
      </c>
      <c r="J1" s="15" t="s">
        <v>1985</v>
      </c>
      <c r="K1" s="15" t="s">
        <v>1986</v>
      </c>
      <c r="L1" s="14" t="s">
        <v>1987</v>
      </c>
      <c r="M1" s="14" t="s">
        <v>1988</v>
      </c>
      <c r="N1" s="14" t="s">
        <v>1989</v>
      </c>
    </row>
    <row r="2" spans="1:14" ht="102" customHeight="1" x14ac:dyDescent="0.2">
      <c r="A2" s="59" t="s">
        <v>1990</v>
      </c>
      <c r="B2" s="60" t="s">
        <v>1991</v>
      </c>
      <c r="C2" s="61" t="s">
        <v>1992</v>
      </c>
      <c r="D2" s="59" t="s">
        <v>1993</v>
      </c>
      <c r="E2" s="59" t="s">
        <v>1993</v>
      </c>
      <c r="F2" s="59" t="s">
        <v>1993</v>
      </c>
      <c r="G2" s="59" t="s">
        <v>1994</v>
      </c>
      <c r="H2" s="59" t="s">
        <v>1994</v>
      </c>
      <c r="I2" s="59" t="s">
        <v>1994</v>
      </c>
      <c r="J2" s="59">
        <f t="shared" ref="J2:J21" si="0">COUNTIF(D2:I2,"S")</f>
        <v>3</v>
      </c>
      <c r="K2" s="59">
        <f t="shared" ref="K2:K21" si="1">LEN(TRIM(B2))-LEN(SUBSTITUTE(TRIM(B2)," ",""))+1</f>
        <v>8</v>
      </c>
      <c r="L2" s="62" t="str">
        <f>INDEX(Cards!$B$2:$B$55,MATCH("C06",Cards!$A$2:$A$55,0))&amp;" (C06): They're not statistics. They're our neighbors."</f>
        <v>Tearful Appeal (C06): They're not statistics. They're our neighbors.</v>
      </c>
      <c r="M2" s="62" t="str">
        <f>INDEX(Cards!$B$2:$B$55,MATCH("C13",Cards!$A$2:$A$55,0))&amp;" (C13): Let's look at the actual numbers."</f>
        <v>Present the Stats (C13): Let's look at the actual numbers.</v>
      </c>
      <c r="N2" s="62" t="str">
        <f>INDEX(Cards!$B$2:$B$55,MATCH("C21",Cards!$A$2:$A$55,0))&amp;" (C21): We'll find a balance that pleases everyone."</f>
        <v>Iridescent Answer (C21): We'll find a balance that pleases everyone.</v>
      </c>
    </row>
    <row r="3" spans="1:14" ht="114.75" customHeight="1" x14ac:dyDescent="0.2">
      <c r="A3" s="59" t="s">
        <v>1995</v>
      </c>
      <c r="B3" s="60" t="s">
        <v>1996</v>
      </c>
      <c r="C3" s="61" t="s">
        <v>1997</v>
      </c>
      <c r="D3" s="59" t="s">
        <v>1993</v>
      </c>
      <c r="E3" s="59" t="s">
        <v>1994</v>
      </c>
      <c r="F3" s="59" t="s">
        <v>1994</v>
      </c>
      <c r="G3" s="59" t="s">
        <v>1994</v>
      </c>
      <c r="H3" s="59" t="s">
        <v>1993</v>
      </c>
      <c r="I3" s="59" t="s">
        <v>1993</v>
      </c>
      <c r="J3" s="59">
        <f t="shared" si="0"/>
        <v>3</v>
      </c>
      <c r="K3" s="59">
        <f t="shared" si="1"/>
        <v>8</v>
      </c>
      <c r="L3" s="62" t="str">
        <f>INDEX(Cards!$B$2:$B$55,MATCH("C02",Cards!$A$2:$A$55,0))&amp;" (C02): Let me answer you directly."</f>
        <v>Sincere Answer (C02): Let me answer you directly.</v>
      </c>
      <c r="M3" s="62" t="str">
        <f>INDEX(Cards!$B$2:$B$55,MATCH("C21",Cards!$A$2:$A$55,0))&amp;" (C21): There's truth on every side of this."</f>
        <v>Iridescent Answer (C21): There's truth on every side of this.</v>
      </c>
      <c r="N3" s="62" t="str">
        <f>INDEX(Cards!$B$2:$B$55,MATCH("C18",Cards!$A$2:$A$55,0))&amp;" (C18): It's us against them, plain and simple."</f>
        <v>Drawing Battle Lines (C18): It's us against them, plain and simple.</v>
      </c>
    </row>
    <row r="4" spans="1:14" ht="102" customHeight="1" x14ac:dyDescent="0.2">
      <c r="A4" s="59" t="s">
        <v>1998</v>
      </c>
      <c r="B4" s="60" t="s">
        <v>1999</v>
      </c>
      <c r="C4" s="61" t="s">
        <v>2000</v>
      </c>
      <c r="D4" s="59" t="s">
        <v>1994</v>
      </c>
      <c r="E4" s="59" t="s">
        <v>1993</v>
      </c>
      <c r="F4" s="59" t="s">
        <v>1994</v>
      </c>
      <c r="G4" s="59" t="s">
        <v>1993</v>
      </c>
      <c r="H4" s="59" t="s">
        <v>1993</v>
      </c>
      <c r="I4" s="59" t="s">
        <v>1994</v>
      </c>
      <c r="J4" s="59">
        <f t="shared" si="0"/>
        <v>3</v>
      </c>
      <c r="K4" s="59">
        <f t="shared" si="1"/>
        <v>9</v>
      </c>
      <c r="L4" s="62" t="str">
        <f>INDEX(Cards!$B$2:$B$55,MATCH("C13",Cards!$A$2:$A$55,0))&amp;" (C13): Facts don't care about talking points."</f>
        <v>Present the Stats (C13): Facts don't care about talking points.</v>
      </c>
      <c r="M4" s="62" t="str">
        <f>INDEX(Cards!$B$2:$B$55,MATCH("C17",Cards!$A$2:$A$55,0))&amp;" (C17): Typical out-of-touch elitist."</f>
        <v>Labeling (C17): Typical out-of-touch elitist.</v>
      </c>
      <c r="N4" s="62" t="str">
        <f>INDEX(Cards!$B$2:$B$55,MATCH("C23",Cards!$A$2:$A$55,0))&amp;" (C23): The real question is why you're asking."</f>
        <v>Shifting the Issue (C23): The real question is why you're asking.</v>
      </c>
    </row>
    <row r="5" spans="1:14" ht="114.75" customHeight="1" x14ac:dyDescent="0.2">
      <c r="A5" s="59" t="s">
        <v>2001</v>
      </c>
      <c r="B5" s="60" t="s">
        <v>2002</v>
      </c>
      <c r="C5" s="61" t="s">
        <v>2003</v>
      </c>
      <c r="D5" s="59" t="s">
        <v>2004</v>
      </c>
      <c r="E5" s="59" t="s">
        <v>1994</v>
      </c>
      <c r="F5" s="59" t="s">
        <v>1993</v>
      </c>
      <c r="G5" s="59" t="s">
        <v>1994</v>
      </c>
      <c r="H5" s="59" t="s">
        <v>1993</v>
      </c>
      <c r="I5" s="59" t="s">
        <v>1994</v>
      </c>
      <c r="J5" s="59">
        <f t="shared" si="0"/>
        <v>2</v>
      </c>
      <c r="K5" s="59">
        <f t="shared" si="1"/>
        <v>8</v>
      </c>
      <c r="L5" s="62" t="str">
        <f>INDEX(Cards!$B$2:$B$55,MATCH("C39",Cards!$A$2:$A$55,0))&amp;" (C39): Count them yourself. We have the votes."</f>
        <v>We Have the Votes (C39): Count them yourself. We have the votes.</v>
      </c>
      <c r="M5" s="62" t="str">
        <f>INDEX(Cards!$B$2:$B$55,MATCH("C20",Cards!$A$2:$A$55,0))&amp;" (C20): Oppose this, and you're not one of us."</f>
        <v>Loyalty Test (C20): Oppose this, and you're not one of us.</v>
      </c>
      <c r="N5" s="62" t="str">
        <f>INDEX(Cards!$B$2:$B$55,MATCH("C24",Cards!$A$2:$A$55,0))&amp;" (C24): Rest assured, you'll be taken care of."</f>
        <v>Offer a Quiet Assurance (C24): Rest assured, you'll be taken care of.</v>
      </c>
    </row>
    <row r="6" spans="1:14" ht="127.5" customHeight="1" x14ac:dyDescent="0.2">
      <c r="A6" s="59" t="s">
        <v>2005</v>
      </c>
      <c r="B6" s="60" t="s">
        <v>2006</v>
      </c>
      <c r="C6" s="61" t="s">
        <v>2007</v>
      </c>
      <c r="D6" s="59" t="s">
        <v>1994</v>
      </c>
      <c r="E6" s="59" t="s">
        <v>1993</v>
      </c>
      <c r="F6" s="59" t="s">
        <v>1994</v>
      </c>
      <c r="G6" s="59" t="s">
        <v>1993</v>
      </c>
      <c r="H6" s="59" t="s">
        <v>1993</v>
      </c>
      <c r="I6" s="59" t="s">
        <v>1994</v>
      </c>
      <c r="J6" s="59">
        <f t="shared" si="0"/>
        <v>3</v>
      </c>
      <c r="K6" s="59">
        <f t="shared" si="1"/>
        <v>6</v>
      </c>
      <c r="L6" s="62" t="str">
        <f>INDEX(Cards!$B$2:$B$55,MATCH("C40",Cards!$A$2:$A$55,0))&amp;" (C40): Follow the donations, and it all makes sense."</f>
        <v>Question the Funding (C40): Follow the donations, and it all makes sense.</v>
      </c>
      <c r="M6" s="62" t="str">
        <f>INDEX(Cards!$B$2:$B$55,MATCH("C18",Cards!$A$2:$A$55,0))&amp;" (C18): They stand for themselves. We stand for you."</f>
        <v>Drawing Battle Lines (C18): They stand for themselves. We stand for you.</v>
      </c>
      <c r="N6" s="62" t="str">
        <f>INDEX(Cards!$B$2:$B$55,MATCH("C53",Cards!$A$2:$A$55,0))&amp;" (C53): Nobody fights harder for people like you."</f>
        <v>Tell the Room What It Wants (C53): Nobody fights harder for people like you.</v>
      </c>
    </row>
    <row r="7" spans="1:14" ht="114.75" customHeight="1" x14ac:dyDescent="0.2">
      <c r="A7" s="59" t="s">
        <v>2008</v>
      </c>
      <c r="B7" s="60" t="s">
        <v>2009</v>
      </c>
      <c r="C7" s="61" t="s">
        <v>2010</v>
      </c>
      <c r="D7" s="59" t="s">
        <v>1994</v>
      </c>
      <c r="E7" s="59" t="s">
        <v>1994</v>
      </c>
      <c r="F7" s="59" t="s">
        <v>1993</v>
      </c>
      <c r="G7" s="59" t="s">
        <v>2004</v>
      </c>
      <c r="H7" s="59" t="s">
        <v>1993</v>
      </c>
      <c r="I7" s="59" t="s">
        <v>1994</v>
      </c>
      <c r="J7" s="59">
        <f t="shared" si="0"/>
        <v>2</v>
      </c>
      <c r="K7" s="59">
        <f t="shared" si="1"/>
        <v>7</v>
      </c>
      <c r="L7" s="62" t="str">
        <f>INDEX(Cards!$B$2:$B$55,MATCH("C35",Cards!$A$2:$A$55,0))&amp;" (C35): Our party speaks with one voice on this."</f>
        <v>Invoke Party Discipline (C35): Our party speaks with one voice on this.</v>
      </c>
      <c r="M7" s="62" t="str">
        <f>INDEX(Cards!$B$2:$B$55,MATCH("C47",Cards!$A$2:$A$55,0))&amp;" (C47): Some here forget who they serve."</f>
        <v>Question Their Loyalty (C47): Some here forget who they serve.</v>
      </c>
      <c r="N7" s="62" t="str">
        <f>INDEX(Cards!$B$2:$B$55,MATCH("C11",Cards!$A$2:$A$55,0))&amp;" (C11): I believe we understand each other."</f>
        <v>Work the Room First (C11): I believe we understand each other.</v>
      </c>
    </row>
    <row r="8" spans="1:14" ht="127.5" customHeight="1" x14ac:dyDescent="0.2">
      <c r="A8" s="59" t="s">
        <v>2011</v>
      </c>
      <c r="B8" s="60" t="s">
        <v>2012</v>
      </c>
      <c r="C8" s="61" t="s">
        <v>2013</v>
      </c>
      <c r="D8" s="59" t="s">
        <v>1994</v>
      </c>
      <c r="E8" s="59" t="s">
        <v>2004</v>
      </c>
      <c r="F8" s="59" t="s">
        <v>2004</v>
      </c>
      <c r="G8" s="59" t="s">
        <v>1993</v>
      </c>
      <c r="H8" s="59" t="s">
        <v>1994</v>
      </c>
      <c r="I8" s="59" t="s">
        <v>1993</v>
      </c>
      <c r="J8" s="59">
        <f t="shared" si="0"/>
        <v>2</v>
      </c>
      <c r="K8" s="59">
        <f t="shared" si="1"/>
        <v>8</v>
      </c>
      <c r="L8" s="62" t="str">
        <f>INDEX(Cards!$B$2:$B$55,MATCH("C16",Cards!$A$2:$A$55,0))&amp;" (C16): Two hundred pages of evidence. Read them."</f>
        <v>Table the White Paper (C16): Two hundred pages of evidence. Read them.</v>
      </c>
      <c r="M8" s="62" t="str">
        <f>INDEX(Cards!$B$2:$B$55,MATCH("C52",Cards!$A$2:$A$55,0))&amp;" (C52): Let me walk you through all forty provisions."</f>
        <v>Drown Them in Detail (C52): Let me walk you through all forty provisions.</v>
      </c>
      <c r="N8" s="62" t="str">
        <f>INDEX(Cards!$B$2:$B$55,MATCH("C01",Cards!$A$2:$A$55,0))&amp;" (C01): Judge me by my record."</f>
        <v>Record of Service (C01): Judge me by my record.</v>
      </c>
    </row>
    <row r="9" spans="1:14" ht="140.25" customHeight="1" x14ac:dyDescent="0.2">
      <c r="A9" s="59" t="s">
        <v>2014</v>
      </c>
      <c r="B9" s="60" t="s">
        <v>2015</v>
      </c>
      <c r="C9" s="61" t="s">
        <v>2016</v>
      </c>
      <c r="D9" s="59" t="s">
        <v>1994</v>
      </c>
      <c r="E9" s="59" t="s">
        <v>1994</v>
      </c>
      <c r="F9" s="59" t="s">
        <v>2004</v>
      </c>
      <c r="G9" s="59" t="s">
        <v>1993</v>
      </c>
      <c r="H9" s="59" t="s">
        <v>2004</v>
      </c>
      <c r="I9" s="59" t="s">
        <v>1993</v>
      </c>
      <c r="J9" s="59">
        <f t="shared" si="0"/>
        <v>2</v>
      </c>
      <c r="K9" s="59">
        <f t="shared" si="1"/>
        <v>5</v>
      </c>
      <c r="L9" s="62" t="str">
        <f>INDEX(Cards!$B$2:$B$55,MATCH("C16",Cards!$A$2:$A$55,0))&amp;" (C16): Our findings are published. Refute them."</f>
        <v>Table the White Paper (C16): Our findings are published. Refute them.</v>
      </c>
      <c r="M9" s="62" t="str">
        <f>INDEX(Cards!$B$2:$B$55,MATCH("C52",Cards!$A$2:$A$55,0))&amp;" (C52): It depends on seventeen interlocking variables."</f>
        <v>Drown Them in Detail (C52): It depends on seventeen interlocking variables.</v>
      </c>
      <c r="N9" s="62" t="str">
        <f>INDEX(Cards!$B$2:$B$55,MATCH("C28",Cards!$A$2:$A$55,0))&amp;" (C28): These letters are why I'm standing here."</f>
        <v>Read the Letters Aloud (C28): These letters are why I'm standing here.</v>
      </c>
    </row>
    <row r="10" spans="1:14" ht="102" customHeight="1" x14ac:dyDescent="0.2">
      <c r="A10" s="59" t="s">
        <v>2017</v>
      </c>
      <c r="B10" s="60" t="s">
        <v>2018</v>
      </c>
      <c r="C10" s="61" t="s">
        <v>2019</v>
      </c>
      <c r="D10" s="59" t="s">
        <v>1993</v>
      </c>
      <c r="E10" s="59" t="s">
        <v>1993</v>
      </c>
      <c r="F10" s="59" t="s">
        <v>1994</v>
      </c>
      <c r="G10" s="59" t="s">
        <v>1994</v>
      </c>
      <c r="H10" s="59" t="s">
        <v>1994</v>
      </c>
      <c r="I10" s="59" t="s">
        <v>1993</v>
      </c>
      <c r="J10" s="59">
        <f t="shared" si="0"/>
        <v>3</v>
      </c>
      <c r="K10" s="59">
        <f t="shared" si="1"/>
        <v>8</v>
      </c>
      <c r="L10" s="62" t="str">
        <f>INDEX(Cards!$B$2:$B$55,MATCH("C25",Cards!$A$2:$A$55,0))&amp;" (C25): When I make a promise, I keep it."</f>
        <v>Point to the Promise Kept (C25): When I make a promise, I keep it.</v>
      </c>
      <c r="M10" s="62" t="str">
        <f>INDEX(Cards!$B$2:$B$55,MATCH("C33",Cards!$A$2:$A$55,0))&amp;" (C33): I will not yield. Full stop."</f>
        <v>Refuse to Yield (C33): I will not yield. Full stop.</v>
      </c>
      <c r="N10" s="62" t="str">
        <f>INDEX(Cards!$B$2:$B$55,MATCH("C50",Cards!$A$2:$A$55,0))&amp;" (C50): We will consider that positively."</f>
        <v>Take It Under Advisement (C50): We will consider that positively.</v>
      </c>
    </row>
    <row r="11" spans="1:14" ht="127.5" customHeight="1" x14ac:dyDescent="0.2">
      <c r="A11" s="59" t="s">
        <v>2020</v>
      </c>
      <c r="B11" s="60" t="s">
        <v>2021</v>
      </c>
      <c r="C11" s="61" t="s">
        <v>2022</v>
      </c>
      <c r="D11" s="59" t="s">
        <v>1993</v>
      </c>
      <c r="E11" s="59" t="s">
        <v>1993</v>
      </c>
      <c r="F11" s="59" t="s">
        <v>1994</v>
      </c>
      <c r="G11" s="59" t="s">
        <v>1994</v>
      </c>
      <c r="H11" s="59" t="s">
        <v>1993</v>
      </c>
      <c r="I11" s="59" t="s">
        <v>1994</v>
      </c>
      <c r="J11" s="59">
        <f t="shared" si="0"/>
        <v>3</v>
      </c>
      <c r="K11" s="59">
        <f t="shared" si="1"/>
        <v>8</v>
      </c>
      <c r="L11" s="62" t="str">
        <f>INDEX(Cards!$B$2:$B$55,MATCH("C27",Cards!$A$2:$A$55,0))&amp;" (C27): This isn't about party. It's about people."</f>
        <v>Appeal Across the Aisle (C27): This isn't about party. It's about people.</v>
      </c>
      <c r="M11" s="62" t="str">
        <f>INDEX(Cards!$B$2:$B$55,MATCH("C18",Cards!$A$2:$A$55,0))&amp;" (C18): You're either with the people or against them."</f>
        <v>Drawing Battle Lines (C18): You're either with the people or against them.</v>
      </c>
      <c r="N11" s="62" t="str">
        <f>INDEX(Cards!$B$2:$B$55,MATCH("C04",Cards!$A$2:$A$55,0))&amp;" (C04): I'm here to serve, not to climb."</f>
        <v>Return to First Principles (C04): I'm here to serve, not to climb.</v>
      </c>
    </row>
    <row r="12" spans="1:14" ht="102" customHeight="1" x14ac:dyDescent="0.2">
      <c r="A12" s="59" t="s">
        <v>2023</v>
      </c>
      <c r="B12" s="60" t="s">
        <v>2024</v>
      </c>
      <c r="C12" s="61" t="s">
        <v>2025</v>
      </c>
      <c r="D12" s="59" t="s">
        <v>1994</v>
      </c>
      <c r="E12" s="59" t="s">
        <v>1993</v>
      </c>
      <c r="F12" s="59" t="s">
        <v>1994</v>
      </c>
      <c r="G12" s="59" t="s">
        <v>1993</v>
      </c>
      <c r="H12" s="59" t="s">
        <v>1994</v>
      </c>
      <c r="I12" s="59" t="s">
        <v>1993</v>
      </c>
      <c r="J12" s="59">
        <f t="shared" si="0"/>
        <v>3</v>
      </c>
      <c r="K12" s="59">
        <f t="shared" si="1"/>
        <v>8</v>
      </c>
      <c r="L12" s="62" t="str">
        <f>INDEX(Cards!$B$2:$B$55,MATCH("C05",Cards!$A$2:$A$55,0))&amp;" (C05): I will not stand by while families suffer!"</f>
        <v>Impassioned Speech (C05): I will not stand by while families suffer!</v>
      </c>
      <c r="M12" s="62" t="str">
        <f>INDEX(Cards!$B$2:$B$55,MATCH("C21",Cards!$A$2:$A$55,0))&amp;" (C21): I'm for progress, and also for caution."</f>
        <v>Iridescent Answer (C21): I'm for progress, and also for caution.</v>
      </c>
      <c r="N12" s="62" t="str">
        <f>INDEX(Cards!$B$2:$B$55,MATCH("C13",Cards!$A$2:$A$55,0))&amp;" (C13): The data tells a different story."</f>
        <v>Present the Stats (C13): The data tells a different story.</v>
      </c>
    </row>
    <row r="13" spans="1:14" ht="127.5" customHeight="1" x14ac:dyDescent="0.2">
      <c r="A13" s="59" t="s">
        <v>2026</v>
      </c>
      <c r="B13" s="60" t="s">
        <v>2027</v>
      </c>
      <c r="C13" s="61" t="s">
        <v>2025</v>
      </c>
      <c r="D13" s="59" t="s">
        <v>1994</v>
      </c>
      <c r="E13" s="59" t="s">
        <v>1993</v>
      </c>
      <c r="F13" s="59" t="s">
        <v>1993</v>
      </c>
      <c r="G13" s="59" t="s">
        <v>1994</v>
      </c>
      <c r="H13" s="59" t="s">
        <v>1994</v>
      </c>
      <c r="I13" s="59" t="s">
        <v>1994</v>
      </c>
      <c r="J13" s="59">
        <f t="shared" si="0"/>
        <v>2</v>
      </c>
      <c r="K13" s="59">
        <f t="shared" si="1"/>
        <v>8</v>
      </c>
      <c r="L13" s="62" t="str">
        <f>INDEX(Cards!$B$2:$B$55,MATCH("C05",Cards!$A$2:$A$55,0))&amp;" (C05): Enough talk. Our people need action!"</f>
        <v>Impassioned Speech (C05): Enough talk. Our people need action!</v>
      </c>
      <c r="M13" s="62" t="str">
        <f>INDEX(Cards!$B$2:$B$55,MATCH("C09",Cards!$A$2:$A$55,0))&amp;" (C09): Whatever divides us, this unites us."</f>
        <v>Call for Unity (C09): Whatever divides us, this unites us.</v>
      </c>
      <c r="N13" s="62" t="str">
        <f>INDEX(Cards!$B$2:$B$55,MATCH("C37",Cards!$A$2:$A$55,0))&amp;" (C37): Different paths, same destination. Walk with us."</f>
        <v>Call for Common Cause (C37): Different paths, same destination. Walk with us.</v>
      </c>
    </row>
    <row r="14" spans="1:14" ht="114.75" customHeight="1" x14ac:dyDescent="0.2">
      <c r="A14" s="59" t="s">
        <v>2028</v>
      </c>
      <c r="B14" s="60" t="s">
        <v>2029</v>
      </c>
      <c r="C14" s="61" t="s">
        <v>2030</v>
      </c>
      <c r="D14" s="59" t="s">
        <v>1993</v>
      </c>
      <c r="E14" s="59" t="s">
        <v>1994</v>
      </c>
      <c r="F14" s="59" t="s">
        <v>1993</v>
      </c>
      <c r="G14" s="59" t="s">
        <v>2004</v>
      </c>
      <c r="H14" s="59" t="s">
        <v>1993</v>
      </c>
      <c r="I14" s="59" t="s">
        <v>1994</v>
      </c>
      <c r="J14" s="59">
        <f t="shared" si="0"/>
        <v>3</v>
      </c>
      <c r="K14" s="59">
        <f t="shared" si="1"/>
        <v>8</v>
      </c>
      <c r="L14" s="62" t="str">
        <f>INDEX(Cards!$B$2:$B$55,MATCH("C27",Cards!$A$2:$A$55,0))&amp;" (C27): My door is open to the other side."</f>
        <v>Appeal Across the Aisle (C27): My door is open to the other side.</v>
      </c>
      <c r="M14" s="62" t="str">
        <f>INDEX(Cards!$B$2:$B$55,MATCH("C37",Cards!$A$2:$A$55,0))&amp;" (C37): There's room at this table for everyone."</f>
        <v>Call for Common Cause (C37): There's room at this table for everyone.</v>
      </c>
      <c r="N14" s="62" t="str">
        <f>INDEX(Cards!$B$2:$B$55,MATCH("C18",Cards!$A$2:$A$55,0))&amp;" (C18): There are two sides here. Pick one."</f>
        <v>Drawing Battle Lines (C18): There are two sides here. Pick one.</v>
      </c>
    </row>
    <row r="15" spans="1:14" ht="127.5" customHeight="1" x14ac:dyDescent="0.2">
      <c r="A15" s="59" t="s">
        <v>2031</v>
      </c>
      <c r="B15" s="60" t="s">
        <v>2032</v>
      </c>
      <c r="C15" s="61" t="s">
        <v>2033</v>
      </c>
      <c r="D15" s="59" t="s">
        <v>1993</v>
      </c>
      <c r="E15" s="59" t="s">
        <v>1994</v>
      </c>
      <c r="F15" s="59" t="s">
        <v>2004</v>
      </c>
      <c r="G15" s="59" t="s">
        <v>1993</v>
      </c>
      <c r="H15" s="59" t="s">
        <v>1993</v>
      </c>
      <c r="I15" s="59" t="s">
        <v>1994</v>
      </c>
      <c r="J15" s="59">
        <f t="shared" si="0"/>
        <v>3</v>
      </c>
      <c r="K15" s="59">
        <f t="shared" si="1"/>
        <v>6</v>
      </c>
      <c r="L15" s="62" t="str">
        <f>INDEX(Cards!$B$2:$B$55,MATCH("C01",Cards!$A$2:$A$55,0))&amp;" (C01): Look at the work, not the words."</f>
        <v>Record of Service (C01): Look at the work, not the words.</v>
      </c>
      <c r="M15" s="62" t="str">
        <f>INDEX(Cards!$B$2:$B$55,MATCH("C22",Cards!$A$2:$A$55,0))&amp;" (C22): I can neither confirm nor deny that."</f>
        <v>"I Have No Recollection" (C22): I can neither confirm nor deny that.</v>
      </c>
      <c r="N15" s="62" t="str">
        <f>INDEX(Cards!$B$2:$B$55,MATCH("C17",Cards!$A$2:$A$55,0))&amp;" (C17): Another career politician, protecting their own."</f>
        <v>Labeling (C17): Another career politician, protecting their own.</v>
      </c>
    </row>
    <row r="16" spans="1:14" ht="127.5" customHeight="1" x14ac:dyDescent="0.2">
      <c r="A16" s="59" t="s">
        <v>2034</v>
      </c>
      <c r="B16" s="60" t="s">
        <v>2035</v>
      </c>
      <c r="C16" s="61" t="s">
        <v>532</v>
      </c>
      <c r="D16" s="59" t="s">
        <v>1993</v>
      </c>
      <c r="E16" s="59" t="s">
        <v>1993</v>
      </c>
      <c r="F16" s="59" t="s">
        <v>1993</v>
      </c>
      <c r="G16" s="59" t="s">
        <v>2004</v>
      </c>
      <c r="H16" s="59" t="s">
        <v>1993</v>
      </c>
      <c r="I16" s="59" t="s">
        <v>1994</v>
      </c>
      <c r="J16" s="59">
        <f t="shared" si="0"/>
        <v>4</v>
      </c>
      <c r="K16" s="59">
        <f t="shared" si="1"/>
        <v>10</v>
      </c>
      <c r="L16" s="62" t="str">
        <f>INDEX(Cards!$B$2:$B$55,MATCH("C10",Cards!$A$2:$A$55,0))&amp;" (C10): Where I'm from, neighbors look out for each other."</f>
        <v>Voice of the Hometown (C10): Where I'm from, neighbors look out for each other.</v>
      </c>
      <c r="M16" s="62" t="str">
        <f>INDEX(Cards!$B$2:$B$55,MATCH("C19",Cards!$A$2:$A$55,0))&amp;" (C19): Wake up! They're laughing at you!"</f>
        <v>Agitation (C19): Wake up! They're laughing at you!</v>
      </c>
      <c r="N16" s="62" t="str">
        <f>INDEX(Cards!$B$2:$B$55,MATCH("C53",Cards!$A$2:$A$55,0))&amp;" (C53): Your concerns are my top priority."</f>
        <v>Tell the Room What It Wants (C53): Your concerns are my top priority.</v>
      </c>
    </row>
    <row r="17" spans="1:14" ht="114.75" customHeight="1" x14ac:dyDescent="0.2">
      <c r="A17" s="59" t="s">
        <v>2036</v>
      </c>
      <c r="B17" s="60" t="s">
        <v>2037</v>
      </c>
      <c r="C17" s="61" t="s">
        <v>2038</v>
      </c>
      <c r="D17" s="59" t="s">
        <v>1993</v>
      </c>
      <c r="E17" s="59" t="s">
        <v>1994</v>
      </c>
      <c r="F17" s="59" t="s">
        <v>1994</v>
      </c>
      <c r="G17" s="59" t="s">
        <v>1993</v>
      </c>
      <c r="H17" s="59" t="s">
        <v>2004</v>
      </c>
      <c r="I17" s="59" t="s">
        <v>1993</v>
      </c>
      <c r="J17" s="59">
        <f t="shared" si="0"/>
        <v>3</v>
      </c>
      <c r="K17" s="59">
        <f t="shared" si="1"/>
        <v>7</v>
      </c>
      <c r="L17" s="62" t="str">
        <f>INDEX(Cards!$B$2:$B$55,MATCH("C26",Cards!$A$2:$A$55,0))&amp;" (C26): When I'm wrong, I say so."</f>
        <v>Own the Mistake (C26): When I'm wrong, I say so.</v>
      </c>
      <c r="M17" s="62" t="str">
        <f>INDEX(Cards!$B$2:$B$55,MATCH("C50",Cards!$A$2:$A$55,0))&amp;" (C50): A committee will look into it."</f>
        <v>Take It Under Advisement (C50): A committee will look into it.</v>
      </c>
      <c r="N17" s="62" t="str">
        <f>INDEX(Cards!$B$2:$B$55,MATCH("C44",Cards!$A$2:$A$55,0))&amp;" (C44): Let an independent panel decide."</f>
        <v>Demand an Outside Review (C44): Let an independent panel decide.</v>
      </c>
    </row>
    <row r="18" spans="1:14" ht="127.5" customHeight="1" x14ac:dyDescent="0.2">
      <c r="A18" s="59" t="s">
        <v>2039</v>
      </c>
      <c r="B18" s="60" t="s">
        <v>2040</v>
      </c>
      <c r="C18" s="61" t="s">
        <v>2041</v>
      </c>
      <c r="D18" s="59" t="s">
        <v>1993</v>
      </c>
      <c r="E18" s="59" t="s">
        <v>1994</v>
      </c>
      <c r="F18" s="59" t="s">
        <v>1994</v>
      </c>
      <c r="G18" s="59" t="s">
        <v>1993</v>
      </c>
      <c r="H18" s="59" t="s">
        <v>1994</v>
      </c>
      <c r="I18" s="59" t="s">
        <v>1993</v>
      </c>
      <c r="J18" s="59">
        <f t="shared" si="0"/>
        <v>3</v>
      </c>
      <c r="K18" s="59">
        <f t="shared" si="1"/>
        <v>7</v>
      </c>
      <c r="L18" s="62" t="str">
        <f>INDEX(Cards!$B$2:$B$55,MATCH("C01",Cards!$A$2:$A$55,0))&amp;" (C01): I let my results do the talking."</f>
        <v>Record of Service (C01): I let my results do the talking.</v>
      </c>
      <c r="M18" s="62" t="str">
        <f>INDEX(Cards!$B$2:$B$55,MATCH("C53",Cards!$A$2:$A$55,0))&amp;" (C53): You and I see this exactly the same."</f>
        <v>Tell the Room What It Wants (C53): You and I see this exactly the same.</v>
      </c>
      <c r="N18" s="62" t="str">
        <f>INDEX(Cards!$B$2:$B$55,MATCH("C16",Cards!$A$2:$A$55,0))&amp;" (C16): Every claim here is sourced and verified."</f>
        <v>Table the White Paper (C16): Every claim here is sourced and verified.</v>
      </c>
    </row>
    <row r="19" spans="1:14" ht="114.75" customHeight="1" x14ac:dyDescent="0.2">
      <c r="A19" s="59" t="s">
        <v>2042</v>
      </c>
      <c r="B19" s="60" t="s">
        <v>2043</v>
      </c>
      <c r="C19" s="61" t="s">
        <v>2044</v>
      </c>
      <c r="D19" s="59" t="s">
        <v>1993</v>
      </c>
      <c r="E19" s="59" t="s">
        <v>1994</v>
      </c>
      <c r="F19" s="59" t="s">
        <v>2004</v>
      </c>
      <c r="G19" s="59" t="s">
        <v>1994</v>
      </c>
      <c r="H19" s="59" t="s">
        <v>1993</v>
      </c>
      <c r="I19" s="59" t="s">
        <v>1993</v>
      </c>
      <c r="J19" s="59">
        <f t="shared" si="0"/>
        <v>3</v>
      </c>
      <c r="K19" s="59">
        <f t="shared" si="1"/>
        <v>10</v>
      </c>
      <c r="L19" s="62" t="str">
        <f>INDEX(Cards!$B$2:$B$55,MATCH("C02",Cards!$A$2:$A$55,0))&amp;" (C02): No spin. Just the truth as I see it."</f>
        <v>Sincere Answer (C02): No spin. Just the truth as I see it.</v>
      </c>
      <c r="M19" s="62" t="str">
        <f>INDEX(Cards!$B$2:$B$55,MATCH("C22",Cards!$A$2:$A$55,0))&amp;" (C22): That doesn't ring a bell."</f>
        <v>"I Have No Recollection" (C22): That doesn't ring a bell.</v>
      </c>
      <c r="N19" s="62" t="str">
        <f>INDEX(Cards!$B$2:$B$55,MATCH("C48",Cards!$A$2:$A$55,0))&amp;" (C48): Everyone should hear what they're hiding."</f>
        <v>Media Appeal (C48): Everyone should hear what they're hiding.</v>
      </c>
    </row>
    <row r="20" spans="1:14" ht="102" customHeight="1" x14ac:dyDescent="0.2">
      <c r="A20" s="59" t="s">
        <v>2045</v>
      </c>
      <c r="B20" s="60" t="s">
        <v>2046</v>
      </c>
      <c r="C20" s="61" t="s">
        <v>2047</v>
      </c>
      <c r="D20" s="59" t="s">
        <v>1994</v>
      </c>
      <c r="E20" s="59" t="s">
        <v>1994</v>
      </c>
      <c r="F20" s="59" t="s">
        <v>1993</v>
      </c>
      <c r="G20" s="59" t="s">
        <v>2004</v>
      </c>
      <c r="H20" s="59" t="s">
        <v>1993</v>
      </c>
      <c r="I20" s="59" t="s">
        <v>1994</v>
      </c>
      <c r="J20" s="59">
        <f t="shared" si="0"/>
        <v>2</v>
      </c>
      <c r="K20" s="59">
        <f t="shared" si="1"/>
        <v>9</v>
      </c>
      <c r="L20" s="62" t="str">
        <f>INDEX(Cards!$B$2:$B$55,MATCH("C35",Cards!$A$2:$A$55,0))&amp;" (C35): Break ranks, and it will be remembered."</f>
        <v>Invoke Party Discipline (C35): Break ranks, and it will be remembered.</v>
      </c>
      <c r="M20" s="62" t="str">
        <f>INDEX(Cards!$B$2:$B$55,MATCH("C20",Cards!$A$2:$A$55,0))&amp;" (C20): Prove whose side you're really on."</f>
        <v>Loyalty Test (C20): Prove whose side you're really on.</v>
      </c>
      <c r="N20" s="62" t="str">
        <f>INDEX(Cards!$B$2:$B$55,MATCH("C38",Cards!$A$2:$A$55,0))&amp;" (C38): Friends stand by friends. Stand by me."</f>
        <v>Call In a Favor (C38): Friends stand by friends. Stand by me.</v>
      </c>
    </row>
    <row r="21" spans="1:14" ht="114.75" customHeight="1" x14ac:dyDescent="0.2">
      <c r="A21" s="59" t="s">
        <v>2048</v>
      </c>
      <c r="B21" s="60" t="s">
        <v>2049</v>
      </c>
      <c r="C21" s="61" t="s">
        <v>2050</v>
      </c>
      <c r="D21" s="59" t="s">
        <v>1993</v>
      </c>
      <c r="E21" s="59" t="s">
        <v>1993</v>
      </c>
      <c r="F21" s="59" t="s">
        <v>1994</v>
      </c>
      <c r="G21" s="59" t="s">
        <v>1993</v>
      </c>
      <c r="H21" s="59" t="s">
        <v>1994</v>
      </c>
      <c r="I21" s="59" t="s">
        <v>1994</v>
      </c>
      <c r="J21" s="59">
        <f t="shared" si="0"/>
        <v>3</v>
      </c>
      <c r="K21" s="59">
        <f t="shared" si="1"/>
        <v>9</v>
      </c>
      <c r="L21" s="62" t="str">
        <f>INDEX(Cards!$B$2:$B$55,MATCH("C05",Cards!$A$2:$A$55,0))&amp;" (C05): This is the fight that defines us!"</f>
        <v>Impassioned Speech (C05): This is the fight that defines us!</v>
      </c>
      <c r="M21" s="62" t="str">
        <f>INDEX(Cards!$B$2:$B$55,MATCH("C13",Cards!$A$2:$A$55,0))&amp;" (C13): The statistics speak for themselves."</f>
        <v>Present the Stats (C13): The statistics speak for themselves.</v>
      </c>
      <c r="N21" s="62" t="str">
        <f>INDEX(Cards!$B$2:$B$55,MATCH("C04",Cards!$A$2:$A$55,0))&amp;" (C04): Back to basics: who are we here for?"</f>
        <v>Return to First Principles (C04): Back to basics: who are we here for?</v>
      </c>
    </row>
    <row r="22" spans="1:14" x14ac:dyDescent="0.2">
      <c r="C22" s="16" t="s">
        <v>2051</v>
      </c>
      <c r="D22" s="63">
        <f t="shared" ref="D22:I22" si="2">COUNTIF(D2:D21,"S")</f>
        <v>11</v>
      </c>
      <c r="E22" s="63">
        <f t="shared" si="2"/>
        <v>9</v>
      </c>
      <c r="F22" s="63">
        <f t="shared" si="2"/>
        <v>7</v>
      </c>
      <c r="G22" s="63">
        <f t="shared" si="2"/>
        <v>9</v>
      </c>
      <c r="H22" s="63">
        <f t="shared" si="2"/>
        <v>11</v>
      </c>
      <c r="I22" s="63">
        <f t="shared" si="2"/>
        <v>8</v>
      </c>
    </row>
    <row r="24" spans="1:14" x14ac:dyDescent="0.2">
      <c r="B24" s="64" t="s">
        <v>2052</v>
      </c>
    </row>
    <row r="25" spans="1:14" x14ac:dyDescent="0.2">
      <c r="B25" s="64" t="s">
        <v>2053</v>
      </c>
    </row>
    <row r="26" spans="1:14" x14ac:dyDescent="0.2">
      <c r="B26" s="64" t="s">
        <v>2054</v>
      </c>
    </row>
    <row r="27" spans="1:14" x14ac:dyDescent="0.2">
      <c r="B27" s="64" t="s">
        <v>2055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23"/>
  <dimension ref="A1:N27"/>
  <sheetViews>
    <sheetView workbookViewId="0">
      <pane xSplit="2" ySplit="1" topLeftCell="C2" activePane="bottomRight" state="frozen"/>
      <selection pane="bottomLeft"/>
      <selection pane="topRight"/>
      <selection pane="bottomRight"/>
    </sheetView>
  </sheetViews>
  <sheetFormatPr defaultRowHeight="15" x14ac:dyDescent="0.2"/>
  <cols>
    <col min="1" max="1" width="6.05078125" customWidth="1"/>
    <col min="2" max="2" width="41.96875" customWidth="1"/>
    <col min="3" max="3" width="13.98828125" customWidth="1"/>
    <col min="4" max="4" width="9.01171875" customWidth="1"/>
    <col min="5" max="5" width="9.953125" customWidth="1"/>
    <col min="6" max="6" width="9.01171875" customWidth="1"/>
    <col min="7" max="7" width="9.953125" customWidth="1"/>
    <col min="8" max="8" width="9.01171875" customWidth="1"/>
    <col min="9" max="9" width="11.02734375" customWidth="1"/>
    <col min="10" max="10" width="7.93359375" customWidth="1"/>
    <col min="11" max="11" width="6.9921875" customWidth="1"/>
    <col min="12" max="12" width="43.98828125" customWidth="1"/>
  </cols>
  <sheetData>
    <row r="1" spans="1:14" ht="25.5" customHeight="1" x14ac:dyDescent="0.2">
      <c r="A1" s="14" t="s">
        <v>1982</v>
      </c>
      <c r="B1" s="14" t="s">
        <v>1983</v>
      </c>
      <c r="C1" s="14" t="s">
        <v>1984</v>
      </c>
      <c r="D1" s="14" t="s">
        <v>120</v>
      </c>
      <c r="E1" s="14" t="s">
        <v>125</v>
      </c>
      <c r="F1" s="14" t="s">
        <v>130</v>
      </c>
      <c r="G1" s="14" t="s">
        <v>135</v>
      </c>
      <c r="H1" s="14" t="s">
        <v>140</v>
      </c>
      <c r="I1" s="14" t="s">
        <v>145</v>
      </c>
      <c r="J1" s="15" t="s">
        <v>1985</v>
      </c>
      <c r="K1" s="15" t="s">
        <v>1986</v>
      </c>
      <c r="L1" s="14" t="s">
        <v>1987</v>
      </c>
      <c r="M1" s="14" t="s">
        <v>1988</v>
      </c>
      <c r="N1" s="14" t="s">
        <v>1989</v>
      </c>
    </row>
    <row r="2" spans="1:14" ht="127.5" customHeight="1" x14ac:dyDescent="0.2">
      <c r="A2" s="59" t="s">
        <v>2056</v>
      </c>
      <c r="B2" s="60" t="s">
        <v>2057</v>
      </c>
      <c r="C2" s="61" t="s">
        <v>1992</v>
      </c>
      <c r="D2" s="59" t="s">
        <v>1993</v>
      </c>
      <c r="E2" s="59" t="s">
        <v>1993</v>
      </c>
      <c r="F2" s="59" t="s">
        <v>1993</v>
      </c>
      <c r="G2" s="59" t="s">
        <v>1994</v>
      </c>
      <c r="H2" s="59" t="s">
        <v>1994</v>
      </c>
      <c r="I2" s="59" t="s">
        <v>1994</v>
      </c>
      <c r="J2" s="59">
        <f t="shared" ref="J2:J21" si="0">COUNTIF(D2:I2,"S")</f>
        <v>3</v>
      </c>
      <c r="K2" s="59">
        <f t="shared" ref="K2:K21" si="1">LEN(TRIM(B2))-LEN(SUBSTITUTE(TRIM(B2)," ",""))+1</f>
        <v>7</v>
      </c>
      <c r="L2" s="62" t="str">
        <f>INDEX(Cards!$B$2:$B$55,MATCH("C06",Cards!$A$2:$A$55,0))&amp;" (C06): They're not statistics. They're our neighbors."</f>
        <v>Tearful Appeal (C06): They're not statistics. They're our neighbors.</v>
      </c>
      <c r="M2" s="62" t="str">
        <f>INDEX(Cards!$B$2:$B$55,MATCH("C10",Cards!$A$2:$A$55,0))&amp;" (C10): Where I'm from, neighbors look out for each other."</f>
        <v>Voice of the Hometown (C10): Where I'm from, neighbors look out for each other.</v>
      </c>
      <c r="N2" s="62" t="str">
        <f>INDEX(Cards!$B$2:$B$55,MATCH("C53",Cards!$A$2:$A$55,0))&amp;" (C53): Your concerns are my top priority."</f>
        <v>Tell the Room What It Wants (C53): Your concerns are my top priority.</v>
      </c>
    </row>
    <row r="3" spans="1:14" ht="127.5" customHeight="1" x14ac:dyDescent="0.2">
      <c r="A3" s="59" t="s">
        <v>2058</v>
      </c>
      <c r="B3" s="60" t="s">
        <v>2059</v>
      </c>
      <c r="C3" s="61" t="s">
        <v>2041</v>
      </c>
      <c r="D3" s="59" t="s">
        <v>1993</v>
      </c>
      <c r="E3" s="59" t="s">
        <v>1994</v>
      </c>
      <c r="F3" s="59" t="s">
        <v>1994</v>
      </c>
      <c r="G3" s="59" t="s">
        <v>1994</v>
      </c>
      <c r="H3" s="59" t="s">
        <v>1993</v>
      </c>
      <c r="I3" s="59" t="s">
        <v>1993</v>
      </c>
      <c r="J3" s="59">
        <f t="shared" si="0"/>
        <v>3</v>
      </c>
      <c r="K3" s="59">
        <f t="shared" si="1"/>
        <v>6</v>
      </c>
      <c r="L3" s="62" t="str">
        <f>INDEX(Cards!$B$2:$B$55,MATCH("C01",Cards!$A$2:$A$55,0))&amp;" (C01): I let my results do the talking."</f>
        <v>Record of Service (C01): I let my results do the talking.</v>
      </c>
      <c r="M3" s="62" t="str">
        <f>INDEX(Cards!$B$2:$B$55,MATCH("C18",Cards!$A$2:$A$55,0))&amp;" (C18): They stand for themselves. We stand for you."</f>
        <v>Drawing Battle Lines (C18): They stand for themselves. We stand for you.</v>
      </c>
      <c r="N3" s="62" t="str">
        <f>INDEX(Cards!$B$2:$B$55,MATCH("C53",Cards!$A$2:$A$55,0))&amp;" (C53): Nobody fights harder for people like you."</f>
        <v>Tell the Room What It Wants (C53): Nobody fights harder for people like you.</v>
      </c>
    </row>
    <row r="4" spans="1:14" ht="127.5" customHeight="1" x14ac:dyDescent="0.2">
      <c r="A4" s="59" t="s">
        <v>2060</v>
      </c>
      <c r="B4" s="60" t="s">
        <v>2061</v>
      </c>
      <c r="C4" s="61" t="s">
        <v>2062</v>
      </c>
      <c r="D4" s="59" t="s">
        <v>1993</v>
      </c>
      <c r="E4" s="59" t="s">
        <v>1994</v>
      </c>
      <c r="F4" s="59" t="s">
        <v>1993</v>
      </c>
      <c r="G4" s="59" t="s">
        <v>1994</v>
      </c>
      <c r="H4" s="59" t="s">
        <v>1993</v>
      </c>
      <c r="I4" s="59" t="s">
        <v>1994</v>
      </c>
      <c r="J4" s="59">
        <f t="shared" si="0"/>
        <v>3</v>
      </c>
      <c r="K4" s="59">
        <f t="shared" si="1"/>
        <v>6</v>
      </c>
      <c r="L4" s="62" t="str">
        <f>INDEX(Cards!$B$2:$B$55,MATCH("C04",Cards!$A$2:$A$55,0))&amp;" (C04): I know exactly who I work for."</f>
        <v>Return to First Principles (C04): I know exactly who I work for.</v>
      </c>
      <c r="M4" s="62" t="str">
        <f>INDEX(Cards!$B$2:$B$55,MATCH("C10",Cards!$A$2:$A$55,0))&amp;" (C10): I speak for the people of my district."</f>
        <v>Voice of the Hometown (C10): I speak for the people of my district.</v>
      </c>
      <c r="N4" s="62" t="str">
        <f>INDEX(Cards!$B$2:$B$55,MATCH("C18",Cards!$A$2:$A$55,0))&amp;" (C18): They stand for themselves. We stand for you."</f>
        <v>Drawing Battle Lines (C18): They stand for themselves. We stand for you.</v>
      </c>
    </row>
    <row r="5" spans="1:14" ht="140.25" customHeight="1" x14ac:dyDescent="0.2">
      <c r="A5" s="59" t="s">
        <v>2063</v>
      </c>
      <c r="B5" s="60" t="s">
        <v>2064</v>
      </c>
      <c r="C5" s="61" t="s">
        <v>2013</v>
      </c>
      <c r="D5" s="59" t="s">
        <v>1994</v>
      </c>
      <c r="E5" s="59" t="s">
        <v>1994</v>
      </c>
      <c r="F5" s="59" t="s">
        <v>1994</v>
      </c>
      <c r="G5" s="59" t="s">
        <v>1993</v>
      </c>
      <c r="H5" s="59" t="s">
        <v>1994</v>
      </c>
      <c r="I5" s="59" t="s">
        <v>1993</v>
      </c>
      <c r="J5" s="59">
        <f t="shared" si="0"/>
        <v>2</v>
      </c>
      <c r="K5" s="59">
        <f t="shared" si="1"/>
        <v>7</v>
      </c>
      <c r="L5" s="62" t="str">
        <f>INDEX(Cards!$B$2:$B$55,MATCH("C13",Cards!$A$2:$A$55,0))&amp;" (C13): Let's look at the actual numbers."</f>
        <v>Present the Stats (C13): Let's look at the actual numbers.</v>
      </c>
      <c r="M5" s="62" t="str">
        <f>INDEX(Cards!$B$2:$B$55,MATCH("C52",Cards!$A$2:$A$55,0))&amp;" (C52): It depends on seventeen interlocking variables."</f>
        <v>Drown Them in Detail (C52): It depends on seventeen interlocking variables.</v>
      </c>
      <c r="N5" s="62" t="str">
        <f>INDEX(Cards!$B$2:$B$55,MATCH("C01",Cards!$A$2:$A$55,0))&amp;" (C01): Results matter more than rhetoric."</f>
        <v>Record of Service (C01): Results matter more than rhetoric.</v>
      </c>
    </row>
    <row r="6" spans="1:14" ht="127.5" customHeight="1" x14ac:dyDescent="0.2">
      <c r="A6" s="59" t="s">
        <v>2065</v>
      </c>
      <c r="B6" s="60" t="s">
        <v>2066</v>
      </c>
      <c r="C6" s="61" t="s">
        <v>2067</v>
      </c>
      <c r="D6" s="59" t="s">
        <v>1993</v>
      </c>
      <c r="E6" s="59" t="s">
        <v>1993</v>
      </c>
      <c r="F6" s="59" t="s">
        <v>1993</v>
      </c>
      <c r="G6" s="59" t="s">
        <v>2004</v>
      </c>
      <c r="H6" s="59" t="s">
        <v>1993</v>
      </c>
      <c r="I6" s="59" t="s">
        <v>1994</v>
      </c>
      <c r="J6" s="59">
        <f t="shared" si="0"/>
        <v>4</v>
      </c>
      <c r="K6" s="59">
        <f t="shared" si="1"/>
        <v>8</v>
      </c>
      <c r="L6" s="62" t="str">
        <f>INDEX(Cards!$B$2:$B$55,MATCH("C10",Cards!$A$2:$A$55,0))&amp;" (C10): Small towns are this country's backbone."</f>
        <v>Voice of the Hometown (C10): Small towns are this country's backbone.</v>
      </c>
      <c r="M6" s="62" t="str">
        <f>INDEX(Cards!$B$2:$B$55,MATCH("C05",Cards!$A$2:$A$55,0))&amp;" (C05): Our towns deserve better than this!"</f>
        <v>Impassioned Speech (C05): Our towns deserve better than this!</v>
      </c>
      <c r="N6" s="62" t="str">
        <f>INDEX(Cards!$B$2:$B$55,MATCH("C18",Cards!$A$2:$A$55,0))&amp;" (C18): They stand for themselves. We stand for you."</f>
        <v>Drawing Battle Lines (C18): They stand for themselves. We stand for you.</v>
      </c>
    </row>
    <row r="7" spans="1:14" ht="127.5" customHeight="1" x14ac:dyDescent="0.2">
      <c r="A7" s="59" t="s">
        <v>2068</v>
      </c>
      <c r="B7" s="60" t="s">
        <v>2069</v>
      </c>
      <c r="C7" s="61" t="s">
        <v>2070</v>
      </c>
      <c r="D7" s="59" t="s">
        <v>1994</v>
      </c>
      <c r="E7" s="59" t="s">
        <v>1993</v>
      </c>
      <c r="F7" s="59" t="s">
        <v>1993</v>
      </c>
      <c r="G7" s="59" t="s">
        <v>2004</v>
      </c>
      <c r="H7" s="59" t="s">
        <v>1993</v>
      </c>
      <c r="I7" s="59" t="s">
        <v>1993</v>
      </c>
      <c r="J7" s="59">
        <f t="shared" si="0"/>
        <v>4</v>
      </c>
      <c r="K7" s="59">
        <f t="shared" si="1"/>
        <v>7</v>
      </c>
      <c r="L7" s="62" t="str">
        <f>INDEX(Cards!$B$2:$B$55,MATCH("C33",Cards!$A$2:$A$55,0))&amp;" (C33): Not one step back. Not one inch."</f>
        <v>Refuse to Yield (C33): Not one step back. Not one inch.</v>
      </c>
      <c r="M7" s="62" t="str">
        <f>INDEX(Cards!$B$2:$B$55,MATCH("C30",Cards!$A$2:$A$55,0))&amp;" (C30): You are the reason I keep fighting!"</f>
        <v>Rally the Faithful (C30): You are the reason I keep fighting!</v>
      </c>
      <c r="N7" s="62" t="str">
        <f>INDEX(Cards!$B$2:$B$55,MATCH("C53",Cards!$A$2:$A$55,0))&amp;" (C53): Nobody fights harder for people like you."</f>
        <v>Tell the Room What It Wants (C53): Nobody fights harder for people like you.</v>
      </c>
    </row>
    <row r="8" spans="1:14" ht="127.5" customHeight="1" x14ac:dyDescent="0.2">
      <c r="A8" s="59" t="s">
        <v>2071</v>
      </c>
      <c r="B8" s="60" t="s">
        <v>2072</v>
      </c>
      <c r="C8" s="61" t="s">
        <v>2073</v>
      </c>
      <c r="D8" s="59" t="s">
        <v>1993</v>
      </c>
      <c r="E8" s="59" t="s">
        <v>1994</v>
      </c>
      <c r="F8" s="59" t="s">
        <v>1994</v>
      </c>
      <c r="G8" s="59" t="s">
        <v>1993</v>
      </c>
      <c r="H8" s="59" t="s">
        <v>2004</v>
      </c>
      <c r="I8" s="59" t="s">
        <v>1993</v>
      </c>
      <c r="J8" s="59">
        <f t="shared" si="0"/>
        <v>3</v>
      </c>
      <c r="K8" s="59">
        <f t="shared" si="1"/>
        <v>8</v>
      </c>
      <c r="L8" s="62" t="str">
        <f>INDEX(Cards!$B$2:$B$55,MATCH("C04",Cards!$A$2:$A$55,0))&amp;" (C04): Strip away the noise. This is what matters."</f>
        <v>Return to First Principles (C04): Strip away the noise. This is what matters.</v>
      </c>
      <c r="M8" s="62" t="str">
        <f>INDEX(Cards!$B$2:$B$55,MATCH("C13",Cards!$A$2:$A$55,0))&amp;" (C13): Let's look at the actual numbers."</f>
        <v>Present the Stats (C13): Let's look at the actual numbers.</v>
      </c>
      <c r="N8" s="62" t="str">
        <f>INDEX(Cards!$B$2:$B$55,MATCH("C52",Cards!$A$2:$A$55,0))&amp;" (C52): The technical framework is quite involved, actually."</f>
        <v>Drown Them in Detail (C52): The technical framework is quite involved, actually.</v>
      </c>
    </row>
    <row r="9" spans="1:14" ht="114.75" customHeight="1" x14ac:dyDescent="0.2">
      <c r="A9" s="59" t="s">
        <v>2074</v>
      </c>
      <c r="B9" s="60" t="s">
        <v>2075</v>
      </c>
      <c r="C9" s="61" t="s">
        <v>2067</v>
      </c>
      <c r="D9" s="59" t="s">
        <v>1993</v>
      </c>
      <c r="E9" s="59" t="s">
        <v>1993</v>
      </c>
      <c r="F9" s="59" t="s">
        <v>1993</v>
      </c>
      <c r="G9" s="59" t="s">
        <v>2004</v>
      </c>
      <c r="H9" s="59" t="s">
        <v>1993</v>
      </c>
      <c r="I9" s="59" t="s">
        <v>1994</v>
      </c>
      <c r="J9" s="59">
        <f t="shared" si="0"/>
        <v>4</v>
      </c>
      <c r="K9" s="59">
        <f t="shared" si="1"/>
        <v>8</v>
      </c>
      <c r="L9" s="62" t="str">
        <f>INDEX(Cards!$B$2:$B$55,MATCH("C06",Cards!$A$2:$A$55,0))&amp;" (C06): They're not statistics. They're our neighbors."</f>
        <v>Tearful Appeal (C06): They're not statistics. They're our neighbors.</v>
      </c>
      <c r="M9" s="62" t="str">
        <f>INDEX(Cards!$B$2:$B$55,MATCH("C10",Cards!$A$2:$A$55,0))&amp;" (C10): I speak for the people of my district."</f>
        <v>Voice of the Hometown (C10): I speak for the people of my district.</v>
      </c>
      <c r="N9" s="62" t="str">
        <f>INDEX(Cards!$B$2:$B$55,MATCH("C19",Cards!$A$2:$A$55,0))&amp;" (C19): Wake up! They're laughing at you!"</f>
        <v>Agitation (C19): Wake up! They're laughing at you!</v>
      </c>
    </row>
    <row r="10" spans="1:14" ht="127.5" customHeight="1" x14ac:dyDescent="0.2">
      <c r="A10" s="59" t="s">
        <v>2076</v>
      </c>
      <c r="B10" s="60" t="s">
        <v>2077</v>
      </c>
      <c r="C10" s="61" t="s">
        <v>2078</v>
      </c>
      <c r="D10" s="59" t="s">
        <v>1994</v>
      </c>
      <c r="E10" s="59" t="s">
        <v>1993</v>
      </c>
      <c r="F10" s="59" t="s">
        <v>1993</v>
      </c>
      <c r="G10" s="59" t="s">
        <v>1994</v>
      </c>
      <c r="H10" s="59" t="s">
        <v>1993</v>
      </c>
      <c r="I10" s="59" t="s">
        <v>1994</v>
      </c>
      <c r="J10" s="59">
        <f t="shared" si="0"/>
        <v>3</v>
      </c>
      <c r="K10" s="59">
        <f t="shared" si="1"/>
        <v>8</v>
      </c>
      <c r="L10" s="62" t="str">
        <f>INDEX(Cards!$B$2:$B$55,MATCH("C19",Cards!$A$2:$A$55,0))&amp;" (C19): Your jobs, your homes. They want it all."</f>
        <v>Agitation (C19): Your jobs, your homes. They want it all.</v>
      </c>
      <c r="M10" s="62" t="str">
        <f>INDEX(Cards!$B$2:$B$55,MATCH("C13",Cards!$A$2:$A$55,0))&amp;" (C13): The statistics speak for themselves."</f>
        <v>Present the Stats (C13): The statistics speak for themselves.</v>
      </c>
      <c r="N10" s="62" t="str">
        <f>INDEX(Cards!$B$2:$B$55,MATCH("C10",Cards!$A$2:$A$55,0))&amp;" (C10): Ask anyone on Main Street. They'll tell you."</f>
        <v>Voice of the Hometown (C10): Ask anyone on Main Street. They'll tell you.</v>
      </c>
    </row>
    <row r="11" spans="1:14" ht="114.75" customHeight="1" x14ac:dyDescent="0.2">
      <c r="A11" s="59" t="s">
        <v>2079</v>
      </c>
      <c r="B11" s="60" t="s">
        <v>2080</v>
      </c>
      <c r="C11" s="61" t="s">
        <v>2022</v>
      </c>
      <c r="D11" s="59" t="s">
        <v>1993</v>
      </c>
      <c r="E11" s="59" t="s">
        <v>1993</v>
      </c>
      <c r="F11" s="59" t="s">
        <v>1994</v>
      </c>
      <c r="G11" s="59" t="s">
        <v>1994</v>
      </c>
      <c r="H11" s="59" t="s">
        <v>1993</v>
      </c>
      <c r="I11" s="59" t="s">
        <v>1994</v>
      </c>
      <c r="J11" s="59">
        <f t="shared" si="0"/>
        <v>3</v>
      </c>
      <c r="K11" s="59">
        <f t="shared" si="1"/>
        <v>9</v>
      </c>
      <c r="L11" s="62" t="str">
        <f>INDEX(Cards!$B$2:$B$55,MATCH("C27",Cards!$A$2:$A$55,0))&amp;" (C27): This isn't about party. It's about people."</f>
        <v>Appeal Across the Aisle (C27): This isn't about party. It's about people.</v>
      </c>
      <c r="M11" s="62" t="str">
        <f>INDEX(Cards!$B$2:$B$55,MATCH("C18",Cards!$A$2:$A$55,0))&amp;" (C18): On one side, workers. On the other, them."</f>
        <v>Drawing Battle Lines (C18): On one side, workers. On the other, them.</v>
      </c>
      <c r="N11" s="62" t="str">
        <f>INDEX(Cards!$B$2:$B$55,MATCH("C17",Cards!$A$2:$A$55,0))&amp;" (C17): You are a shill for special interests!"</f>
        <v>Labeling (C17): You are a shill for special interests!</v>
      </c>
    </row>
    <row r="12" spans="1:14" ht="114.75" customHeight="1" x14ac:dyDescent="0.2">
      <c r="A12" s="59" t="s">
        <v>2081</v>
      </c>
      <c r="B12" s="60" t="s">
        <v>2082</v>
      </c>
      <c r="C12" s="61" t="s">
        <v>2083</v>
      </c>
      <c r="D12" s="59" t="s">
        <v>1993</v>
      </c>
      <c r="E12" s="59" t="s">
        <v>1993</v>
      </c>
      <c r="F12" s="59" t="s">
        <v>1993</v>
      </c>
      <c r="G12" s="59" t="s">
        <v>2004</v>
      </c>
      <c r="H12" s="59" t="s">
        <v>1994</v>
      </c>
      <c r="I12" s="59" t="s">
        <v>1994</v>
      </c>
      <c r="J12" s="59">
        <f t="shared" si="0"/>
        <v>3</v>
      </c>
      <c r="K12" s="59">
        <f t="shared" si="1"/>
        <v>8</v>
      </c>
      <c r="L12" s="62" t="str">
        <f>INDEX(Cards!$B$2:$B$55,MATCH("C06",Cards!$A$2:$A$55,0))&amp;" (C06): Think of your own mother, your own child."</f>
        <v>Tearful Appeal (C06): Think of your own mother, your own child.</v>
      </c>
      <c r="M12" s="62" t="str">
        <f>INDEX(Cards!$B$2:$B$55,MATCH("C09",Cards!$A$2:$A$55,0))&amp;" (C09): Stand with me, and stand with each other."</f>
        <v>Call for Unity (C09): Stand with me, and stand with each other.</v>
      </c>
      <c r="N12" s="62" t="str">
        <f>INDEX(Cards!$B$2:$B$55,MATCH("C04",Cards!$A$2:$A$55,0))&amp;" (C04): Back to basics: who are we here for?"</f>
        <v>Return to First Principles (C04): Back to basics: who are we here for?</v>
      </c>
    </row>
    <row r="13" spans="1:14" ht="127.5" customHeight="1" x14ac:dyDescent="0.2">
      <c r="A13" s="59" t="s">
        <v>2084</v>
      </c>
      <c r="B13" s="60" t="s">
        <v>2085</v>
      </c>
      <c r="C13" s="61" t="s">
        <v>2041</v>
      </c>
      <c r="D13" s="59" t="s">
        <v>1993</v>
      </c>
      <c r="E13" s="59" t="s">
        <v>1993</v>
      </c>
      <c r="F13" s="59" t="s">
        <v>1993</v>
      </c>
      <c r="G13" s="59" t="s">
        <v>1994</v>
      </c>
      <c r="H13" s="59" t="s">
        <v>1994</v>
      </c>
      <c r="I13" s="59" t="s">
        <v>1994</v>
      </c>
      <c r="J13" s="59">
        <f t="shared" si="0"/>
        <v>3</v>
      </c>
      <c r="K13" s="59">
        <f t="shared" si="1"/>
        <v>6</v>
      </c>
      <c r="L13" s="62" t="str">
        <f>INDEX(Cards!$B$2:$B$55,MATCH("C01",Cards!$A$2:$A$55,0))&amp;" (C01): Judge me by my record."</f>
        <v>Record of Service (C01): Judge me by my record.</v>
      </c>
      <c r="M13" s="62" t="str">
        <f>INDEX(Cards!$B$2:$B$55,MATCH("C30",Cards!$A$2:$A$55,0))&amp;" (C30): You are the reason I keep fighting!"</f>
        <v>Rally the Faithful (C30): You are the reason I keep fighting!</v>
      </c>
      <c r="N13" s="62" t="str">
        <f>INDEX(Cards!$B$2:$B$55,MATCH("C10",Cards!$A$2:$A$55,0))&amp;" (C10): My hometown's values guide every decision."</f>
        <v>Voice of the Hometown (C10): My hometown's values guide every decision.</v>
      </c>
    </row>
    <row r="14" spans="1:14" ht="114.75" customHeight="1" x14ac:dyDescent="0.2">
      <c r="A14" s="59" t="s">
        <v>2086</v>
      </c>
      <c r="B14" s="60" t="s">
        <v>2087</v>
      </c>
      <c r="C14" s="61" t="s">
        <v>2088</v>
      </c>
      <c r="D14" s="59" t="s">
        <v>1993</v>
      </c>
      <c r="E14" s="59" t="s">
        <v>1994</v>
      </c>
      <c r="F14" s="59" t="s">
        <v>1993</v>
      </c>
      <c r="G14" s="59" t="s">
        <v>2004</v>
      </c>
      <c r="H14" s="59" t="s">
        <v>2004</v>
      </c>
      <c r="I14" s="59" t="s">
        <v>1993</v>
      </c>
      <c r="J14" s="59">
        <f t="shared" si="0"/>
        <v>3</v>
      </c>
      <c r="K14" s="59">
        <f t="shared" si="1"/>
        <v>8</v>
      </c>
      <c r="L14" s="62" t="str">
        <f>INDEX(Cards!$B$2:$B$55,MATCH("C27",Cards!$A$2:$A$55,0))&amp;" (C27): My door is open to the other side."</f>
        <v>Appeal Across the Aisle (C27): My door is open to the other side.</v>
      </c>
      <c r="M14" s="62" t="str">
        <f>INDEX(Cards!$B$2:$B$55,MATCH("C37",Cards!$A$2:$A$55,0))&amp;" (C37): There's room at this table for everyone."</f>
        <v>Call for Common Cause (C37): There's room at this table for everyone.</v>
      </c>
      <c r="N14" s="62" t="str">
        <f>INDEX(Cards!$B$2:$B$55,MATCH("C50",Cards!$A$2:$A$55,0))&amp;" (C50): I'll take it under advisement."</f>
        <v>Take It Under Advisement (C50): I'll take it under advisement.</v>
      </c>
    </row>
    <row r="15" spans="1:14" ht="127.5" customHeight="1" x14ac:dyDescent="0.2">
      <c r="A15" s="59" t="s">
        <v>2089</v>
      </c>
      <c r="B15" s="60" t="s">
        <v>2090</v>
      </c>
      <c r="C15" s="61" t="s">
        <v>2062</v>
      </c>
      <c r="D15" s="59" t="s">
        <v>1994</v>
      </c>
      <c r="E15" s="59" t="s">
        <v>1993</v>
      </c>
      <c r="F15" s="59" t="s">
        <v>1993</v>
      </c>
      <c r="G15" s="59" t="s">
        <v>2004</v>
      </c>
      <c r="H15" s="59" t="s">
        <v>1993</v>
      </c>
      <c r="I15" s="59" t="s">
        <v>1993</v>
      </c>
      <c r="J15" s="59">
        <f t="shared" si="0"/>
        <v>4</v>
      </c>
      <c r="K15" s="59">
        <f t="shared" si="1"/>
        <v>7</v>
      </c>
      <c r="L15" s="62" t="str">
        <f>INDEX(Cards!$B$2:$B$55,MATCH("C18",Cards!$A$2:$A$55,0))&amp;" (C18): It's us against them, plain and simple."</f>
        <v>Drawing Battle Lines (C18): It's us against them, plain and simple.</v>
      </c>
      <c r="M15" s="62" t="str">
        <f>INDEX(Cards!$B$2:$B$55,MATCH("C53",Cards!$A$2:$A$55,0))&amp;" (C53): You and I see this exactly the same."</f>
        <v>Tell the Room What It Wants (C53): You and I see this exactly the same.</v>
      </c>
      <c r="N15" s="62" t="str">
        <f>INDEX(Cards!$B$2:$B$55,MATCH("C30",Cards!$A$2:$A$55,0))&amp;" (C30): You are the heart of this movement!"</f>
        <v>Rally the Faithful (C30): You are the heart of this movement!</v>
      </c>
    </row>
    <row r="16" spans="1:14" ht="127.5" customHeight="1" x14ac:dyDescent="0.2">
      <c r="A16" s="59" t="s">
        <v>2091</v>
      </c>
      <c r="B16" s="60" t="s">
        <v>2092</v>
      </c>
      <c r="C16" s="61" t="s">
        <v>2093</v>
      </c>
      <c r="D16" s="59" t="s">
        <v>1993</v>
      </c>
      <c r="E16" s="59" t="s">
        <v>1993</v>
      </c>
      <c r="F16" s="59" t="s">
        <v>1993</v>
      </c>
      <c r="G16" s="59" t="s">
        <v>1994</v>
      </c>
      <c r="H16" s="59" t="s">
        <v>1994</v>
      </c>
      <c r="I16" s="59" t="s">
        <v>1994</v>
      </c>
      <c r="J16" s="59">
        <f t="shared" si="0"/>
        <v>3</v>
      </c>
      <c r="K16" s="59">
        <f t="shared" si="1"/>
        <v>10</v>
      </c>
      <c r="L16" s="62" t="str">
        <f>INDEX(Cards!$B$2:$B$55,MATCH("C05",Cards!$A$2:$A$55,0))&amp;" (C05): I will not stand by while families suffer!"</f>
        <v>Impassioned Speech (C05): I will not stand by while families suffer!</v>
      </c>
      <c r="M16" s="62" t="str">
        <f>INDEX(Cards!$B$2:$B$55,MATCH("C06",Cards!$A$2:$A$55,0))&amp;" (C06): Every family has a story like this."</f>
        <v>Tearful Appeal (C06): Every family has a story like this.</v>
      </c>
      <c r="N16" s="62" t="str">
        <f>INDEX(Cards!$B$2:$B$55,MATCH("C28",Cards!$A$2:$A$55,0))&amp;" (C28): This letter comes from a mother in my district."</f>
        <v>Read the Letters Aloud (C28): This letter comes from a mother in my district.</v>
      </c>
    </row>
    <row r="17" spans="1:14" ht="127.5" customHeight="1" x14ac:dyDescent="0.2">
      <c r="A17" s="59" t="s">
        <v>2094</v>
      </c>
      <c r="B17" s="60" t="s">
        <v>2095</v>
      </c>
      <c r="C17" s="61" t="s">
        <v>2041</v>
      </c>
      <c r="D17" s="59" t="s">
        <v>1993</v>
      </c>
      <c r="E17" s="59" t="s">
        <v>1994</v>
      </c>
      <c r="F17" s="59" t="s">
        <v>1994</v>
      </c>
      <c r="G17" s="59" t="s">
        <v>1993</v>
      </c>
      <c r="H17" s="59" t="s">
        <v>1993</v>
      </c>
      <c r="I17" s="59" t="s">
        <v>1993</v>
      </c>
      <c r="J17" s="59">
        <f t="shared" si="0"/>
        <v>4</v>
      </c>
      <c r="K17" s="59">
        <f t="shared" si="1"/>
        <v>7</v>
      </c>
      <c r="L17" s="62" t="str">
        <f>INDEX(Cards!$B$2:$B$55,MATCH("C26",Cards!$A$2:$A$55,0))&amp;" (C26): I'd rather admit fault than hide it."</f>
        <v>Own the Mistake (C26): I'd rather admit fault than hide it.</v>
      </c>
      <c r="M17" s="62" t="str">
        <f>INDEX(Cards!$B$2:$B$55,MATCH("C16",Cards!$A$2:$A$55,0))&amp;" (C16): Every claim here is sourced and verified."</f>
        <v>Table the White Paper (C16): Every claim here is sourced and verified.</v>
      </c>
      <c r="N17" s="62" t="str">
        <f>INDEX(Cards!$B$2:$B$55,MATCH("C17",Cards!$A$2:$A$55,0))&amp;" (C17): Another career politician, protecting their own."</f>
        <v>Labeling (C17): Another career politician, protecting their own.</v>
      </c>
    </row>
    <row r="18" spans="1:14" ht="127.5" customHeight="1" x14ac:dyDescent="0.2">
      <c r="A18" s="59" t="s">
        <v>2096</v>
      </c>
      <c r="B18" s="60" t="s">
        <v>2097</v>
      </c>
      <c r="C18" s="61" t="s">
        <v>2033</v>
      </c>
      <c r="D18" s="59" t="s">
        <v>1994</v>
      </c>
      <c r="E18" s="59" t="s">
        <v>1994</v>
      </c>
      <c r="F18" s="59" t="s">
        <v>1994</v>
      </c>
      <c r="G18" s="59" t="s">
        <v>1993</v>
      </c>
      <c r="H18" s="59" t="s">
        <v>1993</v>
      </c>
      <c r="I18" s="59" t="s">
        <v>1993</v>
      </c>
      <c r="J18" s="59">
        <f t="shared" si="0"/>
        <v>3</v>
      </c>
      <c r="K18" s="59">
        <f t="shared" si="1"/>
        <v>5</v>
      </c>
      <c r="L18" s="62" t="str">
        <f>INDEX(Cards!$B$2:$B$55,MATCH("C16",Cards!$A$2:$A$55,0))&amp;" (C16): Our findings are published. Refute them."</f>
        <v>Table the White Paper (C16): Our findings are published. Refute them.</v>
      </c>
      <c r="M18" s="62" t="str">
        <f>INDEX(Cards!$B$2:$B$55,MATCH("C22",Cards!$A$2:$A$55,0))&amp;" (C22): I can neither confirm nor deny that."</f>
        <v>"I Have No Recollection" (C22): I can neither confirm nor deny that.</v>
      </c>
      <c r="N18" s="62" t="str">
        <f>INDEX(Cards!$B$2:$B$55,MATCH("C18",Cards!$A$2:$A$55,0))&amp;" (C18): They stand for themselves. We stand for you."</f>
        <v>Drawing Battle Lines (C18): They stand for themselves. We stand for you.</v>
      </c>
    </row>
    <row r="19" spans="1:14" ht="102" customHeight="1" x14ac:dyDescent="0.2">
      <c r="A19" s="59" t="s">
        <v>2098</v>
      </c>
      <c r="B19" s="60" t="s">
        <v>2099</v>
      </c>
      <c r="C19" s="61" t="s">
        <v>2100</v>
      </c>
      <c r="D19" s="59" t="s">
        <v>1994</v>
      </c>
      <c r="E19" s="59" t="s">
        <v>1993</v>
      </c>
      <c r="F19" s="59" t="s">
        <v>1993</v>
      </c>
      <c r="G19" s="59" t="s">
        <v>2004</v>
      </c>
      <c r="H19" s="59" t="s">
        <v>1994</v>
      </c>
      <c r="I19" s="59" t="s">
        <v>1994</v>
      </c>
      <c r="J19" s="59">
        <f t="shared" si="0"/>
        <v>2</v>
      </c>
      <c r="K19" s="59">
        <f t="shared" si="1"/>
        <v>7</v>
      </c>
      <c r="L19" s="62" t="str">
        <f>INDEX(Cards!$B$2:$B$55,MATCH("C07",Cards!$A$2:$A$55,0))&amp;" (C07): Let them know where you stand!"</f>
        <v>Rousing Applause (C07): Let them know where you stand!</v>
      </c>
      <c r="M19" s="62" t="str">
        <f>INDEX(Cards!$B$2:$B$55,MATCH("C09",Cards!$A$2:$A$55,0))&amp;" (C09): Stand with me, and stand with each other."</f>
        <v>Call for Unity (C09): Stand with me, and stand with each other.</v>
      </c>
      <c r="N19" s="62" t="str">
        <f>INDEX(Cards!$B$2:$B$55,MATCH("C34",Cards!$A$2:$A$55,0))&amp;" (C34): Tell them who we are!"</f>
        <v>Bring the Room to Its Feet (C34): Tell them who we are!</v>
      </c>
    </row>
    <row r="20" spans="1:14" ht="102" customHeight="1" x14ac:dyDescent="0.2">
      <c r="A20" s="59" t="s">
        <v>2101</v>
      </c>
      <c r="B20" s="60" t="s">
        <v>2102</v>
      </c>
      <c r="C20" s="61" t="s">
        <v>2019</v>
      </c>
      <c r="D20" s="59" t="s">
        <v>1993</v>
      </c>
      <c r="E20" s="59" t="s">
        <v>1994</v>
      </c>
      <c r="F20" s="59" t="s">
        <v>1994</v>
      </c>
      <c r="G20" s="59" t="s">
        <v>1994</v>
      </c>
      <c r="H20" s="59" t="s">
        <v>2004</v>
      </c>
      <c r="I20" s="59" t="s">
        <v>1993</v>
      </c>
      <c r="J20" s="59">
        <f t="shared" si="0"/>
        <v>2</v>
      </c>
      <c r="K20" s="59">
        <f t="shared" si="1"/>
        <v>7</v>
      </c>
      <c r="L20" s="62" t="str">
        <f>INDEX(Cards!$B$2:$B$55,MATCH("C25",Cards!$A$2:$A$55,0))&amp;" (C25): When I make a promise, I keep it."</f>
        <v>Point to the Promise Kept (C25): When I make a promise, I keep it.</v>
      </c>
      <c r="M20" s="62" t="str">
        <f>INDEX(Cards!$B$2:$B$55,MATCH("C01",Cards!$A$2:$A$55,0))&amp;" (C01): Judge me by my record."</f>
        <v>Record of Service (C01): Judge me by my record.</v>
      </c>
      <c r="N20" s="62" t="str">
        <f>INDEX(Cards!$B$2:$B$55,MATCH("C50",Cards!$A$2:$A$55,0))&amp;" (C50): We will consider that positively."</f>
        <v>Take It Under Advisement (C50): We will consider that positively.</v>
      </c>
    </row>
    <row r="21" spans="1:14" ht="102" customHeight="1" x14ac:dyDescent="0.2">
      <c r="A21" s="59" t="s">
        <v>2103</v>
      </c>
      <c r="B21" s="60" t="s">
        <v>2104</v>
      </c>
      <c r="C21" s="61" t="s">
        <v>2105</v>
      </c>
      <c r="D21" s="59" t="s">
        <v>1993</v>
      </c>
      <c r="E21" s="59" t="s">
        <v>1993</v>
      </c>
      <c r="F21" s="59" t="s">
        <v>1994</v>
      </c>
      <c r="G21" s="59" t="s">
        <v>1994</v>
      </c>
      <c r="H21" s="59" t="s">
        <v>1993</v>
      </c>
      <c r="I21" s="59" t="s">
        <v>1994</v>
      </c>
      <c r="J21" s="59">
        <f t="shared" si="0"/>
        <v>3</v>
      </c>
      <c r="K21" s="59">
        <f t="shared" si="1"/>
        <v>7</v>
      </c>
      <c r="L21" s="62" t="str">
        <f>INDEX(Cards!$B$2:$B$55,MATCH("C29",Cards!$A$2:$A$55,0))&amp;" (C29): Vote as if your children were watching."</f>
        <v>Appeal to Conscience (C29): Vote as if your children were watching.</v>
      </c>
      <c r="M21" s="62" t="str">
        <f>INDEX(Cards!$B$2:$B$55,MATCH("C34",Cards!$A$2:$A$55,0))&amp;" (C34): This is our chance! Take it!"</f>
        <v>Bring the Room to Its Feet (C34): This is our chance! Take it!</v>
      </c>
      <c r="N21" s="62" t="str">
        <f>INDEX(Cards!$B$2:$B$55,MATCH("C19",Cards!$A$2:$A$55,0))&amp;" (C19): They're taking what's yours. Will you let them?"</f>
        <v>Agitation (C19): They're taking what's yours. Will you let them?</v>
      </c>
    </row>
    <row r="22" spans="1:14" x14ac:dyDescent="0.2">
      <c r="C22" s="16" t="s">
        <v>2051</v>
      </c>
      <c r="D22" s="63">
        <f t="shared" ref="D22:I22" si="2">COUNTIF(D2:D21,"S")</f>
        <v>14</v>
      </c>
      <c r="E22" s="63">
        <f t="shared" si="2"/>
        <v>12</v>
      </c>
      <c r="F22" s="63">
        <f t="shared" si="2"/>
        <v>12</v>
      </c>
      <c r="G22" s="63">
        <f t="shared" si="2"/>
        <v>4</v>
      </c>
      <c r="H22" s="63">
        <f t="shared" si="2"/>
        <v>11</v>
      </c>
      <c r="I22" s="63">
        <f t="shared" si="2"/>
        <v>9</v>
      </c>
    </row>
    <row r="24" spans="1:14" x14ac:dyDescent="0.2">
      <c r="B24" s="64" t="s">
        <v>2106</v>
      </c>
    </row>
    <row r="25" spans="1:14" x14ac:dyDescent="0.2">
      <c r="B25" s="64" t="s">
        <v>2052</v>
      </c>
    </row>
    <row r="26" spans="1:14" x14ac:dyDescent="0.2">
      <c r="B26" s="64" t="s">
        <v>2107</v>
      </c>
    </row>
    <row r="27" spans="1:14" x14ac:dyDescent="0.2">
      <c r="B27" s="64" t="s">
        <v>2055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24"/>
  <dimension ref="A1:N27"/>
  <sheetViews>
    <sheetView workbookViewId="0">
      <pane xSplit="2" ySplit="1" topLeftCell="C2" activePane="bottomRight" state="frozen"/>
      <selection pane="bottomLeft"/>
      <selection pane="topRight"/>
      <selection pane="bottomRight" activeCell="L28" sqref="L28"/>
    </sheetView>
  </sheetViews>
  <sheetFormatPr defaultRowHeight="15" x14ac:dyDescent="0.2"/>
  <cols>
    <col min="1" max="1" width="6.05078125" customWidth="1"/>
    <col min="2" max="2" width="41.96875" customWidth="1"/>
    <col min="3" max="3" width="13.98828125" customWidth="1"/>
    <col min="4" max="4" width="9.01171875" customWidth="1"/>
    <col min="5" max="5" width="9.953125" customWidth="1"/>
    <col min="6" max="6" width="9.01171875" customWidth="1"/>
    <col min="7" max="7" width="9.953125" customWidth="1"/>
    <col min="8" max="8" width="9.01171875" customWidth="1"/>
    <col min="9" max="9" width="11.02734375" customWidth="1"/>
    <col min="10" max="10" width="7.93359375" customWidth="1"/>
    <col min="11" max="11" width="6.9921875" customWidth="1"/>
    <col min="12" max="12" width="43.98828125" customWidth="1"/>
  </cols>
  <sheetData>
    <row r="1" spans="1:14" ht="25.5" customHeight="1" x14ac:dyDescent="0.2">
      <c r="A1" s="14" t="s">
        <v>1982</v>
      </c>
      <c r="B1" s="14" t="s">
        <v>1983</v>
      </c>
      <c r="C1" s="14" t="s">
        <v>1984</v>
      </c>
      <c r="D1" s="14" t="s">
        <v>120</v>
      </c>
      <c r="E1" s="14" t="s">
        <v>125</v>
      </c>
      <c r="F1" s="14" t="s">
        <v>130</v>
      </c>
      <c r="G1" s="14" t="s">
        <v>135</v>
      </c>
      <c r="H1" s="14" t="s">
        <v>140</v>
      </c>
      <c r="I1" s="14" t="s">
        <v>145</v>
      </c>
      <c r="J1" s="15" t="s">
        <v>1985</v>
      </c>
      <c r="K1" s="15" t="s">
        <v>1986</v>
      </c>
      <c r="L1" s="14" t="s">
        <v>1987</v>
      </c>
      <c r="M1" s="14" t="s">
        <v>1988</v>
      </c>
      <c r="N1" s="14" t="s">
        <v>1989</v>
      </c>
    </row>
    <row r="2" spans="1:14" ht="114.75" customHeight="1" x14ac:dyDescent="0.2">
      <c r="A2" s="59" t="s">
        <v>2108</v>
      </c>
      <c r="B2" s="60" t="s">
        <v>2109</v>
      </c>
      <c r="C2" s="61" t="s">
        <v>199</v>
      </c>
      <c r="D2" s="59" t="s">
        <v>1994</v>
      </c>
      <c r="E2" s="59" t="s">
        <v>1994</v>
      </c>
      <c r="F2" s="59" t="s">
        <v>1993</v>
      </c>
      <c r="G2" s="59" t="s">
        <v>1994</v>
      </c>
      <c r="H2" s="59" t="s">
        <v>1994</v>
      </c>
      <c r="I2" s="59" t="s">
        <v>1993</v>
      </c>
      <c r="J2" s="59">
        <f t="shared" ref="J2:J21" si="0">COUNTIF(D2:I2,"S")</f>
        <v>2</v>
      </c>
      <c r="K2" s="59">
        <f t="shared" ref="K2:K21" si="1">LEN(TRIM(B2))-LEN(SUBSTITUTE(TRIM(B2)," ",""))+1</f>
        <v>7</v>
      </c>
      <c r="L2" s="62" t="str">
        <f>INDEX(Cards!$B$2:$B$55,MATCH("C11",Cards!$A$2:$A$55,0))&amp;" (C11): I believe we understand each other."</f>
        <v>Work the Room First (C11): I believe we understand each other.</v>
      </c>
      <c r="M2" s="62" t="str">
        <f>INDEX(Cards!$B$2:$B$55,MATCH("C24",Cards!$A$2:$A$55,0))&amp;" (C24): Rest assured, you'll be taken care of."</f>
        <v>Offer a Quiet Assurance (C24): Rest assured, you'll be taken care of.</v>
      </c>
      <c r="N2" s="62" t="str">
        <f>INDEX(Cards!$B$2:$B$55,MATCH("C25",Cards!$A$2:$A$55,0))&amp;" (C25): When I make a promise, I keep it."</f>
        <v>Point to the Promise Kept (C25): When I make a promise, I keep it.</v>
      </c>
    </row>
    <row r="3" spans="1:14" ht="114.75" customHeight="1" x14ac:dyDescent="0.2">
      <c r="A3" s="59" t="s">
        <v>2110</v>
      </c>
      <c r="B3" s="60" t="s">
        <v>2111</v>
      </c>
      <c r="C3" s="61" t="s">
        <v>2112</v>
      </c>
      <c r="D3" s="59" t="s">
        <v>1993</v>
      </c>
      <c r="E3" s="59" t="s">
        <v>2004</v>
      </c>
      <c r="F3" s="59" t="s">
        <v>1993</v>
      </c>
      <c r="G3" s="59" t="s">
        <v>1994</v>
      </c>
      <c r="H3" s="59" t="s">
        <v>1994</v>
      </c>
      <c r="I3" s="59" t="s">
        <v>1993</v>
      </c>
      <c r="J3" s="59">
        <f t="shared" si="0"/>
        <v>3</v>
      </c>
      <c r="K3" s="59">
        <f t="shared" si="1"/>
        <v>8</v>
      </c>
      <c r="L3" s="62" t="str">
        <f>INDEX(Cards!$B$2:$B$55,MATCH("C04",Cards!$A$2:$A$55,0))&amp;" (C04): I know exactly who I work for."</f>
        <v>Return to First Principles (C04): I know exactly who I work for.</v>
      </c>
      <c r="M3" s="62" t="str">
        <f>INDEX(Cards!$B$2:$B$55,MATCH("C38",Cards!$A$2:$A$55,0))&amp;" (C38): One good turn deserves another."</f>
        <v>Call In a Favor (C38): One good turn deserves another.</v>
      </c>
      <c r="N3" s="62" t="str">
        <f>INDEX(Cards!$B$2:$B$55,MATCH("C24",Cards!$A$2:$A$55,0))&amp;" (C24): Support me, and I'll remember it."</f>
        <v>Offer a Quiet Assurance (C24): Support me, and I'll remember it.</v>
      </c>
    </row>
    <row r="4" spans="1:14" ht="140.25" customHeight="1" x14ac:dyDescent="0.2">
      <c r="A4" s="59" t="s">
        <v>2113</v>
      </c>
      <c r="B4" s="60" t="s">
        <v>2114</v>
      </c>
      <c r="C4" s="61" t="s">
        <v>2115</v>
      </c>
      <c r="D4" s="59" t="s">
        <v>1994</v>
      </c>
      <c r="E4" s="59" t="s">
        <v>2004</v>
      </c>
      <c r="F4" s="59" t="s">
        <v>1993</v>
      </c>
      <c r="G4" s="59" t="s">
        <v>1993</v>
      </c>
      <c r="H4" s="59" t="s">
        <v>2004</v>
      </c>
      <c r="I4" s="59" t="s">
        <v>1993</v>
      </c>
      <c r="J4" s="59">
        <f t="shared" si="0"/>
        <v>3</v>
      </c>
      <c r="K4" s="59">
        <f t="shared" si="1"/>
        <v>8</v>
      </c>
      <c r="L4" s="62" t="str">
        <f>INDEX(Cards!$B$2:$B$55,MATCH("C37",Cards!$A$2:$A$55,0))&amp;" (C37): There's room at this table for everyone."</f>
        <v>Call for Common Cause (C37): There's room at this table for everyone.</v>
      </c>
      <c r="M4" s="62" t="str">
        <f>INDEX(Cards!$B$2:$B$55,MATCH("C52",Cards!$A$2:$A$55,0))&amp;" (C52): Per subsection four, paragraph two, clause B..."</f>
        <v>Drown Them in Detail (C52): Per subsection four, paragraph two, clause B...</v>
      </c>
      <c r="N4" s="62" t="str">
        <f>INDEX(Cards!$B$2:$B$55,MATCH("C13",Cards!$A$2:$A$55,0))&amp;" (C13): Let's look at the actual numbers."</f>
        <v>Present the Stats (C13): Let's look at the actual numbers.</v>
      </c>
    </row>
    <row r="5" spans="1:14" ht="127.5" customHeight="1" x14ac:dyDescent="0.2">
      <c r="A5" s="59" t="s">
        <v>2116</v>
      </c>
      <c r="B5" s="60" t="s">
        <v>2117</v>
      </c>
      <c r="C5" s="61" t="s">
        <v>2118</v>
      </c>
      <c r="D5" s="59" t="s">
        <v>1993</v>
      </c>
      <c r="E5" s="59" t="s">
        <v>2004</v>
      </c>
      <c r="F5" s="59" t="s">
        <v>1993</v>
      </c>
      <c r="G5" s="59" t="s">
        <v>1994</v>
      </c>
      <c r="H5" s="59" t="s">
        <v>1994</v>
      </c>
      <c r="I5" s="59" t="s">
        <v>1993</v>
      </c>
      <c r="J5" s="59">
        <f t="shared" si="0"/>
        <v>3</v>
      </c>
      <c r="K5" s="59">
        <f t="shared" si="1"/>
        <v>8</v>
      </c>
      <c r="L5" s="62" t="str">
        <f>INDEX(Cards!$B$2:$B$55,MATCH("C27",Cards!$A$2:$A$55,0))&amp;" (C27): I'll work with anyone who wants results."</f>
        <v>Appeal Across the Aisle (C27): I'll work with anyone who wants results.</v>
      </c>
      <c r="M5" s="62" t="str">
        <f>INDEX(Cards!$B$2:$B$55,MATCH("C24",Cards!$A$2:$A$55,0))&amp;" (C24): Let's just say your concerns are understood."</f>
        <v>Offer a Quiet Assurance (C24): Let's just say your concerns are understood.</v>
      </c>
      <c r="N5" s="62" t="str">
        <f>INDEX(Cards!$B$2:$B$55,MATCH("C50",Cards!$A$2:$A$55,0))&amp;" (C50): I'll take it under advisement."</f>
        <v>Take It Under Advisement (C50): I'll take it under advisement.</v>
      </c>
    </row>
    <row r="6" spans="1:14" ht="114.75" customHeight="1" x14ac:dyDescent="0.2">
      <c r="A6" s="59" t="s">
        <v>2119</v>
      </c>
      <c r="B6" s="60" t="s">
        <v>2120</v>
      </c>
      <c r="C6" s="61" t="s">
        <v>2121</v>
      </c>
      <c r="D6" s="59" t="s">
        <v>1993</v>
      </c>
      <c r="E6" s="59" t="s">
        <v>2004</v>
      </c>
      <c r="F6" s="59" t="s">
        <v>1993</v>
      </c>
      <c r="G6" s="59" t="s">
        <v>2004</v>
      </c>
      <c r="H6" s="59" t="s">
        <v>1994</v>
      </c>
      <c r="I6" s="59" t="s">
        <v>1993</v>
      </c>
      <c r="J6" s="59">
        <f t="shared" si="0"/>
        <v>3</v>
      </c>
      <c r="K6" s="59">
        <f t="shared" si="1"/>
        <v>6</v>
      </c>
      <c r="L6" s="62" t="str">
        <f>INDEX(Cards!$B$2:$B$55,MATCH("C54",Cards!$A$2:$A$55,0))&amp;" (C54): Between us, here's how it really is."</f>
        <v>Off the Record (C54): Between us, here's how it really is.</v>
      </c>
      <c r="M6" s="62" t="str">
        <f>INDEX(Cards!$B$2:$B$55,MATCH("C36",Cards!$A$2:$A$55,0))&amp;" (C36): Let's keep this conversation private."</f>
        <v>Offer a Private Word (C36): Let's keep this conversation private.</v>
      </c>
      <c r="N6" s="62" t="str">
        <f>INDEX(Cards!$B$2:$B$55,MATCH("C02",Cards!$A$2:$A$55,0))&amp;" (C02): No spin. Just the truth as I see it."</f>
        <v>Sincere Answer (C02): No spin. Just the truth as I see it.</v>
      </c>
    </row>
    <row r="7" spans="1:14" ht="127.5" customHeight="1" x14ac:dyDescent="0.2">
      <c r="A7" s="59" t="s">
        <v>2122</v>
      </c>
      <c r="B7" s="60" t="s">
        <v>2123</v>
      </c>
      <c r="C7" s="61" t="s">
        <v>2124</v>
      </c>
      <c r="D7" s="59" t="s">
        <v>1993</v>
      </c>
      <c r="E7" s="59" t="s">
        <v>2004</v>
      </c>
      <c r="F7" s="59" t="s">
        <v>1994</v>
      </c>
      <c r="G7" s="59" t="s">
        <v>1994</v>
      </c>
      <c r="H7" s="59" t="s">
        <v>1994</v>
      </c>
      <c r="I7" s="59" t="s">
        <v>1993</v>
      </c>
      <c r="J7" s="59">
        <f t="shared" si="0"/>
        <v>2</v>
      </c>
      <c r="K7" s="59">
        <f t="shared" si="1"/>
        <v>7</v>
      </c>
      <c r="L7" s="62" t="str">
        <f>INDEX(Cards!$B$2:$B$55,MATCH("C02",Cards!$A$2:$A$55,0))&amp;" (C02): I won't dodge this one."</f>
        <v>Sincere Answer (C02): I won't dodge this one.</v>
      </c>
      <c r="M7" s="62" t="str">
        <f>INDEX(Cards!$B$2:$B$55,MATCH("C22",Cards!$A$2:$A$55,0))&amp;" (C22): I can neither confirm nor deny that."</f>
        <v>"I Have No Recollection" (C22): I can neither confirm nor deny that.</v>
      </c>
      <c r="N7" s="62" t="str">
        <f>INDEX(Cards!$B$2:$B$55,MATCH("C54",Cards!$A$2:$A$55,0))&amp;" (C54): This stays in the room."</f>
        <v>Off the Record (C54): This stays in the room.</v>
      </c>
    </row>
    <row r="8" spans="1:14" ht="114.75" customHeight="1" x14ac:dyDescent="0.2">
      <c r="A8" s="59" t="s">
        <v>2125</v>
      </c>
      <c r="B8" s="60" t="s">
        <v>2126</v>
      </c>
      <c r="C8" s="61" t="s">
        <v>2127</v>
      </c>
      <c r="D8" s="59" t="s">
        <v>1994</v>
      </c>
      <c r="E8" s="59" t="s">
        <v>1994</v>
      </c>
      <c r="F8" s="59" t="s">
        <v>1993</v>
      </c>
      <c r="G8" s="59" t="s">
        <v>2004</v>
      </c>
      <c r="H8" s="59" t="s">
        <v>1994</v>
      </c>
      <c r="I8" s="59" t="s">
        <v>1993</v>
      </c>
      <c r="J8" s="59">
        <f t="shared" si="0"/>
        <v>2</v>
      </c>
      <c r="K8" s="59">
        <f t="shared" si="1"/>
        <v>8</v>
      </c>
      <c r="L8" s="62" t="str">
        <f>INDEX(Cards!$B$2:$B$55,MATCH("C12",Cards!$A$2:$A$55,0))&amp;" (C12): I need to know who I can count on."</f>
        <v>Ask Who's With You (C12): I need to know who I can count on.</v>
      </c>
      <c r="M8" s="62" t="str">
        <f>INDEX(Cards!$B$2:$B$55,MATCH("C38",Cards!$A$2:$A$55,0))&amp;" (C38): I'm asking you, as a friend."</f>
        <v>Call In a Favor (C38): I'm asking you, as a friend.</v>
      </c>
      <c r="N8" s="62" t="str">
        <f>INDEX(Cards!$B$2:$B$55,MATCH("C24",Cards!$A$2:$A$55,0))&amp;" (C24): Support me, and I'll remember it."</f>
        <v>Offer a Quiet Assurance (C24): Support me, and I'll remember it.</v>
      </c>
    </row>
    <row r="9" spans="1:14" ht="102" customHeight="1" x14ac:dyDescent="0.2">
      <c r="A9" s="59" t="s">
        <v>2128</v>
      </c>
      <c r="B9" s="60" t="s">
        <v>2129</v>
      </c>
      <c r="C9" s="61" t="s">
        <v>2130</v>
      </c>
      <c r="D9" s="59" t="s">
        <v>1993</v>
      </c>
      <c r="E9" s="59" t="s">
        <v>1993</v>
      </c>
      <c r="F9" s="59" t="s">
        <v>1993</v>
      </c>
      <c r="G9" s="59" t="s">
        <v>2004</v>
      </c>
      <c r="H9" s="59" t="s">
        <v>1993</v>
      </c>
      <c r="I9" s="59" t="s">
        <v>1994</v>
      </c>
      <c r="J9" s="59">
        <f t="shared" si="0"/>
        <v>4</v>
      </c>
      <c r="K9" s="59">
        <f t="shared" si="1"/>
        <v>9</v>
      </c>
      <c r="L9" s="62" t="str">
        <f>INDEX(Cards!$B$2:$B$55,MATCH("C10",Cards!$A$2:$A$55,0))&amp;" (C10): I speak for the people of my district."</f>
        <v>Voice of the Hometown (C10): I speak for the people of my district.</v>
      </c>
      <c r="M9" s="62" t="str">
        <f>INDEX(Cards!$B$2:$B$55,MATCH("C04",Cards!$A$2:$A$55,0))&amp;" (C04): I know exactly who I work for."</f>
        <v>Return to First Principles (C04): I know exactly who I work for.</v>
      </c>
      <c r="N9" s="62" t="str">
        <f>INDEX(Cards!$B$2:$B$55,MATCH("C31",Cards!$A$2:$A$55,0))&amp;" (C31): You should be ashamed of yourself!"</f>
        <v>Righteous Anger (C31): You should be ashamed of yourself!</v>
      </c>
    </row>
    <row r="10" spans="1:14" ht="114.75" customHeight="1" x14ac:dyDescent="0.2">
      <c r="A10" s="59" t="s">
        <v>2131</v>
      </c>
      <c r="B10" s="60" t="s">
        <v>2132</v>
      </c>
      <c r="C10" s="61" t="s">
        <v>2133</v>
      </c>
      <c r="D10" s="59" t="s">
        <v>1994</v>
      </c>
      <c r="E10" s="59" t="s">
        <v>2004</v>
      </c>
      <c r="F10" s="59" t="s">
        <v>1994</v>
      </c>
      <c r="G10" s="59" t="s">
        <v>1993</v>
      </c>
      <c r="H10" s="59" t="s">
        <v>2004</v>
      </c>
      <c r="I10" s="59" t="s">
        <v>1993</v>
      </c>
      <c r="J10" s="59">
        <f t="shared" si="0"/>
        <v>2</v>
      </c>
      <c r="K10" s="59">
        <f t="shared" si="1"/>
        <v>9</v>
      </c>
      <c r="L10" s="62" t="str">
        <f>INDEX(Cards!$B$2:$B$55,MATCH("C16",Cards!$A$2:$A$55,0))&amp;" (C16): Our findings are published. Refute them."</f>
        <v>Table the White Paper (C16): Our findings are published. Refute them.</v>
      </c>
      <c r="M10" s="62" t="str">
        <f>INDEX(Cards!$B$2:$B$55,MATCH("C50",Cards!$A$2:$A$55,0))&amp;" (C50): We're studying all options carefully."</f>
        <v>Take It Under Advisement (C50): We're studying all options carefully.</v>
      </c>
      <c r="N10" s="62" t="str">
        <f>INDEX(Cards!$B$2:$B$55,MATCH("C01",Cards!$A$2:$A$55,0))&amp;" (C01): Look at the work, not the words."</f>
        <v>Record of Service (C01): Look at the work, not the words.</v>
      </c>
    </row>
    <row r="11" spans="1:14" ht="102" customHeight="1" x14ac:dyDescent="0.2">
      <c r="A11" s="59" t="s">
        <v>2134</v>
      </c>
      <c r="B11" s="60" t="s">
        <v>2135</v>
      </c>
      <c r="C11" s="61" t="s">
        <v>2136</v>
      </c>
      <c r="D11" s="59" t="s">
        <v>1994</v>
      </c>
      <c r="E11" s="59" t="s">
        <v>1994</v>
      </c>
      <c r="F11" s="59" t="s">
        <v>1993</v>
      </c>
      <c r="G11" s="59" t="s">
        <v>2004</v>
      </c>
      <c r="H11" s="59" t="s">
        <v>1993</v>
      </c>
      <c r="I11" s="59" t="s">
        <v>1993</v>
      </c>
      <c r="J11" s="59">
        <f t="shared" si="0"/>
        <v>3</v>
      </c>
      <c r="K11" s="59">
        <f t="shared" si="1"/>
        <v>5</v>
      </c>
      <c r="L11" s="62" t="str">
        <f>INDEX(Cards!$B$2:$B$55,MATCH("C35",Cards!$A$2:$A$55,0))&amp;" (C35): The party's position is settled. We stand together."</f>
        <v>Invoke Party Discipline (C35): The party's position is settled. We stand together.</v>
      </c>
      <c r="M11" s="62" t="str">
        <f>INDEX(Cards!$B$2:$B$55,MATCH("C21",Cards!$A$2:$A$55,0))&amp;" (C21): I support the spirit of both positions."</f>
        <v>Iridescent Answer (C21): I support the spirit of both positions.</v>
      </c>
      <c r="N11" s="62" t="str">
        <f>INDEX(Cards!$B$2:$B$55,MATCH("C47",Cards!$A$2:$A$55,0))&amp;" (C47): Who do you really answer to?"</f>
        <v>Question Their Loyalty (C47): Who do you really answer to?</v>
      </c>
    </row>
    <row r="12" spans="1:14" ht="89.25" customHeight="1" x14ac:dyDescent="0.2">
      <c r="A12" s="59" t="s">
        <v>2137</v>
      </c>
      <c r="B12" s="60" t="s">
        <v>2138</v>
      </c>
      <c r="C12" s="61" t="s">
        <v>2139</v>
      </c>
      <c r="D12" s="59" t="s">
        <v>1993</v>
      </c>
      <c r="E12" s="59" t="s">
        <v>1993</v>
      </c>
      <c r="F12" s="59" t="s">
        <v>1994</v>
      </c>
      <c r="G12" s="59" t="s">
        <v>1994</v>
      </c>
      <c r="H12" s="59" t="s">
        <v>1993</v>
      </c>
      <c r="I12" s="59" t="s">
        <v>1994</v>
      </c>
      <c r="J12" s="59">
        <f t="shared" si="0"/>
        <v>3</v>
      </c>
      <c r="K12" s="59">
        <f t="shared" si="1"/>
        <v>8</v>
      </c>
      <c r="L12" s="62" t="str">
        <f>INDEX(Cards!$B$2:$B$55,MATCH("C25",Cards!$A$2:$A$55,0))&amp;" (C25): I give my word, and it holds."</f>
        <v>Point to the Promise Kept (C25): I give my word, and it holds.</v>
      </c>
      <c r="M12" s="62" t="str">
        <f>INDEX(Cards!$B$2:$B$55,MATCH("C33",Cards!$A$2:$A$55,0))&amp;" (C33): Not one step back. Not one inch."</f>
        <v>Refuse to Yield (C33): Not one step back. Not one inch.</v>
      </c>
      <c r="N12" s="62" t="str">
        <f>INDEX(Cards!$B$2:$B$55,MATCH("C46",Cards!$A$2:$A$55,0))&amp;" (C46): Yes or no. There is no middle."</f>
        <v>Force the Choice (C46): Yes or no. There is no middle.</v>
      </c>
    </row>
    <row r="13" spans="1:14" ht="114.75" customHeight="1" x14ac:dyDescent="0.2">
      <c r="A13" s="59" t="s">
        <v>2140</v>
      </c>
      <c r="B13" s="60" t="s">
        <v>2141</v>
      </c>
      <c r="C13" s="61" t="s">
        <v>2115</v>
      </c>
      <c r="D13" s="59" t="s">
        <v>1994</v>
      </c>
      <c r="E13" s="59" t="s">
        <v>2004</v>
      </c>
      <c r="F13" s="59" t="s">
        <v>1993</v>
      </c>
      <c r="G13" s="59" t="s">
        <v>1994</v>
      </c>
      <c r="H13" s="59" t="s">
        <v>2004</v>
      </c>
      <c r="I13" s="59" t="s">
        <v>1993</v>
      </c>
      <c r="J13" s="59">
        <f t="shared" si="0"/>
        <v>2</v>
      </c>
      <c r="K13" s="59">
        <f t="shared" si="1"/>
        <v>6</v>
      </c>
      <c r="L13" s="62" t="str">
        <f>INDEX(Cards!$B$2:$B$55,MATCH("C37",Cards!$A$2:$A$55,0))&amp;" (C37): Let's build something neither of us could alone."</f>
        <v>Call for Common Cause (C37): Let's build something neither of us could alone.</v>
      </c>
      <c r="M13" s="62" t="str">
        <f>INDEX(Cards!$B$2:$B$55,MATCH("C50",Cards!$A$2:$A$55,0))&amp;" (C50): We will consider that positively."</f>
        <v>Take It Under Advisement (C50): We will consider that positively.</v>
      </c>
      <c r="N13" s="62" t="str">
        <f>INDEX(Cards!$B$2:$B$55,MATCH("C27",Cards!$A$2:$A$55,0))&amp;" (C27): Let's set party aside and solve this together."</f>
        <v>Appeal Across the Aisle (C27): Let's set party aside and solve this together.</v>
      </c>
    </row>
    <row r="14" spans="1:14" ht="114.75" customHeight="1" x14ac:dyDescent="0.2">
      <c r="A14" s="59" t="s">
        <v>2142</v>
      </c>
      <c r="B14" s="60" t="s">
        <v>2143</v>
      </c>
      <c r="C14" s="61" t="s">
        <v>2144</v>
      </c>
      <c r="D14" s="59" t="s">
        <v>1993</v>
      </c>
      <c r="E14" s="59" t="s">
        <v>1993</v>
      </c>
      <c r="F14" s="59" t="s">
        <v>1994</v>
      </c>
      <c r="G14" s="59" t="s">
        <v>2004</v>
      </c>
      <c r="H14" s="59" t="s">
        <v>1993</v>
      </c>
      <c r="I14" s="59" t="s">
        <v>1993</v>
      </c>
      <c r="J14" s="59">
        <f t="shared" si="0"/>
        <v>4</v>
      </c>
      <c r="K14" s="59">
        <f t="shared" si="1"/>
        <v>7</v>
      </c>
      <c r="L14" s="62" t="str">
        <f>INDEX(Cards!$B$2:$B$55,MATCH("C04",Cards!$A$2:$A$55,0))&amp;" (C04): I'm here to serve, not to climb."</f>
        <v>Return to First Principles (C04): I'm here to serve, not to climb.</v>
      </c>
      <c r="M14" s="62" t="str">
        <f>INDEX(Cards!$B$2:$B$55,MATCH("C31",Cards!$A$2:$A$55,0))&amp;" (C31): You should be ashamed of yourself!"</f>
        <v>Righteous Anger (C31): You should be ashamed of yourself!</v>
      </c>
      <c r="N14" s="62" t="str">
        <f>INDEX(Cards!$B$2:$B$55,MATCH("C24",Cards!$A$2:$A$55,0))&amp;" (C24): Nothing in writing, but consider it done."</f>
        <v>Offer a Quiet Assurance (C24): Nothing in writing, but consider it done.</v>
      </c>
    </row>
    <row r="15" spans="1:14" ht="127.5" customHeight="1" x14ac:dyDescent="0.2">
      <c r="A15" s="59" t="s">
        <v>2145</v>
      </c>
      <c r="B15" s="60" t="s">
        <v>2146</v>
      </c>
      <c r="C15" s="61" t="s">
        <v>2033</v>
      </c>
      <c r="D15" s="59" t="s">
        <v>1994</v>
      </c>
      <c r="E15" s="59" t="s">
        <v>2004</v>
      </c>
      <c r="F15" s="59" t="s">
        <v>1994</v>
      </c>
      <c r="G15" s="59" t="s">
        <v>1993</v>
      </c>
      <c r="H15" s="59" t="s">
        <v>1994</v>
      </c>
      <c r="I15" s="59" t="s">
        <v>1993</v>
      </c>
      <c r="J15" s="59">
        <f t="shared" si="0"/>
        <v>2</v>
      </c>
      <c r="K15" s="59">
        <f t="shared" si="1"/>
        <v>7</v>
      </c>
      <c r="L15" s="62" t="str">
        <f>INDEX(Cards!$B$2:$B$55,MATCH("C16",Cards!$A$2:$A$55,0))&amp;" (C16): Every claim here is sourced and verified."</f>
        <v>Table the White Paper (C16): Every claim here is sourced and verified.</v>
      </c>
      <c r="M15" s="62" t="str">
        <f>INDEX(Cards!$B$2:$B$55,MATCH("C22",Cards!$A$2:$A$55,0))&amp;" (C22): I can neither confirm nor deny that."</f>
        <v>"I Have No Recollection" (C22): I can neither confirm nor deny that.</v>
      </c>
      <c r="N15" s="62" t="str">
        <f>INDEX(Cards!$B$2:$B$55,MATCH("C54",Cards!$A$2:$A$55,0))&amp;" (C54): Between us, here's how it really is."</f>
        <v>Off the Record (C54): Between us, here's how it really is.</v>
      </c>
    </row>
    <row r="16" spans="1:14" ht="114.75" customHeight="1" x14ac:dyDescent="0.2">
      <c r="A16" s="59" t="s">
        <v>2147</v>
      </c>
      <c r="B16" s="60" t="s">
        <v>2148</v>
      </c>
      <c r="C16" s="61" t="s">
        <v>2144</v>
      </c>
      <c r="D16" s="59" t="s">
        <v>1993</v>
      </c>
      <c r="E16" s="59" t="s">
        <v>2004</v>
      </c>
      <c r="F16" s="59" t="s">
        <v>1993</v>
      </c>
      <c r="G16" s="59" t="s">
        <v>2004</v>
      </c>
      <c r="H16" s="59" t="s">
        <v>1994</v>
      </c>
      <c r="I16" s="59" t="s">
        <v>1993</v>
      </c>
      <c r="J16" s="59">
        <f t="shared" si="0"/>
        <v>3</v>
      </c>
      <c r="K16" s="59">
        <f t="shared" si="1"/>
        <v>8</v>
      </c>
      <c r="L16" s="62" t="str">
        <f>INDEX(Cards!$B$2:$B$55,MATCH("C04",Cards!$A$2:$A$55,0))&amp;" (C04): I know exactly who I work for."</f>
        <v>Return to First Principles (C04): I know exactly who I work for.</v>
      </c>
      <c r="M16" s="62" t="str">
        <f>INDEX(Cards!$B$2:$B$55,MATCH("C38",Cards!$A$2:$A$55,0))&amp;" (C38): One good turn deserves another."</f>
        <v>Call In a Favor (C38): One good turn deserves another.</v>
      </c>
      <c r="N16" s="62" t="str">
        <f>INDEX(Cards!$B$2:$B$55,MATCH("C24",Cards!$A$2:$A$55,0))&amp;" (C24): My friends are well looked after."</f>
        <v>Offer a Quiet Assurance (C24): My friends are well looked after.</v>
      </c>
    </row>
    <row r="17" spans="1:14" ht="102" customHeight="1" x14ac:dyDescent="0.2">
      <c r="A17" s="59" t="s">
        <v>2149</v>
      </c>
      <c r="B17" s="60" t="s">
        <v>2150</v>
      </c>
      <c r="C17" s="61" t="s">
        <v>2070</v>
      </c>
      <c r="D17" s="59" t="s">
        <v>1993</v>
      </c>
      <c r="E17" s="59" t="s">
        <v>1993</v>
      </c>
      <c r="F17" s="59" t="s">
        <v>1994</v>
      </c>
      <c r="G17" s="59" t="s">
        <v>1994</v>
      </c>
      <c r="H17" s="59" t="s">
        <v>1994</v>
      </c>
      <c r="I17" s="59" t="s">
        <v>1993</v>
      </c>
      <c r="J17" s="59">
        <f t="shared" si="0"/>
        <v>3</v>
      </c>
      <c r="K17" s="59">
        <f t="shared" si="1"/>
        <v>7</v>
      </c>
      <c r="L17" s="62" t="str">
        <f>INDEX(Cards!$B$2:$B$55,MATCH("C25",Cards!$A$2:$A$55,0))&amp;" (C25): Every commitment I make, I honor."</f>
        <v>Point to the Promise Kept (C25): Every commitment I make, I honor.</v>
      </c>
      <c r="M17" s="62" t="str">
        <f>INDEX(Cards!$B$2:$B$55,MATCH("C33",Cards!$A$2:$A$55,0))&amp;" (C33): I will not yield. Full stop."</f>
        <v>Refuse to Yield (C33): I will not yield. Full stop.</v>
      </c>
      <c r="N17" s="62" t="str">
        <f>INDEX(Cards!$B$2:$B$55,MATCH("C21",Cards!$A$2:$A$55,0))&amp;" (C21): I'm for progress, and also for caution."</f>
        <v>Iridescent Answer (C21): I'm for progress, and also for caution.</v>
      </c>
    </row>
    <row r="18" spans="1:14" ht="127.5" customHeight="1" x14ac:dyDescent="0.2">
      <c r="A18" s="59" t="s">
        <v>2151</v>
      </c>
      <c r="B18" s="60" t="s">
        <v>2152</v>
      </c>
      <c r="C18" s="61" t="s">
        <v>2153</v>
      </c>
      <c r="D18" s="59" t="s">
        <v>1993</v>
      </c>
      <c r="E18" s="59" t="s">
        <v>1994</v>
      </c>
      <c r="F18" s="59" t="s">
        <v>1993</v>
      </c>
      <c r="G18" s="59" t="s">
        <v>1994</v>
      </c>
      <c r="H18" s="59" t="s">
        <v>1994</v>
      </c>
      <c r="I18" s="59" t="s">
        <v>1993</v>
      </c>
      <c r="J18" s="59">
        <f t="shared" si="0"/>
        <v>3</v>
      </c>
      <c r="K18" s="59">
        <f t="shared" si="1"/>
        <v>6</v>
      </c>
      <c r="L18" s="62" t="str">
        <f>INDEX(Cards!$B$2:$B$55,MATCH("C27",Cards!$A$2:$A$55,0))&amp;" (C27): Good ideas don't belong to one party."</f>
        <v>Appeal Across the Aisle (C27): Good ideas don't belong to one party.</v>
      </c>
      <c r="M18" s="62" t="str">
        <f>INDEX(Cards!$B$2:$B$55,MATCH("C37",Cards!$A$2:$A$55,0))&amp;" (C37): Different paths, same destination. Walk with us."</f>
        <v>Call for Common Cause (C37): Different paths, same destination. Walk with us.</v>
      </c>
      <c r="N18" s="62" t="str">
        <f>INDEX(Cards!$B$2:$B$55,MATCH("C21",Cards!$A$2:$A$55,0))&amp;" (C21): I support the spirit of both positions."</f>
        <v>Iridescent Answer (C21): I support the spirit of both positions.</v>
      </c>
    </row>
    <row r="19" spans="1:14" ht="127.5" customHeight="1" x14ac:dyDescent="0.2">
      <c r="A19" s="59" t="s">
        <v>2154</v>
      </c>
      <c r="B19" s="60" t="s">
        <v>2155</v>
      </c>
      <c r="C19" s="61" t="s">
        <v>1992</v>
      </c>
      <c r="D19" s="59" t="s">
        <v>1994</v>
      </c>
      <c r="E19" s="59" t="s">
        <v>1994</v>
      </c>
      <c r="F19" s="59" t="s">
        <v>1994</v>
      </c>
      <c r="G19" s="59" t="s">
        <v>1993</v>
      </c>
      <c r="H19" s="59" t="s">
        <v>1993</v>
      </c>
      <c r="I19" s="59" t="s">
        <v>1993</v>
      </c>
      <c r="J19" s="59">
        <f t="shared" si="0"/>
        <v>3</v>
      </c>
      <c r="K19" s="59">
        <f t="shared" si="1"/>
        <v>9</v>
      </c>
      <c r="L19" s="62" t="str">
        <f>INDEX(Cards!$B$2:$B$55,MATCH("C13",Cards!$A$2:$A$55,0))&amp;" (C13): The data tells a different story."</f>
        <v>Present the Stats (C13): The data tells a different story.</v>
      </c>
      <c r="M19" s="62" t="str">
        <f>INDEX(Cards!$B$2:$B$55,MATCH("C18",Cards!$A$2:$A$55,0))&amp;" (C18): They stand for themselves. We stand for you."</f>
        <v>Drawing Battle Lines (C18): They stand for themselves. We stand for you.</v>
      </c>
      <c r="N19" s="62" t="str">
        <f>INDEX(Cards!$B$2:$B$55,MATCH("C53",Cards!$A$2:$A$55,0))&amp;" (C53): Your concerns are my top priority."</f>
        <v>Tell the Room What It Wants (C53): Your concerns are my top priority.</v>
      </c>
    </row>
    <row r="20" spans="1:14" ht="114.75" customHeight="1" x14ac:dyDescent="0.2">
      <c r="A20" s="59" t="s">
        <v>2156</v>
      </c>
      <c r="B20" s="60" t="s">
        <v>2157</v>
      </c>
      <c r="C20" s="61" t="s">
        <v>2121</v>
      </c>
      <c r="D20" s="59" t="s">
        <v>1993</v>
      </c>
      <c r="E20" s="59" t="s">
        <v>2004</v>
      </c>
      <c r="F20" s="59" t="s">
        <v>1993</v>
      </c>
      <c r="G20" s="59" t="s">
        <v>2004</v>
      </c>
      <c r="H20" s="59" t="s">
        <v>1994</v>
      </c>
      <c r="I20" s="59" t="s">
        <v>1993</v>
      </c>
      <c r="J20" s="59">
        <f t="shared" si="0"/>
        <v>3</v>
      </c>
      <c r="K20" s="59">
        <f t="shared" si="1"/>
        <v>7</v>
      </c>
      <c r="L20" s="62" t="str">
        <f>INDEX(Cards!$B$2:$B$55,MATCH("C54",Cards!$A$2:$A$55,0))&amp;" (C54): This stays in the room."</f>
        <v>Off the Record (C54): This stays in the room.</v>
      </c>
      <c r="M20" s="62" t="str">
        <f>INDEX(Cards!$B$2:$B$55,MATCH("C11",Cards!$A$2:$A$55,0))&amp;" (C11): I believe we understand each other."</f>
        <v>Work the Room First (C11): I believe we understand each other.</v>
      </c>
      <c r="N20" s="62" t="str">
        <f>INDEX(Cards!$B$2:$B$55,MATCH("C02",Cards!$A$2:$A$55,0))&amp;" (C02): No spin. Just the truth as I see it."</f>
        <v>Sincere Answer (C02): No spin. Just the truth as I see it.</v>
      </c>
    </row>
    <row r="21" spans="1:14" ht="89.25" customHeight="1" x14ac:dyDescent="0.2">
      <c r="A21" s="59" t="s">
        <v>2158</v>
      </c>
      <c r="B21" s="60" t="s">
        <v>2159</v>
      </c>
      <c r="C21" s="61" t="s">
        <v>2160</v>
      </c>
      <c r="D21" s="59" t="s">
        <v>1993</v>
      </c>
      <c r="E21" s="59" t="s">
        <v>1994</v>
      </c>
      <c r="F21" s="59" t="s">
        <v>1993</v>
      </c>
      <c r="G21" s="59" t="s">
        <v>1994</v>
      </c>
      <c r="H21" s="59" t="s">
        <v>1993</v>
      </c>
      <c r="I21" s="59" t="s">
        <v>1994</v>
      </c>
      <c r="J21" s="59">
        <f t="shared" si="0"/>
        <v>3</v>
      </c>
      <c r="K21" s="59">
        <f t="shared" si="1"/>
        <v>9</v>
      </c>
      <c r="L21" s="62" t="str">
        <f>INDEX(Cards!$B$2:$B$55,MATCH("C39",Cards!$A$2:$A$55,0))&amp;" (C39): Count them yourself. We have the votes."</f>
        <v>We Have the Votes (C39): Count them yourself. We have the votes.</v>
      </c>
      <c r="M21" s="62" t="str">
        <f>INDEX(Cards!$B$2:$B$55,MATCH("C01",Cards!$A$2:$A$55,0))&amp;" (C01): I let my results do the talking."</f>
        <v>Record of Service (C01): I let my results do the talking.</v>
      </c>
      <c r="N21" s="62" t="str">
        <f>INDEX(Cards!$B$2:$B$55,MATCH("C46",Cards!$A$2:$A$55,0))&amp;" (C46): Pick a side. The voters are watching."</f>
        <v>Force the Choice (C46): Pick a side. The voters are watching.</v>
      </c>
    </row>
    <row r="22" spans="1:14" x14ac:dyDescent="0.2">
      <c r="C22" s="16" t="s">
        <v>2051</v>
      </c>
      <c r="D22" s="63">
        <f t="shared" ref="D22:I22" si="2">COUNTIF(D2:D21,"S")</f>
        <v>12</v>
      </c>
      <c r="E22" s="63">
        <f t="shared" si="2"/>
        <v>4</v>
      </c>
      <c r="F22" s="63">
        <f t="shared" si="2"/>
        <v>13</v>
      </c>
      <c r="G22" s="63">
        <f t="shared" si="2"/>
        <v>4</v>
      </c>
      <c r="H22" s="63">
        <f t="shared" si="2"/>
        <v>6</v>
      </c>
      <c r="I22" s="63">
        <f t="shared" si="2"/>
        <v>17</v>
      </c>
    </row>
    <row r="24" spans="1:14" x14ac:dyDescent="0.2">
      <c r="B24" s="64" t="s">
        <v>2161</v>
      </c>
    </row>
    <row r="25" spans="1:14" x14ac:dyDescent="0.2">
      <c r="B25" s="64" t="s">
        <v>2052</v>
      </c>
    </row>
    <row r="26" spans="1:14" x14ac:dyDescent="0.2">
      <c r="B26" s="64" t="s">
        <v>2107</v>
      </c>
    </row>
    <row r="27" spans="1:14" x14ac:dyDescent="0.2">
      <c r="B27" s="64" t="s">
        <v>2055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5"/>
  <dimension ref="A1:N27"/>
  <sheetViews>
    <sheetView workbookViewId="0">
      <pane xSplit="2" ySplit="1" topLeftCell="C2" activePane="bottomRight" state="frozen"/>
      <selection pane="bottomLeft"/>
      <selection pane="topRight"/>
      <selection pane="bottomRight"/>
    </sheetView>
  </sheetViews>
  <sheetFormatPr defaultRowHeight="15" x14ac:dyDescent="0.2"/>
  <cols>
    <col min="1" max="1" width="6.05078125" customWidth="1"/>
    <col min="2" max="2" width="41.96875" customWidth="1"/>
    <col min="3" max="3" width="13.98828125" customWidth="1"/>
    <col min="4" max="4" width="9.01171875" customWidth="1"/>
    <col min="5" max="5" width="9.953125" customWidth="1"/>
    <col min="6" max="6" width="9.01171875" customWidth="1"/>
    <col min="7" max="7" width="9.953125" customWidth="1"/>
    <col min="8" max="8" width="9.01171875" customWidth="1"/>
    <col min="9" max="9" width="11.02734375" customWidth="1"/>
    <col min="10" max="10" width="7.93359375" customWidth="1"/>
    <col min="11" max="11" width="6.9921875" customWidth="1"/>
    <col min="12" max="12" width="43.98828125" customWidth="1"/>
  </cols>
  <sheetData>
    <row r="1" spans="1:14" ht="25.5" customHeight="1" x14ac:dyDescent="0.2">
      <c r="A1" s="14" t="s">
        <v>1982</v>
      </c>
      <c r="B1" s="14" t="s">
        <v>1983</v>
      </c>
      <c r="C1" s="14" t="s">
        <v>1984</v>
      </c>
      <c r="D1" s="14" t="s">
        <v>120</v>
      </c>
      <c r="E1" s="14" t="s">
        <v>125</v>
      </c>
      <c r="F1" s="14" t="s">
        <v>130</v>
      </c>
      <c r="G1" s="14" t="s">
        <v>135</v>
      </c>
      <c r="H1" s="14" t="s">
        <v>140</v>
      </c>
      <c r="I1" s="14" t="s">
        <v>145</v>
      </c>
      <c r="J1" s="15" t="s">
        <v>1985</v>
      </c>
      <c r="K1" s="15" t="s">
        <v>1986</v>
      </c>
      <c r="L1" s="14" t="s">
        <v>1987</v>
      </c>
      <c r="M1" s="14" t="s">
        <v>1988</v>
      </c>
      <c r="N1" s="14" t="s">
        <v>1989</v>
      </c>
    </row>
    <row r="2" spans="1:14" ht="127.5" customHeight="1" x14ac:dyDescent="0.2">
      <c r="A2" s="59" t="s">
        <v>2162</v>
      </c>
      <c r="B2" s="60" t="s">
        <v>2163</v>
      </c>
      <c r="C2" s="61" t="s">
        <v>2164</v>
      </c>
      <c r="D2" s="59" t="s">
        <v>1994</v>
      </c>
      <c r="E2" s="59" t="s">
        <v>2004</v>
      </c>
      <c r="F2" s="59" t="s">
        <v>1994</v>
      </c>
      <c r="G2" s="59" t="s">
        <v>1993</v>
      </c>
      <c r="H2" s="59" t="s">
        <v>2004</v>
      </c>
      <c r="I2" s="59" t="s">
        <v>1993</v>
      </c>
      <c r="J2" s="59">
        <f t="shared" ref="J2:J21" si="0">COUNTIF(D2:I2,"S")</f>
        <v>2</v>
      </c>
      <c r="K2" s="59">
        <f t="shared" ref="K2:K21" si="1">LEN(TRIM(B2))-LEN(SUBSTITUTE(TRIM(B2)," ",""))+1</f>
        <v>7</v>
      </c>
      <c r="L2" s="62" t="str">
        <f>INDEX(Cards!$B$2:$B$55,MATCH("C16",Cards!$A$2:$A$55,0))&amp;" (C16): This white paper answers your question."</f>
        <v>Table the White Paper (C16): This white paper answers your question.</v>
      </c>
      <c r="M2" s="62" t="str">
        <f>INDEX(Cards!$B$2:$B$55,MATCH("C52",Cards!$A$2:$A$55,0))&amp;" (C52): Let me walk you through all forty provisions."</f>
        <v>Drown Them in Detail (C52): Let me walk you through all forty provisions.</v>
      </c>
      <c r="N2" s="62" t="str">
        <f>INDEX(Cards!$B$2:$B$55,MATCH("C50",Cards!$A$2:$A$55,0))&amp;" (C50): We're studying all options carefully."</f>
        <v>Take It Under Advisement (C50): We're studying all options carefully.</v>
      </c>
    </row>
    <row r="3" spans="1:14" ht="127.5" customHeight="1" x14ac:dyDescent="0.2">
      <c r="A3" s="59" t="s">
        <v>2165</v>
      </c>
      <c r="B3" s="60" t="s">
        <v>2166</v>
      </c>
      <c r="C3" s="61" t="s">
        <v>73</v>
      </c>
      <c r="D3" s="59" t="s">
        <v>1993</v>
      </c>
      <c r="E3" s="59" t="s">
        <v>1994</v>
      </c>
      <c r="F3" s="59" t="s">
        <v>1994</v>
      </c>
      <c r="G3" s="59" t="s">
        <v>1993</v>
      </c>
      <c r="H3" s="59" t="s">
        <v>2004</v>
      </c>
      <c r="I3" s="59" t="s">
        <v>1994</v>
      </c>
      <c r="J3" s="59">
        <f t="shared" si="0"/>
        <v>2</v>
      </c>
      <c r="K3" s="59">
        <f t="shared" si="1"/>
        <v>8</v>
      </c>
      <c r="L3" s="62" t="str">
        <f>INDEX(Cards!$B$2:$B$55,MATCH("C04",Cards!$A$2:$A$55,0))&amp;" (C04): Strip away the noise. This is what matters."</f>
        <v>Return to First Principles (C04): Strip away the noise. This is what matters.</v>
      </c>
      <c r="M3" s="62" t="str">
        <f>INDEX(Cards!$B$2:$B$55,MATCH("C13",Cards!$A$2:$A$55,0))&amp;" (C13): The data tells a different story."</f>
        <v>Present the Stats (C13): The data tells a different story.</v>
      </c>
      <c r="N3" s="62" t="str">
        <f>INDEX(Cards!$B$2:$B$55,MATCH("C06",Cards!$A$2:$A$55,0))&amp;" (C06): They're not statistics. They're our neighbors."</f>
        <v>Tearful Appeal (C06): They're not statistics. They're our neighbors.</v>
      </c>
    </row>
    <row r="4" spans="1:14" ht="127.5" customHeight="1" x14ac:dyDescent="0.2">
      <c r="A4" s="59" t="s">
        <v>2167</v>
      </c>
      <c r="B4" s="60" t="s">
        <v>2168</v>
      </c>
      <c r="C4" s="61" t="s">
        <v>2169</v>
      </c>
      <c r="D4" s="59" t="s">
        <v>1994</v>
      </c>
      <c r="E4" s="59" t="s">
        <v>2004</v>
      </c>
      <c r="F4" s="59" t="s">
        <v>1994</v>
      </c>
      <c r="G4" s="59" t="s">
        <v>1993</v>
      </c>
      <c r="H4" s="59" t="s">
        <v>2004</v>
      </c>
      <c r="I4" s="59" t="s">
        <v>1993</v>
      </c>
      <c r="J4" s="59">
        <f t="shared" si="0"/>
        <v>2</v>
      </c>
      <c r="K4" s="59">
        <f t="shared" si="1"/>
        <v>6</v>
      </c>
      <c r="L4" s="62" t="str">
        <f>INDEX(Cards!$B$2:$B$55,MATCH("C52",Cards!$A$2:$A$55,0))&amp;" (C52): Per subsection four, paragraph two, clause B..."</f>
        <v>Drown Them in Detail (C52): Per subsection four, paragraph two, clause B...</v>
      </c>
      <c r="M4" s="62" t="str">
        <f>INDEX(Cards!$B$2:$B$55,MATCH("C16",Cards!$A$2:$A$55,0))&amp;" (C16): This white paper answers your question."</f>
        <v>Table the White Paper (C16): This white paper answers your question.</v>
      </c>
      <c r="N4" s="62" t="str">
        <f>INDEX(Cards!$B$2:$B$55,MATCH("C50",Cards!$A$2:$A$55,0))&amp;" (C50): A committee will look into it."</f>
        <v>Take It Under Advisement (C50): A committee will look into it.</v>
      </c>
    </row>
    <row r="5" spans="1:14" ht="140.25" customHeight="1" x14ac:dyDescent="0.2">
      <c r="A5" s="59" t="s">
        <v>2170</v>
      </c>
      <c r="B5" s="60" t="s">
        <v>2171</v>
      </c>
      <c r="C5" s="61" t="s">
        <v>2013</v>
      </c>
      <c r="D5" s="59" t="s">
        <v>1994</v>
      </c>
      <c r="E5" s="59" t="s">
        <v>2004</v>
      </c>
      <c r="F5" s="59" t="s">
        <v>2004</v>
      </c>
      <c r="G5" s="59" t="s">
        <v>1993</v>
      </c>
      <c r="H5" s="59" t="s">
        <v>1994</v>
      </c>
      <c r="I5" s="59" t="s">
        <v>1993</v>
      </c>
      <c r="J5" s="59">
        <f t="shared" si="0"/>
        <v>2</v>
      </c>
      <c r="K5" s="59">
        <f t="shared" si="1"/>
        <v>7</v>
      </c>
      <c r="L5" s="62" t="str">
        <f>INDEX(Cards!$B$2:$B$55,MATCH("C41",Cards!$A$2:$A$55,0))&amp;" (C41): For accuracy, here are the real figures."</f>
        <v>Set the Record Straight (C41): For accuracy, here are the real figures.</v>
      </c>
      <c r="M5" s="62" t="str">
        <f>INDEX(Cards!$B$2:$B$55,MATCH("C52",Cards!$A$2:$A$55,0))&amp;" (C52): It depends on seventeen interlocking variables."</f>
        <v>Drown Them in Detail (C52): It depends on seventeen interlocking variables.</v>
      </c>
      <c r="N5" s="62" t="str">
        <f>INDEX(Cards!$B$2:$B$55,MATCH("C01",Cards!$A$2:$A$55,0))&amp;" (C01): Results matter more than rhetoric."</f>
        <v>Record of Service (C01): Results matter more than rhetoric.</v>
      </c>
    </row>
    <row r="6" spans="1:14" ht="127.5" customHeight="1" x14ac:dyDescent="0.2">
      <c r="A6" s="59" t="s">
        <v>2172</v>
      </c>
      <c r="B6" s="60" t="s">
        <v>2173</v>
      </c>
      <c r="C6" s="61" t="s">
        <v>2174</v>
      </c>
      <c r="D6" s="59" t="s">
        <v>1994</v>
      </c>
      <c r="E6" s="59" t="s">
        <v>2004</v>
      </c>
      <c r="F6" s="59" t="s">
        <v>1994</v>
      </c>
      <c r="G6" s="59" t="s">
        <v>1993</v>
      </c>
      <c r="H6" s="59" t="s">
        <v>2004</v>
      </c>
      <c r="I6" s="59" t="s">
        <v>1993</v>
      </c>
      <c r="J6" s="59">
        <f t="shared" si="0"/>
        <v>2</v>
      </c>
      <c r="K6" s="59">
        <f t="shared" si="1"/>
        <v>8</v>
      </c>
      <c r="L6" s="62" t="str">
        <f>INDEX(Cards!$B$2:$B$55,MATCH("C52",Cards!$A$2:$A$55,0))&amp;" (C52): Per subsection four, paragraph two, clause B..."</f>
        <v>Drown Them in Detail (C52): Per subsection four, paragraph two, clause B...</v>
      </c>
      <c r="M6" s="62" t="str">
        <f>INDEX(Cards!$B$2:$B$55,MATCH("C41",Cards!$A$2:$A$55,0))&amp;" (C41): Precision matters. Here's the accurate version."</f>
        <v>Set the Record Straight (C41): Precision matters. Here's the accurate version.</v>
      </c>
      <c r="N6" s="62" t="str">
        <f>INDEX(Cards!$B$2:$B$55,MATCH("C21",Cards!$A$2:$A$55,0))&amp;" (C21): It's complicated, and I respect all views."</f>
        <v>Iridescent Answer (C21): It's complicated, and I respect all views.</v>
      </c>
    </row>
    <row r="7" spans="1:14" ht="140.25" customHeight="1" x14ac:dyDescent="0.2">
      <c r="A7" s="59" t="s">
        <v>2175</v>
      </c>
      <c r="B7" s="60" t="s">
        <v>2176</v>
      </c>
      <c r="C7" s="61" t="s">
        <v>2016</v>
      </c>
      <c r="D7" s="59" t="s">
        <v>1994</v>
      </c>
      <c r="E7" s="59" t="s">
        <v>1994</v>
      </c>
      <c r="F7" s="59" t="s">
        <v>2004</v>
      </c>
      <c r="G7" s="59" t="s">
        <v>1993</v>
      </c>
      <c r="H7" s="59" t="s">
        <v>2004</v>
      </c>
      <c r="I7" s="59" t="s">
        <v>1993</v>
      </c>
      <c r="J7" s="59">
        <f t="shared" si="0"/>
        <v>2</v>
      </c>
      <c r="K7" s="59">
        <f t="shared" si="1"/>
        <v>5</v>
      </c>
      <c r="L7" s="62" t="str">
        <f>INDEX(Cards!$B$2:$B$55,MATCH("C16",Cards!$A$2:$A$55,0))&amp;" (C16): Two hundred pages of evidence. Read them."</f>
        <v>Table the White Paper (C16): Two hundred pages of evidence. Read them.</v>
      </c>
      <c r="M7" s="62" t="str">
        <f>INDEX(Cards!$B$2:$B$55,MATCH("C13",Cards!$A$2:$A$55,0))&amp;" (C13): The statistics speak for themselves."</f>
        <v>Present the Stats (C13): The statistics speak for themselves.</v>
      </c>
      <c r="N7" s="62" t="str">
        <f>INDEX(Cards!$B$2:$B$55,MATCH("C52",Cards!$A$2:$A$55,0))&amp;" (C52): It depends on seventeen interlocking variables."</f>
        <v>Drown Them in Detail (C52): It depends on seventeen interlocking variables.</v>
      </c>
    </row>
    <row r="8" spans="1:14" ht="114.75" customHeight="1" x14ac:dyDescent="0.2">
      <c r="A8" s="59" t="s">
        <v>2177</v>
      </c>
      <c r="B8" s="60" t="s">
        <v>2178</v>
      </c>
      <c r="C8" s="61" t="s">
        <v>2179</v>
      </c>
      <c r="D8" s="59" t="s">
        <v>1993</v>
      </c>
      <c r="E8" s="59" t="s">
        <v>1994</v>
      </c>
      <c r="F8" s="59" t="s">
        <v>1994</v>
      </c>
      <c r="G8" s="59" t="s">
        <v>1993</v>
      </c>
      <c r="H8" s="59" t="s">
        <v>2004</v>
      </c>
      <c r="I8" s="59" t="s">
        <v>1993</v>
      </c>
      <c r="J8" s="59">
        <f t="shared" si="0"/>
        <v>3</v>
      </c>
      <c r="K8" s="59">
        <f t="shared" si="1"/>
        <v>6</v>
      </c>
      <c r="L8" s="62" t="str">
        <f>INDEX(Cards!$B$2:$B$55,MATCH("C21",Cards!$A$2:$A$55,0))&amp;" (C21): I'm for progress, and also for caution."</f>
        <v>Iridescent Answer (C21): I'm for progress, and also for caution.</v>
      </c>
      <c r="M8" s="62" t="str">
        <f>INDEX(Cards!$B$2:$B$55,MATCH("C44",Cards!$A$2:$A$55,0))&amp;" (C44): Bring in outside eyes on this."</f>
        <v>Demand an Outside Review (C44): Bring in outside eyes on this.</v>
      </c>
      <c r="N8" s="62" t="str">
        <f>INDEX(Cards!$B$2:$B$55,MATCH("C26",Cards!$A$2:$A$55,0))&amp;" (C26): When I'm wrong, I say so."</f>
        <v>Own the Mistake (C26): When I'm wrong, I say so.</v>
      </c>
    </row>
    <row r="9" spans="1:14" ht="102" customHeight="1" x14ac:dyDescent="0.2">
      <c r="A9" s="59" t="s">
        <v>2180</v>
      </c>
      <c r="B9" s="60" t="s">
        <v>2181</v>
      </c>
      <c r="C9" s="61" t="s">
        <v>2182</v>
      </c>
      <c r="D9" s="59" t="s">
        <v>1993</v>
      </c>
      <c r="E9" s="59" t="s">
        <v>1994</v>
      </c>
      <c r="F9" s="59" t="s">
        <v>1994</v>
      </c>
      <c r="G9" s="59" t="s">
        <v>1993</v>
      </c>
      <c r="H9" s="59" t="s">
        <v>2004</v>
      </c>
      <c r="I9" s="59" t="s">
        <v>1993</v>
      </c>
      <c r="J9" s="59">
        <f t="shared" si="0"/>
        <v>3</v>
      </c>
      <c r="K9" s="59">
        <f t="shared" si="1"/>
        <v>5</v>
      </c>
      <c r="L9" s="62" t="str">
        <f>INDEX(Cards!$B$2:$B$55,MATCH("C25",Cards!$A$2:$A$55,0))&amp;" (C25): Check my promises against my results."</f>
        <v>Point to the Promise Kept (C25): Check my promises against my results.</v>
      </c>
      <c r="M9" s="62" t="str">
        <f>INDEX(Cards!$B$2:$B$55,MATCH("C13",Cards!$A$2:$A$55,0))&amp;" (C13): Let's look at the actual numbers."</f>
        <v>Present the Stats (C13): Let's look at the actual numbers.</v>
      </c>
      <c r="N9" s="62" t="str">
        <f>INDEX(Cards!$B$2:$B$55,MATCH("C50",Cards!$A$2:$A$55,0))&amp;" (C50): That matter is under review."</f>
        <v>Take It Under Advisement (C50): That matter is under review.</v>
      </c>
    </row>
    <row r="10" spans="1:14" ht="140.25" customHeight="1" x14ac:dyDescent="0.2">
      <c r="A10" s="59" t="s">
        <v>2183</v>
      </c>
      <c r="B10" s="60" t="s">
        <v>2184</v>
      </c>
      <c r="C10" s="61" t="s">
        <v>2185</v>
      </c>
      <c r="D10" s="59" t="s">
        <v>1994</v>
      </c>
      <c r="E10" s="59" t="s">
        <v>2004</v>
      </c>
      <c r="F10" s="59" t="s">
        <v>1994</v>
      </c>
      <c r="G10" s="59" t="s">
        <v>1993</v>
      </c>
      <c r="H10" s="59" t="s">
        <v>1994</v>
      </c>
      <c r="I10" s="59" t="s">
        <v>1993</v>
      </c>
      <c r="J10" s="59">
        <f t="shared" si="0"/>
        <v>2</v>
      </c>
      <c r="K10" s="59">
        <f t="shared" si="1"/>
        <v>6</v>
      </c>
      <c r="L10" s="62" t="str">
        <f>INDEX(Cards!$B$2:$B$55,MATCH("C41",Cards!$A$2:$A$55,0))&amp;" (C41): Let's clear up a misunderstanding."</f>
        <v>Set the Record Straight (C41): Let's clear up a misunderstanding.</v>
      </c>
      <c r="M10" s="62" t="str">
        <f>INDEX(Cards!$B$2:$B$55,MATCH("C52",Cards!$A$2:$A$55,0))&amp;" (C52): Per subsection four, paragraph two, clause B..."</f>
        <v>Drown Them in Detail (C52): Per subsection four, paragraph two, clause B...</v>
      </c>
      <c r="N10" s="62" t="str">
        <f>INDEX(Cards!$B$2:$B$55,MATCH("C44",Cards!$A$2:$A$55,0))&amp;" (C44): Let an independent panel decide."</f>
        <v>Demand an Outside Review (C44): Let an independent panel decide.</v>
      </c>
    </row>
    <row r="11" spans="1:14" ht="102" customHeight="1" x14ac:dyDescent="0.2">
      <c r="A11" s="59" t="s">
        <v>2186</v>
      </c>
      <c r="B11" s="60" t="s">
        <v>2187</v>
      </c>
      <c r="C11" s="61" t="s">
        <v>1992</v>
      </c>
      <c r="D11" s="59" t="s">
        <v>1993</v>
      </c>
      <c r="E11" s="59" t="s">
        <v>1993</v>
      </c>
      <c r="F11" s="59" t="s">
        <v>1993</v>
      </c>
      <c r="G11" s="59" t="s">
        <v>1994</v>
      </c>
      <c r="H11" s="59" t="s">
        <v>1994</v>
      </c>
      <c r="I11" s="59" t="s">
        <v>1994</v>
      </c>
      <c r="J11" s="59">
        <f t="shared" si="0"/>
        <v>3</v>
      </c>
      <c r="K11" s="59">
        <f t="shared" si="1"/>
        <v>6</v>
      </c>
      <c r="L11" s="62" t="str">
        <f>INDEX(Cards!$B$2:$B$55,MATCH("C10",Cards!$A$2:$A$55,0))&amp;" (C10): I speak for the people of my district."</f>
        <v>Voice of the Hometown (C10): I speak for the people of my district.</v>
      </c>
      <c r="M11" s="62" t="str">
        <f>INDEX(Cards!$B$2:$B$55,MATCH("C06",Cards!$A$2:$A$55,0))&amp;" (C06): Every family has a story like this."</f>
        <v>Tearful Appeal (C06): Every family has a story like this.</v>
      </c>
      <c r="N11" s="62" t="str">
        <f>INDEX(Cards!$B$2:$B$55,MATCH("C13",Cards!$A$2:$A$55,0))&amp;" (C13): Let's look at the actual numbers."</f>
        <v>Present the Stats (C13): Let's look at the actual numbers.</v>
      </c>
    </row>
    <row r="12" spans="1:14" ht="114.75" customHeight="1" x14ac:dyDescent="0.2">
      <c r="A12" s="59" t="s">
        <v>2188</v>
      </c>
      <c r="B12" s="60" t="s">
        <v>2189</v>
      </c>
      <c r="C12" s="61" t="s">
        <v>2190</v>
      </c>
      <c r="D12" s="59" t="s">
        <v>1993</v>
      </c>
      <c r="E12" s="59" t="s">
        <v>1994</v>
      </c>
      <c r="F12" s="59" t="s">
        <v>1993</v>
      </c>
      <c r="G12" s="59" t="s">
        <v>2004</v>
      </c>
      <c r="H12" s="59" t="s">
        <v>1994</v>
      </c>
      <c r="I12" s="59" t="s">
        <v>1993</v>
      </c>
      <c r="J12" s="59">
        <f t="shared" si="0"/>
        <v>3</v>
      </c>
      <c r="K12" s="59">
        <f t="shared" si="1"/>
        <v>5</v>
      </c>
      <c r="L12" s="62" t="str">
        <f>INDEX(Cards!$B$2:$B$55,MATCH("C27",Cards!$A$2:$A$55,0))&amp;" (C27): I'll work with anyone who wants results."</f>
        <v>Appeal Across the Aisle (C27): I'll work with anyone who wants results.</v>
      </c>
      <c r="M12" s="62" t="str">
        <f>INDEX(Cards!$B$2:$B$55,MATCH("C37",Cards!$A$2:$A$55,0))&amp;" (C37): There's room at this table for everyone."</f>
        <v>Call for Common Cause (C37): There's room at this table for everyone.</v>
      </c>
      <c r="N12" s="62" t="str">
        <f>INDEX(Cards!$B$2:$B$55,MATCH("C50",Cards!$A$2:$A$55,0))&amp;" (C50): I'll take it under advisement."</f>
        <v>Take It Under Advisement (C50): I'll take it under advisement.</v>
      </c>
    </row>
    <row r="13" spans="1:14" ht="127.5" customHeight="1" x14ac:dyDescent="0.2">
      <c r="A13" s="59" t="s">
        <v>2191</v>
      </c>
      <c r="B13" s="60" t="s">
        <v>2192</v>
      </c>
      <c r="C13" s="61" t="s">
        <v>2193</v>
      </c>
      <c r="D13" s="59" t="s">
        <v>1994</v>
      </c>
      <c r="E13" s="59" t="s">
        <v>2004</v>
      </c>
      <c r="F13" s="59" t="s">
        <v>1994</v>
      </c>
      <c r="G13" s="59" t="s">
        <v>1993</v>
      </c>
      <c r="H13" s="59" t="s">
        <v>2004</v>
      </c>
      <c r="I13" s="59" t="s">
        <v>1993</v>
      </c>
      <c r="J13" s="59">
        <f t="shared" si="0"/>
        <v>2</v>
      </c>
      <c r="K13" s="59">
        <f t="shared" si="1"/>
        <v>6</v>
      </c>
      <c r="L13" s="62" t="str">
        <f>INDEX(Cards!$B$2:$B$55,MATCH("C13",Cards!$A$2:$A$55,0))&amp;" (C13): Let's look at the actual numbers."</f>
        <v>Present the Stats (C13): Let's look at the actual numbers.</v>
      </c>
      <c r="M13" s="62" t="str">
        <f>INDEX(Cards!$B$2:$B$55,MATCH("C52",Cards!$A$2:$A$55,0))&amp;" (C52): The technical framework is quite involved, actually."</f>
        <v>Drown Them in Detail (C52): The technical framework is quite involved, actually.</v>
      </c>
      <c r="N13" s="62" t="str">
        <f>INDEX(Cards!$B$2:$B$55,MATCH("C50",Cards!$A$2:$A$55,0))&amp;" (C50): We're studying all options carefully."</f>
        <v>Take It Under Advisement (C50): We're studying all options carefully.</v>
      </c>
    </row>
    <row r="14" spans="1:14" ht="140.25" customHeight="1" x14ac:dyDescent="0.2">
      <c r="A14" s="59" t="s">
        <v>2194</v>
      </c>
      <c r="B14" s="60" t="s">
        <v>2195</v>
      </c>
      <c r="C14" s="61" t="s">
        <v>2196</v>
      </c>
      <c r="D14" s="59" t="s">
        <v>1993</v>
      </c>
      <c r="E14" s="59" t="s">
        <v>2004</v>
      </c>
      <c r="F14" s="59" t="s">
        <v>1994</v>
      </c>
      <c r="G14" s="59" t="s">
        <v>1993</v>
      </c>
      <c r="H14" s="59" t="s">
        <v>2004</v>
      </c>
      <c r="I14" s="59" t="s">
        <v>1993</v>
      </c>
      <c r="J14" s="59">
        <f t="shared" si="0"/>
        <v>3</v>
      </c>
      <c r="K14" s="59">
        <f t="shared" si="1"/>
        <v>7</v>
      </c>
      <c r="L14" s="62" t="str">
        <f>INDEX(Cards!$B$2:$B$55,MATCH("C44",Cards!$A$2:$A$55,0))&amp;" (C44): Let an independent panel decide."</f>
        <v>Demand an Outside Review (C44): Let an independent panel decide.</v>
      </c>
      <c r="M14" s="62" t="str">
        <f>INDEX(Cards!$B$2:$B$55,MATCH("C25",Cards!$A$2:$A$55,0))&amp;" (C25): Check my promises against my results."</f>
        <v>Point to the Promise Kept (C25): Check my promises against my results.</v>
      </c>
      <c r="N14" s="62" t="str">
        <f>INDEX(Cards!$B$2:$B$55,MATCH("C50",Cards!$A$2:$A$55,0))&amp;" (C50): That matter is under review."</f>
        <v>Take It Under Advisement (C50): That matter is under review.</v>
      </c>
    </row>
    <row r="15" spans="1:14" ht="140.25" customHeight="1" x14ac:dyDescent="0.2">
      <c r="A15" s="59" t="s">
        <v>2197</v>
      </c>
      <c r="B15" s="60" t="s">
        <v>2198</v>
      </c>
      <c r="C15" s="61" t="s">
        <v>2199</v>
      </c>
      <c r="D15" s="59" t="s">
        <v>1994</v>
      </c>
      <c r="E15" s="59" t="s">
        <v>2004</v>
      </c>
      <c r="F15" s="59" t="s">
        <v>1993</v>
      </c>
      <c r="G15" s="59" t="s">
        <v>1994</v>
      </c>
      <c r="H15" s="59" t="s">
        <v>2004</v>
      </c>
      <c r="I15" s="59" t="s">
        <v>1993</v>
      </c>
      <c r="J15" s="59">
        <f t="shared" si="0"/>
        <v>2</v>
      </c>
      <c r="K15" s="59">
        <f t="shared" si="1"/>
        <v>7</v>
      </c>
      <c r="L15" s="62" t="str">
        <f>INDEX(Cards!$B$2:$B$55,MATCH("C37",Cards!$A$2:$A$55,0))&amp;" (C37): Different paths, same destination. Walk with us."</f>
        <v>Call for Common Cause (C37): Different paths, same destination. Walk with us.</v>
      </c>
      <c r="M15" s="62" t="str">
        <f>INDEX(Cards!$B$2:$B$55,MATCH("C52",Cards!$A$2:$A$55,0))&amp;" (C52): It depends on seventeen interlocking variables."</f>
        <v>Drown Them in Detail (C52): It depends on seventeen interlocking variables.</v>
      </c>
      <c r="N15" s="62" t="str">
        <f>INDEX(Cards!$B$2:$B$55,MATCH("C11",Cards!$A$2:$A$55,0))&amp;" (C11): Let's not pretend we're far apart."</f>
        <v>Work the Room First (C11): Let's not pretend we're far apart.</v>
      </c>
    </row>
    <row r="16" spans="1:14" ht="114.75" customHeight="1" x14ac:dyDescent="0.2">
      <c r="A16" s="59" t="s">
        <v>2200</v>
      </c>
      <c r="B16" s="60" t="s">
        <v>2201</v>
      </c>
      <c r="C16" s="61" t="s">
        <v>2038</v>
      </c>
      <c r="D16" s="59" t="s">
        <v>1993</v>
      </c>
      <c r="E16" s="59" t="s">
        <v>1994</v>
      </c>
      <c r="F16" s="59" t="s">
        <v>1994</v>
      </c>
      <c r="G16" s="59" t="s">
        <v>1993</v>
      </c>
      <c r="H16" s="59" t="s">
        <v>2004</v>
      </c>
      <c r="I16" s="59" t="s">
        <v>1993</v>
      </c>
      <c r="J16" s="59">
        <f t="shared" si="0"/>
        <v>3</v>
      </c>
      <c r="K16" s="59">
        <f t="shared" si="1"/>
        <v>7</v>
      </c>
      <c r="L16" s="62" t="str">
        <f>INDEX(Cards!$B$2:$B$55,MATCH("C26",Cards!$A$2:$A$55,0))&amp;" (C26): No excuses. Accountability starts with me."</f>
        <v>Own the Mistake (C26): No excuses. Accountability starts with me.</v>
      </c>
      <c r="M16" s="62" t="str">
        <f>INDEX(Cards!$B$2:$B$55,MATCH("C44",Cards!$A$2:$A$55,0))&amp;" (C44): Let an independent panel decide."</f>
        <v>Demand an Outside Review (C44): Let an independent panel decide.</v>
      </c>
      <c r="N16" s="62" t="str">
        <f>INDEX(Cards!$B$2:$B$55,MATCH("C50",Cards!$A$2:$A$55,0))&amp;" (C50): A committee will look into it."</f>
        <v>Take It Under Advisement (C50): A committee will look into it.</v>
      </c>
    </row>
    <row r="17" spans="1:14" ht="127.5" customHeight="1" x14ac:dyDescent="0.2">
      <c r="A17" s="59" t="s">
        <v>2202</v>
      </c>
      <c r="B17" s="60" t="s">
        <v>2203</v>
      </c>
      <c r="C17" s="61" t="s">
        <v>2204</v>
      </c>
      <c r="D17" s="59" t="s">
        <v>1993</v>
      </c>
      <c r="E17" s="59" t="s">
        <v>1994</v>
      </c>
      <c r="F17" s="59" t="s">
        <v>1994</v>
      </c>
      <c r="G17" s="59" t="s">
        <v>1993</v>
      </c>
      <c r="H17" s="59" t="s">
        <v>2004</v>
      </c>
      <c r="I17" s="59" t="s">
        <v>1993</v>
      </c>
      <c r="J17" s="59">
        <f t="shared" si="0"/>
        <v>3</v>
      </c>
      <c r="K17" s="59">
        <f t="shared" si="1"/>
        <v>8</v>
      </c>
      <c r="L17" s="62" t="str">
        <f>INDEX(Cards!$B$2:$B$55,MATCH("C04",Cards!$A$2:$A$55,0))&amp;" (C04): Strip away the noise. This is what matters."</f>
        <v>Return to First Principles (C04): Strip away the noise. This is what matters.</v>
      </c>
      <c r="M17" s="62" t="str">
        <f>INDEX(Cards!$B$2:$B$55,MATCH("C41",Cards!$A$2:$A$55,0))&amp;" (C41): Precision matters. Here's the accurate version."</f>
        <v>Set the Record Straight (C41): Precision matters. Here's the accurate version.</v>
      </c>
      <c r="N17" s="62" t="str">
        <f>INDEX(Cards!$B$2:$B$55,MATCH("C52",Cards!$A$2:$A$55,0))&amp;" (C52): Let me walk you through all forty provisions."</f>
        <v>Drown Them in Detail (C52): Let me walk you through all forty provisions.</v>
      </c>
    </row>
    <row r="18" spans="1:14" ht="114.75" customHeight="1" x14ac:dyDescent="0.2">
      <c r="A18" s="59" t="s">
        <v>2205</v>
      </c>
      <c r="B18" s="60" t="s">
        <v>2206</v>
      </c>
      <c r="C18" s="61" t="s">
        <v>2136</v>
      </c>
      <c r="D18" s="59" t="s">
        <v>1994</v>
      </c>
      <c r="E18" s="59" t="s">
        <v>2004</v>
      </c>
      <c r="F18" s="59" t="s">
        <v>1993</v>
      </c>
      <c r="G18" s="59" t="s">
        <v>1994</v>
      </c>
      <c r="H18" s="59" t="s">
        <v>2004</v>
      </c>
      <c r="I18" s="59" t="s">
        <v>1993</v>
      </c>
      <c r="J18" s="59">
        <f t="shared" si="0"/>
        <v>2</v>
      </c>
      <c r="K18" s="59">
        <f t="shared" si="1"/>
        <v>6</v>
      </c>
      <c r="L18" s="62" t="str">
        <f>INDEX(Cards!$B$2:$B$55,MATCH("C11",Cards!$A$2:$A$55,0))&amp;" (C11): We're more agreed than it appears."</f>
        <v>Work the Room First (C11): We're more agreed than it appears.</v>
      </c>
      <c r="M18" s="62" t="str">
        <f>INDEX(Cards!$B$2:$B$55,MATCH("C21",Cards!$A$2:$A$55,0))&amp;" (C21): We'll find a balance that pleases everyone."</f>
        <v>Iridescent Answer (C21): We'll find a balance that pleases everyone.</v>
      </c>
      <c r="N18" s="62" t="str">
        <f>INDEX(Cards!$B$2:$B$55,MATCH("C37",Cards!$A$2:$A$55,0))&amp;" (C37): There's room at this table for everyone."</f>
        <v>Call for Common Cause (C37): There's room at this table for everyone.</v>
      </c>
    </row>
    <row r="19" spans="1:14" ht="127.5" customHeight="1" x14ac:dyDescent="0.2">
      <c r="A19" s="59" t="s">
        <v>2207</v>
      </c>
      <c r="B19" s="60" t="s">
        <v>2208</v>
      </c>
      <c r="C19" s="61" t="s">
        <v>2209</v>
      </c>
      <c r="D19" s="59" t="s">
        <v>1994</v>
      </c>
      <c r="E19" s="59" t="s">
        <v>1994</v>
      </c>
      <c r="F19" s="59" t="s">
        <v>1994</v>
      </c>
      <c r="G19" s="59" t="s">
        <v>1993</v>
      </c>
      <c r="H19" s="59" t="s">
        <v>1994</v>
      </c>
      <c r="I19" s="59" t="s">
        <v>1993</v>
      </c>
      <c r="J19" s="59">
        <f t="shared" si="0"/>
        <v>2</v>
      </c>
      <c r="K19" s="59">
        <f t="shared" si="1"/>
        <v>6</v>
      </c>
      <c r="L19" s="62" t="str">
        <f>INDEX(Cards!$B$2:$B$55,MATCH("C13",Cards!$A$2:$A$55,0))&amp;" (C13): Let's look at the actual numbers."</f>
        <v>Present the Stats (C13): Let's look at the actual numbers.</v>
      </c>
      <c r="M19" s="62" t="str">
        <f>INDEX(Cards!$B$2:$B$55,MATCH("C52",Cards!$A$2:$A$55,0))&amp;" (C52): The technical framework is quite involved, actually."</f>
        <v>Drown Them in Detail (C52): The technical framework is quite involved, actually.</v>
      </c>
      <c r="N19" s="62" t="str">
        <f>INDEX(Cards!$B$2:$B$55,MATCH("C04",Cards!$A$2:$A$55,0))&amp;" (C04): Back to basics: who are we here for?"</f>
        <v>Return to First Principles (C04): Back to basics: who are we here for?</v>
      </c>
    </row>
    <row r="20" spans="1:14" ht="89.25" customHeight="1" x14ac:dyDescent="0.2">
      <c r="A20" s="59" t="s">
        <v>2210</v>
      </c>
      <c r="B20" s="60" t="s">
        <v>2211</v>
      </c>
      <c r="C20" s="61" t="s">
        <v>2212</v>
      </c>
      <c r="D20" s="59" t="s">
        <v>1994</v>
      </c>
      <c r="E20" s="59" t="s">
        <v>2004</v>
      </c>
      <c r="F20" s="59" t="s">
        <v>2004</v>
      </c>
      <c r="G20" s="59" t="s">
        <v>1993</v>
      </c>
      <c r="H20" s="59" t="s">
        <v>1994</v>
      </c>
      <c r="I20" s="59" t="s">
        <v>1993</v>
      </c>
      <c r="J20" s="59">
        <f t="shared" si="0"/>
        <v>2</v>
      </c>
      <c r="K20" s="59">
        <f t="shared" si="1"/>
        <v>4</v>
      </c>
      <c r="L20" s="62" t="str">
        <f>INDEX(Cards!$B$2:$B$55,MATCH("C16",Cards!$A$2:$A$55,0))&amp;" (C16): Every claim here is sourced and verified."</f>
        <v>Table the White Paper (C16): Every claim here is sourced and verified.</v>
      </c>
      <c r="M20" s="62" t="str">
        <f>INDEX(Cards!$B$2:$B$55,MATCH("C21",Cards!$A$2:$A$55,0))&amp;" (C21): It's complicated, and I respect all views."</f>
        <v>Iridescent Answer (C21): It's complicated, and I respect all views.</v>
      </c>
      <c r="N20" s="62" t="str">
        <f>INDEX(Cards!$B$2:$B$55,MATCH("C26",Cards!$A$2:$A$55,0))&amp;" (C26): When I'm wrong, I say so."</f>
        <v>Own the Mistake (C26): When I'm wrong, I say so.</v>
      </c>
    </row>
    <row r="21" spans="1:14" ht="114.75" customHeight="1" x14ac:dyDescent="0.2">
      <c r="A21" s="59" t="s">
        <v>2213</v>
      </c>
      <c r="B21" s="60" t="s">
        <v>2214</v>
      </c>
      <c r="C21" s="61" t="s">
        <v>199</v>
      </c>
      <c r="D21" s="59" t="s">
        <v>1994</v>
      </c>
      <c r="E21" s="59" t="s">
        <v>1994</v>
      </c>
      <c r="F21" s="59" t="s">
        <v>1993</v>
      </c>
      <c r="G21" s="59" t="s">
        <v>1994</v>
      </c>
      <c r="H21" s="59" t="s">
        <v>1993</v>
      </c>
      <c r="I21" s="59" t="s">
        <v>1993</v>
      </c>
      <c r="J21" s="59">
        <f t="shared" si="0"/>
        <v>3</v>
      </c>
      <c r="K21" s="59">
        <f t="shared" si="1"/>
        <v>8</v>
      </c>
      <c r="L21" s="62" t="str">
        <f>INDEX(Cards!$B$2:$B$55,MATCH("C39",Cards!$A$2:$A$55,0))&amp;" (C39): The numbers are on our side."</f>
        <v>We Have the Votes (C39): The numbers are on our side.</v>
      </c>
      <c r="M21" s="62" t="str">
        <f>INDEX(Cards!$B$2:$B$55,MATCH("C11",Cards!$A$2:$A$55,0))&amp;" (C11): We're more agreed than it appears."</f>
        <v>Work the Room First (C11): We're more agreed than it appears.</v>
      </c>
      <c r="N21" s="62" t="str">
        <f>INDEX(Cards!$B$2:$B$55,MATCH("C20",Cards!$A$2:$A$55,0))&amp;" (C20): Prove whose side you're really on."</f>
        <v>Loyalty Test (C20): Prove whose side you're really on.</v>
      </c>
    </row>
    <row r="22" spans="1:14" x14ac:dyDescent="0.2">
      <c r="C22" s="16" t="s">
        <v>2051</v>
      </c>
      <c r="D22" s="63">
        <f t="shared" ref="D22:I22" si="2">COUNTIF(D2:D21,"S")</f>
        <v>8</v>
      </c>
      <c r="E22" s="63">
        <f t="shared" si="2"/>
        <v>1</v>
      </c>
      <c r="F22" s="63">
        <f t="shared" si="2"/>
        <v>5</v>
      </c>
      <c r="G22" s="63">
        <f t="shared" si="2"/>
        <v>15</v>
      </c>
      <c r="H22" s="63">
        <f t="shared" si="2"/>
        <v>1</v>
      </c>
      <c r="I22" s="63">
        <f t="shared" si="2"/>
        <v>18</v>
      </c>
    </row>
    <row r="24" spans="1:14" x14ac:dyDescent="0.2">
      <c r="B24" s="64" t="s">
        <v>2215</v>
      </c>
    </row>
    <row r="25" spans="1:14" x14ac:dyDescent="0.2">
      <c r="B25" s="64" t="s">
        <v>2052</v>
      </c>
    </row>
    <row r="26" spans="1:14" x14ac:dyDescent="0.2">
      <c r="B26" s="64" t="s">
        <v>2107</v>
      </c>
    </row>
    <row r="27" spans="1:14" x14ac:dyDescent="0.2">
      <c r="B27" s="64" t="s">
        <v>2055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6"/>
  <dimension ref="A1:N27"/>
  <sheetViews>
    <sheetView workbookViewId="0">
      <pane xSplit="2" ySplit="1" topLeftCell="C2" activePane="bottomRight" state="frozen"/>
      <selection pane="bottomLeft"/>
      <selection pane="topRight"/>
      <selection pane="bottomRight" activeCell="L27" sqref="L27"/>
    </sheetView>
  </sheetViews>
  <sheetFormatPr defaultRowHeight="15" x14ac:dyDescent="0.2"/>
  <cols>
    <col min="1" max="1" width="6.05078125" customWidth="1"/>
    <col min="2" max="2" width="41.96875" customWidth="1"/>
    <col min="3" max="3" width="13.98828125" customWidth="1"/>
    <col min="4" max="4" width="9.01171875" customWidth="1"/>
    <col min="5" max="5" width="9.953125" customWidth="1"/>
    <col min="6" max="6" width="9.01171875" customWidth="1"/>
    <col min="7" max="7" width="9.953125" customWidth="1"/>
    <col min="8" max="8" width="9.01171875" customWidth="1"/>
    <col min="9" max="9" width="11.02734375" customWidth="1"/>
    <col min="10" max="10" width="7.93359375" customWidth="1"/>
    <col min="11" max="11" width="6.9921875" customWidth="1"/>
    <col min="12" max="12" width="43.98828125" customWidth="1"/>
    <col min="13" max="13" width="9.01171875" customWidth="1"/>
  </cols>
  <sheetData>
    <row r="1" spans="1:14" ht="38.25" customHeight="1" x14ac:dyDescent="0.2">
      <c r="A1" s="14" t="s">
        <v>1982</v>
      </c>
      <c r="B1" s="14" t="s">
        <v>1983</v>
      </c>
      <c r="C1" s="14" t="s">
        <v>1984</v>
      </c>
      <c r="D1" s="14" t="s">
        <v>120</v>
      </c>
      <c r="E1" s="14" t="s">
        <v>125</v>
      </c>
      <c r="F1" s="14" t="s">
        <v>130</v>
      </c>
      <c r="G1" s="14" t="s">
        <v>135</v>
      </c>
      <c r="H1" s="14" t="s">
        <v>140</v>
      </c>
      <c r="I1" s="14" t="s">
        <v>145</v>
      </c>
      <c r="J1" s="15" t="s">
        <v>1985</v>
      </c>
      <c r="K1" s="15" t="s">
        <v>1986</v>
      </c>
      <c r="L1" s="14" t="s">
        <v>1987</v>
      </c>
      <c r="M1" s="14" t="s">
        <v>1988</v>
      </c>
      <c r="N1" s="14" t="s">
        <v>1989</v>
      </c>
    </row>
    <row r="2" spans="1:14" ht="114.75" customHeight="1" x14ac:dyDescent="0.2">
      <c r="A2" s="59" t="s">
        <v>2216</v>
      </c>
      <c r="B2" s="60" t="s">
        <v>2217</v>
      </c>
      <c r="C2" s="61" t="s">
        <v>2121</v>
      </c>
      <c r="D2" s="59" t="s">
        <v>1993</v>
      </c>
      <c r="E2" s="59" t="s">
        <v>1994</v>
      </c>
      <c r="F2" s="59" t="s">
        <v>2004</v>
      </c>
      <c r="G2" s="59" t="s">
        <v>1994</v>
      </c>
      <c r="H2" s="59" t="s">
        <v>1993</v>
      </c>
      <c r="I2" s="59" t="s">
        <v>1993</v>
      </c>
      <c r="J2" s="59">
        <f t="shared" ref="J2:J21" si="0">COUNTIF(D2:I2,"S")</f>
        <v>3</v>
      </c>
      <c r="K2" s="59">
        <f t="shared" ref="K2:K21" si="1">LEN(TRIM(B2))-LEN(SUBSTITUTE(TRIM(B2)," ",""))+1</f>
        <v>7</v>
      </c>
      <c r="L2" s="62" t="str">
        <f>INDEX(Cards!$B$2:$B$55,MATCH("C02",Cards!$A$2:$A$55,0))&amp;" (C02): No spin. Just the truth as I see it."</f>
        <v>Sincere Answer (C02): No spin. Just the truth as I see it.</v>
      </c>
      <c r="M2" s="62" t="str">
        <f>INDEX(Cards!$B$2:$B$55,MATCH("C22",Cards!$A$2:$A$55,0))&amp;" (C22): That doesn't ring a bell."</f>
        <v>"I Have No Recollection" (C22): That doesn't ring a bell.</v>
      </c>
      <c r="N2" s="62" t="str">
        <f>INDEX(Cards!$B$2:$B$55,MATCH("C48",Cards!$A$2:$A$55,0))&amp;" (C48): Everyone should hear what they're hiding."</f>
        <v>Media Appeal (C48): Everyone should hear what they're hiding.</v>
      </c>
    </row>
    <row r="3" spans="1:14" ht="102" customHeight="1" x14ac:dyDescent="0.2">
      <c r="A3" s="59" t="s">
        <v>2218</v>
      </c>
      <c r="B3" s="60" t="s">
        <v>2219</v>
      </c>
      <c r="C3" s="61" t="s">
        <v>2033</v>
      </c>
      <c r="D3" s="59" t="s">
        <v>1993</v>
      </c>
      <c r="E3" s="59" t="s">
        <v>1993</v>
      </c>
      <c r="F3" s="59" t="s">
        <v>1994</v>
      </c>
      <c r="G3" s="59" t="s">
        <v>1994</v>
      </c>
      <c r="H3" s="59" t="s">
        <v>1993</v>
      </c>
      <c r="I3" s="59" t="s">
        <v>1993</v>
      </c>
      <c r="J3" s="59">
        <f t="shared" si="0"/>
        <v>4</v>
      </c>
      <c r="K3" s="59">
        <f t="shared" si="1"/>
        <v>5</v>
      </c>
      <c r="L3" s="62" t="str">
        <f>INDEX(Cards!$B$2:$B$55,MATCH("C04",Cards!$A$2:$A$55,0))&amp;" (C04): I know exactly who I work for."</f>
        <v>Return to First Principles (C04): I know exactly who I work for.</v>
      </c>
      <c r="M3" s="62" t="str">
        <f>INDEX(Cards!$B$2:$B$55,MATCH("C31",Cards!$A$2:$A$55,0))&amp;" (C31): You should be ashamed of yourself!"</f>
        <v>Righteous Anger (C31): You should be ashamed of yourself!</v>
      </c>
      <c r="N3" s="62" t="str">
        <f>INDEX(Cards!$B$2:$B$55,MATCH("C23",Cards!$A$2:$A$55,0))&amp;" (C23): Let's talk about what really matters."</f>
        <v>Shifting the Issue (C23): Let's talk about what really matters.</v>
      </c>
    </row>
    <row r="4" spans="1:14" ht="127.5" customHeight="1" x14ac:dyDescent="0.2">
      <c r="A4" s="59" t="s">
        <v>2220</v>
      </c>
      <c r="B4" s="60" t="s">
        <v>2221</v>
      </c>
      <c r="C4" s="61" t="s">
        <v>2222</v>
      </c>
      <c r="D4" s="59" t="s">
        <v>1994</v>
      </c>
      <c r="E4" s="59" t="s">
        <v>1993</v>
      </c>
      <c r="F4" s="59" t="s">
        <v>1994</v>
      </c>
      <c r="G4" s="59" t="s">
        <v>1993</v>
      </c>
      <c r="H4" s="59" t="s">
        <v>1993</v>
      </c>
      <c r="I4" s="59" t="s">
        <v>1993</v>
      </c>
      <c r="J4" s="59">
        <f t="shared" si="0"/>
        <v>4</v>
      </c>
      <c r="K4" s="59">
        <f t="shared" si="1"/>
        <v>6</v>
      </c>
      <c r="L4" s="62" t="str">
        <f>INDEX(Cards!$B$2:$B$55,MATCH("C16",Cards!$A$2:$A$55,0))&amp;" (C16): Every claim here is sourced and verified."</f>
        <v>Table the White Paper (C16): Every claim here is sourced and verified.</v>
      </c>
      <c r="M4" s="62" t="str">
        <f>INDEX(Cards!$B$2:$B$55,MATCH("C22",Cards!$A$2:$A$55,0))&amp;" (C22): I can neither confirm nor deny that."</f>
        <v>"I Have No Recollection" (C22): I can neither confirm nor deny that.</v>
      </c>
      <c r="N4" s="62" t="str">
        <f>INDEX(Cards!$B$2:$B$55,MATCH("C17",Cards!$A$2:$A$55,0))&amp;" (C17): Another career politician, protecting their own."</f>
        <v>Labeling (C17): Another career politician, protecting their own.</v>
      </c>
    </row>
    <row r="5" spans="1:14" ht="127.5" customHeight="1" x14ac:dyDescent="0.2">
      <c r="A5" s="59" t="s">
        <v>2223</v>
      </c>
      <c r="B5" s="60" t="s">
        <v>2224</v>
      </c>
      <c r="C5" s="61" t="s">
        <v>2225</v>
      </c>
      <c r="D5" s="59" t="s">
        <v>1993</v>
      </c>
      <c r="E5" s="59" t="s">
        <v>1994</v>
      </c>
      <c r="F5" s="59" t="s">
        <v>2004</v>
      </c>
      <c r="G5" s="59" t="s">
        <v>1994</v>
      </c>
      <c r="H5" s="59" t="s">
        <v>1993</v>
      </c>
      <c r="I5" s="59" t="s">
        <v>1993</v>
      </c>
      <c r="J5" s="59">
        <f t="shared" si="0"/>
        <v>3</v>
      </c>
      <c r="K5" s="59">
        <f t="shared" si="1"/>
        <v>8</v>
      </c>
      <c r="L5" s="62" t="str">
        <f>INDEX(Cards!$B$2:$B$55,MATCH("C25",Cards!$A$2:$A$55,0))&amp;" (C25): My word is my bond."</f>
        <v>Point to the Promise Kept (C25): My word is my bond.</v>
      </c>
      <c r="M5" s="62" t="str">
        <f>INDEX(Cards!$B$2:$B$55,MATCH("C23",Cards!$A$2:$A$55,0))&amp;" (C23): That's a distraction from the actual issue."</f>
        <v>Shifting the Issue (C23): That's a distraction from the actual issue.</v>
      </c>
      <c r="N5" s="62" t="str">
        <f>INDEX(Cards!$B$2:$B$55,MATCH("C18",Cards!$A$2:$A$55,0))&amp;" (C18): They stand for themselves. We stand for you."</f>
        <v>Drawing Battle Lines (C18): They stand for themselves. We stand for you.</v>
      </c>
    </row>
    <row r="6" spans="1:14" ht="102" customHeight="1" x14ac:dyDescent="0.2">
      <c r="A6" s="59" t="s">
        <v>2226</v>
      </c>
      <c r="B6" s="60" t="s">
        <v>2227</v>
      </c>
      <c r="C6" s="61" t="s">
        <v>2228</v>
      </c>
      <c r="D6" s="59" t="s">
        <v>1993</v>
      </c>
      <c r="E6" s="59" t="s">
        <v>1993</v>
      </c>
      <c r="F6" s="59" t="s">
        <v>1994</v>
      </c>
      <c r="G6" s="59" t="s">
        <v>1994</v>
      </c>
      <c r="H6" s="59" t="s">
        <v>1993</v>
      </c>
      <c r="I6" s="59" t="s">
        <v>1993</v>
      </c>
      <c r="J6" s="59">
        <f t="shared" si="0"/>
        <v>4</v>
      </c>
      <c r="K6" s="59">
        <f t="shared" si="1"/>
        <v>7</v>
      </c>
      <c r="L6" s="62" t="str">
        <f>INDEX(Cards!$B$2:$B$55,MATCH("C25",Cards!$A$2:$A$55,0))&amp;" (C25): I give my word, and it holds."</f>
        <v>Point to the Promise Kept (C25): I give my word, and it holds.</v>
      </c>
      <c r="M6" s="62" t="str">
        <f>INDEX(Cards!$B$2:$B$55,MATCH("C32",Cards!$A$2:$A$55,0))&amp;" (C32): No, you will hear me out!"</f>
        <v>Raise Your Voice (C32): No, you will hear me out!</v>
      </c>
      <c r="N6" s="62" t="str">
        <f>INDEX(Cards!$B$2:$B$55,MATCH("C23",Cards!$A$2:$A$55,0))&amp;" (C23): The real question is why you're asking."</f>
        <v>Shifting the Issue (C23): The real question is why you're asking.</v>
      </c>
    </row>
    <row r="7" spans="1:14" ht="114.75" customHeight="1" x14ac:dyDescent="0.2">
      <c r="A7" s="59" t="s">
        <v>2229</v>
      </c>
      <c r="B7" s="60" t="s">
        <v>2230</v>
      </c>
      <c r="C7" s="61" t="s">
        <v>2231</v>
      </c>
      <c r="D7" s="59" t="s">
        <v>1993</v>
      </c>
      <c r="E7" s="59" t="s">
        <v>1993</v>
      </c>
      <c r="F7" s="59" t="s">
        <v>2004</v>
      </c>
      <c r="G7" s="59" t="s">
        <v>1994</v>
      </c>
      <c r="H7" s="59" t="s">
        <v>1994</v>
      </c>
      <c r="I7" s="59" t="s">
        <v>1993</v>
      </c>
      <c r="J7" s="59">
        <f t="shared" si="0"/>
        <v>3</v>
      </c>
      <c r="K7" s="59">
        <f t="shared" si="1"/>
        <v>6</v>
      </c>
      <c r="L7" s="62" t="str">
        <f>INDEX(Cards!$B$2:$B$55,MATCH("C33",Cards!$A$2:$A$55,0))&amp;" (C33): Underestimate me. See what happens."</f>
        <v>Refuse to Yield (C33): Underestimate me. See what happens.</v>
      </c>
      <c r="M7" s="62" t="str">
        <f>INDEX(Cards!$B$2:$B$55,MATCH("C23",Cards!$A$2:$A$55,0))&amp;" (C23): Interesting, but consider the bigger picture."</f>
        <v>Shifting the Issue (C23): Interesting, but consider the bigger picture.</v>
      </c>
      <c r="N7" s="62" t="str">
        <f>INDEX(Cards!$B$2:$B$55,MATCH("C01",Cards!$A$2:$A$55,0))&amp;" (C01): Judge me by my record."</f>
        <v>Record of Service (C01): Judge me by my record.</v>
      </c>
    </row>
    <row r="8" spans="1:14" ht="127.5" customHeight="1" x14ac:dyDescent="0.2">
      <c r="A8" s="59" t="s">
        <v>2232</v>
      </c>
      <c r="B8" s="60" t="s">
        <v>2233</v>
      </c>
      <c r="C8" s="61" t="s">
        <v>2231</v>
      </c>
      <c r="D8" s="59" t="s">
        <v>1994</v>
      </c>
      <c r="E8" s="59" t="s">
        <v>1994</v>
      </c>
      <c r="F8" s="59" t="s">
        <v>2004</v>
      </c>
      <c r="G8" s="59" t="s">
        <v>1993</v>
      </c>
      <c r="H8" s="59" t="s">
        <v>1994</v>
      </c>
      <c r="I8" s="59" t="s">
        <v>1993</v>
      </c>
      <c r="J8" s="59">
        <f t="shared" si="0"/>
        <v>2</v>
      </c>
      <c r="K8" s="59">
        <f t="shared" si="1"/>
        <v>8</v>
      </c>
      <c r="L8" s="62" t="str">
        <f>INDEX(Cards!$B$2:$B$55,MATCH("C16",Cards!$A$2:$A$55,0))&amp;" (C16): Two hundred pages of evidence. Read them."</f>
        <v>Table the White Paper (C16): Two hundred pages of evidence. Read them.</v>
      </c>
      <c r="M8" s="62" t="str">
        <f>INDEX(Cards!$B$2:$B$55,MATCH("C52",Cards!$A$2:$A$55,0))&amp;" (C52): Let me walk you through all forty provisions."</f>
        <v>Drown Them in Detail (C52): Let me walk you through all forty provisions.</v>
      </c>
      <c r="N8" s="62" t="str">
        <f>INDEX(Cards!$B$2:$B$55,MATCH("C32",Cards!$A$2:$A$55,0))&amp;" (C32): Let me finish! Let me finish!"</f>
        <v>Raise Your Voice (C32): Let me finish! Let me finish!</v>
      </c>
    </row>
    <row r="9" spans="1:14" ht="114.75" customHeight="1" x14ac:dyDescent="0.2">
      <c r="A9" s="59" t="s">
        <v>2234</v>
      </c>
      <c r="B9" s="60" t="s">
        <v>2235</v>
      </c>
      <c r="C9" s="61" t="s">
        <v>2236</v>
      </c>
      <c r="D9" s="59" t="s">
        <v>1994</v>
      </c>
      <c r="E9" s="59" t="s">
        <v>1993</v>
      </c>
      <c r="F9" s="59" t="s">
        <v>1993</v>
      </c>
      <c r="G9" s="59" t="s">
        <v>2004</v>
      </c>
      <c r="H9" s="59" t="s">
        <v>1993</v>
      </c>
      <c r="I9" s="59" t="s">
        <v>1994</v>
      </c>
      <c r="J9" s="59">
        <f t="shared" si="0"/>
        <v>3</v>
      </c>
      <c r="K9" s="59">
        <f t="shared" si="1"/>
        <v>5</v>
      </c>
      <c r="L9" s="62" t="str">
        <f>INDEX(Cards!$B$2:$B$55,MATCH("C35",Cards!$A$2:$A$55,0))&amp;" (C35): Our party speaks with one voice on this."</f>
        <v>Invoke Party Discipline (C35): Our party speaks with one voice on this.</v>
      </c>
      <c r="M9" s="62" t="str">
        <f>INDEX(Cards!$B$2:$B$55,MATCH("C33",Cards!$A$2:$A$55,0))&amp;" (C33): Knock me down. I'll get back up."</f>
        <v>Refuse to Yield (C33): Knock me down. I'll get back up.</v>
      </c>
      <c r="N9" s="62" t="str">
        <f>INDEX(Cards!$B$2:$B$55,MATCH("C47",Cards!$A$2:$A$55,0))&amp;" (C47): Some here forget who they serve."</f>
        <v>Question Their Loyalty (C47): Some here forget who they serve.</v>
      </c>
    </row>
    <row r="10" spans="1:14" ht="102" customHeight="1" x14ac:dyDescent="0.2">
      <c r="A10" s="59" t="s">
        <v>2237</v>
      </c>
      <c r="B10" s="60" t="s">
        <v>2238</v>
      </c>
      <c r="C10" s="61" t="s">
        <v>2239</v>
      </c>
      <c r="D10" s="59" t="s">
        <v>1993</v>
      </c>
      <c r="E10" s="59" t="s">
        <v>1993</v>
      </c>
      <c r="F10" s="59" t="s">
        <v>1994</v>
      </c>
      <c r="G10" s="59" t="s">
        <v>2004</v>
      </c>
      <c r="H10" s="59" t="s">
        <v>1994</v>
      </c>
      <c r="I10" s="59" t="s">
        <v>1993</v>
      </c>
      <c r="J10" s="59">
        <f t="shared" si="0"/>
        <v>3</v>
      </c>
      <c r="K10" s="59">
        <f t="shared" si="1"/>
        <v>6</v>
      </c>
      <c r="L10" s="62" t="str">
        <f>INDEX(Cards!$B$2:$B$55,MATCH("C02",Cards!$A$2:$A$55,0))&amp;" (C02): I won't dodge this one."</f>
        <v>Sincere Answer (C02): I won't dodge this one.</v>
      </c>
      <c r="M10" s="62" t="str">
        <f>INDEX(Cards!$B$2:$B$55,MATCH("C32",Cards!$A$2:$A$55,0))&amp;" (C32): I will not be shouted down!"</f>
        <v>Raise Your Voice (C32): I will not be shouted down!</v>
      </c>
      <c r="N10" s="62" t="str">
        <f>INDEX(Cards!$B$2:$B$55,MATCH("C54",Cards!$A$2:$A$55,0))&amp;" (C54): Don't repeat this, but..."</f>
        <v>Off the Record (C54): Don't repeat this, but...</v>
      </c>
    </row>
    <row r="11" spans="1:14" ht="127.5" customHeight="1" x14ac:dyDescent="0.2">
      <c r="A11" s="59" t="s">
        <v>2240</v>
      </c>
      <c r="B11" s="60" t="s">
        <v>2241</v>
      </c>
      <c r="C11" s="61" t="s">
        <v>2242</v>
      </c>
      <c r="D11" s="59" t="s">
        <v>1993</v>
      </c>
      <c r="E11" s="59" t="s">
        <v>1994</v>
      </c>
      <c r="F11" s="59" t="s">
        <v>2004</v>
      </c>
      <c r="G11" s="59" t="s">
        <v>1993</v>
      </c>
      <c r="H11" s="59" t="s">
        <v>1993</v>
      </c>
      <c r="I11" s="59" t="s">
        <v>1993</v>
      </c>
      <c r="J11" s="59">
        <f t="shared" si="0"/>
        <v>4</v>
      </c>
      <c r="K11" s="59">
        <f t="shared" si="1"/>
        <v>4</v>
      </c>
      <c r="L11" s="62" t="str">
        <f>INDEX(Cards!$B$2:$B$55,MATCH("C02",Cards!$A$2:$A$55,0))&amp;" (C02): No spin. Just the truth as I see it."</f>
        <v>Sincere Answer (C02): No spin. Just the truth as I see it.</v>
      </c>
      <c r="M11" s="62" t="str">
        <f>INDEX(Cards!$B$2:$B$55,MATCH("C44",Cards!$A$2:$A$55,0))&amp;" (C44): Bring in outside eyes on this."</f>
        <v>Demand an Outside Review (C44): Bring in outside eyes on this.</v>
      </c>
      <c r="N11" s="62" t="str">
        <f>INDEX(Cards!$B$2:$B$55,MATCH("C22",Cards!$A$2:$A$55,0))&amp;" (C22): I can neither confirm nor deny that."</f>
        <v>"I Have No Recollection" (C22): I can neither confirm nor deny that.</v>
      </c>
    </row>
    <row r="12" spans="1:14" ht="127.5" customHeight="1" x14ac:dyDescent="0.2">
      <c r="A12" s="59" t="s">
        <v>2243</v>
      </c>
      <c r="B12" s="60" t="s">
        <v>2244</v>
      </c>
      <c r="C12" s="61" t="s">
        <v>2245</v>
      </c>
      <c r="D12" s="59" t="s">
        <v>1993</v>
      </c>
      <c r="E12" s="59" t="s">
        <v>1993</v>
      </c>
      <c r="F12" s="59" t="s">
        <v>1994</v>
      </c>
      <c r="G12" s="59" t="s">
        <v>1994</v>
      </c>
      <c r="H12" s="59" t="s">
        <v>1993</v>
      </c>
      <c r="I12" s="59" t="s">
        <v>1994</v>
      </c>
      <c r="J12" s="59">
        <f t="shared" si="0"/>
        <v>3</v>
      </c>
      <c r="K12" s="59">
        <f t="shared" si="1"/>
        <v>7</v>
      </c>
      <c r="L12" s="62" t="str">
        <f>INDEX(Cards!$B$2:$B$55,MATCH("C25",Cards!$A$2:$A$55,0))&amp;" (C25): My word is my bond."</f>
        <v>Point to the Promise Kept (C25): My word is my bond.</v>
      </c>
      <c r="M12" s="62" t="str">
        <f>INDEX(Cards!$B$2:$B$55,MATCH("C06",Cards!$A$2:$A$55,0))&amp;" (C06): Think of your own mother, your own child."</f>
        <v>Tearful Appeal (C06): Think of your own mother, your own child.</v>
      </c>
      <c r="N12" s="62" t="str">
        <f>INDEX(Cards!$B$2:$B$55,MATCH("C18",Cards!$A$2:$A$55,0))&amp;" (C18): They stand for themselves. We stand for you."</f>
        <v>Drawing Battle Lines (C18): They stand for themselves. We stand for you.</v>
      </c>
    </row>
    <row r="13" spans="1:14" ht="114.75" customHeight="1" x14ac:dyDescent="0.2">
      <c r="A13" s="59" t="s">
        <v>2246</v>
      </c>
      <c r="B13" s="60" t="s">
        <v>2247</v>
      </c>
      <c r="C13" s="61" t="s">
        <v>2222</v>
      </c>
      <c r="D13" s="59" t="s">
        <v>1994</v>
      </c>
      <c r="E13" s="59" t="s">
        <v>1993</v>
      </c>
      <c r="F13" s="59" t="s">
        <v>1994</v>
      </c>
      <c r="G13" s="59" t="s">
        <v>1993</v>
      </c>
      <c r="H13" s="59" t="s">
        <v>1993</v>
      </c>
      <c r="I13" s="59" t="s">
        <v>1994</v>
      </c>
      <c r="J13" s="59">
        <f t="shared" si="0"/>
        <v>3</v>
      </c>
      <c r="K13" s="59">
        <f t="shared" si="1"/>
        <v>6</v>
      </c>
      <c r="L13" s="62" t="str">
        <f>INDEX(Cards!$B$2:$B$55,MATCH("C40",Cards!$A$2:$A$55,0))&amp;" (C40): Who benefits most? Follow that thread."</f>
        <v>Question the Funding (C40): Who benefits most? Follow that thread.</v>
      </c>
      <c r="M13" s="62" t="str">
        <f>INDEX(Cards!$B$2:$B$55,MATCH("C18",Cards!$A$2:$A$55,0))&amp;" (C18): On one side, workers. On the other, them."</f>
        <v>Drawing Battle Lines (C18): On one side, workers. On the other, them.</v>
      </c>
      <c r="N13" s="62" t="str">
        <f>INDEX(Cards!$B$2:$B$55,MATCH("C31",Cards!$A$2:$A$55,0))&amp;" (C31): This is an outrage, and you know it!"</f>
        <v>Righteous Anger (C31): This is an outrage, and you know it!</v>
      </c>
    </row>
    <row r="14" spans="1:14" ht="114.75" customHeight="1" x14ac:dyDescent="0.2">
      <c r="A14" s="59" t="s">
        <v>2248</v>
      </c>
      <c r="B14" s="60" t="s">
        <v>2249</v>
      </c>
      <c r="C14" s="61" t="s">
        <v>2250</v>
      </c>
      <c r="D14" s="59" t="s">
        <v>1993</v>
      </c>
      <c r="E14" s="59" t="s">
        <v>1993</v>
      </c>
      <c r="F14" s="59" t="s">
        <v>2004</v>
      </c>
      <c r="G14" s="59" t="s">
        <v>1994</v>
      </c>
      <c r="H14" s="59" t="s">
        <v>1993</v>
      </c>
      <c r="I14" s="59" t="s">
        <v>1993</v>
      </c>
      <c r="J14" s="59">
        <f t="shared" si="0"/>
        <v>4</v>
      </c>
      <c r="K14" s="59">
        <f t="shared" si="1"/>
        <v>6</v>
      </c>
      <c r="L14" s="62" t="str">
        <f>INDEX(Cards!$B$2:$B$55,MATCH("C02",Cards!$A$2:$A$55,0))&amp;" (C02): You deserve a straight reply."</f>
        <v>Sincere Answer (C02): You deserve a straight reply.</v>
      </c>
      <c r="M14" s="62" t="str">
        <f>INDEX(Cards!$B$2:$B$55,MATCH("C31",Cards!$A$2:$A$55,0))&amp;" (C31): You should be ashamed of yourself!"</f>
        <v>Righteous Anger (C31): You should be ashamed of yourself!</v>
      </c>
      <c r="N14" s="62" t="str">
        <f>INDEX(Cards!$B$2:$B$55,MATCH("C22",Cards!$A$2:$A$55,0))&amp;" (C22): I don't recall any such thing."</f>
        <v>"I Have No Recollection" (C22): I don't recall any such thing.</v>
      </c>
    </row>
    <row r="15" spans="1:14" ht="102" customHeight="1" x14ac:dyDescent="0.2">
      <c r="A15" s="59" t="s">
        <v>2251</v>
      </c>
      <c r="B15" s="60" t="s">
        <v>2252</v>
      </c>
      <c r="C15" s="61" t="s">
        <v>2236</v>
      </c>
      <c r="D15" s="59" t="s">
        <v>1994</v>
      </c>
      <c r="E15" s="59" t="s">
        <v>1993</v>
      </c>
      <c r="F15" s="59" t="s">
        <v>1993</v>
      </c>
      <c r="G15" s="59" t="s">
        <v>2004</v>
      </c>
      <c r="H15" s="59" t="s">
        <v>1993</v>
      </c>
      <c r="I15" s="59" t="s">
        <v>1994</v>
      </c>
      <c r="J15" s="59">
        <f t="shared" si="0"/>
        <v>3</v>
      </c>
      <c r="K15" s="59">
        <f t="shared" si="1"/>
        <v>8</v>
      </c>
      <c r="L15" s="62" t="str">
        <f>INDEX(Cards!$B$2:$B$55,MATCH("C35",Cards!$A$2:$A$55,0))&amp;" (C35): The party's position is settled. We stand together."</f>
        <v>Invoke Party Discipline (C35): The party's position is settled. We stand together.</v>
      </c>
      <c r="M15" s="62" t="str">
        <f>INDEX(Cards!$B$2:$B$55,MATCH("C30",Cards!$A$2:$A$55,0))&amp;" (C30): Loyal hearts, one more push!"</f>
        <v>Rally the Faithful (C30): Loyal hearts, one more push!</v>
      </c>
      <c r="N15" s="62" t="str">
        <f>INDEX(Cards!$B$2:$B$55,MATCH("C20",Cards!$A$2:$A$55,0))&amp;" (C20): Prove whose side you're really on."</f>
        <v>Loyalty Test (C20): Prove whose side you're really on.</v>
      </c>
    </row>
    <row r="16" spans="1:14" ht="127.5" customHeight="1" x14ac:dyDescent="0.2">
      <c r="A16" s="59" t="s">
        <v>2253</v>
      </c>
      <c r="B16" s="60" t="s">
        <v>2254</v>
      </c>
      <c r="C16" s="61" t="s">
        <v>2022</v>
      </c>
      <c r="D16" s="59" t="s">
        <v>1993</v>
      </c>
      <c r="E16" s="59" t="s">
        <v>1993</v>
      </c>
      <c r="F16" s="59" t="s">
        <v>1994</v>
      </c>
      <c r="G16" s="59" t="s">
        <v>1994</v>
      </c>
      <c r="H16" s="59" t="s">
        <v>1993</v>
      </c>
      <c r="I16" s="59" t="s">
        <v>1994</v>
      </c>
      <c r="J16" s="59">
        <f t="shared" si="0"/>
        <v>3</v>
      </c>
      <c r="K16" s="59">
        <f t="shared" si="1"/>
        <v>6</v>
      </c>
      <c r="L16" s="62" t="str">
        <f>INDEX(Cards!$B$2:$B$55,MATCH("C04",Cards!$A$2:$A$55,0))&amp;" (C04): I'm here to serve, not to climb."</f>
        <v>Return to First Principles (C04): I'm here to serve, not to climb.</v>
      </c>
      <c r="M16" s="62" t="str">
        <f>INDEX(Cards!$B$2:$B$55,MATCH("C05",Cards!$A$2:$A$55,0))&amp;" (C05): This is the fight that defines us!"</f>
        <v>Impassioned Speech (C05): This is the fight that defines us!</v>
      </c>
      <c r="N16" s="62" t="str">
        <f>INDEX(Cards!$B$2:$B$55,MATCH("C18",Cards!$A$2:$A$55,0))&amp;" (C18): You're either with the people or against them."</f>
        <v>Drawing Battle Lines (C18): You're either with the people or against them.</v>
      </c>
    </row>
    <row r="17" spans="1:14" ht="102" customHeight="1" x14ac:dyDescent="0.2">
      <c r="A17" s="59" t="s">
        <v>2255</v>
      </c>
      <c r="B17" s="60" t="s">
        <v>2256</v>
      </c>
      <c r="C17" s="61" t="s">
        <v>2038</v>
      </c>
      <c r="D17" s="59" t="s">
        <v>1993</v>
      </c>
      <c r="E17" s="59" t="s">
        <v>1993</v>
      </c>
      <c r="F17" s="59" t="s">
        <v>1994</v>
      </c>
      <c r="G17" s="59" t="s">
        <v>1994</v>
      </c>
      <c r="H17" s="59" t="s">
        <v>2004</v>
      </c>
      <c r="I17" s="59" t="s">
        <v>1993</v>
      </c>
      <c r="J17" s="59">
        <f t="shared" si="0"/>
        <v>3</v>
      </c>
      <c r="K17" s="59">
        <f t="shared" si="1"/>
        <v>6</v>
      </c>
      <c r="L17" s="62" t="str">
        <f>INDEX(Cards!$B$2:$B$55,MATCH("C33",Cards!$A$2:$A$55,0))&amp;" (C33): I will not yield. Full stop."</f>
        <v>Refuse to Yield (C33): I will not yield. Full stop.</v>
      </c>
      <c r="M17" s="62" t="str">
        <f>INDEX(Cards!$B$2:$B$55,MATCH("C26",Cards!$A$2:$A$55,0))&amp;" (C26): No excuses. Accountability starts with me."</f>
        <v>Own the Mistake (C26): No excuses. Accountability starts with me.</v>
      </c>
      <c r="N17" s="62" t="str">
        <f>INDEX(Cards!$B$2:$B$55,MATCH("C50",Cards!$A$2:$A$55,0))&amp;" (C50): That matter is under review."</f>
        <v>Take It Under Advisement (C50): That matter is under review.</v>
      </c>
    </row>
    <row r="18" spans="1:14" ht="102" customHeight="1" x14ac:dyDescent="0.2">
      <c r="A18" s="59" t="s">
        <v>2257</v>
      </c>
      <c r="B18" s="60" t="s">
        <v>2258</v>
      </c>
      <c r="C18" s="61" t="s">
        <v>2259</v>
      </c>
      <c r="D18" s="59" t="s">
        <v>1994</v>
      </c>
      <c r="E18" s="59" t="s">
        <v>1993</v>
      </c>
      <c r="F18" s="59" t="s">
        <v>1994</v>
      </c>
      <c r="G18" s="59" t="s">
        <v>1993</v>
      </c>
      <c r="H18" s="59" t="s">
        <v>1993</v>
      </c>
      <c r="I18" s="59" t="s">
        <v>1993</v>
      </c>
      <c r="J18" s="59">
        <f t="shared" si="0"/>
        <v>4</v>
      </c>
      <c r="K18" s="59">
        <f t="shared" si="1"/>
        <v>8</v>
      </c>
      <c r="L18" s="62" t="str">
        <f>INDEX(Cards!$B$2:$B$55,MATCH("C13",Cards!$A$2:$A$55,0))&amp;" (C13): The data tells a different story."</f>
        <v>Present the Stats (C13): The data tells a different story.</v>
      </c>
      <c r="M18" s="62" t="str">
        <f>INDEX(Cards!$B$2:$B$55,MATCH("C21",Cards!$A$2:$A$55,0))&amp;" (C21): There's truth on every side of this."</f>
        <v>Iridescent Answer (C21): There's truth on every side of this.</v>
      </c>
      <c r="N18" s="62" t="str">
        <f>INDEX(Cards!$B$2:$B$55,MATCH("C46",Cards!$A$2:$A$55,0))&amp;" (C46): Yes or no. There is no middle."</f>
        <v>Force the Choice (C46): Yes or no. There is no middle.</v>
      </c>
    </row>
    <row r="19" spans="1:14" ht="102" customHeight="1" x14ac:dyDescent="0.2">
      <c r="A19" s="59" t="s">
        <v>2260</v>
      </c>
      <c r="B19" s="60" t="s">
        <v>2261</v>
      </c>
      <c r="C19" s="61" t="s">
        <v>2262</v>
      </c>
      <c r="D19" s="59" t="s">
        <v>1993</v>
      </c>
      <c r="E19" s="59" t="s">
        <v>1993</v>
      </c>
      <c r="F19" s="59" t="s">
        <v>1994</v>
      </c>
      <c r="G19" s="59" t="s">
        <v>2004</v>
      </c>
      <c r="H19" s="59" t="s">
        <v>1993</v>
      </c>
      <c r="I19" s="59" t="s">
        <v>1993</v>
      </c>
      <c r="J19" s="59">
        <f t="shared" si="0"/>
        <v>4</v>
      </c>
      <c r="K19" s="59">
        <f t="shared" si="1"/>
        <v>6</v>
      </c>
      <c r="L19" s="62" t="str">
        <f>INDEX(Cards!$B$2:$B$55,MATCH("C32",Cards!$A$2:$A$55,0))&amp;" (C32): Go on, try to silence me."</f>
        <v>Raise Your Voice (C32): Go on, try to silence me.</v>
      </c>
      <c r="M19" s="62" t="str">
        <f>INDEX(Cards!$B$2:$B$55,MATCH("C02",Cards!$A$2:$A$55,0))&amp;" (C02): I won't dodge this one."</f>
        <v>Sincere Answer (C02): I won't dodge this one.</v>
      </c>
      <c r="N19" s="62" t="str">
        <f>INDEX(Cards!$B$2:$B$55,MATCH("C23",Cards!$A$2:$A$55,0))&amp;" (C23): That's a distraction from the actual issue."</f>
        <v>Shifting the Issue (C23): That's a distraction from the actual issue.</v>
      </c>
    </row>
    <row r="20" spans="1:14" ht="102" customHeight="1" x14ac:dyDescent="0.2">
      <c r="A20" s="59" t="s">
        <v>2263</v>
      </c>
      <c r="B20" s="60" t="s">
        <v>2264</v>
      </c>
      <c r="C20" s="61" t="s">
        <v>2265</v>
      </c>
      <c r="D20" s="59" t="s">
        <v>1993</v>
      </c>
      <c r="E20" s="59" t="s">
        <v>1993</v>
      </c>
      <c r="F20" s="59" t="s">
        <v>1994</v>
      </c>
      <c r="G20" s="59" t="s">
        <v>1993</v>
      </c>
      <c r="H20" s="59" t="s">
        <v>1994</v>
      </c>
      <c r="I20" s="59" t="s">
        <v>1994</v>
      </c>
      <c r="J20" s="59">
        <f t="shared" si="0"/>
        <v>3</v>
      </c>
      <c r="K20" s="59">
        <f t="shared" si="1"/>
        <v>10</v>
      </c>
      <c r="L20" s="62" t="str">
        <f>INDEX(Cards!$B$2:$B$55,MATCH("C02",Cards!$A$2:$A$55,0))&amp;" (C02): Let me answer you directly."</f>
        <v>Sincere Answer (C02): Let me answer you directly.</v>
      </c>
      <c r="M20" s="62" t="str">
        <f>INDEX(Cards!$B$2:$B$55,MATCH("C06",Cards!$A$2:$A$55,0))&amp;" (C06): I carry their faces with me."</f>
        <v>Tearful Appeal (C06): I carry their faces with me.</v>
      </c>
      <c r="N20" s="62" t="str">
        <f>INDEX(Cards!$B$2:$B$55,MATCH("C13",Cards!$A$2:$A$55,0))&amp;" (C13): Facts don't care about talking points."</f>
        <v>Present the Stats (C13): Facts don't care about talking points.</v>
      </c>
    </row>
    <row r="21" spans="1:14" ht="89.25" customHeight="1" x14ac:dyDescent="0.2">
      <c r="A21" s="59" t="s">
        <v>2266</v>
      </c>
      <c r="B21" s="60" t="s">
        <v>2267</v>
      </c>
      <c r="C21" s="61" t="s">
        <v>2228</v>
      </c>
      <c r="D21" s="59" t="s">
        <v>1993</v>
      </c>
      <c r="E21" s="59" t="s">
        <v>1993</v>
      </c>
      <c r="F21" s="59" t="s">
        <v>1994</v>
      </c>
      <c r="G21" s="59" t="s">
        <v>1994</v>
      </c>
      <c r="H21" s="59" t="s">
        <v>1993</v>
      </c>
      <c r="I21" s="59" t="s">
        <v>1993</v>
      </c>
      <c r="J21" s="59">
        <f t="shared" si="0"/>
        <v>4</v>
      </c>
      <c r="K21" s="59">
        <f t="shared" si="1"/>
        <v>6</v>
      </c>
      <c r="L21" s="62" t="str">
        <f>INDEX(Cards!$B$2:$B$55,MATCH("C01",Cards!$A$2:$A$55,0))&amp;" (C01): My record speaks louder than my speeches."</f>
        <v>Record of Service (C01): My record speaks louder than my speeches.</v>
      </c>
      <c r="M21" s="62" t="str">
        <f>INDEX(Cards!$B$2:$B$55,MATCH("C33",Cards!$A$2:$A$55,0))&amp;" (C33): Count me out at your peril."</f>
        <v>Refuse to Yield (C33): Count me out at your peril.</v>
      </c>
      <c r="N21" s="62" t="str">
        <f>INDEX(Cards!$B$2:$B$55,MATCH("C17",Cards!$A$2:$A$55,0))&amp;" (C17): Typical out-of-touch elitist."</f>
        <v>Labeling (C17): Typical out-of-touch elitist.</v>
      </c>
    </row>
    <row r="22" spans="1:14" x14ac:dyDescent="0.2">
      <c r="C22" s="16" t="s">
        <v>2051</v>
      </c>
      <c r="D22" s="63">
        <f t="shared" ref="D22:I22" si="2">COUNTIF(D2:D21,"S")</f>
        <v>14</v>
      </c>
      <c r="E22" s="63">
        <f t="shared" si="2"/>
        <v>16</v>
      </c>
      <c r="F22" s="63">
        <f t="shared" si="2"/>
        <v>2</v>
      </c>
      <c r="G22" s="63">
        <f t="shared" si="2"/>
        <v>6</v>
      </c>
      <c r="H22" s="63">
        <f t="shared" si="2"/>
        <v>15</v>
      </c>
      <c r="I22" s="63">
        <f t="shared" si="2"/>
        <v>14</v>
      </c>
    </row>
    <row r="24" spans="1:14" x14ac:dyDescent="0.2">
      <c r="B24" s="64" t="s">
        <v>2268</v>
      </c>
    </row>
    <row r="25" spans="1:14" x14ac:dyDescent="0.2">
      <c r="B25" s="64" t="s">
        <v>2052</v>
      </c>
    </row>
    <row r="26" spans="1:14" x14ac:dyDescent="0.2">
      <c r="B26" s="64" t="s">
        <v>2107</v>
      </c>
    </row>
    <row r="27" spans="1:14" x14ac:dyDescent="0.2">
      <c r="B27" s="64" t="s">
        <v>2055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7"/>
  <dimension ref="A1:F70"/>
  <sheetViews>
    <sheetView workbookViewId="0">
      <pane ySplit="1" topLeftCell="A2" activePane="bottomLeft" state="frozen"/>
      <selection pane="bottomLeft" activeCell="E15" sqref="E15"/>
    </sheetView>
  </sheetViews>
  <sheetFormatPr defaultRowHeight="15" x14ac:dyDescent="0.2"/>
  <cols>
    <col min="1" max="1" width="18.0234375" customWidth="1"/>
    <col min="2" max="2" width="13.98828125" customWidth="1"/>
    <col min="3" max="3" width="25.9609375" customWidth="1"/>
    <col min="4" max="4" width="9.953125" customWidth="1"/>
    <col min="5" max="5" width="46.00390625" customWidth="1"/>
    <col min="6" max="6" width="71.96875" customWidth="1"/>
  </cols>
  <sheetData>
    <row r="1" spans="1:6" x14ac:dyDescent="0.2">
      <c r="A1" s="12" t="s">
        <v>1984</v>
      </c>
      <c r="B1" s="12" t="s">
        <v>2269</v>
      </c>
      <c r="C1" s="12" t="s">
        <v>2270</v>
      </c>
      <c r="D1" s="12" t="s">
        <v>1289</v>
      </c>
      <c r="E1" s="124" t="s">
        <v>2271</v>
      </c>
      <c r="F1" s="12" t="s">
        <v>2272</v>
      </c>
    </row>
    <row r="2" spans="1:6" x14ac:dyDescent="0.2">
      <c r="A2" t="s">
        <v>2118</v>
      </c>
      <c r="B2" t="s">
        <v>955</v>
      </c>
      <c r="C2" t="s">
        <v>952</v>
      </c>
      <c r="D2">
        <v>1</v>
      </c>
      <c r="E2" s="125" t="s">
        <v>271</v>
      </c>
      <c r="F2" s="13" t="s">
        <v>2273</v>
      </c>
    </row>
    <row r="3" spans="1:6" x14ac:dyDescent="0.2">
      <c r="A3" t="s">
        <v>2038</v>
      </c>
      <c r="B3" t="s">
        <v>867</v>
      </c>
      <c r="C3" t="s">
        <v>958</v>
      </c>
      <c r="D3">
        <v>3</v>
      </c>
      <c r="E3" s="125" t="s">
        <v>2815</v>
      </c>
      <c r="F3" s="13" t="s">
        <v>2274</v>
      </c>
    </row>
    <row r="4" spans="1:6" x14ac:dyDescent="0.2">
      <c r="A4" t="s">
        <v>2127</v>
      </c>
      <c r="B4" t="s">
        <v>949</v>
      </c>
      <c r="C4" t="s">
        <v>946</v>
      </c>
      <c r="D4">
        <v>1</v>
      </c>
      <c r="E4" s="125" t="s">
        <v>271</v>
      </c>
      <c r="F4" s="13" t="s">
        <v>2275</v>
      </c>
    </row>
    <row r="5" spans="1:6" x14ac:dyDescent="0.2">
      <c r="A5" t="s">
        <v>2007</v>
      </c>
      <c r="B5" t="s">
        <v>949</v>
      </c>
      <c r="C5" t="s">
        <v>946</v>
      </c>
      <c r="D5">
        <v>1</v>
      </c>
      <c r="E5" s="125" t="s">
        <v>201</v>
      </c>
      <c r="F5" s="13" t="s">
        <v>2276</v>
      </c>
    </row>
    <row r="6" spans="1:6" x14ac:dyDescent="0.2">
      <c r="A6" t="s">
        <v>2209</v>
      </c>
      <c r="B6" t="s">
        <v>906</v>
      </c>
      <c r="C6" t="s">
        <v>935</v>
      </c>
      <c r="D6">
        <v>1</v>
      </c>
      <c r="E6" s="125" t="s">
        <v>275</v>
      </c>
      <c r="F6" s="13" t="s">
        <v>2277</v>
      </c>
    </row>
    <row r="7" spans="1:6" x14ac:dyDescent="0.2">
      <c r="A7" t="s">
        <v>2073</v>
      </c>
      <c r="B7" t="s">
        <v>949</v>
      </c>
      <c r="C7" t="s">
        <v>946</v>
      </c>
      <c r="D7">
        <v>1</v>
      </c>
      <c r="E7" s="125" t="s">
        <v>206</v>
      </c>
      <c r="F7" s="13" t="s">
        <v>2278</v>
      </c>
    </row>
    <row r="8" spans="1:6" x14ac:dyDescent="0.2">
      <c r="A8" t="s">
        <v>2019</v>
      </c>
      <c r="B8" t="s">
        <v>886</v>
      </c>
      <c r="C8" t="s">
        <v>920</v>
      </c>
      <c r="D8">
        <v>2</v>
      </c>
      <c r="E8" s="125" t="s">
        <v>2816</v>
      </c>
      <c r="F8" s="13" t="s">
        <v>2279</v>
      </c>
    </row>
    <row r="9" spans="1:6" x14ac:dyDescent="0.2">
      <c r="A9" t="s">
        <v>2231</v>
      </c>
      <c r="B9" t="s">
        <v>867</v>
      </c>
      <c r="C9" t="s">
        <v>958</v>
      </c>
      <c r="D9">
        <v>2</v>
      </c>
      <c r="E9" s="125" t="s">
        <v>267</v>
      </c>
      <c r="F9" s="13" t="s">
        <v>2280</v>
      </c>
    </row>
    <row r="10" spans="1:6" x14ac:dyDescent="0.2">
      <c r="A10" t="s">
        <v>2124</v>
      </c>
      <c r="B10" t="s">
        <v>943</v>
      </c>
      <c r="C10" t="s">
        <v>940</v>
      </c>
      <c r="D10">
        <v>1</v>
      </c>
      <c r="E10" s="125" t="s">
        <v>271</v>
      </c>
      <c r="F10" s="13" t="s">
        <v>2281</v>
      </c>
    </row>
    <row r="11" spans="1:6" x14ac:dyDescent="0.2">
      <c r="A11" t="s">
        <v>2153</v>
      </c>
      <c r="B11" t="s">
        <v>874</v>
      </c>
      <c r="C11" t="s">
        <v>925</v>
      </c>
      <c r="D11">
        <v>1</v>
      </c>
      <c r="E11" s="125" t="s">
        <v>271</v>
      </c>
      <c r="F11" s="13" t="s">
        <v>2282</v>
      </c>
    </row>
    <row r="12" spans="1:6" x14ac:dyDescent="0.2">
      <c r="A12" t="s">
        <v>532</v>
      </c>
      <c r="B12" t="s">
        <v>933</v>
      </c>
      <c r="C12" t="s">
        <v>930</v>
      </c>
      <c r="D12">
        <v>1</v>
      </c>
      <c r="E12" s="125" t="s">
        <v>201</v>
      </c>
      <c r="F12" s="13" t="s">
        <v>2283</v>
      </c>
    </row>
    <row r="13" spans="1:6" x14ac:dyDescent="0.2">
      <c r="A13" t="s">
        <v>2190</v>
      </c>
      <c r="B13" t="s">
        <v>906</v>
      </c>
      <c r="C13" t="s">
        <v>935</v>
      </c>
      <c r="D13">
        <v>1</v>
      </c>
      <c r="E13" s="125" t="s">
        <v>275</v>
      </c>
      <c r="F13" s="13" t="s">
        <v>2284</v>
      </c>
    </row>
    <row r="14" spans="1:6" x14ac:dyDescent="0.2">
      <c r="A14" t="s">
        <v>2265</v>
      </c>
      <c r="B14" t="s">
        <v>933</v>
      </c>
      <c r="C14" t="s">
        <v>930</v>
      </c>
      <c r="D14">
        <v>1</v>
      </c>
      <c r="E14" s="125" t="s">
        <v>267</v>
      </c>
      <c r="F14" s="13" t="s">
        <v>2285</v>
      </c>
    </row>
    <row r="15" spans="1:6" x14ac:dyDescent="0.2">
      <c r="A15" t="s">
        <v>2030</v>
      </c>
      <c r="B15" t="s">
        <v>874</v>
      </c>
      <c r="C15" t="s">
        <v>925</v>
      </c>
      <c r="D15">
        <v>1</v>
      </c>
      <c r="E15" s="125" t="s">
        <v>201</v>
      </c>
      <c r="F15" s="13" t="s">
        <v>2286</v>
      </c>
    </row>
    <row r="16" spans="1:6" x14ac:dyDescent="0.2">
      <c r="A16" t="s">
        <v>2199</v>
      </c>
      <c r="B16" t="s">
        <v>906</v>
      </c>
      <c r="C16" t="s">
        <v>935</v>
      </c>
      <c r="D16">
        <v>1</v>
      </c>
      <c r="E16" s="125" t="s">
        <v>275</v>
      </c>
      <c r="F16" s="13" t="s">
        <v>2287</v>
      </c>
    </row>
    <row r="17" spans="1:6" x14ac:dyDescent="0.2">
      <c r="A17" t="s">
        <v>2013</v>
      </c>
      <c r="B17" t="s">
        <v>943</v>
      </c>
      <c r="C17" t="s">
        <v>940</v>
      </c>
      <c r="D17">
        <v>3</v>
      </c>
      <c r="E17" s="125" t="s">
        <v>2824</v>
      </c>
      <c r="F17" s="13" t="s">
        <v>2288</v>
      </c>
    </row>
    <row r="18" spans="1:6" x14ac:dyDescent="0.2">
      <c r="A18" t="s">
        <v>2228</v>
      </c>
      <c r="B18" t="s">
        <v>867</v>
      </c>
      <c r="C18" t="s">
        <v>958</v>
      </c>
      <c r="D18">
        <v>2</v>
      </c>
      <c r="E18" s="125" t="s">
        <v>267</v>
      </c>
      <c r="F18" s="13" t="s">
        <v>2289</v>
      </c>
    </row>
    <row r="19" spans="1:6" x14ac:dyDescent="0.2">
      <c r="A19" t="s">
        <v>2000</v>
      </c>
      <c r="B19" t="s">
        <v>867</v>
      </c>
      <c r="C19" t="s">
        <v>958</v>
      </c>
      <c r="D19">
        <v>1</v>
      </c>
      <c r="E19" s="125" t="s">
        <v>201</v>
      </c>
      <c r="F19" s="13" t="s">
        <v>2290</v>
      </c>
    </row>
    <row r="20" spans="1:6" x14ac:dyDescent="0.2">
      <c r="A20" t="s">
        <v>2225</v>
      </c>
      <c r="B20" t="s">
        <v>867</v>
      </c>
      <c r="C20" t="s">
        <v>958</v>
      </c>
      <c r="D20">
        <v>1</v>
      </c>
      <c r="E20" s="125" t="s">
        <v>267</v>
      </c>
      <c r="F20" s="13" t="s">
        <v>2291</v>
      </c>
    </row>
    <row r="21" spans="1:6" x14ac:dyDescent="0.2">
      <c r="A21" t="s">
        <v>2174</v>
      </c>
      <c r="B21" t="s">
        <v>861</v>
      </c>
      <c r="C21" t="s">
        <v>858</v>
      </c>
      <c r="D21">
        <v>1</v>
      </c>
      <c r="E21" s="125" t="s">
        <v>275</v>
      </c>
      <c r="F21" s="13" t="s">
        <v>2292</v>
      </c>
    </row>
    <row r="22" spans="1:6" x14ac:dyDescent="0.2">
      <c r="A22" t="s">
        <v>2047</v>
      </c>
      <c r="B22" t="s">
        <v>886</v>
      </c>
      <c r="C22" t="s">
        <v>920</v>
      </c>
      <c r="D22">
        <v>1</v>
      </c>
      <c r="E22" s="125" t="s">
        <v>201</v>
      </c>
      <c r="F22" s="13" t="s">
        <v>2293</v>
      </c>
    </row>
    <row r="23" spans="1:6" x14ac:dyDescent="0.2">
      <c r="A23" t="s">
        <v>2115</v>
      </c>
      <c r="B23" t="s">
        <v>861</v>
      </c>
      <c r="C23" t="s">
        <v>858</v>
      </c>
      <c r="D23">
        <v>2</v>
      </c>
      <c r="E23" s="125" t="s">
        <v>271</v>
      </c>
      <c r="F23" s="13" t="s">
        <v>2294</v>
      </c>
    </row>
    <row r="24" spans="1:6" x14ac:dyDescent="0.2">
      <c r="A24" t="s">
        <v>2169</v>
      </c>
      <c r="B24" t="s">
        <v>861</v>
      </c>
      <c r="C24" t="s">
        <v>858</v>
      </c>
      <c r="D24">
        <v>1</v>
      </c>
      <c r="E24" s="125" t="s">
        <v>275</v>
      </c>
      <c r="F24" s="13" t="s">
        <v>2295</v>
      </c>
    </row>
    <row r="25" spans="1:6" x14ac:dyDescent="0.2">
      <c r="A25" t="s">
        <v>2239</v>
      </c>
      <c r="B25" t="s">
        <v>867</v>
      </c>
      <c r="C25" t="s">
        <v>958</v>
      </c>
      <c r="D25">
        <v>1</v>
      </c>
      <c r="E25" s="125" t="s">
        <v>267</v>
      </c>
      <c r="F25" s="13" t="s">
        <v>2296</v>
      </c>
    </row>
    <row r="26" spans="1:6" x14ac:dyDescent="0.2">
      <c r="A26" t="s">
        <v>2016</v>
      </c>
      <c r="B26" t="s">
        <v>861</v>
      </c>
      <c r="C26" t="s">
        <v>858</v>
      </c>
      <c r="D26">
        <v>2</v>
      </c>
      <c r="E26" s="125" t="s">
        <v>2823</v>
      </c>
      <c r="F26" s="13" t="s">
        <v>2297</v>
      </c>
    </row>
    <row r="27" spans="1:6" x14ac:dyDescent="0.2">
      <c r="A27" t="s">
        <v>2262</v>
      </c>
      <c r="B27" t="s">
        <v>867</v>
      </c>
      <c r="C27" t="s">
        <v>958</v>
      </c>
      <c r="D27">
        <v>1</v>
      </c>
      <c r="E27" s="125" t="s">
        <v>267</v>
      </c>
      <c r="F27" s="13" t="s">
        <v>2298</v>
      </c>
    </row>
    <row r="28" spans="1:6" x14ac:dyDescent="0.2">
      <c r="A28" t="s">
        <v>2212</v>
      </c>
      <c r="B28" t="s">
        <v>906</v>
      </c>
      <c r="C28" t="s">
        <v>935</v>
      </c>
      <c r="D28">
        <v>1</v>
      </c>
      <c r="E28" s="125" t="s">
        <v>275</v>
      </c>
      <c r="F28" s="13" t="s">
        <v>2299</v>
      </c>
    </row>
    <row r="29" spans="1:6" x14ac:dyDescent="0.2">
      <c r="A29" t="s">
        <v>2136</v>
      </c>
      <c r="B29" t="s">
        <v>943</v>
      </c>
      <c r="C29" t="s">
        <v>940</v>
      </c>
      <c r="D29">
        <v>2</v>
      </c>
      <c r="E29" s="125" t="s">
        <v>2817</v>
      </c>
      <c r="F29" s="13" t="s">
        <v>2300</v>
      </c>
    </row>
    <row r="30" spans="1:6" x14ac:dyDescent="0.2">
      <c r="A30" t="s">
        <v>2093</v>
      </c>
      <c r="B30" t="s">
        <v>949</v>
      </c>
      <c r="C30" t="s">
        <v>946</v>
      </c>
      <c r="D30">
        <v>1</v>
      </c>
      <c r="E30" s="125" t="s">
        <v>206</v>
      </c>
      <c r="F30" s="13" t="s">
        <v>2301</v>
      </c>
    </row>
    <row r="31" spans="1:6" x14ac:dyDescent="0.2">
      <c r="A31" t="s">
        <v>2250</v>
      </c>
      <c r="B31" t="s">
        <v>867</v>
      </c>
      <c r="C31" t="s">
        <v>958</v>
      </c>
      <c r="D31">
        <v>1</v>
      </c>
      <c r="E31" s="125" t="s">
        <v>267</v>
      </c>
      <c r="F31" s="13" t="s">
        <v>2302</v>
      </c>
    </row>
    <row r="32" spans="1:6" x14ac:dyDescent="0.2">
      <c r="A32" t="s">
        <v>2245</v>
      </c>
      <c r="B32" t="s">
        <v>867</v>
      </c>
      <c r="C32" t="s">
        <v>958</v>
      </c>
      <c r="D32">
        <v>1</v>
      </c>
      <c r="E32" s="125" t="s">
        <v>267</v>
      </c>
      <c r="F32" s="13" t="s">
        <v>2303</v>
      </c>
    </row>
    <row r="33" spans="1:6" x14ac:dyDescent="0.2">
      <c r="A33" t="s">
        <v>1992</v>
      </c>
      <c r="B33" t="s">
        <v>949</v>
      </c>
      <c r="C33" t="s">
        <v>946</v>
      </c>
      <c r="D33">
        <v>4</v>
      </c>
      <c r="E33" s="125" t="s">
        <v>2822</v>
      </c>
      <c r="F33" s="13" t="s">
        <v>2304</v>
      </c>
    </row>
    <row r="34" spans="1:6" x14ac:dyDescent="0.2">
      <c r="A34" t="s">
        <v>2164</v>
      </c>
      <c r="B34" t="s">
        <v>906</v>
      </c>
      <c r="C34" t="s">
        <v>935</v>
      </c>
      <c r="D34">
        <v>1</v>
      </c>
      <c r="E34" s="125" t="s">
        <v>275</v>
      </c>
      <c r="F34" s="13" t="s">
        <v>2305</v>
      </c>
    </row>
    <row r="35" spans="1:6" x14ac:dyDescent="0.2">
      <c r="A35" t="s">
        <v>2144</v>
      </c>
      <c r="B35" t="s">
        <v>855</v>
      </c>
      <c r="C35" t="s">
        <v>852</v>
      </c>
      <c r="D35">
        <v>2</v>
      </c>
      <c r="E35" s="125" t="s">
        <v>271</v>
      </c>
      <c r="F35" s="13" t="s">
        <v>2306</v>
      </c>
    </row>
    <row r="36" spans="1:6" x14ac:dyDescent="0.2">
      <c r="A36" t="s">
        <v>2033</v>
      </c>
      <c r="B36" t="s">
        <v>867</v>
      </c>
      <c r="C36" t="s">
        <v>958</v>
      </c>
      <c r="D36">
        <v>4</v>
      </c>
      <c r="E36" s="125" t="s">
        <v>2821</v>
      </c>
      <c r="F36" s="13" t="s">
        <v>2307</v>
      </c>
    </row>
    <row r="37" spans="1:6" x14ac:dyDescent="0.2">
      <c r="A37" t="s">
        <v>2236</v>
      </c>
      <c r="B37" t="s">
        <v>874</v>
      </c>
      <c r="C37" t="s">
        <v>925</v>
      </c>
      <c r="D37">
        <v>2</v>
      </c>
      <c r="E37" s="125" t="s">
        <v>267</v>
      </c>
      <c r="F37" s="13" t="s">
        <v>2308</v>
      </c>
    </row>
    <row r="38" spans="1:6" x14ac:dyDescent="0.2">
      <c r="A38" t="s">
        <v>2185</v>
      </c>
      <c r="B38" t="s">
        <v>861</v>
      </c>
      <c r="C38" t="s">
        <v>858</v>
      </c>
      <c r="D38">
        <v>1</v>
      </c>
      <c r="E38" s="125" t="s">
        <v>275</v>
      </c>
      <c r="F38" s="13" t="s">
        <v>2309</v>
      </c>
    </row>
    <row r="39" spans="1:6" x14ac:dyDescent="0.2">
      <c r="A39" t="s">
        <v>2130</v>
      </c>
      <c r="B39" t="s">
        <v>855</v>
      </c>
      <c r="C39" t="s">
        <v>852</v>
      </c>
      <c r="D39">
        <v>1</v>
      </c>
      <c r="E39" s="125" t="s">
        <v>271</v>
      </c>
      <c r="F39" s="13" t="s">
        <v>2310</v>
      </c>
    </row>
    <row r="40" spans="1:6" x14ac:dyDescent="0.2">
      <c r="A40" t="s">
        <v>2139</v>
      </c>
      <c r="B40" t="s">
        <v>943</v>
      </c>
      <c r="C40" t="s">
        <v>940</v>
      </c>
      <c r="D40">
        <v>1</v>
      </c>
      <c r="E40" s="125" t="s">
        <v>271</v>
      </c>
      <c r="F40" s="13" t="s">
        <v>2311</v>
      </c>
    </row>
    <row r="41" spans="1:6" x14ac:dyDescent="0.2">
      <c r="A41" t="s">
        <v>2078</v>
      </c>
      <c r="B41" t="s">
        <v>955</v>
      </c>
      <c r="C41" t="s">
        <v>952</v>
      </c>
      <c r="D41">
        <v>1</v>
      </c>
      <c r="E41" s="125" t="s">
        <v>206</v>
      </c>
      <c r="F41" s="13" t="s">
        <v>2312</v>
      </c>
    </row>
    <row r="42" spans="1:6" x14ac:dyDescent="0.2">
      <c r="A42" t="s">
        <v>2062</v>
      </c>
      <c r="B42" t="s">
        <v>886</v>
      </c>
      <c r="C42" t="s">
        <v>920</v>
      </c>
      <c r="D42">
        <v>2</v>
      </c>
      <c r="E42" s="125" t="s">
        <v>206</v>
      </c>
      <c r="F42" s="13" t="s">
        <v>2313</v>
      </c>
    </row>
    <row r="43" spans="1:6" x14ac:dyDescent="0.2">
      <c r="A43" t="s">
        <v>2182</v>
      </c>
      <c r="B43" t="s">
        <v>861</v>
      </c>
      <c r="C43" t="s">
        <v>858</v>
      </c>
      <c r="D43">
        <v>1</v>
      </c>
      <c r="E43" s="125" t="s">
        <v>275</v>
      </c>
      <c r="F43" s="13" t="s">
        <v>2314</v>
      </c>
    </row>
    <row r="44" spans="1:6" x14ac:dyDescent="0.2">
      <c r="A44" t="s">
        <v>2222</v>
      </c>
      <c r="B44" t="s">
        <v>943</v>
      </c>
      <c r="C44" t="s">
        <v>940</v>
      </c>
      <c r="D44">
        <v>2</v>
      </c>
      <c r="E44" s="125" t="s">
        <v>267</v>
      </c>
      <c r="F44" s="13" t="s">
        <v>2315</v>
      </c>
    </row>
    <row r="45" spans="1:6" x14ac:dyDescent="0.2">
      <c r="A45" t="s">
        <v>2022</v>
      </c>
      <c r="B45" t="s">
        <v>867</v>
      </c>
      <c r="C45" t="s">
        <v>958</v>
      </c>
      <c r="D45">
        <v>3</v>
      </c>
      <c r="E45" s="125" t="s">
        <v>2820</v>
      </c>
      <c r="F45" s="13" t="s">
        <v>2316</v>
      </c>
    </row>
    <row r="46" spans="1:6" x14ac:dyDescent="0.2">
      <c r="A46" t="s">
        <v>2067</v>
      </c>
      <c r="B46" t="s">
        <v>933</v>
      </c>
      <c r="C46" t="s">
        <v>930</v>
      </c>
      <c r="D46">
        <v>2</v>
      </c>
      <c r="E46" s="125" t="s">
        <v>206</v>
      </c>
      <c r="F46" s="13" t="s">
        <v>2317</v>
      </c>
    </row>
    <row r="47" spans="1:6" x14ac:dyDescent="0.2">
      <c r="A47" t="s">
        <v>2088</v>
      </c>
      <c r="B47" t="s">
        <v>867</v>
      </c>
      <c r="C47" t="s">
        <v>958</v>
      </c>
      <c r="D47">
        <v>1</v>
      </c>
      <c r="E47" s="125" t="s">
        <v>206</v>
      </c>
      <c r="F47" s="13" t="s">
        <v>2318</v>
      </c>
    </row>
    <row r="48" spans="1:6" x14ac:dyDescent="0.2">
      <c r="A48" t="s">
        <v>2196</v>
      </c>
      <c r="B48" t="s">
        <v>867</v>
      </c>
      <c r="C48" t="s">
        <v>958</v>
      </c>
      <c r="D48">
        <v>1</v>
      </c>
      <c r="E48" s="125" t="s">
        <v>275</v>
      </c>
      <c r="F48" s="13" t="s">
        <v>2319</v>
      </c>
    </row>
    <row r="49" spans="1:6" x14ac:dyDescent="0.2">
      <c r="A49" t="s">
        <v>2100</v>
      </c>
      <c r="B49" t="s">
        <v>933</v>
      </c>
      <c r="C49" t="s">
        <v>930</v>
      </c>
      <c r="D49">
        <v>1</v>
      </c>
      <c r="E49" s="125" t="s">
        <v>206</v>
      </c>
      <c r="F49" s="13" t="s">
        <v>2320</v>
      </c>
    </row>
    <row r="50" spans="1:6" x14ac:dyDescent="0.2">
      <c r="A50" t="s">
        <v>2133</v>
      </c>
      <c r="B50" t="s">
        <v>874</v>
      </c>
      <c r="C50" t="s">
        <v>925</v>
      </c>
      <c r="D50">
        <v>1</v>
      </c>
      <c r="E50" s="125" t="s">
        <v>271</v>
      </c>
      <c r="F50" s="13" t="s">
        <v>2321</v>
      </c>
    </row>
    <row r="51" spans="1:6" x14ac:dyDescent="0.2">
      <c r="A51" t="s">
        <v>1997</v>
      </c>
      <c r="B51" t="s">
        <v>886</v>
      </c>
      <c r="C51" t="s">
        <v>920</v>
      </c>
      <c r="D51">
        <v>1</v>
      </c>
      <c r="E51" s="125" t="s">
        <v>201</v>
      </c>
      <c r="F51" s="13" t="s">
        <v>2322</v>
      </c>
    </row>
    <row r="52" spans="1:6" x14ac:dyDescent="0.2">
      <c r="A52" t="s">
        <v>2112</v>
      </c>
      <c r="B52" t="s">
        <v>943</v>
      </c>
      <c r="C52" t="s">
        <v>940</v>
      </c>
      <c r="D52">
        <v>1</v>
      </c>
      <c r="E52" s="125" t="s">
        <v>271</v>
      </c>
      <c r="F52" s="13" t="s">
        <v>2323</v>
      </c>
    </row>
    <row r="53" spans="1:6" x14ac:dyDescent="0.2">
      <c r="A53" t="s">
        <v>2050</v>
      </c>
      <c r="B53" t="s">
        <v>933</v>
      </c>
      <c r="C53" t="s">
        <v>930</v>
      </c>
      <c r="D53">
        <v>1</v>
      </c>
      <c r="E53" s="125" t="s">
        <v>201</v>
      </c>
      <c r="F53" s="13" t="s">
        <v>2324</v>
      </c>
    </row>
    <row r="54" spans="1:6" x14ac:dyDescent="0.2">
      <c r="A54" t="s">
        <v>73</v>
      </c>
      <c r="B54" t="s">
        <v>861</v>
      </c>
      <c r="C54" t="s">
        <v>858</v>
      </c>
      <c r="D54">
        <v>1</v>
      </c>
      <c r="E54" s="125" t="s">
        <v>275</v>
      </c>
      <c r="F54" s="13" t="s">
        <v>2325</v>
      </c>
    </row>
    <row r="55" spans="1:6" x14ac:dyDescent="0.2">
      <c r="A55" t="s">
        <v>2070</v>
      </c>
      <c r="B55" t="s">
        <v>874</v>
      </c>
      <c r="C55" t="s">
        <v>925</v>
      </c>
      <c r="D55">
        <v>2</v>
      </c>
      <c r="E55" s="125" t="s">
        <v>2819</v>
      </c>
      <c r="F55" s="13" t="s">
        <v>2326</v>
      </c>
    </row>
    <row r="56" spans="1:6" x14ac:dyDescent="0.2">
      <c r="A56" t="s">
        <v>2193</v>
      </c>
      <c r="B56" t="s">
        <v>906</v>
      </c>
      <c r="C56" t="s">
        <v>935</v>
      </c>
      <c r="D56">
        <v>1</v>
      </c>
      <c r="E56" s="125" t="s">
        <v>275</v>
      </c>
      <c r="F56" s="13" t="s">
        <v>2327</v>
      </c>
    </row>
    <row r="57" spans="1:6" x14ac:dyDescent="0.2">
      <c r="A57" t="s">
        <v>2179</v>
      </c>
      <c r="B57" t="s">
        <v>861</v>
      </c>
      <c r="C57" t="s">
        <v>858</v>
      </c>
      <c r="D57">
        <v>1</v>
      </c>
      <c r="E57" s="125" t="s">
        <v>275</v>
      </c>
      <c r="F57" s="13" t="s">
        <v>2328</v>
      </c>
    </row>
    <row r="58" spans="1:6" x14ac:dyDescent="0.2">
      <c r="A58" t="s">
        <v>2242</v>
      </c>
      <c r="B58" t="s">
        <v>867</v>
      </c>
      <c r="C58" t="s">
        <v>958</v>
      </c>
      <c r="D58">
        <v>1</v>
      </c>
      <c r="E58" s="125" t="s">
        <v>267</v>
      </c>
      <c r="F58" s="13" t="s">
        <v>2329</v>
      </c>
    </row>
    <row r="59" spans="1:6" x14ac:dyDescent="0.2">
      <c r="A59" t="s">
        <v>2025</v>
      </c>
      <c r="B59" t="s">
        <v>861</v>
      </c>
      <c r="C59" t="s">
        <v>858</v>
      </c>
      <c r="D59">
        <v>2</v>
      </c>
      <c r="E59" s="125" t="s">
        <v>201</v>
      </c>
      <c r="F59" s="13" t="s">
        <v>2330</v>
      </c>
    </row>
    <row r="60" spans="1:6" x14ac:dyDescent="0.2">
      <c r="A60" t="s">
        <v>2121</v>
      </c>
      <c r="B60" t="s">
        <v>867</v>
      </c>
      <c r="C60" t="s">
        <v>958</v>
      </c>
      <c r="D60">
        <v>3</v>
      </c>
      <c r="E60" s="125" t="s">
        <v>2818</v>
      </c>
      <c r="F60" s="13" t="s">
        <v>2331</v>
      </c>
    </row>
    <row r="61" spans="1:6" x14ac:dyDescent="0.2">
      <c r="A61" t="s">
        <v>2160</v>
      </c>
      <c r="B61" t="s">
        <v>874</v>
      </c>
      <c r="C61" t="s">
        <v>925</v>
      </c>
      <c r="D61">
        <v>1</v>
      </c>
      <c r="E61" s="125" t="s">
        <v>271</v>
      </c>
      <c r="F61" s="13" t="s">
        <v>2332</v>
      </c>
    </row>
    <row r="62" spans="1:6" x14ac:dyDescent="0.2">
      <c r="A62" t="s">
        <v>2204</v>
      </c>
      <c r="B62" t="s">
        <v>943</v>
      </c>
      <c r="C62" t="s">
        <v>940</v>
      </c>
      <c r="D62">
        <v>1</v>
      </c>
      <c r="E62" s="125" t="s">
        <v>275</v>
      </c>
      <c r="F62" s="13" t="s">
        <v>2333</v>
      </c>
    </row>
    <row r="63" spans="1:6" x14ac:dyDescent="0.2">
      <c r="A63" t="s">
        <v>2105</v>
      </c>
      <c r="B63" t="s">
        <v>949</v>
      </c>
      <c r="C63" t="s">
        <v>946</v>
      </c>
      <c r="D63">
        <v>1</v>
      </c>
      <c r="E63" s="125" t="s">
        <v>206</v>
      </c>
      <c r="F63" s="13" t="s">
        <v>2334</v>
      </c>
    </row>
    <row r="64" spans="1:6" x14ac:dyDescent="0.2">
      <c r="A64" t="s">
        <v>199</v>
      </c>
      <c r="B64" t="s">
        <v>855</v>
      </c>
      <c r="C64" t="s">
        <v>852</v>
      </c>
      <c r="D64">
        <v>2</v>
      </c>
      <c r="E64" s="125" t="s">
        <v>2817</v>
      </c>
      <c r="F64" s="13" t="s">
        <v>2335</v>
      </c>
    </row>
    <row r="65" spans="1:6" x14ac:dyDescent="0.2">
      <c r="A65" t="s">
        <v>2044</v>
      </c>
      <c r="B65" t="s">
        <v>867</v>
      </c>
      <c r="C65" t="s">
        <v>958</v>
      </c>
      <c r="D65">
        <v>1</v>
      </c>
      <c r="E65" s="125" t="s">
        <v>201</v>
      </c>
      <c r="F65" s="13" t="s">
        <v>2336</v>
      </c>
    </row>
    <row r="66" spans="1:6" x14ac:dyDescent="0.2">
      <c r="A66" t="s">
        <v>2041</v>
      </c>
      <c r="B66" t="s">
        <v>933</v>
      </c>
      <c r="C66" t="s">
        <v>930</v>
      </c>
      <c r="D66">
        <v>4</v>
      </c>
      <c r="E66" s="125" t="s">
        <v>2816</v>
      </c>
      <c r="F66" s="13" t="s">
        <v>2337</v>
      </c>
    </row>
    <row r="67" spans="1:6" x14ac:dyDescent="0.2">
      <c r="A67" t="s">
        <v>2010</v>
      </c>
      <c r="B67" t="s">
        <v>886</v>
      </c>
      <c r="C67" t="s">
        <v>920</v>
      </c>
      <c r="D67">
        <v>1</v>
      </c>
      <c r="E67" s="125" t="s">
        <v>201</v>
      </c>
      <c r="F67" s="13" t="s">
        <v>2338</v>
      </c>
    </row>
    <row r="68" spans="1:6" x14ac:dyDescent="0.2">
      <c r="A68" t="s">
        <v>2259</v>
      </c>
      <c r="B68" t="s">
        <v>867</v>
      </c>
      <c r="C68" t="s">
        <v>958</v>
      </c>
      <c r="D68">
        <v>1</v>
      </c>
      <c r="E68" s="125" t="s">
        <v>267</v>
      </c>
      <c r="F68" s="13" t="s">
        <v>2339</v>
      </c>
    </row>
    <row r="69" spans="1:6" x14ac:dyDescent="0.2">
      <c r="A69" t="s">
        <v>2003</v>
      </c>
      <c r="B69" t="s">
        <v>886</v>
      </c>
      <c r="C69" t="s">
        <v>920</v>
      </c>
      <c r="D69">
        <v>1</v>
      </c>
      <c r="E69" s="125" t="s">
        <v>201</v>
      </c>
      <c r="F69" s="13" t="s">
        <v>2340</v>
      </c>
    </row>
    <row r="70" spans="1:6" x14ac:dyDescent="0.2">
      <c r="A70" t="s">
        <v>2083</v>
      </c>
      <c r="B70" t="s">
        <v>949</v>
      </c>
      <c r="C70" t="s">
        <v>946</v>
      </c>
      <c r="D70">
        <v>1</v>
      </c>
      <c r="E70" s="125" t="s">
        <v>206</v>
      </c>
      <c r="F70" s="13" t="s">
        <v>2341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H2"/>
  <sheetViews>
    <sheetView workbookViewId="0">
      <pane ySplit="1" topLeftCell="A2" activePane="bottomLeft" state="frozen"/>
    </sheetView>
  </sheetViews>
  <sheetFormatPr defaultRowHeight="15" x14ac:dyDescent="0.2"/>
  <sheetData>
    <row r="1" spans="1:8">
      <c r="A1" t="inlineStr">
        <is>
          <t xml:space="preserve">Visitor ID</t>
        </is>
      </c>
      <c r="B1" t="inlineStr">
        <is>
          <t xml:space="preserve">Visitor (EN)</t>
        </is>
      </c>
      <c r="C1" t="inlineStr">
        <is>
          <t xml:space="preserve">Visitor (JP)</t>
        </is>
      </c>
      <c r="D1" t="inlineStr">
        <is>
          <t xml:space="preserve">Romaji</t>
        </is>
      </c>
      <c r="E1" t="inlineStr">
        <is>
          <t xml:space="preserve">Role</t>
        </is>
      </c>
      <c r="F1" t="inlineStr">
        <is>
          <t xml:space="preserve">Stage</t>
        </is>
      </c>
      <c r="G1" t="inlineStr">
        <is>
          <t xml:space="preserve">Reward</t>
        </is>
      </c>
      <c r="H1" t="inlineStr">
        <is>
          <t xml:space="preserve">Penalty</t>
        </is>
      </c>
    </row>
    <row r="2" spans="1:8">
      <c r="A2" t="inlineStr">
        <is>
          <t xml:space="preserve">VI01</t>
        </is>
      </c>
      <c r="B2" t="inlineStr">
        <is>
          <t xml:space="preserve">Sample Constituent</t>
        </is>
      </c>
      <c r="D2" t="inlineStr">
        <is>
          <t xml:space="preserve">Sampuru</t>
        </is>
      </c>
      <c r="E2" t="inlineStr">
        <is>
          <t xml:space="preserve">Constituent</t>
        </is>
      </c>
      <c r="F2" t="inlineStr">
        <is>
          <t xml:space="preserve">ST07</t>
        </is>
      </c>
      <c r="G2" t="inlineStr">
        <is>
          <t xml:space="preserve">BO01 +1; BO02 +1-3</t>
        </is>
      </c>
      <c r="H2" t="inlineStr">
        <is>
          <t xml:space="preserve">BO01 -1</t>
        </is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L2"/>
  <sheetViews>
    <sheetView workbookViewId="0">
      <pane ySplit="1" topLeftCell="A2" activePane="bottomLeft" state="frozen"/>
    </sheetView>
  </sheetViews>
  <sheetFormatPr defaultRowHeight="15" x14ac:dyDescent="0.2"/>
  <sheetData>
    <row r="1" spans="1:12">
      <c r="A1" t="inlineStr">
        <is>
          <t xml:space="preserve">Question ID</t>
        </is>
      </c>
      <c r="B1" t="inlineStr">
        <is>
          <t xml:space="preserve">Visitor ID</t>
        </is>
      </c>
      <c r="C1" t="inlineStr">
        <is>
          <t xml:space="preserve">Question text</t>
        </is>
      </c>
      <c r="D1" t="inlineStr">
        <is>
          <t xml:space="preserve">Choice A</t>
        </is>
      </c>
      <c r="E1" t="inlineStr">
        <is>
          <t xml:space="preserve">Choice B</t>
        </is>
      </c>
      <c r="F1" t="inlineStr">
        <is>
          <t xml:space="preserve">Choice C</t>
        </is>
      </c>
      <c r="G1" t="inlineStr">
        <is>
          <t xml:space="preserve">Choice D</t>
        </is>
      </c>
      <c r="H1" t="inlineStr">
        <is>
          <t xml:space="preserve">Correct Choice</t>
        </is>
      </c>
      <c r="I1" t="inlineStr">
        <is>
          <t xml:space="preserve">Response - Right</t>
        </is>
      </c>
      <c r="J1" t="inlineStr">
        <is>
          <t xml:space="preserve">Response - Wrong</t>
        </is>
      </c>
      <c r="K1" t="inlineStr">
        <is>
          <t xml:space="preserve">Reaction - Right</t>
        </is>
      </c>
      <c r="L1" t="inlineStr">
        <is>
          <t xml:space="preserve">Reaction - Wrong</t>
        </is>
      </c>
    </row>
    <row r="2" spans="1:12">
      <c r="A2" t="inlineStr">
        <is>
          <t xml:space="preserve">VQ01</t>
        </is>
      </c>
      <c r="B2" t="inlineStr">
        <is>
          <t xml:space="preserve">VI01</t>
        </is>
      </c>
      <c r="C2" t="inlineStr">
        <is>
          <t xml:space="preserve">What does the district need most right now?</t>
        </is>
      </c>
      <c r="D2" t="inlineStr">
        <is>
          <t xml:space="preserve">More funding for schools</t>
        </is>
      </c>
      <c r="E2" t="inlineStr">
        <is>
          <t xml:space="preserve">Lower local taxes</t>
        </is>
      </c>
      <c r="F2" t="inlineStr">
        <is>
          <t xml:space="preserve">Nothing, everything is fine</t>
        </is>
      </c>
      <c r="G2" t="inlineStr">
        <is>
          <t xml:space="preserve">A new stadium</t>
        </is>
      </c>
      <c r="H2" t="inlineStr">
        <is>
          <t xml:space="preserve">A</t>
        </is>
      </c>
      <c r="I2" t="inlineStr">
        <is>
          <t xml:space="preserve">Exactly what I've been saying!</t>
        </is>
      </c>
      <c r="J2" t="inlineStr">
        <is>
          <t xml:space="preserve">Hm, I'm not sure that's right.</t>
        </is>
      </c>
      <c r="K2" t="inlineStr">
        <is>
          <t xml:space="preserve">Nods approvingly.</t>
        </is>
      </c>
      <c r="L2" t="inlineStr">
        <is>
          <t xml:space="preserve">Frowns, unconvinced.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README</vt:lpstr>
      <vt:lpstr>Balance</vt:lpstr>
      <vt:lpstr>Suits</vt:lpstr>
      <vt:lpstr>Stages</vt:lpstr>
      <vt:lpstr>Levels</vt:lpstr>
      <vt:lpstr>Affinity</vt:lpstr>
      <vt:lpstr>Cards</vt:lpstr>
      <vt:lpstr>Segments</vt:lpstr>
      <vt:lpstr>Modifiers</vt:lpstr>
      <vt:lpstr>Boosters</vt:lpstr>
      <vt:lpstr>Shop</vt:lpstr>
      <vt:lpstr>Staff</vt:lpstr>
      <vt:lpstr>Opponents</vt:lpstr>
      <vt:lpstr>Sanban</vt:lpstr>
      <vt:lpstr>Text</vt:lpstr>
      <vt:lpstr>Flavor Text</vt:lpstr>
      <vt:lpstr>Tone Guide</vt:lpstr>
      <vt:lpstr>Press Questions</vt:lpstr>
      <vt:lpstr>Town Hall Questions</vt:lpstr>
      <vt:lpstr>Lobbyist Questions</vt:lpstr>
      <vt:lpstr>Study Session Questions</vt:lpstr>
      <vt:lpstr>Media Ambush Questions</vt:lpstr>
      <vt:lpstr>Question Themes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Cameron Gil</cp:lastModifiedBy>
  <cp:revision>0</cp:revision>
  <dcterms:created xsi:type="dcterms:W3CDTF">2026-09-18T14:33:20Z</dcterms:created>
  <dcterms:modified xsi:type="dcterms:W3CDTF">2026-09-22T09:35:39Z</dcterms:modified>
  <dc:language>en-US</dc:language>
</cp:coreProperties>
</file>