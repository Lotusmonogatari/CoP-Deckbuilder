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organisation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organisation's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organisation standing needed, as a whole number from 0 to 100 (15 = standing 15 or higher). Audience (SGxx) triggers pay out on a level win whoever was watching; organisation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organisation ID, BO followed by digits. Used everywhere: Grants, rewards, questions, opponents' Affiliation, Party Standing. Icon file is assets/icons/BOxx.png.</t>
        </r>
      </text>
    </comment>
    <comment ref="B1" authorId="0">
      <text>
        <r>
          <rPr>
            <sz val="10"/>
            <color theme="1"/>
            <rFont val="Calibri"/>
            <family val="2"/>
          </rPr>
          <t xml:space="preserve">The organisation's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organisation sells as backing, comma-separated. Buying one needs enough standing with this organisation (required_standing, 60). Blank = sells nothing.</t>
        </r>
      </text>
    </comment>
    <comment ref="G1" authorId="0">
      <text>
        <r>
          <rPr>
            <sz val="10"/>
            <color theme="1"/>
            <rFont val="Calibri"/>
            <family val="2"/>
          </rPr>
          <t xml:space="preserve">Standing 0-100 with this organisation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organisation's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organisation they belong to. Arguing this opponent's support to zero lowers that organisation's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organisations,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organisations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organisation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organisations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organisations;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(organisations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<sst xmlns="http://schemas.openxmlformats.org/spreadsheetml/2006/main" count="22451" uniqueCount="6996">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</sst>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inlineStr">
        <is>
          <t xml:space="preserve">MASTER (v9.22.26 lineage), refreshed 2026-10-12.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spans="1:2" ht="15" customHeight="1">
      <c r="A8" s="112" t="s">
        <v>403</v>
      </c>
      <c r="B8" s="111" t="inlineStr">
        <is>
          <t xml:space="preserve">23 stages (ST01–ST23): 20 Combat, 2 Non-combat (ST07 Office Hours, ST22 Party Steering Committee Check-In) and 1 Vote (ST23 Floor Voting). Per-stage combat stats, audience-segment mix, favored suit (formula, reads Affinity), sequence mode, and win/loss deltas to Jiban/Yen/Reputation/XP/Party support.</t>
        </is>
      </c>
    </row>
    <row r="9" spans="1:2" ht="15" customHeight="1">
      <c r="A9" s="112" t="s">
        <v>405</v>
      </c>
      <c r="B9" s="111" t="inlineStr">
        <is>
          <t xml:space="preserve">60 levels (LV01–LV60): LV01–LV30 are the ordinary levels, LV31–LV60 are one-time Floor Vote levels built around bills BI01–BI30. Sequences 1–10 stage slots (an STxx, or a BIxx for a Floor Vote), XP unlock cost by Policy Research Assistant tier, bonus win-reward ranges, and per-level Win Δ for each organisation.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inlineStr">
        <is>
          <t xml:space="preserve">29 modifiers (M01–M31, with gaps where some were retired), one or more per organisation. Effect is the human-readable description; Effect Type/Target/Value are the machine-readable columns the game reads instead of parsing the prose.</t>
        </is>
      </c>
    </row>
    <row r="14" spans="1:2" ht="15" customHeight="1">
      <c r="A14" s="112" t="s">
        <v>415</v>
      </c>
      <c r="B14" s="111" t="inlineStr">
        <is>
          <t xml:space="preserve">30 booster/organization groups (BO01–BO30) across Party/Constituency/National tiers, each with a comma-separated Linked modifiers list pointing into Modifiers and an optional Starting Standing.</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spans="1:2">
      <c r="A26" s="112" t="s">
        <v>439</v>
      </c>
      <c r="B26" s="111" t="inlineStr">
        <is>
          <t xml:space="preserve">Same structure as Press Questions, for the Media Ambush (27 questions, A01–A27).</t>
        </is>
      </c>
    </row>
    <row r="27" spans="1:2">
      <c r="A27" s="112" t="s">
        <v>441</v>
      </c>
      <c r="B27" s="111" t="inlineStr">
        <is>
          <t xml:space="preserve">201 question themes, each linked to the organisation(s) a Strong answer pleases (Organisation,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spans="1:3">
      <c r="A11" t="s">
        <v>4856</v>
      </c>
      <c r="B11">
        <v>1.3</v>
      </c>
      <c r="C11" t="s">
        <v>5138</v>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organisations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T2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6"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row>
    <row r="2" spans="1:46"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row>
    <row r="3" spans="1:46"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row>
    <row r="4" spans="1:46"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T4" t="inlineStr">
        <is>
          <t xml:space="preserve">Yes</t>
        </is>
      </c>
    </row>
    <row r="5" spans="1:46"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row>
    <row r="6" spans="1:46"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row>
    <row r="7" spans="1:46"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spans="1:46"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row>
    <row r="10" spans="1:46"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row>
    <row r="11" spans="1:46"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row>
    <row r="12" spans="1:46"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row>
    <row r="13" spans="1:46"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row>
    <row r="14" spans="1:46"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row>
    <row r="15" spans="1:46"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row>
    <row r="16" spans="1:46"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3</v>
      </c>
      <c r="AO16" s="4" t="s">
        <v>650</v>
      </c>
    </row>
    <row r="17" spans="1:46"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4</v>
      </c>
      <c r="AO17" s="4" t="s">
        <v>650</v>
      </c>
    </row>
    <row r="18" spans="1:46"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row>
    <row r="19" spans="1:46"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row>
    <row r="20" spans="1:46"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3</v>
      </c>
      <c r="AN20" s="4" t="s">
        <v>734</v>
      </c>
      <c r="AO20" s="4" t="s">
        <v>650</v>
      </c>
      <c r="AP20" s="4" t="s">
        <v>650</v>
      </c>
      <c r="AQ20" s="4" t="s">
        <v>650</v>
      </c>
    </row>
    <row r="21" spans="1:46"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row>
    <row r="22" spans="1:46"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s">
        <v>842</v>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inlineStr">
        <is>
          <t xml:space="preserve">Agricultural Price Stabilization Act</t>
        </is>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1"/>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26.85" customHeight="1">
      <c r="A11" s="4" t="s">
        <v>1249</v>
      </c>
      <c r="B11" s="4" t="s">
        <v>1250</v>
      </c>
      <c r="C11" s="11" t="s">
        <v>1251</v>
      </c>
      <c r="D11" s="4" t="s">
        <v>1252</v>
      </c>
      <c r="E11" s="4" t="s">
        <v>1245</v>
      </c>
      <c r="F11" s="87">
        <v>20</v>
      </c>
      <c r="G11" s="81" t="s">
        <v>1253</v>
      </c>
      <c r="H11" s="87">
        <v>5</v>
      </c>
      <c r="I11" s="87">
        <v>0</v>
      </c>
      <c r="J11" s="87">
        <v>0</v>
      </c>
      <c r="K11" s="84" t="s">
        <v>1191</v>
      </c>
      <c r="L11" s="84" t="s">
        <v>1254</v>
      </c>
      <c r="M11" s="84">
        <v>2</v>
      </c>
    </row>
    <row r="12" spans="1:13" ht="26.85" customHeight="1">
      <c r="A12" s="4" t="s">
        <v>1261</v>
      </c>
      <c r="B12" s="4" t="s">
        <v>1262</v>
      </c>
      <c r="C12" s="11" t="s">
        <v>1263</v>
      </c>
      <c r="D12" s="4" t="s">
        <v>1264</v>
      </c>
      <c r="E12" s="4" t="s">
        <v>1265</v>
      </c>
      <c r="F12" s="87">
        <v>15</v>
      </c>
      <c r="G12" s="81" t="s">
        <v>1266</v>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spans="1:13" ht="26.85" customHeight="1">
      <c r="A14" s="4" t="s">
        <v>1273</v>
      </c>
      <c r="B14" s="4" t="s">
        <v>1274</v>
      </c>
      <c r="C14" s="11" t="s">
        <v>1275</v>
      </c>
      <c r="D14" s="4" t="s">
        <v>1276</v>
      </c>
      <c r="E14" s="4" t="s">
        <v>1214</v>
      </c>
      <c r="F14" s="87">
        <v>25</v>
      </c>
      <c r="G14" s="81" t="s">
        <v>1277</v>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spans="1:13" ht="28.5" customHeight="1">
      <c r="A17" s="4" t="s">
        <v>1288</v>
      </c>
      <c r="B17" s="4" t="s">
        <v>1289</v>
      </c>
      <c r="C17" s="88" t="s">
        <v>1290</v>
      </c>
      <c r="D17" s="81" t="s">
        <v>1291</v>
      </c>
      <c r="E17" s="4" t="s">
        <v>1292</v>
      </c>
      <c r="F17" s="87">
        <v>15</v>
      </c>
      <c r="G17" s="81" t="s">
        <v>1253</v>
      </c>
      <c r="H17" s="87">
        <v>0</v>
      </c>
      <c r="I17" s="87">
        <v>0</v>
      </c>
      <c r="J17" s="87">
        <v>5000</v>
      </c>
      <c r="K17" s="84" t="s">
        <v>1191</v>
      </c>
      <c r="L17" s="84" t="s">
        <v>1254</v>
      </c>
      <c r="M17" s="84">
        <v>2</v>
      </c>
    </row>
    <row r="18" spans="1:13" ht="28.5" customHeight="1">
      <c r="A18" s="4" t="s">
        <v>1293</v>
      </c>
      <c r="B18" s="4" t="s">
        <v>1294</v>
      </c>
      <c r="C18" s="88" t="s">
        <v>1295</v>
      </c>
      <c r="D18" s="81" t="s">
        <v>1296</v>
      </c>
      <c r="E18" s="4" t="s">
        <v>1265</v>
      </c>
      <c r="F18" s="87">
        <v>25</v>
      </c>
      <c r="G18" s="81" t="s">
        <v>1297</v>
      </c>
      <c r="H18" s="87">
        <v>5</v>
      </c>
      <c r="I18" s="87">
        <v>10</v>
      </c>
      <c r="J18" s="87">
        <v>0</v>
      </c>
      <c r="K18" s="84" t="s">
        <v>1204</v>
      </c>
      <c r="L18" s="84" t="s">
        <v>721</v>
      </c>
      <c r="M18" s="84">
        <v>10</v>
      </c>
    </row>
    <row r="19" spans="1:13" ht="28.5" customHeight="1">
      <c r="A19" s="4" t="s">
        <v>1298</v>
      </c>
      <c r="B19" s="4" t="s">
        <v>1299</v>
      </c>
      <c r="C19" s="88" t="s">
        <v>1300</v>
      </c>
      <c r="D19" s="81" t="s">
        <v>1301</v>
      </c>
      <c r="E19" s="4" t="s">
        <v>1302</v>
      </c>
      <c r="F19" s="87">
        <v>20</v>
      </c>
      <c r="G19" s="81" t="s">
        <v>1303</v>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spans="1:13" ht="28.5" customHeight="1">
      <c r="A21" s="4" t="s">
        <v>1310</v>
      </c>
      <c r="B21" s="4" t="s">
        <v>1311</v>
      </c>
      <c r="C21" s="88" t="s">
        <v>1312</v>
      </c>
      <c r="D21" s="81" t="s">
        <v>1313</v>
      </c>
      <c r="E21" s="4" t="s">
        <v>1314</v>
      </c>
      <c r="F21" s="87">
        <v>15</v>
      </c>
      <c r="G21" s="81" t="s">
        <v>1315</v>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spans="1:13" ht="28.5" customHeight="1">
      <c r="A24" s="4" t="s">
        <v>1325</v>
      </c>
      <c r="B24" s="4" t="s">
        <v>1211</v>
      </c>
      <c r="C24" s="88" t="s">
        <v>1326</v>
      </c>
      <c r="D24" s="81" t="s">
        <v>1327</v>
      </c>
      <c r="E24" s="4" t="s">
        <v>1214</v>
      </c>
      <c r="F24" s="87">
        <v>30</v>
      </c>
      <c r="G24" s="81" t="s">
        <v>1328</v>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spans="1:13">
      <c r="A27" s="84" t="s">
        <v>1341</v>
      </c>
      <c r="B27" s="84" t="s">
        <v>1342</v>
      </c>
      <c r="C27" s="89" t="s">
        <v>1343</v>
      </c>
      <c r="D27" s="84" t="s">
        <v>1344</v>
      </c>
      <c r="E27" s="84" t="s">
        <v>1345</v>
      </c>
      <c r="F27" s="90">
        <v>15</v>
      </c>
      <c r="G27" s="82" t="s">
        <v>1197</v>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spans="1:13">
      <c r="A30" s="84" t="s">
        <v>1358</v>
      </c>
      <c r="B30" s="84" t="s">
        <v>1359</v>
      </c>
      <c r="C30" s="89" t="s">
        <v>1360</v>
      </c>
      <c r="D30" s="84" t="s">
        <v>1361</v>
      </c>
      <c r="E30" s="84" t="s">
        <v>1362</v>
      </c>
      <c r="F30" s="90">
        <v>20</v>
      </c>
      <c r="G30" s="82" t="s">
        <v>1363</v>
      </c>
      <c r="H30" s="90">
        <v>10</v>
      </c>
      <c r="I30" s="90">
        <v>5</v>
      </c>
      <c r="J30" s="90">
        <v>0</v>
      </c>
      <c r="K30" s="84" t="s">
        <v>1204</v>
      </c>
      <c r="L30" s="84" t="s">
        <v>717</v>
      </c>
      <c r="M30" s="84">
        <v>10</v>
      </c>
    </row>
    <row r="31" spans="1:11">
      <c r="A31" s="84"/>
      <c r="B31" s="84"/>
      <c r="C31" s="89"/>
      <c r="D31" s="84"/>
      <c r="G31" s="82"/>
      <c r="H31" s="90"/>
      <c r="I31" s="90"/>
      <c r="J31" s="90"/>
      <c r="K31"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4999</v>
      </c>
      <c r="C18" t="s">
        <v>1412</v>
      </c>
      <c r="D18" t="s">
        <v>1413</v>
      </c>
      <c r="E18" t="s">
        <v>1383</v>
      </c>
      <c r="G18">
        <v>20</v>
      </c>
    </row>
    <row r="19" spans="1:7">
      <c r="A19" t="s">
        <v>1414</v>
      </c>
      <c r="B19" t="s">
        <v>1415</v>
      </c>
      <c r="C19" t="s">
        <v>1416</v>
      </c>
      <c r="D19" t="s">
        <v>1417</v>
      </c>
      <c r="E19" t="s">
        <v>1377</v>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spans="1:15" ht="39" customHeight="1" thickBot="1">
      <c r="A2" s="106" t="s">
        <v>1724</v>
      </c>
      <c r="B2" s="107" t="s">
        <v>1725</v>
      </c>
      <c r="C2" s="108" t="s">
        <v>796</v>
      </c>
      <c r="D2" s="107" t="s">
        <v>515</v>
      </c>
      <c r="E2" s="107" t="s">
        <v>796</v>
      </c>
      <c r="F2" s="107" t="s">
        <v>796</v>
      </c>
      <c r="G2" s="108" t="s">
        <v>1308</v>
      </c>
      <c r="H2" t="s">
        <v>1726</v>
      </c>
      <c r="I2" s="106" t="s">
        <v>672</v>
      </c>
      <c r="J2" s="107" t="s">
        <v>16</v>
      </c>
      <c r="K2" s="107" t="s">
        <v>269</v>
      </c>
      <c r="L2" s="107" t="s">
        <v>144</v>
      </c>
      <c r="M2" s="106" t="s">
        <v>810</v>
      </c>
      <c r="N2" s="106" t="s">
        <v>849</v>
      </c>
      <c r="O2" s="106" t="s">
        <v>810</v>
      </c>
    </row>
    <row r="3" spans="1:15" ht="39" customHeight="1" thickBot="1">
      <c r="A3" s="106" t="s">
        <v>1727</v>
      </c>
      <c r="B3" s="107" t="s">
        <v>1728</v>
      </c>
      <c r="C3" s="108" t="s">
        <v>796</v>
      </c>
      <c r="D3" s="107" t="s">
        <v>524</v>
      </c>
      <c r="E3" s="107" t="s">
        <v>796</v>
      </c>
      <c r="F3" s="107" t="s">
        <v>796</v>
      </c>
      <c r="G3" s="108" t="s">
        <v>1339</v>
      </c>
      <c r="H3" t="s">
        <v>1729</v>
      </c>
      <c r="I3" s="106" t="s">
        <v>672</v>
      </c>
      <c r="J3" s="107" t="s">
        <v>80</v>
      </c>
      <c r="K3" s="107" t="s">
        <v>16</v>
      </c>
      <c r="L3" s="107" t="s">
        <v>144</v>
      </c>
      <c r="M3" s="109" t="s">
        <v>1730</v>
      </c>
      <c r="N3" s="106" t="s">
        <v>1676</v>
      </c>
      <c r="O3" s="106" t="s">
        <v>856</v>
      </c>
    </row>
    <row r="4" spans="1:15" ht="39" customHeight="1" thickBot="1">
      <c r="A4" s="106" t="s">
        <v>1731</v>
      </c>
      <c r="B4" s="107" t="s">
        <v>1732</v>
      </c>
      <c r="C4" s="108" t="s">
        <v>796</v>
      </c>
      <c r="D4" s="107" t="s">
        <v>515</v>
      </c>
      <c r="E4" s="107" t="s">
        <v>796</v>
      </c>
      <c r="F4" s="107" t="s">
        <v>796</v>
      </c>
      <c r="G4" s="108" t="s">
        <v>1333</v>
      </c>
      <c r="H4" t="s">
        <v>1733</v>
      </c>
      <c r="I4" s="106" t="s">
        <v>672</v>
      </c>
      <c r="J4" s="107" t="s">
        <v>80</v>
      </c>
      <c r="K4" s="107" t="s">
        <v>269</v>
      </c>
      <c r="L4" s="107" t="s">
        <v>144</v>
      </c>
      <c r="M4" s="109" t="s">
        <v>1676</v>
      </c>
      <c r="N4" s="106" t="s">
        <v>849</v>
      </c>
      <c r="O4" s="106" t="s">
        <v>799</v>
      </c>
    </row>
    <row r="5" spans="1:15" ht="39" customHeight="1" thickBot="1">
      <c r="A5" s="106" t="s">
        <v>1734</v>
      </c>
      <c r="B5" s="107" t="s">
        <v>1735</v>
      </c>
      <c r="C5" s="108" t="s">
        <v>796</v>
      </c>
      <c r="D5" s="107" t="s">
        <v>524</v>
      </c>
      <c r="E5" s="107" t="s">
        <v>796</v>
      </c>
      <c r="F5" s="107" t="s">
        <v>796</v>
      </c>
      <c r="G5" s="108" t="s">
        <v>1414</v>
      </c>
      <c r="H5" t="s">
        <v>1736</v>
      </c>
      <c r="I5" s="106" t="s">
        <v>672</v>
      </c>
      <c r="J5" s="107" t="s">
        <v>205</v>
      </c>
      <c r="K5" s="107" t="s">
        <v>269</v>
      </c>
      <c r="L5" s="107" t="s">
        <v>16</v>
      </c>
      <c r="M5" s="109" t="s">
        <v>810</v>
      </c>
      <c r="N5" s="106" t="s">
        <v>810</v>
      </c>
      <c r="O5" s="106" t="s">
        <v>849</v>
      </c>
    </row>
    <row r="6" spans="1:15" ht="39" customHeight="1" thickBot="1">
      <c r="A6" s="106" t="s">
        <v>1737</v>
      </c>
      <c r="B6" s="107" t="s">
        <v>1738</v>
      </c>
      <c r="C6" s="108" t="s">
        <v>796</v>
      </c>
      <c r="D6" s="107" t="s">
        <v>515</v>
      </c>
      <c r="E6" s="107" t="s">
        <v>796</v>
      </c>
      <c r="F6" s="107" t="s">
        <v>796</v>
      </c>
      <c r="G6" s="108" t="s">
        <v>1414</v>
      </c>
      <c r="H6" t="s">
        <v>1736</v>
      </c>
      <c r="I6" s="106" t="s">
        <v>672</v>
      </c>
      <c r="J6" s="107" t="s">
        <v>16</v>
      </c>
      <c r="K6" s="107" t="s">
        <v>144</v>
      </c>
      <c r="L6" s="107" t="s">
        <v>205</v>
      </c>
      <c r="M6" s="109" t="s">
        <v>804</v>
      </c>
      <c r="N6" s="106" t="s">
        <v>1676</v>
      </c>
      <c r="O6" s="106" t="s">
        <v>849</v>
      </c>
    </row>
    <row r="7" spans="1:15" ht="39" customHeight="1" thickBot="1">
      <c r="A7" s="106" t="s">
        <v>1739</v>
      </c>
      <c r="B7" s="107" t="s">
        <v>1740</v>
      </c>
      <c r="C7" s="108" t="s">
        <v>796</v>
      </c>
      <c r="D7" s="107" t="s">
        <v>524</v>
      </c>
      <c r="E7" s="107" t="s">
        <v>796</v>
      </c>
      <c r="F7" s="107" t="s">
        <v>796</v>
      </c>
      <c r="G7" s="108" t="s">
        <v>1414</v>
      </c>
      <c r="H7" t="s">
        <v>1736</v>
      </c>
      <c r="I7" s="106" t="s">
        <v>672</v>
      </c>
      <c r="J7" s="107" t="s">
        <v>269</v>
      </c>
      <c r="K7" s="107" t="s">
        <v>80</v>
      </c>
      <c r="L7" s="107" t="s">
        <v>144</v>
      </c>
      <c r="M7" s="106" t="s">
        <v>1676</v>
      </c>
      <c r="N7" s="106" t="s">
        <v>810</v>
      </c>
      <c r="O7" s="106" t="s">
        <v>799</v>
      </c>
    </row>
    <row r="8" spans="1:15" ht="39" customHeight="1" thickBot="1">
      <c r="A8" s="106" t="s">
        <v>1741</v>
      </c>
      <c r="B8" s="107" t="s">
        <v>1742</v>
      </c>
      <c r="C8" s="108" t="s">
        <v>796</v>
      </c>
      <c r="D8" s="107" t="s">
        <v>515</v>
      </c>
      <c r="E8" s="107" t="s">
        <v>796</v>
      </c>
      <c r="F8" s="107" t="s">
        <v>796</v>
      </c>
      <c r="G8" s="108" t="s">
        <v>1333</v>
      </c>
      <c r="H8" t="s">
        <v>1733</v>
      </c>
      <c r="I8" s="106" t="s">
        <v>672</v>
      </c>
      <c r="J8" s="107" t="s">
        <v>205</v>
      </c>
      <c r="K8" s="107" t="s">
        <v>144</v>
      </c>
      <c r="L8" s="107" t="s">
        <v>269</v>
      </c>
      <c r="M8" s="106" t="s">
        <v>810</v>
      </c>
      <c r="N8" s="106" t="s">
        <v>810</v>
      </c>
      <c r="O8" s="106" t="s">
        <v>849</v>
      </c>
    </row>
    <row r="9" spans="1:15" ht="39" customHeight="1" thickBot="1">
      <c r="A9" s="106" t="s">
        <v>1719</v>
      </c>
      <c r="B9" s="107" t="s">
        <v>1720</v>
      </c>
      <c r="C9" s="108" t="s">
        <v>1721</v>
      </c>
      <c r="D9" s="107" t="s">
        <v>524</v>
      </c>
      <c r="E9" s="107" t="s">
        <v>796</v>
      </c>
      <c r="F9" s="107" t="s">
        <v>796</v>
      </c>
      <c r="G9" s="108" t="s">
        <v>1292</v>
      </c>
      <c r="H9" t="s">
        <v>1722</v>
      </c>
      <c r="I9" s="106" t="s">
        <v>672</v>
      </c>
      <c r="J9" s="107" t="s">
        <v>16</v>
      </c>
      <c r="K9" s="107" t="s">
        <v>144</v>
      </c>
      <c r="L9" s="107" t="s">
        <v>80</v>
      </c>
      <c r="M9" s="106" t="s">
        <v>810</v>
      </c>
      <c r="N9" s="106" t="s">
        <v>1723</v>
      </c>
      <c r="O9" s="106" t="s">
        <v>849</v>
      </c>
    </row>
    <row r="10" spans="1:15" ht="39.6" customHeight="1" thickBot="1">
      <c r="A10" s="4" t="s">
        <v>1791</v>
      </c>
      <c r="B10" s="96" t="s">
        <v>1792</v>
      </c>
      <c r="C10" s="97" t="s">
        <v>796</v>
      </c>
      <c r="D10" s="96" t="s">
        <v>515</v>
      </c>
      <c r="E10" s="96" t="s">
        <v>531</v>
      </c>
      <c r="F10" s="96" t="s">
        <v>1695</v>
      </c>
      <c r="G10" t="s">
        <v>1411</v>
      </c>
      <c r="H10" t="s">
        <v>516</v>
      </c>
      <c r="I10" s="4" t="s">
        <v>692</v>
      </c>
      <c r="J10" s="96" t="s">
        <v>80</v>
      </c>
      <c r="K10" s="96" t="s">
        <v>16</v>
      </c>
      <c r="L10" s="96" t="s">
        <v>269</v>
      </c>
      <c r="M10" s="105" t="s">
        <v>849</v>
      </c>
      <c r="N10" s="105" t="s">
        <v>1676</v>
      </c>
      <c r="O10" s="105" t="s">
        <v>856</v>
      </c>
    </row>
    <row r="11" spans="1:15" ht="27" customHeight="1" thickBot="1">
      <c r="A11" s="4" t="s">
        <v>1840</v>
      </c>
      <c r="B11" s="96" t="s">
        <v>5002</v>
      </c>
      <c r="C11" s="97" t="s">
        <v>796</v>
      </c>
      <c r="D11" s="96" t="s">
        <v>515</v>
      </c>
      <c r="E11" s="96" t="s">
        <v>513</v>
      </c>
      <c r="F11" s="96" t="s">
        <v>1689</v>
      </c>
      <c r="G11" t="s">
        <v>1411</v>
      </c>
      <c r="H11" t="s">
        <v>516</v>
      </c>
      <c r="I11" s="4" t="s">
        <v>692</v>
      </c>
      <c r="J11" s="96" t="s">
        <v>16</v>
      </c>
      <c r="K11" s="96" t="s">
        <v>80</v>
      </c>
      <c r="L11" s="96" t="s">
        <v>333</v>
      </c>
      <c r="M11" s="105" t="s">
        <v>810</v>
      </c>
      <c r="N11" s="105" t="s">
        <v>1676</v>
      </c>
      <c r="O11" s="105" t="s">
        <v>810</v>
      </c>
    </row>
    <row r="12" spans="1:15" ht="27" customHeight="1" thickBot="1">
      <c r="A12" s="4" t="s">
        <v>1903</v>
      </c>
      <c r="B12" s="96" t="s">
        <v>1904</v>
      </c>
      <c r="C12" s="97" t="s">
        <v>796</v>
      </c>
      <c r="D12" s="96" t="s">
        <v>515</v>
      </c>
      <c r="E12" s="96" t="s">
        <v>513</v>
      </c>
      <c r="F12" s="96" t="s">
        <v>1689</v>
      </c>
      <c r="G12" t="s">
        <v>1411</v>
      </c>
      <c r="H12" t="s">
        <v>516</v>
      </c>
      <c r="I12" s="4" t="s">
        <v>692</v>
      </c>
      <c r="J12" s="96" t="s">
        <v>80</v>
      </c>
      <c r="K12" s="96" t="s">
        <v>269</v>
      </c>
      <c r="L12" s="96" t="s">
        <v>80</v>
      </c>
      <c r="M12" s="105" t="s">
        <v>1676</v>
      </c>
      <c r="N12" s="105" t="s">
        <v>849</v>
      </c>
      <c r="O12" s="105" t="s">
        <v>799</v>
      </c>
    </row>
    <row r="13" spans="1:15" ht="27" customHeight="1" thickBot="1">
      <c r="A13" s="4" t="s">
        <v>1914</v>
      </c>
      <c r="B13" s="96" t="s">
        <v>1915</v>
      </c>
      <c r="C13" s="97" t="s">
        <v>796</v>
      </c>
      <c r="D13" s="96" t="s">
        <v>524</v>
      </c>
      <c r="E13" s="96" t="s">
        <v>531</v>
      </c>
      <c r="F13" s="96" t="s">
        <v>1695</v>
      </c>
      <c r="G13" s="99" t="s">
        <v>1411</v>
      </c>
      <c r="H13" t="s">
        <v>516</v>
      </c>
      <c r="I13" s="105" t="s">
        <v>692</v>
      </c>
      <c r="J13" s="96" t="s">
        <v>144</v>
      </c>
      <c r="K13" s="96" t="s">
        <v>80</v>
      </c>
      <c r="L13" s="96" t="s">
        <v>205</v>
      </c>
      <c r="M13" s="105" t="s">
        <v>810</v>
      </c>
      <c r="N13" s="105" t="s">
        <v>849</v>
      </c>
      <c r="O13" s="105" t="s">
        <v>810</v>
      </c>
    </row>
    <row r="14" spans="1:15" ht="27" customHeight="1" thickBot="1">
      <c r="A14" s="4" t="s">
        <v>1923</v>
      </c>
      <c r="B14" s="96" t="s">
        <v>1924</v>
      </c>
      <c r="C14" s="97" t="s">
        <v>796</v>
      </c>
      <c r="D14" s="96" t="s">
        <v>524</v>
      </c>
      <c r="E14" s="96" t="s">
        <v>1684</v>
      </c>
      <c r="F14" s="96" t="s">
        <v>1685</v>
      </c>
      <c r="G14" t="s">
        <v>1411</v>
      </c>
      <c r="H14" t="s">
        <v>516</v>
      </c>
      <c r="I14" s="105" t="s">
        <v>692</v>
      </c>
      <c r="J14" s="96" t="s">
        <v>144</v>
      </c>
      <c r="K14" s="96" t="s">
        <v>333</v>
      </c>
      <c r="L14" s="96" t="s">
        <v>269</v>
      </c>
      <c r="M14" s="105" t="s">
        <v>810</v>
      </c>
      <c r="N14" s="105" t="s">
        <v>810</v>
      </c>
      <c r="O14" s="105" t="s">
        <v>856</v>
      </c>
    </row>
    <row r="15" spans="1:15" ht="27" customHeight="1" thickBot="1">
      <c r="A15" s="4" t="s">
        <v>1996</v>
      </c>
      <c r="B15" s="96" t="s">
        <v>1997</v>
      </c>
      <c r="C15" s="97" t="s">
        <v>796</v>
      </c>
      <c r="D15" s="96" t="s">
        <v>524</v>
      </c>
      <c r="E15" s="96" t="s">
        <v>531</v>
      </c>
      <c r="F15" s="96" t="s">
        <v>1695</v>
      </c>
      <c r="G15" t="s">
        <v>1411</v>
      </c>
      <c r="H15" t="s">
        <v>516</v>
      </c>
      <c r="I15" s="4" t="s">
        <v>692</v>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spans="1:15" ht="15.75" customHeight="1" thickBot="1">
      <c r="A18" s="4" t="s">
        <v>1702</v>
      </c>
      <c r="B18" s="96" t="s">
        <v>1703</v>
      </c>
      <c r="C18" s="97" t="s">
        <v>796</v>
      </c>
      <c r="D18" s="96" t="s">
        <v>515</v>
      </c>
      <c r="E18" s="96" t="s">
        <v>1704</v>
      </c>
      <c r="F18" s="96" t="s">
        <v>1705</v>
      </c>
      <c r="G18" t="s">
        <v>1411</v>
      </c>
      <c r="H18" t="s">
        <v>516</v>
      </c>
      <c r="I18" s="105" t="s">
        <v>1706</v>
      </c>
      <c r="J18" s="96" t="s">
        <v>144</v>
      </c>
      <c r="K18" s="96" t="s">
        <v>205</v>
      </c>
      <c r="L18" s="96" t="s">
        <v>16</v>
      </c>
      <c r="M18" s="105" t="s">
        <v>804</v>
      </c>
      <c r="N18" s="105" t="s">
        <v>849</v>
      </c>
      <c r="O18" s="105" t="s">
        <v>849</v>
      </c>
    </row>
    <row r="19" spans="1:15" ht="78" customHeight="1" thickBot="1">
      <c r="A19" s="4" t="s">
        <v>1963</v>
      </c>
      <c r="B19" s="96" t="s">
        <v>1964</v>
      </c>
      <c r="C19" s="97" t="s">
        <v>796</v>
      </c>
      <c r="D19" s="96" t="s">
        <v>515</v>
      </c>
      <c r="E19" s="96" t="s">
        <v>1673</v>
      </c>
      <c r="F19" s="96" t="s">
        <v>1674</v>
      </c>
      <c r="G19" t="s">
        <v>1411</v>
      </c>
      <c r="H19" t="s">
        <v>516</v>
      </c>
      <c r="I19" s="105" t="s">
        <v>1965</v>
      </c>
      <c r="J19" s="96" t="s">
        <v>333</v>
      </c>
      <c r="K19" s="96" t="s">
        <v>269</v>
      </c>
      <c r="L19" s="96" t="s">
        <v>16</v>
      </c>
      <c r="M19" s="105" t="s">
        <v>849</v>
      </c>
      <c r="N19" s="105" t="s">
        <v>810</v>
      </c>
      <c r="O19" s="105" t="s">
        <v>856</v>
      </c>
    </row>
    <row r="20" spans="1:15" ht="27" customHeight="1" thickBot="1">
      <c r="A20" s="4" t="s">
        <v>1976</v>
      </c>
      <c r="B20" s="96" t="s">
        <v>1977</v>
      </c>
      <c r="C20" s="97" t="s">
        <v>1978</v>
      </c>
      <c r="D20" s="96" t="s">
        <v>515</v>
      </c>
      <c r="E20" s="96" t="s">
        <v>1704</v>
      </c>
      <c r="F20" s="96" t="s">
        <v>1705</v>
      </c>
      <c r="G20" t="s">
        <v>1411</v>
      </c>
      <c r="H20" t="s">
        <v>516</v>
      </c>
      <c r="I20" s="105" t="s">
        <v>1979</v>
      </c>
      <c r="J20" s="96" t="s">
        <v>80</v>
      </c>
      <c r="K20" s="96" t="s">
        <v>144</v>
      </c>
      <c r="L20" s="96" t="s">
        <v>16</v>
      </c>
      <c r="M20" s="105" t="s">
        <v>834</v>
      </c>
      <c r="N20" s="105" t="s">
        <v>1980</v>
      </c>
      <c r="O20" s="105" t="s">
        <v>850</v>
      </c>
    </row>
    <row r="21" spans="1:15" ht="27" customHeight="1" thickBot="1">
      <c r="A21" s="4" t="s">
        <v>1950</v>
      </c>
      <c r="B21" s="96" t="s">
        <v>1951</v>
      </c>
      <c r="C21" s="97" t="s">
        <v>796</v>
      </c>
      <c r="D21" s="96" t="s">
        <v>515</v>
      </c>
      <c r="E21" s="96" t="s">
        <v>1704</v>
      </c>
      <c r="F21" s="96" t="s">
        <v>1705</v>
      </c>
      <c r="G21" t="s">
        <v>1411</v>
      </c>
      <c r="H21" t="s">
        <v>516</v>
      </c>
      <c r="I21" s="105" t="s">
        <v>1952</v>
      </c>
      <c r="J21" s="96" t="s">
        <v>16</v>
      </c>
      <c r="K21" s="96" t="s">
        <v>80</v>
      </c>
      <c r="L21" s="96" t="s">
        <v>144</v>
      </c>
      <c r="M21" s="105" t="s">
        <v>856</v>
      </c>
      <c r="N21" s="105" t="s">
        <v>1676</v>
      </c>
      <c r="O21" s="105" t="s">
        <v>810</v>
      </c>
    </row>
    <row r="22" spans="1:15" ht="27" customHeight="1" thickBot="1">
      <c r="A22" s="4" t="s">
        <v>1796</v>
      </c>
      <c r="B22" s="96" t="s">
        <v>1797</v>
      </c>
      <c r="C22" s="97" t="s">
        <v>796</v>
      </c>
      <c r="D22" s="96" t="s">
        <v>515</v>
      </c>
      <c r="E22" s="96" t="s">
        <v>513</v>
      </c>
      <c r="F22" s="96" t="s">
        <v>1689</v>
      </c>
      <c r="G22" t="s">
        <v>1411</v>
      </c>
      <c r="H22" t="s">
        <v>697</v>
      </c>
      <c r="I22" s="4" t="inlineStr">
        <is>
          <t xml:space="preserve">ST10; ST03</t>
        </is>
      </c>
      <c r="J22" s="96" t="s">
        <v>16</v>
      </c>
      <c r="K22" s="96" t="s">
        <v>80</v>
      </c>
      <c r="L22" s="96" t="s">
        <v>333</v>
      </c>
      <c r="M22" s="105" t="s">
        <v>810</v>
      </c>
      <c r="N22" s="105" t="s">
        <v>1676</v>
      </c>
      <c r="O22" s="105" t="s">
        <v>810</v>
      </c>
    </row>
    <row r="23" spans="1:15" ht="15.75" customHeight="1" thickBot="1">
      <c r="A23" s="4" t="s">
        <v>1809</v>
      </c>
      <c r="B23" s="96" t="s">
        <v>1810</v>
      </c>
      <c r="C23" s="97" t="s">
        <v>796</v>
      </c>
      <c r="D23" s="96" t="s">
        <v>524</v>
      </c>
      <c r="E23" s="96" t="s">
        <v>531</v>
      </c>
      <c r="F23" s="96" t="s">
        <v>1695</v>
      </c>
      <c r="G23" t="s">
        <v>1411</v>
      </c>
      <c r="H23" t="s">
        <v>697</v>
      </c>
      <c r="I23" s="4" t="s">
        <v>696</v>
      </c>
      <c r="J23" s="96" t="s">
        <v>80</v>
      </c>
      <c r="K23" s="96" t="s">
        <v>333</v>
      </c>
      <c r="L23" s="96" t="s">
        <v>205</v>
      </c>
      <c r="M23" s="105" t="s">
        <v>849</v>
      </c>
      <c r="N23" s="105" t="s">
        <v>849</v>
      </c>
      <c r="O23" s="105" t="s">
        <v>810</v>
      </c>
    </row>
    <row r="24" spans="1:15" ht="27" customHeight="1" thickBot="1">
      <c r="A24" s="4" t="s">
        <v>1811</v>
      </c>
      <c r="B24" s="96" t="s">
        <v>1812</v>
      </c>
      <c r="C24" s="97" t="s">
        <v>796</v>
      </c>
      <c r="D24" s="96" t="s">
        <v>515</v>
      </c>
      <c r="E24" s="96" t="s">
        <v>540</v>
      </c>
      <c r="F24" s="96" t="s">
        <v>1679</v>
      </c>
      <c r="G24" t="s">
        <v>1411</v>
      </c>
      <c r="H24" t="s">
        <v>697</v>
      </c>
      <c r="I24" s="4" t="s">
        <v>696</v>
      </c>
      <c r="J24" s="96" t="s">
        <v>80</v>
      </c>
      <c r="K24" s="96" t="s">
        <v>144</v>
      </c>
      <c r="L24" s="96" t="s">
        <v>269</v>
      </c>
      <c r="M24" s="105" t="s">
        <v>849</v>
      </c>
      <c r="N24" s="105" t="s">
        <v>849</v>
      </c>
      <c r="O24" s="105" t="s">
        <v>799</v>
      </c>
    </row>
    <row r="25" spans="1:15" ht="27" customHeight="1" thickBot="1">
      <c r="A25" s="4" t="s">
        <v>1847</v>
      </c>
      <c r="B25" s="96" t="s">
        <v>1848</v>
      </c>
      <c r="C25" s="97" t="s">
        <v>796</v>
      </c>
      <c r="D25" s="96" t="s">
        <v>524</v>
      </c>
      <c r="E25" s="96" t="s">
        <v>513</v>
      </c>
      <c r="F25" s="96" t="s">
        <v>1689</v>
      </c>
      <c r="G25" t="s">
        <v>1411</v>
      </c>
      <c r="H25" t="s">
        <v>697</v>
      </c>
      <c r="I25" s="4" t="s">
        <v>696</v>
      </c>
      <c r="J25" s="96" t="s">
        <v>80</v>
      </c>
      <c r="K25" s="96" t="s">
        <v>333</v>
      </c>
      <c r="L25" s="96" t="s">
        <v>205</v>
      </c>
      <c r="M25" s="105" t="s">
        <v>849</v>
      </c>
      <c r="N25" s="105" t="s">
        <v>849</v>
      </c>
      <c r="O25" s="105" t="s">
        <v>810</v>
      </c>
    </row>
    <row r="26" spans="1:15" ht="27" customHeight="1" thickBot="1">
      <c r="A26" s="4" t="s">
        <v>1912</v>
      </c>
      <c r="B26" s="96" t="s">
        <v>1913</v>
      </c>
      <c r="C26" s="97" t="s">
        <v>796</v>
      </c>
      <c r="D26" s="96" t="s">
        <v>515</v>
      </c>
      <c r="E26" s="96" t="s">
        <v>513</v>
      </c>
      <c r="F26" s="96" t="s">
        <v>1689</v>
      </c>
      <c r="G26" t="s">
        <v>1411</v>
      </c>
      <c r="H26" t="s">
        <v>697</v>
      </c>
      <c r="I26" s="4" t="s">
        <v>696</v>
      </c>
      <c r="J26" s="96" t="s">
        <v>16</v>
      </c>
      <c r="K26" s="96" t="s">
        <v>205</v>
      </c>
      <c r="L26" s="96" t="s">
        <v>144</v>
      </c>
      <c r="M26" s="105" t="s">
        <v>804</v>
      </c>
      <c r="N26" s="105" t="s">
        <v>1676</v>
      </c>
      <c r="O26" s="105" t="s">
        <v>849</v>
      </c>
    </row>
    <row r="27" spans="1:15" ht="15.75" customHeight="1" thickBot="1">
      <c r="A27" s="4" t="s">
        <v>1935</v>
      </c>
      <c r="B27" s="96" t="s">
        <v>1936</v>
      </c>
      <c r="C27" s="97" t="s">
        <v>796</v>
      </c>
      <c r="D27" s="96" t="s">
        <v>515</v>
      </c>
      <c r="E27" s="96" t="s">
        <v>1684</v>
      </c>
      <c r="F27" s="96" t="s">
        <v>1685</v>
      </c>
      <c r="G27" t="s">
        <v>1411</v>
      </c>
      <c r="H27" t="s">
        <v>697</v>
      </c>
      <c r="I27" s="4" t="s">
        <v>696</v>
      </c>
      <c r="J27" s="96" t="s">
        <v>16</v>
      </c>
      <c r="K27" s="96" t="s">
        <v>80</v>
      </c>
      <c r="L27" s="96" t="s">
        <v>144</v>
      </c>
      <c r="M27" s="105" t="s">
        <v>856</v>
      </c>
      <c r="N27" s="105" t="s">
        <v>1676</v>
      </c>
      <c r="O27" s="105" t="s">
        <v>810</v>
      </c>
    </row>
    <row r="28" spans="1:15" ht="27" customHeight="1" thickBot="1">
      <c r="A28" s="4" t="s">
        <v>1981</v>
      </c>
      <c r="B28" s="96" t="s">
        <v>1982</v>
      </c>
      <c r="C28" s="97" t="s">
        <v>796</v>
      </c>
      <c r="D28" s="96" t="s">
        <v>515</v>
      </c>
      <c r="E28" s="96" t="s">
        <v>531</v>
      </c>
      <c r="F28" s="96" t="s">
        <v>1695</v>
      </c>
      <c r="G28" t="s">
        <v>1411</v>
      </c>
      <c r="H28" t="s">
        <v>697</v>
      </c>
      <c r="I28" s="4" t="s">
        <v>696</v>
      </c>
      <c r="J28" s="96" t="s">
        <v>80</v>
      </c>
      <c r="K28" s="96" t="s">
        <v>333</v>
      </c>
      <c r="L28" s="96" t="s">
        <v>144</v>
      </c>
      <c r="M28" s="105" t="s">
        <v>849</v>
      </c>
      <c r="N28" s="105" t="s">
        <v>849</v>
      </c>
      <c r="O28" s="105" t="s">
        <v>804</v>
      </c>
    </row>
    <row r="29" spans="1:15" ht="27" customHeight="1" thickBot="1">
      <c r="A29" s="4" t="s">
        <v>1671</v>
      </c>
      <c r="B29" s="96" t="s">
        <v>1672</v>
      </c>
      <c r="C29" s="97" t="s">
        <v>796</v>
      </c>
      <c r="D29" s="96" t="s">
        <v>524</v>
      </c>
      <c r="E29" s="96" t="s">
        <v>1673</v>
      </c>
      <c r="F29" s="96" t="s">
        <v>1674</v>
      </c>
      <c r="G29" t="s">
        <v>1411</v>
      </c>
      <c r="H29" t="s">
        <v>697</v>
      </c>
      <c r="I29" s="105" t="s">
        <v>1675</v>
      </c>
      <c r="J29" s="96" t="s">
        <v>16</v>
      </c>
      <c r="K29" s="96" t="s">
        <v>144</v>
      </c>
      <c r="L29" s="96" t="s">
        <v>80</v>
      </c>
      <c r="M29" s="105" t="s">
        <v>1676</v>
      </c>
      <c r="N29" s="105" t="s">
        <v>1676</v>
      </c>
      <c r="O29" s="105" t="s">
        <v>1676</v>
      </c>
    </row>
    <row r="30" spans="1:15" ht="15.75" customHeight="1" thickBot="1">
      <c r="A30" s="4" t="s">
        <v>1880</v>
      </c>
      <c r="B30" s="96" t="s">
        <v>1881</v>
      </c>
      <c r="C30" s="97" t="s">
        <v>796</v>
      </c>
      <c r="D30" s="96" t="s">
        <v>524</v>
      </c>
      <c r="E30" s="96" t="s">
        <v>1704</v>
      </c>
      <c r="F30" s="96" t="s">
        <v>1705</v>
      </c>
      <c r="G30" t="s">
        <v>1411</v>
      </c>
      <c r="H30" t="s">
        <v>697</v>
      </c>
      <c r="I30" s="105" t="s">
        <v>1882</v>
      </c>
      <c r="J30" s="96" t="s">
        <v>144</v>
      </c>
      <c r="K30" s="96" t="s">
        <v>80</v>
      </c>
      <c r="L30" s="96" t="s">
        <v>16</v>
      </c>
      <c r="M30" s="105" t="s">
        <v>810</v>
      </c>
      <c r="N30" s="105" t="s">
        <v>1676</v>
      </c>
      <c r="O30" s="105" t="s">
        <v>810</v>
      </c>
    </row>
    <row r="31" spans="1:15" ht="27" customHeight="1" thickBot="1">
      <c r="A31" s="4" t="s">
        <v>1828</v>
      </c>
      <c r="B31" s="96" t="s">
        <v>1829</v>
      </c>
      <c r="C31" s="97" t="s">
        <v>796</v>
      </c>
      <c r="D31" s="96" t="s">
        <v>515</v>
      </c>
      <c r="E31" s="96" t="s">
        <v>531</v>
      </c>
      <c r="F31" s="96" t="s">
        <v>1695</v>
      </c>
      <c r="G31" t="s">
        <v>1411</v>
      </c>
      <c r="H31" t="s">
        <v>697</v>
      </c>
      <c r="I31" s="105" t="s">
        <v>1830</v>
      </c>
      <c r="J31" s="96" t="s">
        <v>144</v>
      </c>
      <c r="K31" s="96" t="s">
        <v>269</v>
      </c>
      <c r="L31" s="96" t="s">
        <v>144</v>
      </c>
      <c r="M31" s="105" t="s">
        <v>810</v>
      </c>
      <c r="N31" s="105" t="s">
        <v>810</v>
      </c>
      <c r="O31" s="105" t="s">
        <v>856</v>
      </c>
    </row>
    <row r="32" spans="1:15" ht="15.75" customHeight="1" thickBot="1">
      <c r="A32" s="4" t="s">
        <v>1837</v>
      </c>
      <c r="B32" s="96" t="s">
        <v>1838</v>
      </c>
      <c r="C32" s="97" t="s">
        <v>1839</v>
      </c>
      <c r="D32" s="96" t="s">
        <v>524</v>
      </c>
      <c r="E32" s="96" t="s">
        <v>1704</v>
      </c>
      <c r="F32" s="96" t="s">
        <v>1705</v>
      </c>
      <c r="G32" t="s">
        <v>1411</v>
      </c>
      <c r="H32" t="s">
        <v>697</v>
      </c>
      <c r="I32" s="105" t="s">
        <v>4860</v>
      </c>
      <c r="J32" s="96" t="s">
        <v>144</v>
      </c>
      <c r="K32" s="96" t="s">
        <v>205</v>
      </c>
      <c r="L32" s="96" t="s">
        <v>144</v>
      </c>
      <c r="M32" s="105" t="s">
        <v>807</v>
      </c>
      <c r="N32" s="105" t="s">
        <v>834</v>
      </c>
      <c r="O32" s="105" t="s">
        <v>834</v>
      </c>
    </row>
    <row r="33" spans="1:15" ht="27" customHeight="1" thickBot="1">
      <c r="A33" s="4" t="s">
        <v>1857</v>
      </c>
      <c r="B33" s="96" t="s">
        <v>1858</v>
      </c>
      <c r="C33" s="97" t="s">
        <v>796</v>
      </c>
      <c r="D33" s="96" t="s">
        <v>515</v>
      </c>
      <c r="E33" s="96" t="s">
        <v>1684</v>
      </c>
      <c r="F33" s="96" t="s">
        <v>1685</v>
      </c>
      <c r="G33" t="s">
        <v>1411</v>
      </c>
      <c r="H33" t="s">
        <v>697</v>
      </c>
      <c r="I33" s="105" t="s">
        <v>1859</v>
      </c>
      <c r="J33" s="96" t="s">
        <v>16</v>
      </c>
      <c r="K33" s="96" t="s">
        <v>205</v>
      </c>
      <c r="L33" s="96" t="s">
        <v>16</v>
      </c>
      <c r="M33" s="105" t="s">
        <v>799</v>
      </c>
      <c r="N33" s="105" t="s">
        <v>1676</v>
      </c>
      <c r="O33" s="105" t="s">
        <v>1676</v>
      </c>
    </row>
    <row r="34" spans="1:15" ht="27" customHeight="1" thickBot="1">
      <c r="A34" s="4" t="s">
        <v>1927</v>
      </c>
      <c r="B34" s="96" t="s">
        <v>1928</v>
      </c>
      <c r="C34" s="97" t="s">
        <v>796</v>
      </c>
      <c r="D34" s="96" t="s">
        <v>524</v>
      </c>
      <c r="E34" s="96" t="s">
        <v>1704</v>
      </c>
      <c r="F34" s="96" t="s">
        <v>1705</v>
      </c>
      <c r="G34" t="s">
        <v>1411</v>
      </c>
      <c r="H34" t="s">
        <v>697</v>
      </c>
      <c r="I34" s="105" t="s">
        <v>1859</v>
      </c>
      <c r="J34" s="96" t="s">
        <v>16</v>
      </c>
      <c r="K34" s="96" t="s">
        <v>80</v>
      </c>
      <c r="L34" s="96" t="s">
        <v>144</v>
      </c>
      <c r="M34" s="105" t="s">
        <v>856</v>
      </c>
      <c r="N34" s="105" t="s">
        <v>1676</v>
      </c>
      <c r="O34" s="105" t="s">
        <v>810</v>
      </c>
    </row>
    <row r="35" spans="1:15" ht="27" customHeight="1" thickBot="1">
      <c r="A35" s="4" t="s">
        <v>1888</v>
      </c>
      <c r="B35" s="96" t="s">
        <v>1889</v>
      </c>
      <c r="C35" s="97" t="s">
        <v>796</v>
      </c>
      <c r="D35" s="96" t="s">
        <v>515</v>
      </c>
      <c r="E35" s="96" t="s">
        <v>531</v>
      </c>
      <c r="F35" s="96" t="s">
        <v>1695</v>
      </c>
      <c r="G35" t="s">
        <v>1411</v>
      </c>
      <c r="H35" t="s">
        <v>701</v>
      </c>
      <c r="I35" s="105" t="s">
        <v>700</v>
      </c>
      <c r="J35" s="96" t="s">
        <v>144</v>
      </c>
      <c r="K35" s="96" t="s">
        <v>205</v>
      </c>
      <c r="L35" s="96" t="s">
        <v>80</v>
      </c>
      <c r="M35" s="105" t="s">
        <v>810</v>
      </c>
      <c r="N35" s="105" t="s">
        <v>849</v>
      </c>
      <c r="O35" s="105" t="s">
        <v>849</v>
      </c>
    </row>
    <row r="36" spans="1:15" ht="15.75" customHeight="1" thickBot="1">
      <c r="A36" s="4" t="s">
        <v>1910</v>
      </c>
      <c r="B36" s="96" t="s">
        <v>1911</v>
      </c>
      <c r="C36" s="97" t="s">
        <v>796</v>
      </c>
      <c r="D36" s="96" t="s">
        <v>515</v>
      </c>
      <c r="E36" s="96" t="s">
        <v>531</v>
      </c>
      <c r="F36" s="96" t="s">
        <v>1695</v>
      </c>
      <c r="G36" t="s">
        <v>1411</v>
      </c>
      <c r="H36" t="s">
        <v>701</v>
      </c>
      <c r="I36" s="4" t="s">
        <v>700</v>
      </c>
      <c r="J36" s="96" t="s">
        <v>16</v>
      </c>
      <c r="K36" s="96" t="s">
        <v>205</v>
      </c>
      <c r="L36" s="96" t="s">
        <v>269</v>
      </c>
      <c r="M36" s="105" t="s">
        <v>856</v>
      </c>
      <c r="N36" s="105" t="s">
        <v>849</v>
      </c>
      <c r="O36" s="105" t="s">
        <v>849</v>
      </c>
    </row>
    <row r="37" spans="1:15" ht="15.75" customHeight="1" thickBot="1">
      <c r="A37" s="4" t="s">
        <v>1931</v>
      </c>
      <c r="B37" s="96" t="s">
        <v>5003</v>
      </c>
      <c r="C37" s="97" t="s">
        <v>796</v>
      </c>
      <c r="D37" s="96" t="s">
        <v>524</v>
      </c>
      <c r="E37" s="96" t="s">
        <v>513</v>
      </c>
      <c r="F37" s="96" t="s">
        <v>1689</v>
      </c>
      <c r="G37" t="s">
        <v>1411</v>
      </c>
      <c r="H37" t="s">
        <v>701</v>
      </c>
      <c r="I37" s="105" t="s">
        <v>700</v>
      </c>
      <c r="J37" s="96" t="s">
        <v>144</v>
      </c>
      <c r="K37" s="96" t="s">
        <v>16</v>
      </c>
      <c r="L37" s="96" t="s">
        <v>333</v>
      </c>
      <c r="M37" s="105" t="s">
        <v>804</v>
      </c>
      <c r="N37" s="105" t="s">
        <v>849</v>
      </c>
      <c r="O37" s="105" t="s">
        <v>810</v>
      </c>
    </row>
    <row r="38" spans="1:15" ht="15.75" customHeight="1" thickBot="1">
      <c r="A38" s="4" t="s">
        <v>1805</v>
      </c>
      <c r="B38" s="96" t="s">
        <v>5000</v>
      </c>
      <c r="C38" s="97" t="s">
        <v>796</v>
      </c>
      <c r="D38" s="96" t="s">
        <v>515</v>
      </c>
      <c r="E38" s="96" t="s">
        <v>513</v>
      </c>
      <c r="F38" s="96" t="s">
        <v>1689</v>
      </c>
      <c r="G38" t="s">
        <v>1411</v>
      </c>
      <c r="H38" t="s">
        <v>701</v>
      </c>
      <c r="I38" s="105" t="s">
        <v>1807</v>
      </c>
      <c r="J38" s="96" t="s">
        <v>144</v>
      </c>
      <c r="K38" s="96" t="s">
        <v>333</v>
      </c>
      <c r="L38" s="96" t="s">
        <v>16</v>
      </c>
      <c r="M38" s="105" t="s">
        <v>856</v>
      </c>
      <c r="N38" s="105" t="s">
        <v>849</v>
      </c>
      <c r="O38" s="105" t="s">
        <v>810</v>
      </c>
    </row>
    <row r="39" spans="1:15" ht="27" customHeight="1" thickBot="1">
      <c r="A39" s="4" t="s">
        <v>1918</v>
      </c>
      <c r="B39" s="96" t="s">
        <v>1919</v>
      </c>
      <c r="C39" s="97" t="s">
        <v>1920</v>
      </c>
      <c r="D39" s="96" t="s">
        <v>515</v>
      </c>
      <c r="E39" s="96" t="s">
        <v>540</v>
      </c>
      <c r="F39" s="96" t="s">
        <v>1679</v>
      </c>
      <c r="G39" t="s">
        <v>1411</v>
      </c>
      <c r="H39" t="s">
        <v>701</v>
      </c>
      <c r="I39" s="105" t="s">
        <v>4859</v>
      </c>
      <c r="J39" s="96" t="s">
        <v>144</v>
      </c>
      <c r="K39" s="96" t="s">
        <v>16</v>
      </c>
      <c r="L39" s="96" t="s">
        <v>80</v>
      </c>
      <c r="M39" s="105" t="s">
        <v>810</v>
      </c>
      <c r="N39" s="105" t="s">
        <v>1718</v>
      </c>
      <c r="O39" s="105" t="s">
        <v>850</v>
      </c>
    </row>
    <row r="40" spans="1:15" ht="27" customHeight="1" thickBot="1">
      <c r="A40" s="4" t="s">
        <v>1883</v>
      </c>
      <c r="B40" s="96" t="s">
        <v>1884</v>
      </c>
      <c r="C40" s="97" t="s">
        <v>796</v>
      </c>
      <c r="D40" s="96" t="s">
        <v>515</v>
      </c>
      <c r="E40" s="96" t="s">
        <v>1684</v>
      </c>
      <c r="F40" s="96" t="s">
        <v>1685</v>
      </c>
      <c r="G40" t="s">
        <v>1411</v>
      </c>
      <c r="H40" t="s">
        <v>701</v>
      </c>
      <c r="I40" s="105" t="s">
        <v>1885</v>
      </c>
      <c r="J40" s="96" t="s">
        <v>144</v>
      </c>
      <c r="K40" s="96" t="s">
        <v>269</v>
      </c>
      <c r="L40" s="96" t="s">
        <v>333</v>
      </c>
      <c r="M40" s="105" t="s">
        <v>849</v>
      </c>
      <c r="N40" s="105" t="s">
        <v>810</v>
      </c>
      <c r="O40" s="105" t="s">
        <v>856</v>
      </c>
    </row>
    <row r="41" spans="1:15" ht="27" customHeight="1" thickBot="1">
      <c r="A41" s="4" t="s">
        <v>1916</v>
      </c>
      <c r="B41" s="96" t="s">
        <v>1917</v>
      </c>
      <c r="C41" s="97" t="s">
        <v>796</v>
      </c>
      <c r="D41" s="96" t="s">
        <v>524</v>
      </c>
      <c r="E41" s="96" t="s">
        <v>531</v>
      </c>
      <c r="F41" s="96" t="s">
        <v>1695</v>
      </c>
      <c r="G41" t="s">
        <v>1411</v>
      </c>
      <c r="H41" t="s">
        <v>701</v>
      </c>
      <c r="I41" s="105" t="s">
        <v>1885</v>
      </c>
      <c r="J41" s="96" t="s">
        <v>144</v>
      </c>
      <c r="K41" s="96" t="s">
        <v>269</v>
      </c>
      <c r="L41" s="96" t="s">
        <v>205</v>
      </c>
      <c r="M41" s="105" t="s">
        <v>810</v>
      </c>
      <c r="N41" s="105" t="s">
        <v>810</v>
      </c>
      <c r="O41" s="105" t="s">
        <v>810</v>
      </c>
    </row>
    <row r="42" spans="1:15" ht="15.75" customHeight="1" thickBot="1">
      <c r="A42" s="4" t="s">
        <v>1895</v>
      </c>
      <c r="B42" s="96" t="s">
        <v>1896</v>
      </c>
      <c r="C42" s="97" t="s">
        <v>1897</v>
      </c>
      <c r="D42" s="96" t="s">
        <v>515</v>
      </c>
      <c r="E42" s="96" t="s">
        <v>1704</v>
      </c>
      <c r="F42" s="96" t="s">
        <v>1705</v>
      </c>
      <c r="G42" t="s">
        <v>1411</v>
      </c>
      <c r="H42" t="s">
        <v>701</v>
      </c>
      <c r="I42" s="104" t="s">
        <v>1898</v>
      </c>
      <c r="J42" s="96" t="s">
        <v>16</v>
      </c>
      <c r="K42" s="96" t="s">
        <v>80</v>
      </c>
      <c r="L42" s="96" t="s">
        <v>333</v>
      </c>
      <c r="M42" s="105" t="s">
        <v>849</v>
      </c>
      <c r="N42" s="105" t="s">
        <v>1723</v>
      </c>
      <c r="O42" s="105" t="s">
        <v>849</v>
      </c>
    </row>
    <row r="43" spans="1:15" ht="15.75" customHeight="1" thickBot="1">
      <c r="A43" s="4" t="s">
        <v>1874</v>
      </c>
      <c r="B43" s="96" t="s">
        <v>1875</v>
      </c>
      <c r="C43" s="97" t="s">
        <v>796</v>
      </c>
      <c r="D43" s="96" t="s">
        <v>515</v>
      </c>
      <c r="E43" s="96" t="s">
        <v>531</v>
      </c>
      <c r="F43" s="96" t="s">
        <v>1695</v>
      </c>
      <c r="G43" t="s">
        <v>1411</v>
      </c>
      <c r="H43" t="s">
        <v>542</v>
      </c>
      <c r="I43" s="4" t="s">
        <v>704</v>
      </c>
      <c r="J43" s="96" t="s">
        <v>80</v>
      </c>
      <c r="K43" s="96" t="s">
        <v>16</v>
      </c>
      <c r="L43" s="96" t="s">
        <v>269</v>
      </c>
      <c r="M43" s="105" t="s">
        <v>849</v>
      </c>
      <c r="N43" s="105" t="s">
        <v>1676</v>
      </c>
      <c r="O43" s="105" t="s">
        <v>856</v>
      </c>
    </row>
    <row r="44" spans="1:15" ht="116.25" customHeight="1" thickBot="1">
      <c r="A44" s="4" t="s">
        <v>1937</v>
      </c>
      <c r="B44" s="96" t="s">
        <v>1938</v>
      </c>
      <c r="C44" s="97" t="s">
        <v>796</v>
      </c>
      <c r="D44" s="96" t="s">
        <v>524</v>
      </c>
      <c r="E44" s="96" t="s">
        <v>531</v>
      </c>
      <c r="F44" s="96" t="s">
        <v>1695</v>
      </c>
      <c r="G44" t="s">
        <v>1411</v>
      </c>
      <c r="H44" t="s">
        <v>542</v>
      </c>
      <c r="I44" s="4" t="s">
        <v>704</v>
      </c>
      <c r="J44" s="96" t="s">
        <v>16</v>
      </c>
      <c r="K44" s="96" t="s">
        <v>205</v>
      </c>
      <c r="L44" s="96" t="s">
        <v>269</v>
      </c>
      <c r="M44" s="105" t="s">
        <v>856</v>
      </c>
      <c r="N44" s="105" t="s">
        <v>849</v>
      </c>
      <c r="O44" s="105" t="s">
        <v>849</v>
      </c>
    </row>
    <row r="45" spans="1:15" ht="52.5" customHeight="1" thickBot="1">
      <c r="A45" s="4" t="s">
        <v>1970</v>
      </c>
      <c r="B45" s="96" t="s">
        <v>1971</v>
      </c>
      <c r="C45" s="97" t="s">
        <v>796</v>
      </c>
      <c r="D45" s="96" t="s">
        <v>515</v>
      </c>
      <c r="E45" s="96" t="s">
        <v>1684</v>
      </c>
      <c r="F45" s="96" t="s">
        <v>1685</v>
      </c>
      <c r="G45" t="s">
        <v>1411</v>
      </c>
      <c r="H45" t="s">
        <v>542</v>
      </c>
      <c r="I45" s="105" t="s">
        <v>704</v>
      </c>
      <c r="J45" s="96" t="s">
        <v>144</v>
      </c>
      <c r="K45" s="96" t="s">
        <v>80</v>
      </c>
      <c r="L45" s="96" t="s">
        <v>16</v>
      </c>
      <c r="M45" s="105" t="s">
        <v>810</v>
      </c>
      <c r="N45" s="105" t="s">
        <v>1676</v>
      </c>
      <c r="O45" s="105" t="s">
        <v>810</v>
      </c>
    </row>
    <row r="46" spans="1:15" ht="15.75" customHeight="1" thickBot="1">
      <c r="A46" s="4" t="s">
        <v>1687</v>
      </c>
      <c r="B46" s="96" t="s">
        <v>1688</v>
      </c>
      <c r="C46" s="97" t="s">
        <v>796</v>
      </c>
      <c r="D46" s="96" t="s">
        <v>524</v>
      </c>
      <c r="E46" s="96" t="s">
        <v>513</v>
      </c>
      <c r="F46" s="96" t="s">
        <v>1689</v>
      </c>
      <c r="G46" t="s">
        <v>1411</v>
      </c>
      <c r="H46" t="s">
        <v>542</v>
      </c>
      <c r="I46" s="105" t="s">
        <v>1690</v>
      </c>
      <c r="J46" s="96" t="s">
        <v>16</v>
      </c>
      <c r="K46" s="96" t="s">
        <v>144</v>
      </c>
      <c r="L46" s="96" t="s">
        <v>16</v>
      </c>
      <c r="M46" s="98" t="s">
        <v>821</v>
      </c>
      <c r="N46" s="69" t="s">
        <v>804</v>
      </c>
      <c r="O46" s="69" t="s">
        <v>797</v>
      </c>
    </row>
    <row r="47" spans="1:15" ht="27" customHeight="1" thickBot="1">
      <c r="A47" s="4" t="s">
        <v>1831</v>
      </c>
      <c r="B47" s="96" t="s">
        <v>1832</v>
      </c>
      <c r="C47" s="97" t="s">
        <v>796</v>
      </c>
      <c r="D47" s="96" t="s">
        <v>515</v>
      </c>
      <c r="E47" s="96" t="s">
        <v>1704</v>
      </c>
      <c r="F47" s="96" t="s">
        <v>1705</v>
      </c>
      <c r="G47" t="s">
        <v>1411</v>
      </c>
      <c r="H47" t="s">
        <v>542</v>
      </c>
      <c r="I47" s="105" t="s">
        <v>1833</v>
      </c>
      <c r="J47" s="96" t="s">
        <v>80</v>
      </c>
      <c r="K47" s="96" t="s">
        <v>269</v>
      </c>
      <c r="L47" s="96" t="s">
        <v>16</v>
      </c>
      <c r="M47" s="105" t="s">
        <v>1834</v>
      </c>
      <c r="N47" s="105" t="s">
        <v>849</v>
      </c>
      <c r="O47" s="105" t="s">
        <v>799</v>
      </c>
    </row>
    <row r="48" spans="1:15" ht="27" customHeight="1" thickBot="1">
      <c r="A48" s="4" t="s">
        <v>1899</v>
      </c>
      <c r="B48" s="96" t="s">
        <v>1900</v>
      </c>
      <c r="C48" s="97" t="s">
        <v>796</v>
      </c>
      <c r="D48" s="96" t="s">
        <v>515</v>
      </c>
      <c r="E48" s="96" t="s">
        <v>540</v>
      </c>
      <c r="F48" s="96" t="s">
        <v>1679</v>
      </c>
      <c r="G48" t="s">
        <v>1411</v>
      </c>
      <c r="H48" t="s">
        <v>542</v>
      </c>
      <c r="I48" s="105" t="s">
        <v>1833</v>
      </c>
      <c r="J48" s="96" t="s">
        <v>333</v>
      </c>
      <c r="K48" s="96" t="s">
        <v>269</v>
      </c>
      <c r="L48" s="96" t="s">
        <v>269</v>
      </c>
      <c r="M48" s="105" t="s">
        <v>1676</v>
      </c>
      <c r="N48" s="105" t="s">
        <v>804</v>
      </c>
      <c r="O48" s="105" t="s">
        <v>804</v>
      </c>
    </row>
    <row r="49" spans="1:15" ht="15.75" customHeight="1" thickBot="1">
      <c r="A49" s="4" t="s">
        <v>1974</v>
      </c>
      <c r="B49" s="96" t="s">
        <v>1975</v>
      </c>
      <c r="C49" s="97" t="s">
        <v>796</v>
      </c>
      <c r="D49" s="96" t="s">
        <v>515</v>
      </c>
      <c r="E49" s="96" t="s">
        <v>1704</v>
      </c>
      <c r="F49" s="96" t="s">
        <v>1705</v>
      </c>
      <c r="G49" t="s">
        <v>1411</v>
      </c>
      <c r="H49" t="s">
        <v>542</v>
      </c>
      <c r="I49" s="104" t="s">
        <v>1833</v>
      </c>
      <c r="J49" s="96" t="s">
        <v>80</v>
      </c>
      <c r="K49" s="96" t="s">
        <v>269</v>
      </c>
      <c r="L49" s="96" t="s">
        <v>16</v>
      </c>
      <c r="M49" s="105" t="s">
        <v>1834</v>
      </c>
      <c r="N49" s="105" t="s">
        <v>849</v>
      </c>
      <c r="O49" s="105" t="s">
        <v>799</v>
      </c>
    </row>
    <row r="50" spans="1:15" ht="27" customHeight="1" thickBot="1">
      <c r="A50" s="4" t="s">
        <v>1817</v>
      </c>
      <c r="B50" s="96" t="s">
        <v>1818</v>
      </c>
      <c r="C50" s="97" t="s">
        <v>1819</v>
      </c>
      <c r="D50" s="96" t="s">
        <v>524</v>
      </c>
      <c r="E50" s="96" t="s">
        <v>513</v>
      </c>
      <c r="F50" s="96" t="s">
        <v>1689</v>
      </c>
      <c r="G50" t="s">
        <v>1411</v>
      </c>
      <c r="H50" t="s">
        <v>542</v>
      </c>
      <c r="I50" s="105" t="s">
        <v>1820</v>
      </c>
      <c r="J50" s="96" t="s">
        <v>80</v>
      </c>
      <c r="K50" s="96" t="s">
        <v>144</v>
      </c>
      <c r="L50" s="96" t="s">
        <v>80</v>
      </c>
      <c r="M50" s="105" t="s">
        <v>896</v>
      </c>
      <c r="N50" s="105" t="s">
        <v>904</v>
      </c>
      <c r="O50" s="105" t="s">
        <v>807</v>
      </c>
    </row>
    <row r="51" spans="1:15" ht="15.75" customHeight="1" thickBot="1">
      <c r="A51" s="4" t="s">
        <v>1743</v>
      </c>
      <c r="B51" s="96" t="s">
        <v>1744</v>
      </c>
      <c r="C51" s="97" t="s">
        <v>796</v>
      </c>
      <c r="D51" s="96" t="s">
        <v>515</v>
      </c>
      <c r="E51" s="107" t="s">
        <v>531</v>
      </c>
      <c r="F51" s="107" t="s">
        <v>1695</v>
      </c>
      <c r="G51" t="s">
        <v>1411</v>
      </c>
      <c r="H51" t="s">
        <v>542</v>
      </c>
      <c r="I51" s="105" t="s">
        <v>1745</v>
      </c>
      <c r="J51" s="96" t="s">
        <v>16</v>
      </c>
      <c r="K51" s="96" t="s">
        <v>205</v>
      </c>
      <c r="L51" s="96" t="s">
        <v>80</v>
      </c>
      <c r="M51" s="105" t="s">
        <v>856</v>
      </c>
      <c r="N51" s="105" t="s">
        <v>1676</v>
      </c>
      <c r="O51" s="105" t="s">
        <v>849</v>
      </c>
    </row>
    <row r="52" spans="1:15" ht="27" customHeight="1" thickBot="1">
      <c r="A52" s="4" t="s">
        <v>1770</v>
      </c>
      <c r="B52" s="96" t="s">
        <v>1771</v>
      </c>
      <c r="C52" s="97" t="s">
        <v>796</v>
      </c>
      <c r="D52" s="96" t="s">
        <v>515</v>
      </c>
      <c r="E52" s="96" t="s">
        <v>513</v>
      </c>
      <c r="F52" s="96" t="s">
        <v>1689</v>
      </c>
      <c r="G52" t="s">
        <v>1411</v>
      </c>
      <c r="H52" t="s">
        <v>542</v>
      </c>
      <c r="I52" s="105" t="s">
        <v>1745</v>
      </c>
      <c r="J52" s="96" t="s">
        <v>16</v>
      </c>
      <c r="K52" s="96" t="s">
        <v>144</v>
      </c>
      <c r="L52" s="96" t="s">
        <v>80</v>
      </c>
      <c r="M52" s="105" t="s">
        <v>856</v>
      </c>
      <c r="N52" s="105" t="s">
        <v>1676</v>
      </c>
      <c r="O52" s="105" t="s">
        <v>810</v>
      </c>
    </row>
    <row r="53" spans="1:15" ht="27" customHeight="1" thickBot="1">
      <c r="A53" s="4" t="s">
        <v>1813</v>
      </c>
      <c r="B53" s="96" t="s">
        <v>1814</v>
      </c>
      <c r="C53" s="97" t="s">
        <v>796</v>
      </c>
      <c r="D53" s="96" t="s">
        <v>524</v>
      </c>
      <c r="E53" s="96" t="s">
        <v>513</v>
      </c>
      <c r="F53" s="96" t="s">
        <v>1689</v>
      </c>
      <c r="G53" t="s">
        <v>1411</v>
      </c>
      <c r="H53" t="s">
        <v>708</v>
      </c>
      <c r="I53" s="4" t="s">
        <v>707</v>
      </c>
      <c r="J53" s="96" t="s">
        <v>16</v>
      </c>
      <c r="K53" s="96" t="s">
        <v>144</v>
      </c>
      <c r="L53" s="96" t="s">
        <v>16</v>
      </c>
      <c r="M53" s="105" t="s">
        <v>799</v>
      </c>
      <c r="N53" s="105" t="s">
        <v>1676</v>
      </c>
      <c r="O53" s="105" t="s">
        <v>849</v>
      </c>
    </row>
    <row r="54" spans="1:15" ht="27" customHeight="1" thickBot="1">
      <c r="A54" s="4" t="s">
        <v>1925</v>
      </c>
      <c r="B54" s="96" t="s">
        <v>1926</v>
      </c>
      <c r="C54" s="97" t="s">
        <v>796</v>
      </c>
      <c r="D54" s="96" t="s">
        <v>515</v>
      </c>
      <c r="E54" s="96" t="s">
        <v>513</v>
      </c>
      <c r="F54" s="96" t="s">
        <v>1689</v>
      </c>
      <c r="G54" t="s">
        <v>1411</v>
      </c>
      <c r="H54" t="s">
        <v>708</v>
      </c>
      <c r="I54" s="4" t="s">
        <v>707</v>
      </c>
      <c r="J54" s="96" t="s">
        <v>80</v>
      </c>
      <c r="K54" s="96" t="s">
        <v>144</v>
      </c>
      <c r="L54" s="96" t="s">
        <v>80</v>
      </c>
      <c r="M54" s="105" t="s">
        <v>849</v>
      </c>
      <c r="N54" s="105" t="s">
        <v>1676</v>
      </c>
      <c r="O54" s="105" t="s">
        <v>804</v>
      </c>
    </row>
    <row r="55" spans="1:15" ht="15.75" customHeight="1" thickBot="1">
      <c r="A55" s="4" t="s">
        <v>1933</v>
      </c>
      <c r="B55" s="96" t="s">
        <v>1934</v>
      </c>
      <c r="C55" s="97" t="s">
        <v>796</v>
      </c>
      <c r="D55" s="96" t="s">
        <v>524</v>
      </c>
      <c r="E55" s="96" t="s">
        <v>1704</v>
      </c>
      <c r="F55" s="96" t="s">
        <v>1705</v>
      </c>
      <c r="G55" t="s">
        <v>1411</v>
      </c>
      <c r="H55" t="s">
        <v>708</v>
      </c>
      <c r="I55" s="105" t="s">
        <v>707</v>
      </c>
      <c r="J55" s="96" t="s">
        <v>144</v>
      </c>
      <c r="K55" s="96" t="s">
        <v>333</v>
      </c>
      <c r="L55" s="96" t="s">
        <v>269</v>
      </c>
      <c r="M55" s="105" t="s">
        <v>810</v>
      </c>
      <c r="N55" s="105" t="s">
        <v>810</v>
      </c>
      <c r="O55" s="105" t="s">
        <v>856</v>
      </c>
    </row>
    <row r="56" spans="1:15" ht="15.75" customHeight="1" thickBot="1">
      <c r="A56" s="4" t="s">
        <v>1945</v>
      </c>
      <c r="B56" s="96" t="s">
        <v>1946</v>
      </c>
      <c r="C56" s="97" t="s">
        <v>796</v>
      </c>
      <c r="D56" s="96" t="s">
        <v>524</v>
      </c>
      <c r="E56" s="96" t="s">
        <v>1684</v>
      </c>
      <c r="F56" s="96" t="s">
        <v>1685</v>
      </c>
      <c r="G56" t="s">
        <v>1411</v>
      </c>
      <c r="H56" t="s">
        <v>708</v>
      </c>
      <c r="I56" s="4" t="s">
        <v>707</v>
      </c>
      <c r="J56" s="96" t="s">
        <v>80</v>
      </c>
      <c r="K56" s="96" t="s">
        <v>269</v>
      </c>
      <c r="L56" s="96" t="s">
        <v>80</v>
      </c>
      <c r="M56" s="105" t="s">
        <v>1676</v>
      </c>
      <c r="N56" s="105" t="s">
        <v>849</v>
      </c>
      <c r="O56" s="105" t="s">
        <v>799</v>
      </c>
    </row>
    <row r="57" spans="1:15" ht="52.5" customHeight="1" thickBot="1">
      <c r="A57" s="4" t="s">
        <v>1961</v>
      </c>
      <c r="B57" s="96" t="s">
        <v>1962</v>
      </c>
      <c r="C57" s="97" t="s">
        <v>796</v>
      </c>
      <c r="D57" s="96" t="s">
        <v>515</v>
      </c>
      <c r="E57" s="96" t="s">
        <v>1704</v>
      </c>
      <c r="F57" s="96" t="s">
        <v>1705</v>
      </c>
      <c r="G57" t="s">
        <v>1411</v>
      </c>
      <c r="H57" t="s">
        <v>708</v>
      </c>
      <c r="I57" s="4" t="s">
        <v>707</v>
      </c>
      <c r="J57" s="96" t="s">
        <v>80</v>
      </c>
      <c r="K57" s="96" t="s">
        <v>333</v>
      </c>
      <c r="L57" s="96" t="s">
        <v>205</v>
      </c>
      <c r="M57" s="105" t="s">
        <v>849</v>
      </c>
      <c r="N57" s="105" t="s">
        <v>849</v>
      </c>
      <c r="O57" s="105" t="s">
        <v>810</v>
      </c>
    </row>
    <row r="58" spans="1:15" ht="15.75" customHeight="1" thickBot="1">
      <c r="A58" s="4" t="s">
        <v>1985</v>
      </c>
      <c r="B58" s="96" t="s">
        <v>1986</v>
      </c>
      <c r="C58" s="97" t="s">
        <v>796</v>
      </c>
      <c r="D58" s="96" t="s">
        <v>524</v>
      </c>
      <c r="E58" s="96" t="s">
        <v>513</v>
      </c>
      <c r="F58" s="96" t="s">
        <v>1689</v>
      </c>
      <c r="G58" t="s">
        <v>1411</v>
      </c>
      <c r="H58" t="s">
        <v>708</v>
      </c>
      <c r="I58" s="105" t="s">
        <v>707</v>
      </c>
      <c r="J58" s="96" t="s">
        <v>144</v>
      </c>
      <c r="K58" s="96" t="s">
        <v>16</v>
      </c>
      <c r="L58" s="96" t="s">
        <v>205</v>
      </c>
      <c r="M58" s="105" t="s">
        <v>804</v>
      </c>
      <c r="N58" s="105" t="s">
        <v>849</v>
      </c>
      <c r="O58" s="105" t="s">
        <v>849</v>
      </c>
    </row>
    <row r="59" spans="1:15" ht="27" customHeight="1" thickBot="1">
      <c r="A59" s="4" t="s">
        <v>1994</v>
      </c>
      <c r="B59" s="96" t="s">
        <v>1995</v>
      </c>
      <c r="C59" s="97" t="s">
        <v>796</v>
      </c>
      <c r="D59" s="96" t="s">
        <v>524</v>
      </c>
      <c r="E59" s="96" t="s">
        <v>531</v>
      </c>
      <c r="F59" s="96" t="s">
        <v>1695</v>
      </c>
      <c r="G59" t="s">
        <v>1411</v>
      </c>
      <c r="H59" t="s">
        <v>708</v>
      </c>
      <c r="I59" s="4" t="s">
        <v>707</v>
      </c>
      <c r="J59" s="96" t="s">
        <v>144</v>
      </c>
      <c r="K59" s="96" t="s">
        <v>80</v>
      </c>
      <c r="L59" s="96" t="s">
        <v>205</v>
      </c>
      <c r="M59" s="105" t="s">
        <v>810</v>
      </c>
      <c r="N59" s="105" t="s">
        <v>849</v>
      </c>
      <c r="O59" s="105" t="s">
        <v>810</v>
      </c>
    </row>
    <row r="60" spans="1:15" ht="78" customHeight="1" thickBot="1">
      <c r="A60" s="4" t="s">
        <v>1693</v>
      </c>
      <c r="B60" s="96" t="s">
        <v>1694</v>
      </c>
      <c r="C60" s="97" t="s">
        <v>796</v>
      </c>
      <c r="D60" s="96" t="s">
        <v>524</v>
      </c>
      <c r="E60" s="96" t="s">
        <v>531</v>
      </c>
      <c r="F60" s="96" t="s">
        <v>1695</v>
      </c>
      <c r="G60" t="s">
        <v>1411</v>
      </c>
      <c r="H60" t="s">
        <v>708</v>
      </c>
      <c r="I60" s="105" t="s">
        <v>1696</v>
      </c>
      <c r="J60" s="96" t="s">
        <v>144</v>
      </c>
      <c r="K60" s="96" t="s">
        <v>80</v>
      </c>
      <c r="L60" s="96" t="s">
        <v>205</v>
      </c>
      <c r="M60" s="105" t="s">
        <v>810</v>
      </c>
      <c r="N60" s="105" t="s">
        <v>849</v>
      </c>
      <c r="O60" s="105" t="s">
        <v>810</v>
      </c>
    </row>
    <row r="61" spans="1:15" ht="39.75" customHeight="1" thickBot="1">
      <c r="A61" s="4" t="s">
        <v>1860</v>
      </c>
      <c r="B61" s="96" t="s">
        <v>1861</v>
      </c>
      <c r="C61" s="97" t="s">
        <v>796</v>
      </c>
      <c r="D61" s="96" t="s">
        <v>524</v>
      </c>
      <c r="E61" s="96" t="s">
        <v>540</v>
      </c>
      <c r="F61" s="96" t="s">
        <v>1679</v>
      </c>
      <c r="G61" t="s">
        <v>1411</v>
      </c>
      <c r="H61" t="s">
        <v>708</v>
      </c>
      <c r="I61" s="105" t="s">
        <v>1696</v>
      </c>
      <c r="J61" s="96" t="s">
        <v>144</v>
      </c>
      <c r="K61" s="96" t="s">
        <v>80</v>
      </c>
      <c r="L61" s="96" t="s">
        <v>16</v>
      </c>
      <c r="M61" s="105" t="s">
        <v>810</v>
      </c>
      <c r="N61" s="105" t="s">
        <v>1676</v>
      </c>
      <c r="O61" s="105" t="s">
        <v>810</v>
      </c>
    </row>
    <row r="62" spans="1:15" ht="27" customHeight="1" thickBot="1">
      <c r="A62" s="4" t="s">
        <v>1824</v>
      </c>
      <c r="B62" s="96" t="s">
        <v>1825</v>
      </c>
      <c r="C62" s="97" t="s">
        <v>1826</v>
      </c>
      <c r="D62" s="96" t="s">
        <v>524</v>
      </c>
      <c r="E62" s="96" t="s">
        <v>513</v>
      </c>
      <c r="F62" s="96" t="s">
        <v>1689</v>
      </c>
      <c r="G62" t="s">
        <v>1411</v>
      </c>
      <c r="H62" t="s">
        <v>708</v>
      </c>
      <c r="I62" s="104" t="s">
        <v>1827</v>
      </c>
      <c r="J62" s="96" t="s">
        <v>80</v>
      </c>
      <c r="K62" s="96" t="s">
        <v>144</v>
      </c>
      <c r="L62" s="96" t="s">
        <v>80</v>
      </c>
      <c r="M62" s="105" t="s">
        <v>1676</v>
      </c>
      <c r="N62" s="105" t="s">
        <v>1718</v>
      </c>
      <c r="O62" s="105" t="s">
        <v>804</v>
      </c>
    </row>
    <row r="63" spans="1:15" ht="27" customHeight="1" thickBot="1">
      <c r="A63" s="4" t="s">
        <v>1867</v>
      </c>
      <c r="B63" s="96" t="s">
        <v>1868</v>
      </c>
      <c r="C63" s="97" t="s">
        <v>796</v>
      </c>
      <c r="D63" s="96" t="s">
        <v>515</v>
      </c>
      <c r="E63" s="96" t="s">
        <v>1684</v>
      </c>
      <c r="F63" s="96" t="s">
        <v>1685</v>
      </c>
      <c r="G63" t="s">
        <v>1411</v>
      </c>
      <c r="H63" t="s">
        <v>708</v>
      </c>
      <c r="I63" s="105" t="s">
        <v>1869</v>
      </c>
      <c r="J63" s="96" t="s">
        <v>16</v>
      </c>
      <c r="K63" s="96" t="s">
        <v>80</v>
      </c>
      <c r="L63" s="96" t="s">
        <v>144</v>
      </c>
      <c r="M63" s="105" t="s">
        <v>856</v>
      </c>
      <c r="N63" s="105" t="s">
        <v>1676</v>
      </c>
      <c r="O63" s="105" t="s">
        <v>810</v>
      </c>
    </row>
    <row r="64" spans="1:15" ht="27" customHeight="1" thickBot="1">
      <c r="A64" s="4" t="s">
        <v>1803</v>
      </c>
      <c r="B64" s="96" t="s">
        <v>1804</v>
      </c>
      <c r="C64" s="97" t="s">
        <v>796</v>
      </c>
      <c r="D64" s="96" t="s">
        <v>515</v>
      </c>
      <c r="E64" s="96" t="s">
        <v>531</v>
      </c>
      <c r="F64" s="96" t="s">
        <v>1695</v>
      </c>
      <c r="G64" t="s">
        <v>1411</v>
      </c>
      <c r="H64" t="s">
        <v>525</v>
      </c>
      <c r="I64" s="4" t="s">
        <v>711</v>
      </c>
      <c r="J64" s="96" t="s">
        <v>80</v>
      </c>
      <c r="K64" s="96" t="s">
        <v>144</v>
      </c>
      <c r="L64" s="96" t="s">
        <v>80</v>
      </c>
      <c r="M64" s="105" t="s">
        <v>849</v>
      </c>
      <c r="N64" s="105" t="s">
        <v>1676</v>
      </c>
      <c r="O64" s="105" t="s">
        <v>804</v>
      </c>
    </row>
    <row r="65" spans="1:15" ht="27" customHeight="1" thickBot="1">
      <c r="A65" s="4" t="s">
        <v>1862</v>
      </c>
      <c r="B65" s="96" t="s">
        <v>1863</v>
      </c>
      <c r="C65" s="97" t="s">
        <v>796</v>
      </c>
      <c r="D65" s="96" t="s">
        <v>515</v>
      </c>
      <c r="E65" s="96" t="s">
        <v>1684</v>
      </c>
      <c r="F65" s="96" t="s">
        <v>1685</v>
      </c>
      <c r="G65" t="s">
        <v>1411</v>
      </c>
      <c r="H65" t="s">
        <v>525</v>
      </c>
      <c r="I65" s="4" t="s">
        <v>711</v>
      </c>
      <c r="J65" s="96" t="s">
        <v>80</v>
      </c>
      <c r="K65" s="96" t="s">
        <v>205</v>
      </c>
      <c r="L65" s="96" t="s">
        <v>16</v>
      </c>
      <c r="M65" s="105" t="s">
        <v>1730</v>
      </c>
      <c r="N65" s="105" t="s">
        <v>1676</v>
      </c>
      <c r="O65" s="105" t="s">
        <v>1730</v>
      </c>
    </row>
    <row r="66" spans="1:15" ht="15.75" customHeight="1" thickBot="1">
      <c r="A66" s="4" t="s">
        <v>1890</v>
      </c>
      <c r="B66" s="96" t="s">
        <v>1891</v>
      </c>
      <c r="C66" s="97" t="s">
        <v>796</v>
      </c>
      <c r="D66" s="96" t="s">
        <v>515</v>
      </c>
      <c r="E66" s="96" t="s">
        <v>513</v>
      </c>
      <c r="F66" s="96" t="s">
        <v>1689</v>
      </c>
      <c r="G66" t="s">
        <v>1411</v>
      </c>
      <c r="H66" t="s">
        <v>525</v>
      </c>
      <c r="I66" s="4" t="s">
        <v>711</v>
      </c>
      <c r="J66" s="96" t="s">
        <v>80</v>
      </c>
      <c r="K66" s="96" t="s">
        <v>205</v>
      </c>
      <c r="L66" s="96" t="s">
        <v>269</v>
      </c>
      <c r="M66" s="105" t="s">
        <v>849</v>
      </c>
      <c r="N66" s="105" t="s">
        <v>849</v>
      </c>
      <c r="O66" s="105" t="s">
        <v>856</v>
      </c>
    </row>
    <row r="67" spans="1:15" ht="27" customHeight="1" thickBot="1">
      <c r="A67" s="4" t="s">
        <v>1905</v>
      </c>
      <c r="B67" s="96" t="s">
        <v>1906</v>
      </c>
      <c r="C67" s="97" t="s">
        <v>796</v>
      </c>
      <c r="D67" s="96" t="s">
        <v>515</v>
      </c>
      <c r="E67" s="96" t="s">
        <v>531</v>
      </c>
      <c r="F67" s="96" t="s">
        <v>1695</v>
      </c>
      <c r="G67" t="s">
        <v>1411</v>
      </c>
      <c r="H67" t="s">
        <v>525</v>
      </c>
      <c r="I67" s="1" t="s">
        <v>711</v>
      </c>
      <c r="J67" s="96" t="s">
        <v>16</v>
      </c>
      <c r="K67" s="96" t="s">
        <v>205</v>
      </c>
      <c r="L67" s="96" t="s">
        <v>80</v>
      </c>
      <c r="M67" s="105" t="s">
        <v>856</v>
      </c>
      <c r="N67" s="105" t="s">
        <v>1676</v>
      </c>
      <c r="O67" s="105" t="s">
        <v>849</v>
      </c>
    </row>
    <row r="68" spans="1:15" ht="27" customHeight="1" thickBot="1">
      <c r="A68" s="4" t="s">
        <v>1972</v>
      </c>
      <c r="B68" s="96" t="s">
        <v>1973</v>
      </c>
      <c r="C68" s="97" t="s">
        <v>796</v>
      </c>
      <c r="D68" s="96" t="s">
        <v>515</v>
      </c>
      <c r="E68" s="96" t="s">
        <v>1704</v>
      </c>
      <c r="F68" s="96" t="s">
        <v>1705</v>
      </c>
      <c r="G68" t="s">
        <v>1411</v>
      </c>
      <c r="H68" t="s">
        <v>525</v>
      </c>
      <c r="I68" s="4" t="s">
        <v>711</v>
      </c>
      <c r="J68" s="96" t="s">
        <v>16</v>
      </c>
      <c r="K68" s="96" t="s">
        <v>144</v>
      </c>
      <c r="L68" s="96" t="s">
        <v>16</v>
      </c>
      <c r="M68" s="105" t="s">
        <v>799</v>
      </c>
      <c r="N68" s="105" t="s">
        <v>1676</v>
      </c>
      <c r="O68" s="105" t="s">
        <v>849</v>
      </c>
    </row>
    <row r="69" spans="1:15" ht="15.75" customHeight="1" thickBot="1">
      <c r="A69" s="4" t="s">
        <v>1987</v>
      </c>
      <c r="B69" s="96" t="s">
        <v>1988</v>
      </c>
      <c r="C69" s="97" t="s">
        <v>796</v>
      </c>
      <c r="D69" s="96" t="s">
        <v>524</v>
      </c>
      <c r="E69" s="96" t="s">
        <v>1704</v>
      </c>
      <c r="F69" s="96" t="s">
        <v>1705</v>
      </c>
      <c r="G69" t="s">
        <v>1411</v>
      </c>
      <c r="H69" t="s">
        <v>525</v>
      </c>
      <c r="I69" s="4" t="s">
        <v>711</v>
      </c>
      <c r="J69" s="96" t="s">
        <v>16</v>
      </c>
      <c r="K69" s="96" t="s">
        <v>205</v>
      </c>
      <c r="L69" s="96" t="s">
        <v>269</v>
      </c>
      <c r="M69" s="105" t="s">
        <v>856</v>
      </c>
      <c r="N69" s="105" t="s">
        <v>849</v>
      </c>
      <c r="O69" s="105" t="s">
        <v>849</v>
      </c>
    </row>
    <row r="70" spans="1:15" ht="27" customHeight="1" thickBot="1">
      <c r="A70" s="4" t="s">
        <v>1849</v>
      </c>
      <c r="B70" s="96" t="s">
        <v>1850</v>
      </c>
      <c r="C70" s="97" t="s">
        <v>796</v>
      </c>
      <c r="D70" s="96" t="s">
        <v>515</v>
      </c>
      <c r="E70" s="96" t="s">
        <v>1704</v>
      </c>
      <c r="F70" s="96" t="s">
        <v>1705</v>
      </c>
      <c r="G70" t="s">
        <v>1411</v>
      </c>
      <c r="H70" t="s">
        <v>525</v>
      </c>
      <c r="I70" s="105" t="s">
        <v>1851</v>
      </c>
      <c r="J70" s="96" t="s">
        <v>16</v>
      </c>
      <c r="K70" s="96" t="s">
        <v>144</v>
      </c>
      <c r="L70" s="96" t="s">
        <v>205</v>
      </c>
      <c r="M70" s="105" t="s">
        <v>804</v>
      </c>
      <c r="N70" s="105" t="s">
        <v>1676</v>
      </c>
      <c r="O70" s="105" t="s">
        <v>849</v>
      </c>
    </row>
    <row r="71" spans="1:15" ht="27" customHeight="1" thickBot="1">
      <c r="A71" s="4" t="s">
        <v>1929</v>
      </c>
      <c r="B71" s="96" t="s">
        <v>1930</v>
      </c>
      <c r="C71" s="97" t="s">
        <v>796</v>
      </c>
      <c r="D71" s="96" t="s">
        <v>515</v>
      </c>
      <c r="E71" s="96" t="s">
        <v>540</v>
      </c>
      <c r="F71" s="96" t="s">
        <v>1679</v>
      </c>
      <c r="G71" t="s">
        <v>1411</v>
      </c>
      <c r="H71" t="s">
        <v>525</v>
      </c>
      <c r="I71" s="105" t="s">
        <v>1851</v>
      </c>
      <c r="J71" s="96" t="s">
        <v>16</v>
      </c>
      <c r="K71" s="96" t="s">
        <v>80</v>
      </c>
      <c r="L71" s="96" t="s">
        <v>333</v>
      </c>
      <c r="M71" s="105" t="s">
        <v>810</v>
      </c>
      <c r="N71" s="105" t="s">
        <v>1676</v>
      </c>
      <c r="O71" s="105" t="s">
        <v>810</v>
      </c>
    </row>
    <row r="72" spans="1:15" ht="15.75" customHeight="1" thickBot="1">
      <c r="A72" s="4" t="s">
        <v>1892</v>
      </c>
      <c r="B72" s="96" t="s">
        <v>1893</v>
      </c>
      <c r="C72" s="97" t="s">
        <v>796</v>
      </c>
      <c r="D72" s="96" t="s">
        <v>515</v>
      </c>
      <c r="E72" s="96" t="s">
        <v>1704</v>
      </c>
      <c r="F72" s="96" t="s">
        <v>1705</v>
      </c>
      <c r="G72" t="s">
        <v>1411</v>
      </c>
      <c r="H72" t="s">
        <v>525</v>
      </c>
      <c r="I72" s="105" t="s">
        <v>1894</v>
      </c>
      <c r="J72" s="96" t="s">
        <v>16</v>
      </c>
      <c r="K72" s="96" t="s">
        <v>205</v>
      </c>
      <c r="L72" s="96" t="s">
        <v>269</v>
      </c>
      <c r="M72" s="105" t="s">
        <v>856</v>
      </c>
      <c r="N72" s="105" t="s">
        <v>849</v>
      </c>
      <c r="O72" s="105" t="s">
        <v>849</v>
      </c>
    </row>
    <row r="73" spans="1:15" ht="27" customHeight="1" thickBot="1">
      <c r="A73" s="4" t="s">
        <v>1953</v>
      </c>
      <c r="B73" s="96" t="s">
        <v>1954</v>
      </c>
      <c r="C73" s="97" t="s">
        <v>1955</v>
      </c>
      <c r="D73" s="96" t="s">
        <v>515</v>
      </c>
      <c r="E73" s="96" t="s">
        <v>513</v>
      </c>
      <c r="F73" s="96" t="s">
        <v>1689</v>
      </c>
      <c r="G73" t="s">
        <v>1411</v>
      </c>
      <c r="H73" t="s">
        <v>525</v>
      </c>
      <c r="I73" s="105" t="s">
        <v>1956</v>
      </c>
      <c r="J73" s="96" t="s">
        <v>16</v>
      </c>
      <c r="K73" s="96" t="s">
        <v>269</v>
      </c>
      <c r="L73" s="96" t="s">
        <v>16</v>
      </c>
      <c r="M73" s="105" t="s">
        <v>1730</v>
      </c>
      <c r="N73" s="105" t="s">
        <v>1718</v>
      </c>
      <c r="O73" s="105" t="s">
        <v>849</v>
      </c>
    </row>
    <row r="74" spans="1:15" ht="15.75" customHeight="1" thickBot="1">
      <c r="A74" s="4" t="s">
        <v>1798</v>
      </c>
      <c r="B74" s="96" t="s">
        <v>1799</v>
      </c>
      <c r="C74" s="97" t="s">
        <v>796</v>
      </c>
      <c r="D74" s="96" t="s">
        <v>515</v>
      </c>
      <c r="E74" s="96" t="s">
        <v>531</v>
      </c>
      <c r="F74" s="96" t="s">
        <v>1695</v>
      </c>
      <c r="G74" t="s">
        <v>1411</v>
      </c>
      <c r="H74" t="s">
        <v>525</v>
      </c>
      <c r="I74" s="105" t="s">
        <v>1800</v>
      </c>
      <c r="J74" s="96" t="s">
        <v>16</v>
      </c>
      <c r="K74" s="96" t="s">
        <v>205</v>
      </c>
      <c r="L74" s="96" t="s">
        <v>269</v>
      </c>
      <c r="M74" s="105" t="s">
        <v>856</v>
      </c>
      <c r="N74" s="105" t="s">
        <v>849</v>
      </c>
      <c r="O74" s="105" t="s">
        <v>849</v>
      </c>
    </row>
    <row r="75" spans="1:15" ht="27" customHeight="1" thickBot="1">
      <c r="A75" s="4" t="s">
        <v>1901</v>
      </c>
      <c r="B75" s="96" t="s">
        <v>1902</v>
      </c>
      <c r="C75" s="97" t="s">
        <v>796</v>
      </c>
      <c r="D75" s="96" t="s">
        <v>515</v>
      </c>
      <c r="E75" s="96" t="s">
        <v>531</v>
      </c>
      <c r="F75" s="96" t="s">
        <v>1695</v>
      </c>
      <c r="G75" t="s">
        <v>1411</v>
      </c>
      <c r="H75" t="s">
        <v>525</v>
      </c>
      <c r="I75" s="105" t="s">
        <v>1800</v>
      </c>
      <c r="J75" s="96" t="s">
        <v>16</v>
      </c>
      <c r="K75" s="96" t="s">
        <v>205</v>
      </c>
      <c r="L75" s="96" t="s">
        <v>80</v>
      </c>
      <c r="M75" s="105" t="s">
        <v>856</v>
      </c>
      <c r="N75" s="105" t="s">
        <v>1676</v>
      </c>
      <c r="O75" s="105" t="s">
        <v>849</v>
      </c>
    </row>
    <row r="76" spans="1:15" ht="27" customHeight="1" thickBot="1">
      <c r="A76" s="4" t="s">
        <v>1801</v>
      </c>
      <c r="B76" s="96" t="s">
        <v>1802</v>
      </c>
      <c r="C76" s="97" t="s">
        <v>796</v>
      </c>
      <c r="D76" s="96" t="s">
        <v>515</v>
      </c>
      <c r="E76" s="96" t="s">
        <v>540</v>
      </c>
      <c r="F76" s="96" t="s">
        <v>1679</v>
      </c>
      <c r="G76" t="s">
        <v>1411</v>
      </c>
      <c r="H76" t="s">
        <v>533</v>
      </c>
      <c r="I76" s="4" t="s">
        <v>714</v>
      </c>
      <c r="J76" s="96" t="s">
        <v>80</v>
      </c>
      <c r="K76" s="96" t="s">
        <v>205</v>
      </c>
      <c r="L76" s="96" t="s">
        <v>144</v>
      </c>
      <c r="M76" s="105" t="s">
        <v>849</v>
      </c>
      <c r="N76" s="105" t="s">
        <v>849</v>
      </c>
      <c r="O76" s="105" t="s">
        <v>810</v>
      </c>
    </row>
    <row r="77" spans="1:15" ht="27" customHeight="1" thickBot="1">
      <c r="A77" s="4" t="s">
        <v>1921</v>
      </c>
      <c r="B77" s="96" t="s">
        <v>1922</v>
      </c>
      <c r="C77" s="97" t="s">
        <v>796</v>
      </c>
      <c r="D77" s="96" t="s">
        <v>524</v>
      </c>
      <c r="E77" s="96" t="s">
        <v>531</v>
      </c>
      <c r="F77" s="96" t="s">
        <v>1695</v>
      </c>
      <c r="G77" t="s">
        <v>1411</v>
      </c>
      <c r="H77" t="s">
        <v>533</v>
      </c>
      <c r="I77" s="4" t="s">
        <v>714</v>
      </c>
      <c r="J77" s="96" t="s">
        <v>144</v>
      </c>
      <c r="K77" s="96" t="s">
        <v>80</v>
      </c>
      <c r="L77" s="96" t="s">
        <v>205</v>
      </c>
      <c r="M77" s="105" t="s">
        <v>810</v>
      </c>
      <c r="N77" s="105" t="s">
        <v>849</v>
      </c>
      <c r="O77" s="105" t="s">
        <v>810</v>
      </c>
    </row>
    <row r="78" spans="1:15" ht="27" customHeight="1" thickBot="1">
      <c r="A78" s="4" t="s">
        <v>1788</v>
      </c>
      <c r="B78" s="96" t="s">
        <v>1789</v>
      </c>
      <c r="C78" s="97" t="s">
        <v>796</v>
      </c>
      <c r="D78" s="96" t="s">
        <v>515</v>
      </c>
      <c r="E78" s="96" t="s">
        <v>513</v>
      </c>
      <c r="F78" s="96" t="s">
        <v>1689</v>
      </c>
      <c r="G78" t="s">
        <v>1411</v>
      </c>
      <c r="H78" t="s">
        <v>533</v>
      </c>
      <c r="I78" s="105" t="s">
        <v>1790</v>
      </c>
      <c r="J78" s="96" t="s">
        <v>144</v>
      </c>
      <c r="K78" s="96" t="s">
        <v>269</v>
      </c>
      <c r="L78" s="96" t="s">
        <v>205</v>
      </c>
      <c r="M78" s="105" t="s">
        <v>810</v>
      </c>
      <c r="N78" s="105" t="s">
        <v>810</v>
      </c>
      <c r="O78" s="105" t="s">
        <v>810</v>
      </c>
    </row>
    <row r="79" spans="1:15" ht="27" customHeight="1" thickBot="1">
      <c r="A79" s="4" t="s">
        <v>1715</v>
      </c>
      <c r="B79" s="96" t="s">
        <v>1716</v>
      </c>
      <c r="C79" s="97" t="s">
        <v>796</v>
      </c>
      <c r="D79" s="96" t="s">
        <v>524</v>
      </c>
      <c r="E79" s="96" t="s">
        <v>513</v>
      </c>
      <c r="F79" s="96" t="s">
        <v>1689</v>
      </c>
      <c r="G79" t="s">
        <v>1411</v>
      </c>
      <c r="H79" t="s">
        <v>533</v>
      </c>
      <c r="I79" s="105" t="s">
        <v>1717</v>
      </c>
      <c r="J79" s="96" t="s">
        <v>80</v>
      </c>
      <c r="K79" s="96" t="s">
        <v>269</v>
      </c>
      <c r="L79" s="96" t="s">
        <v>269</v>
      </c>
      <c r="M79" s="105" t="s">
        <v>1718</v>
      </c>
      <c r="N79" s="105" t="s">
        <v>849</v>
      </c>
      <c r="O79" s="105" t="s">
        <v>797</v>
      </c>
    </row>
    <row r="80" spans="1:15" ht="27" customHeight="1" thickBot="1">
      <c r="A80" s="4" t="s">
        <v>1939</v>
      </c>
      <c r="B80" s="96" t="s">
        <v>1940</v>
      </c>
      <c r="C80" s="97" t="s">
        <v>796</v>
      </c>
      <c r="D80" s="96" t="s">
        <v>515</v>
      </c>
      <c r="E80" s="96" t="s">
        <v>540</v>
      </c>
      <c r="F80" s="96" t="s">
        <v>1679</v>
      </c>
      <c r="G80" t="s">
        <v>1411</v>
      </c>
      <c r="H80" t="s">
        <v>533</v>
      </c>
      <c r="I80" s="105" t="s">
        <v>1717</v>
      </c>
      <c r="J80" s="96" t="s">
        <v>144</v>
      </c>
      <c r="K80" s="96" t="s">
        <v>269</v>
      </c>
      <c r="L80" s="96" t="s">
        <v>333</v>
      </c>
      <c r="M80" s="105" t="s">
        <v>849</v>
      </c>
      <c r="N80" s="105" t="s">
        <v>810</v>
      </c>
      <c r="O80" s="105" t="s">
        <v>856</v>
      </c>
    </row>
    <row r="81" spans="1:15" ht="15.75" customHeight="1" thickBot="1">
      <c r="A81" s="4" t="s">
        <v>1843</v>
      </c>
      <c r="B81" s="96" t="s">
        <v>1844</v>
      </c>
      <c r="C81" s="97" t="s">
        <v>1845</v>
      </c>
      <c r="D81" s="96" t="s">
        <v>515</v>
      </c>
      <c r="E81" s="96" t="s">
        <v>1673</v>
      </c>
      <c r="F81" s="96" t="s">
        <v>1674</v>
      </c>
      <c r="G81" t="s">
        <v>1411</v>
      </c>
      <c r="H81" t="s">
        <v>533</v>
      </c>
      <c r="I81" s="105" t="s">
        <v>1846</v>
      </c>
      <c r="J81" s="96" t="s">
        <v>80</v>
      </c>
      <c r="K81" s="96" t="s">
        <v>333</v>
      </c>
      <c r="L81" s="96" t="s">
        <v>269</v>
      </c>
      <c r="M81" s="105" t="s">
        <v>1718</v>
      </c>
      <c r="N81" s="105" t="s">
        <v>834</v>
      </c>
      <c r="O81" s="105" t="s">
        <v>804</v>
      </c>
    </row>
    <row r="82" spans="1:15" ht="27" customHeight="1" thickBot="1">
      <c r="A82" s="4" t="s">
        <v>1907</v>
      </c>
      <c r="B82" s="96" t="s">
        <v>1908</v>
      </c>
      <c r="C82" s="97" t="s">
        <v>796</v>
      </c>
      <c r="D82" s="96" t="s">
        <v>524</v>
      </c>
      <c r="E82" s="96" t="s">
        <v>1684</v>
      </c>
      <c r="F82" s="96" t="s">
        <v>1685</v>
      </c>
      <c r="G82" t="s">
        <v>1411</v>
      </c>
      <c r="H82" t="s">
        <v>533</v>
      </c>
      <c r="I82" s="105" t="s">
        <v>1909</v>
      </c>
      <c r="J82" s="96" t="s">
        <v>16</v>
      </c>
      <c r="K82" s="96" t="s">
        <v>80</v>
      </c>
      <c r="L82" s="96" t="s">
        <v>269</v>
      </c>
      <c r="M82" s="105" t="s">
        <v>1730</v>
      </c>
      <c r="N82" s="105" t="s">
        <v>1676</v>
      </c>
      <c r="O82" s="105" t="s">
        <v>856</v>
      </c>
    </row>
    <row r="83" spans="1:15" ht="27" customHeight="1" thickBot="1">
      <c r="A83" s="4" t="s">
        <v>1691</v>
      </c>
      <c r="B83" s="96" t="s">
        <v>1692</v>
      </c>
      <c r="C83" s="97" t="s">
        <v>796</v>
      </c>
      <c r="D83" s="96" t="s">
        <v>515</v>
      </c>
      <c r="E83" s="96" t="s">
        <v>1684</v>
      </c>
      <c r="F83" s="96" t="s">
        <v>1685</v>
      </c>
      <c r="G83" t="inlineStr">
        <is>
          <t xml:space="preserve">BO17</t>
        </is>
      </c>
      <c r="H83" t="s">
        <v>718</v>
      </c>
      <c r="I83" s="105" t="s">
        <v>717</v>
      </c>
      <c r="J83" s="96" t="s">
        <v>144</v>
      </c>
      <c r="K83" s="96" t="s">
        <v>205</v>
      </c>
      <c r="L83" s="96" t="s">
        <v>269</v>
      </c>
      <c r="M83" s="98" t="s">
        <v>810</v>
      </c>
      <c r="N83" s="69" t="s">
        <v>1676</v>
      </c>
      <c r="O83" s="69" t="s">
        <v>1681</v>
      </c>
    </row>
    <row r="84" spans="1:15" ht="27" customHeight="1" thickBot="1">
      <c r="A84" s="4" t="s">
        <v>1835</v>
      </c>
      <c r="B84" s="96" t="s">
        <v>1836</v>
      </c>
      <c r="C84" s="97" t="s">
        <v>796</v>
      </c>
      <c r="D84" s="96" t="s">
        <v>515</v>
      </c>
      <c r="E84" s="96" t="s">
        <v>513</v>
      </c>
      <c r="F84" s="96" t="s">
        <v>1689</v>
      </c>
      <c r="G84" t="s">
        <v>1411</v>
      </c>
      <c r="H84" t="s">
        <v>718</v>
      </c>
      <c r="I84" s="105" t="s">
        <v>717</v>
      </c>
      <c r="J84" s="96" t="s">
        <v>144</v>
      </c>
      <c r="K84" s="96" t="s">
        <v>16</v>
      </c>
      <c r="L84" s="96" t="s">
        <v>205</v>
      </c>
      <c r="M84" s="105" t="s">
        <v>804</v>
      </c>
      <c r="N84" s="105" t="s">
        <v>849</v>
      </c>
      <c r="O84" s="105" t="s">
        <v>849</v>
      </c>
    </row>
    <row r="85" spans="1:15" ht="27" customHeight="1" thickBot="1">
      <c r="A85" s="4" t="s">
        <v>1852</v>
      </c>
      <c r="B85" s="96" t="s">
        <v>1853</v>
      </c>
      <c r="C85" s="97" t="s">
        <v>796</v>
      </c>
      <c r="D85" s="96" t="s">
        <v>524</v>
      </c>
      <c r="E85" s="96" t="s">
        <v>513</v>
      </c>
      <c r="F85" s="96" t="s">
        <v>1689</v>
      </c>
      <c r="G85" t="s">
        <v>1411</v>
      </c>
      <c r="H85" t="s">
        <v>718</v>
      </c>
      <c r="I85" s="4" t="s">
        <v>717</v>
      </c>
      <c r="J85" s="96" t="s">
        <v>80</v>
      </c>
      <c r="K85" s="96" t="s">
        <v>16</v>
      </c>
      <c r="L85" s="96" t="s">
        <v>80</v>
      </c>
      <c r="M85" s="105" t="s">
        <v>849</v>
      </c>
      <c r="N85" s="105" t="s">
        <v>1676</v>
      </c>
      <c r="O85" s="105" t="s">
        <v>856</v>
      </c>
    </row>
    <row r="86" spans="1:15" ht="27" customHeight="1" thickBot="1">
      <c r="A86" s="4" t="s">
        <v>1855</v>
      </c>
      <c r="B86" s="96" t="s">
        <v>1856</v>
      </c>
      <c r="C86" s="97" t="s">
        <v>796</v>
      </c>
      <c r="D86" s="96" t="s">
        <v>515</v>
      </c>
      <c r="E86" s="96" t="s">
        <v>531</v>
      </c>
      <c r="F86" s="96" t="s">
        <v>1695</v>
      </c>
      <c r="G86" t="s">
        <v>1411</v>
      </c>
      <c r="H86" t="s">
        <v>718</v>
      </c>
      <c r="I86" s="105" t="s">
        <v>717</v>
      </c>
      <c r="J86" s="96" t="s">
        <v>144</v>
      </c>
      <c r="K86" s="96" t="s">
        <v>205</v>
      </c>
      <c r="L86" s="96" t="s">
        <v>80</v>
      </c>
      <c r="M86" s="105" t="s">
        <v>810</v>
      </c>
      <c r="N86" s="105" t="s">
        <v>849</v>
      </c>
      <c r="O86" s="105" t="s">
        <v>849</v>
      </c>
    </row>
    <row r="87" spans="1:15" ht="27" customHeight="1" thickBot="1">
      <c r="A87" s="4" t="s">
        <v>1991</v>
      </c>
      <c r="B87" s="96" t="s">
        <v>1992</v>
      </c>
      <c r="C87" s="97" t="s">
        <v>796</v>
      </c>
      <c r="D87" s="96" t="s">
        <v>515</v>
      </c>
      <c r="E87" s="96" t="s">
        <v>540</v>
      </c>
      <c r="F87" s="96" t="s">
        <v>1679</v>
      </c>
      <c r="G87" t="s">
        <v>1411</v>
      </c>
      <c r="H87" t="s">
        <v>718</v>
      </c>
      <c r="I87" s="105" t="s">
        <v>1993</v>
      </c>
      <c r="J87" s="96" t="s">
        <v>16</v>
      </c>
      <c r="K87" s="96" t="s">
        <v>80</v>
      </c>
      <c r="L87" s="96" t="s">
        <v>144</v>
      </c>
      <c r="M87" s="105" t="s">
        <v>856</v>
      </c>
      <c r="N87" s="105" t="s">
        <v>1676</v>
      </c>
      <c r="O87" s="105" t="s">
        <v>810</v>
      </c>
    </row>
    <row r="88" spans="1:15" ht="27" customHeight="1" thickBot="1">
      <c r="A88" s="4" t="s">
        <v>1682</v>
      </c>
      <c r="B88" s="96" t="s">
        <v>1683</v>
      </c>
      <c r="C88" s="97" t="s">
        <v>796</v>
      </c>
      <c r="D88" s="96" t="s">
        <v>515</v>
      </c>
      <c r="E88" s="96" t="s">
        <v>1684</v>
      </c>
      <c r="F88" s="96" t="s">
        <v>1685</v>
      </c>
      <c r="G88" t="s">
        <v>1411</v>
      </c>
      <c r="H88" t="s">
        <v>718</v>
      </c>
      <c r="I88" s="105" t="s">
        <v>1686</v>
      </c>
      <c r="J88" s="96" t="s">
        <v>144</v>
      </c>
      <c r="K88" s="96" t="s">
        <v>16</v>
      </c>
      <c r="L88" s="96" t="s">
        <v>205</v>
      </c>
      <c r="M88" s="98" t="s">
        <v>827</v>
      </c>
      <c r="N88" s="69" t="s">
        <v>849</v>
      </c>
      <c r="O88" s="69" t="s">
        <v>810</v>
      </c>
    </row>
    <row r="89" spans="1:15" ht="15.75" customHeight="1" thickBot="1">
      <c r="A89" s="4" t="s">
        <v>1697</v>
      </c>
      <c r="B89" s="96" t="s">
        <v>1698</v>
      </c>
      <c r="C89" s="97" t="s">
        <v>796</v>
      </c>
      <c r="D89" s="96" t="s">
        <v>524</v>
      </c>
      <c r="E89" s="96" t="s">
        <v>513</v>
      </c>
      <c r="F89" s="96" t="s">
        <v>1689</v>
      </c>
      <c r="G89" t="s">
        <v>1411</v>
      </c>
      <c r="H89" t="s">
        <v>718</v>
      </c>
      <c r="I89" s="105" t="s">
        <v>1686</v>
      </c>
      <c r="J89" s="96" t="s">
        <v>144</v>
      </c>
      <c r="K89" s="96" t="s">
        <v>205</v>
      </c>
      <c r="L89" s="96" t="s">
        <v>80</v>
      </c>
      <c r="M89" s="105" t="s">
        <v>810</v>
      </c>
      <c r="N89" s="105" t="s">
        <v>849</v>
      </c>
      <c r="O89" s="105" t="s">
        <v>849</v>
      </c>
    </row>
    <row r="90" spans="1:15" ht="27" customHeight="1" thickBot="1">
      <c r="A90" s="4" t="s">
        <v>1957</v>
      </c>
      <c r="B90" s="96" t="s">
        <v>1958</v>
      </c>
      <c r="C90" s="97" t="s">
        <v>1959</v>
      </c>
      <c r="D90" s="96" t="s">
        <v>515</v>
      </c>
      <c r="E90" s="96" t="s">
        <v>531</v>
      </c>
      <c r="F90" s="96" t="s">
        <v>1695</v>
      </c>
      <c r="G90" t="s">
        <v>1411</v>
      </c>
      <c r="H90" t="s">
        <v>718</v>
      </c>
      <c r="I90" s="105" t="s">
        <v>1960</v>
      </c>
      <c r="J90" s="96" t="s">
        <v>144</v>
      </c>
      <c r="K90" s="96" t="s">
        <v>80</v>
      </c>
      <c r="L90" s="96" t="s">
        <v>205</v>
      </c>
      <c r="M90" s="105" t="s">
        <v>850</v>
      </c>
      <c r="N90" s="105" t="s">
        <v>1676</v>
      </c>
      <c r="O90" s="105" t="s">
        <v>849</v>
      </c>
    </row>
    <row r="91" spans="1:15" ht="39.75" customHeight="1" thickBot="1">
      <c r="A91" s="4" t="s">
        <v>1870</v>
      </c>
      <c r="B91" s="96" t="s">
        <v>1871</v>
      </c>
      <c r="C91" s="97" t="s">
        <v>1872</v>
      </c>
      <c r="D91" s="96" t="s">
        <v>524</v>
      </c>
      <c r="E91" s="96" t="s">
        <v>1673</v>
      </c>
      <c r="F91" s="96" t="s">
        <v>1674</v>
      </c>
      <c r="G91" t="s">
        <v>1411</v>
      </c>
      <c r="H91" t="s">
        <v>718</v>
      </c>
      <c r="I91" s="105" t="s">
        <v>1873</v>
      </c>
      <c r="J91" s="96" t="s">
        <v>205</v>
      </c>
      <c r="K91" s="96" t="s">
        <v>144</v>
      </c>
      <c r="L91" s="96" t="s">
        <v>80</v>
      </c>
      <c r="M91" s="105" t="s">
        <v>810</v>
      </c>
      <c r="N91" s="105" t="s">
        <v>834</v>
      </c>
      <c r="O91" s="105" t="s">
        <v>1676</v>
      </c>
    </row>
    <row r="92" spans="1:15" ht="27" customHeight="1" thickBot="1">
      <c r="A92" s="4" t="s">
        <v>1876</v>
      </c>
      <c r="B92" s="96" t="s">
        <v>1877</v>
      </c>
      <c r="C92" s="97" t="s">
        <v>796</v>
      </c>
      <c r="D92" s="96" t="s">
        <v>524</v>
      </c>
      <c r="E92" s="96" t="s">
        <v>513</v>
      </c>
      <c r="F92" s="96" t="s">
        <v>1689</v>
      </c>
      <c r="G92" t="s">
        <v>1411</v>
      </c>
      <c r="H92" t="s">
        <v>722</v>
      </c>
      <c r="I92" s="4" t="s">
        <v>721</v>
      </c>
      <c r="J92" s="96" t="s">
        <v>80</v>
      </c>
      <c r="K92" s="96" t="s">
        <v>269</v>
      </c>
      <c r="L92" s="96" t="s">
        <v>80</v>
      </c>
      <c r="M92" s="105" t="s">
        <v>1676</v>
      </c>
      <c r="N92" s="105" t="s">
        <v>849</v>
      </c>
      <c r="O92" s="105" t="s">
        <v>799</v>
      </c>
    </row>
    <row r="93" spans="1:15" ht="27" customHeight="1" thickBot="1">
      <c r="A93" s="4" t="s">
        <v>1886</v>
      </c>
      <c r="B93" s="96" t="s">
        <v>1887</v>
      </c>
      <c r="C93" s="97" t="s">
        <v>796</v>
      </c>
      <c r="D93" s="96" t="s">
        <v>515</v>
      </c>
      <c r="E93" s="96" t="s">
        <v>531</v>
      </c>
      <c r="F93" s="96" t="s">
        <v>1695</v>
      </c>
      <c r="G93" t="s">
        <v>1411</v>
      </c>
      <c r="H93" t="s">
        <v>722</v>
      </c>
      <c r="I93" s="4" t="s">
        <v>721</v>
      </c>
      <c r="J93" s="96" t="s">
        <v>80</v>
      </c>
      <c r="K93" s="96" t="s">
        <v>205</v>
      </c>
      <c r="L93" s="96" t="s">
        <v>269</v>
      </c>
      <c r="M93" s="105" t="s">
        <v>849</v>
      </c>
      <c r="N93" s="105" t="s">
        <v>849</v>
      </c>
      <c r="O93" s="105" t="s">
        <v>856</v>
      </c>
    </row>
    <row r="94" spans="1:15" ht="27" customHeight="1" thickBot="1">
      <c r="A94" s="4" t="s">
        <v>1966</v>
      </c>
      <c r="B94" s="96" t="s">
        <v>1967</v>
      </c>
      <c r="C94" s="97" t="s">
        <v>796</v>
      </c>
      <c r="D94" s="96" t="s">
        <v>515</v>
      </c>
      <c r="E94" s="96" t="s">
        <v>1704</v>
      </c>
      <c r="F94" s="96" t="s">
        <v>1705</v>
      </c>
      <c r="G94" t="s">
        <v>1411</v>
      </c>
      <c r="H94" t="s">
        <v>722</v>
      </c>
      <c r="I94" s="4" t="s">
        <v>721</v>
      </c>
      <c r="J94" s="96" t="s">
        <v>80</v>
      </c>
      <c r="K94" s="96" t="s">
        <v>333</v>
      </c>
      <c r="L94" s="96" t="s">
        <v>269</v>
      </c>
      <c r="M94" s="105" t="s">
        <v>1676</v>
      </c>
      <c r="N94" s="105" t="s">
        <v>849</v>
      </c>
      <c r="O94" s="105" t="s">
        <v>799</v>
      </c>
    </row>
    <row r="95" spans="1:15" ht="15.75" customHeight="1" thickBot="1">
      <c r="A95" s="4" t="s">
        <v>1983</v>
      </c>
      <c r="B95" s="96" t="s">
        <v>1984</v>
      </c>
      <c r="C95" s="97" t="s">
        <v>796</v>
      </c>
      <c r="D95" s="96" t="s">
        <v>515</v>
      </c>
      <c r="E95" s="96" t="s">
        <v>531</v>
      </c>
      <c r="F95" s="96" t="s">
        <v>1695</v>
      </c>
      <c r="G95" t="s">
        <v>1411</v>
      </c>
      <c r="H95" t="s">
        <v>722</v>
      </c>
      <c r="I95" s="4" t="s">
        <v>721</v>
      </c>
      <c r="J95" s="96" t="s">
        <v>16</v>
      </c>
      <c r="K95" s="96" t="s">
        <v>205</v>
      </c>
      <c r="L95" s="96" t="s">
        <v>269</v>
      </c>
      <c r="M95" s="105" t="s">
        <v>856</v>
      </c>
      <c r="N95" s="105" t="s">
        <v>849</v>
      </c>
      <c r="O95" s="105" t="s">
        <v>849</v>
      </c>
    </row>
    <row r="96" spans="1:15" ht="27" customHeight="1" thickBot="1">
      <c r="A96" s="4" t="s">
        <v>1989</v>
      </c>
      <c r="B96" s="96" t="s">
        <v>1990</v>
      </c>
      <c r="C96" s="97" t="s">
        <v>796</v>
      </c>
      <c r="D96" s="96" t="s">
        <v>524</v>
      </c>
      <c r="E96" s="96" t="s">
        <v>1684</v>
      </c>
      <c r="F96" s="96" t="s">
        <v>1685</v>
      </c>
      <c r="G96" t="s">
        <v>1411</v>
      </c>
      <c r="H96" t="s">
        <v>722</v>
      </c>
      <c r="I96" s="4" t="s">
        <v>721</v>
      </c>
      <c r="J96" s="96" t="s">
        <v>80</v>
      </c>
      <c r="K96" s="96" t="s">
        <v>269</v>
      </c>
      <c r="L96" s="96" t="s">
        <v>80</v>
      </c>
      <c r="M96" s="105" t="s">
        <v>1676</v>
      </c>
      <c r="N96" s="105" t="s">
        <v>849</v>
      </c>
      <c r="O96" s="105" t="s">
        <v>799</v>
      </c>
    </row>
    <row r="97" spans="1:15" ht="27" customHeight="1" thickBot="1">
      <c r="A97" s="4" t="s">
        <v>1947</v>
      </c>
      <c r="B97" s="96" t="s">
        <v>1948</v>
      </c>
      <c r="C97" s="97" t="s">
        <v>1949</v>
      </c>
      <c r="D97" s="96" t="s">
        <v>524</v>
      </c>
      <c r="E97" s="96" t="s">
        <v>1673</v>
      </c>
      <c r="F97" s="96" t="s">
        <v>1674</v>
      </c>
      <c r="G97" t="s">
        <v>1411</v>
      </c>
      <c r="H97" t="s">
        <v>722</v>
      </c>
      <c r="I97" s="105" t="s">
        <v>1701</v>
      </c>
      <c r="J97" s="96" t="s">
        <v>16</v>
      </c>
      <c r="K97" s="96" t="s">
        <v>333</v>
      </c>
      <c r="L97" s="96" t="s">
        <v>205</v>
      </c>
      <c r="M97" s="105" t="s">
        <v>810</v>
      </c>
      <c r="N97" s="105" t="s">
        <v>851</v>
      </c>
      <c r="O97" s="105" t="s">
        <v>1676</v>
      </c>
    </row>
    <row r="98" spans="1:15" ht="27" customHeight="1" thickBot="1">
      <c r="A98" s="4" t="s">
        <v>1699</v>
      </c>
      <c r="B98" s="96" t="s">
        <v>1700</v>
      </c>
      <c r="C98" s="97" t="s">
        <v>796</v>
      </c>
      <c r="D98" s="96" t="s">
        <v>515</v>
      </c>
      <c r="E98" s="96" t="s">
        <v>513</v>
      </c>
      <c r="F98" s="96" t="s">
        <v>1689</v>
      </c>
      <c r="G98" t="s">
        <v>1411</v>
      </c>
      <c r="H98" t="s">
        <v>722</v>
      </c>
      <c r="I98" s="105" t="s">
        <v>1701</v>
      </c>
      <c r="J98" s="96" t="s">
        <v>16</v>
      </c>
      <c r="K98" s="96" t="s">
        <v>205</v>
      </c>
      <c r="L98" s="96" t="s">
        <v>80</v>
      </c>
      <c r="M98" s="105" t="s">
        <v>856</v>
      </c>
      <c r="N98" s="105" t="s">
        <v>1676</v>
      </c>
      <c r="O98" s="105" t="s">
        <v>849</v>
      </c>
    </row>
    <row r="99" spans="1:15" ht="78" customHeight="1" thickBot="1">
      <c r="A99" s="4" t="s">
        <v>1821</v>
      </c>
      <c r="B99" s="96" t="s">
        <v>1822</v>
      </c>
      <c r="C99" s="97" t="s">
        <v>796</v>
      </c>
      <c r="D99" s="96" t="s">
        <v>524</v>
      </c>
      <c r="E99" s="96" t="s">
        <v>531</v>
      </c>
      <c r="F99" s="96" t="s">
        <v>1695</v>
      </c>
      <c r="G99" t="s">
        <v>1411</v>
      </c>
      <c r="H99" t="s">
        <v>722</v>
      </c>
      <c r="I99" s="105" t="s">
        <v>1823</v>
      </c>
      <c r="J99" s="96" t="s">
        <v>144</v>
      </c>
      <c r="K99" s="96" t="s">
        <v>80</v>
      </c>
      <c r="L99" s="96" t="s">
        <v>205</v>
      </c>
      <c r="M99" s="105" t="s">
        <v>810</v>
      </c>
      <c r="N99" s="105" t="s">
        <v>849</v>
      </c>
      <c r="O99" s="105" t="s">
        <v>810</v>
      </c>
    </row>
    <row r="100" spans="1:15" ht="15.75" customHeight="1" thickBot="1">
      <c r="A100" s="4" t="s">
        <v>1677</v>
      </c>
      <c r="B100" s="96" t="s">
        <v>1678</v>
      </c>
      <c r="C100" s="97" t="s">
        <v>796</v>
      </c>
      <c r="D100" s="96" t="s">
        <v>524</v>
      </c>
      <c r="E100" s="96" t="s">
        <v>540</v>
      </c>
      <c r="F100" s="96" t="s">
        <v>1679</v>
      </c>
      <c r="G100" t="s">
        <v>1411</v>
      </c>
      <c r="H100" t="s">
        <v>722</v>
      </c>
      <c r="I100" s="105" t="s">
        <v>1680</v>
      </c>
      <c r="J100" s="96" t="s">
        <v>333</v>
      </c>
      <c r="K100" s="96" t="s">
        <v>80</v>
      </c>
      <c r="L100" s="96" t="s">
        <v>269</v>
      </c>
      <c r="M100" s="98" t="s">
        <v>1681</v>
      </c>
      <c r="N100" s="69" t="s">
        <v>799</v>
      </c>
      <c r="O100" s="69" t="s">
        <v>1676</v>
      </c>
    </row>
    <row r="101" spans="1:15" ht="27" customHeight="1" thickBot="1">
      <c r="A101" s="4" t="s">
        <v>1815</v>
      </c>
      <c r="B101" s="96" t="s">
        <v>5001</v>
      </c>
      <c r="C101" s="97" t="s">
        <v>796</v>
      </c>
      <c r="D101" s="96" t="s">
        <v>524</v>
      </c>
      <c r="E101" s="96" t="s">
        <v>1704</v>
      </c>
      <c r="F101" s="96" t="s">
        <v>1705</v>
      </c>
      <c r="G101" t="s">
        <v>1411</v>
      </c>
      <c r="H101" t="s">
        <v>722</v>
      </c>
      <c r="I101" s="105" t="s">
        <v>1680</v>
      </c>
      <c r="J101" s="96" t="s">
        <v>80</v>
      </c>
      <c r="K101" s="96" t="s">
        <v>333</v>
      </c>
      <c r="L101" s="96" t="s">
        <v>269</v>
      </c>
      <c r="M101" s="105" t="s">
        <v>1676</v>
      </c>
      <c r="N101" s="105" t="s">
        <v>849</v>
      </c>
      <c r="O101" s="105" t="s">
        <v>799</v>
      </c>
    </row>
    <row r="102" spans="1:15" ht="15.75" customHeight="1" thickBot="1">
      <c r="A102" s="4" t="s">
        <v>1941</v>
      </c>
      <c r="B102" s="96" t="s">
        <v>1942</v>
      </c>
      <c r="C102" s="97" t="s">
        <v>1943</v>
      </c>
      <c r="D102" s="96" t="s">
        <v>524</v>
      </c>
      <c r="E102" s="96" t="s">
        <v>1684</v>
      </c>
      <c r="F102" s="96" t="s">
        <v>1685</v>
      </c>
      <c r="G102" t="s">
        <v>1411</v>
      </c>
      <c r="H102" t="s">
        <v>722</v>
      </c>
      <c r="I102" s="105" t="s">
        <v>1944</v>
      </c>
      <c r="J102" s="96" t="s">
        <v>144</v>
      </c>
      <c r="K102" s="96" t="s">
        <v>269</v>
      </c>
      <c r="L102" s="96" t="s">
        <v>80</v>
      </c>
      <c r="M102" s="105" t="s">
        <v>834</v>
      </c>
      <c r="N102" s="105" t="s">
        <v>834</v>
      </c>
      <c r="O102" s="105" t="s">
        <v>856</v>
      </c>
    </row>
    <row r="103" spans="1:15" ht="15.75" customHeight="1" thickBot="1">
      <c r="A103" s="1" t="s">
        <v>1712</v>
      </c>
      <c r="B103" s="96" t="s">
        <v>1713</v>
      </c>
      <c r="C103" s="97" t="s">
        <v>796</v>
      </c>
      <c r="D103" s="96" t="s">
        <v>524</v>
      </c>
      <c r="E103" s="96" t="s">
        <v>513</v>
      </c>
      <c r="F103" s="96" t="s">
        <v>1689</v>
      </c>
      <c r="G103" s="99" t="s">
        <v>1411</v>
      </c>
      <c r="H103" t="s">
        <v>722</v>
      </c>
      <c r="I103" s="104" t="s">
        <v>1714</v>
      </c>
      <c r="J103" s="96" t="s">
        <v>16</v>
      </c>
      <c r="K103" s="96" t="s">
        <v>80</v>
      </c>
      <c r="L103" s="96" t="s">
        <v>333</v>
      </c>
      <c r="M103" s="104" t="s">
        <v>810</v>
      </c>
      <c r="N103" s="104" t="s">
        <v>1676</v>
      </c>
      <c r="O103" s="104" t="s">
        <v>810</v>
      </c>
    </row>
    <row r="104" spans="1:15" ht="15.75" customHeight="1" thickBot="1">
      <c r="A104" s="1" t="s">
        <v>1794</v>
      </c>
      <c r="B104" s="96" t="s">
        <v>1795</v>
      </c>
      <c r="C104" s="97" t="s">
        <v>796</v>
      </c>
      <c r="D104" s="96" t="s">
        <v>524</v>
      </c>
      <c r="E104" s="96" t="s">
        <v>513</v>
      </c>
      <c r="F104" s="96" t="s">
        <v>1689</v>
      </c>
      <c r="G104" s="99" t="s">
        <v>1411</v>
      </c>
      <c r="H104" t="s">
        <v>722</v>
      </c>
      <c r="I104" s="104" t="s">
        <v>1714</v>
      </c>
      <c r="J104" s="96" t="s">
        <v>16</v>
      </c>
      <c r="K104" s="96" t="s">
        <v>80</v>
      </c>
      <c r="L104" s="96" t="s">
        <v>333</v>
      </c>
      <c r="M104" s="104" t="s">
        <v>810</v>
      </c>
      <c r="N104" s="104" t="s">
        <v>1676</v>
      </c>
      <c r="O104" s="104" t="s">
        <v>810</v>
      </c>
    </row>
    <row r="105" spans="1:15" ht="15.75" customHeight="1" thickBot="1">
      <c r="A105" s="1" t="s">
        <v>1968</v>
      </c>
      <c r="B105" s="96" t="s">
        <v>1969</v>
      </c>
      <c r="C105" s="97" t="s">
        <v>796</v>
      </c>
      <c r="D105" s="96" t="s">
        <v>515</v>
      </c>
      <c r="E105" s="96" t="s">
        <v>1704</v>
      </c>
      <c r="F105" s="96" t="s">
        <v>1705</v>
      </c>
      <c r="G105" s="99" t="s">
        <v>1411</v>
      </c>
      <c r="H105" t="s">
        <v>722</v>
      </c>
      <c r="I105" s="104" t="s">
        <v>1714</v>
      </c>
      <c r="J105" s="96" t="s">
        <v>16</v>
      </c>
      <c r="K105" s="96" t="s">
        <v>205</v>
      </c>
      <c r="L105" s="96" t="s">
        <v>16</v>
      </c>
      <c r="M105" s="104" t="s">
        <v>799</v>
      </c>
      <c r="N105" s="104" t="s">
        <v>1676</v>
      </c>
      <c r="O105" s="104" t="s">
        <v>1676</v>
      </c>
    </row>
    <row r="106" spans="1:15" ht="15.75" customHeight="1" thickBot="1">
      <c r="A106" s="1" t="s">
        <v>1707</v>
      </c>
      <c r="B106" s="96" t="s">
        <v>1708</v>
      </c>
      <c r="C106" s="97" t="s">
        <v>1709</v>
      </c>
      <c r="D106" s="96" t="s">
        <v>515</v>
      </c>
      <c r="E106" s="96" t="s">
        <v>1684</v>
      </c>
      <c r="F106" s="96" t="s">
        <v>1685</v>
      </c>
      <c r="G106" s="96" t="s">
        <v>1411</v>
      </c>
      <c r="H106" t="s">
        <v>726</v>
      </c>
      <c r="I106" s="104" t="s">
        <v>1710</v>
      </c>
      <c r="J106" s="96" t="s">
        <v>16</v>
      </c>
      <c r="K106" s="96" t="s">
        <v>80</v>
      </c>
      <c r="L106" s="96" t="s">
        <v>269</v>
      </c>
      <c r="M106" s="118" t="s">
        <v>1711</v>
      </c>
      <c r="N106" s="119" t="s">
        <v>1711</v>
      </c>
      <c r="O106" s="119" t="s">
        <v>804</v>
      </c>
    </row>
    <row r="107" spans="1:15" ht="15.75" customHeight="1" thickBot="1">
      <c r="A107" s="109" t="s">
        <v>1746</v>
      </c>
      <c r="B107" s="107" t="s">
        <v>1747</v>
      </c>
      <c r="C107" s="108" t="s">
        <v>1748</v>
      </c>
      <c r="D107" s="107" t="s">
        <v>515</v>
      </c>
      <c r="E107" s="107" t="s">
        <v>796</v>
      </c>
      <c r="F107" s="107" t="s">
        <v>796</v>
      </c>
      <c r="G107" s="107" t="s">
        <v>1226</v>
      </c>
      <c r="H107" t="s">
        <v>1749</v>
      </c>
      <c r="I107" s="109" t="s">
        <v>4858</v>
      </c>
      <c r="J107" s="107" t="s">
        <v>269</v>
      </c>
      <c r="K107" s="107" t="s">
        <v>333</v>
      </c>
      <c r="L107" s="107" t="s">
        <v>80</v>
      </c>
      <c r="M107" s="109" t="s">
        <v>1723</v>
      </c>
      <c r="N107" s="109" t="s">
        <v>850</v>
      </c>
      <c r="O107" s="109" t="s">
        <v>799</v>
      </c>
    </row>
    <row r="108" spans="1:15" ht="15.75" customHeight="1" thickBot="1">
      <c r="A108" s="109" t="s">
        <v>1750</v>
      </c>
      <c r="B108" s="107" t="s">
        <v>1751</v>
      </c>
      <c r="C108" s="108" t="s">
        <v>796</v>
      </c>
      <c r="D108" s="107" t="s">
        <v>524</v>
      </c>
      <c r="E108" s="107" t="s">
        <v>796</v>
      </c>
      <c r="F108" s="107" t="s">
        <v>796</v>
      </c>
      <c r="G108" s="107" t="s">
        <v>1226</v>
      </c>
      <c r="H108" t="s">
        <v>1749</v>
      </c>
      <c r="I108" s="109" t="s">
        <v>4858</v>
      </c>
      <c r="J108" s="107" t="s">
        <v>205</v>
      </c>
      <c r="K108" s="107" t="s">
        <v>269</v>
      </c>
      <c r="L108" s="107" t="s">
        <v>333</v>
      </c>
      <c r="M108" s="109" t="s">
        <v>849</v>
      </c>
      <c r="N108" s="109" t="s">
        <v>810</v>
      </c>
      <c r="O108" s="109" t="s">
        <v>849</v>
      </c>
    </row>
    <row r="109" spans="1:15" ht="15.75" customHeight="1" thickBot="1">
      <c r="A109" s="109" t="s">
        <v>1752</v>
      </c>
      <c r="B109" s="107" t="s">
        <v>1753</v>
      </c>
      <c r="C109" s="108" t="s">
        <v>796</v>
      </c>
      <c r="D109" s="107" t="s">
        <v>515</v>
      </c>
      <c r="E109" s="107" t="s">
        <v>796</v>
      </c>
      <c r="F109" s="107" t="s">
        <v>796</v>
      </c>
      <c r="G109" s="107" t="s">
        <v>1226</v>
      </c>
      <c r="H109" t="s">
        <v>1749</v>
      </c>
      <c r="I109" s="109" t="s">
        <v>4858</v>
      </c>
      <c r="J109" s="107" t="s">
        <v>333</v>
      </c>
      <c r="K109" s="107" t="s">
        <v>144</v>
      </c>
      <c r="L109" s="107" t="s">
        <v>80</v>
      </c>
      <c r="M109" s="109" t="s">
        <v>849</v>
      </c>
      <c r="N109" s="109" t="s">
        <v>849</v>
      </c>
      <c r="O109" s="109" t="s">
        <v>810</v>
      </c>
    </row>
    <row r="110" spans="1:15" ht="15.75" customHeight="1" thickBot="1">
      <c r="A110" s="109" t="s">
        <v>1754</v>
      </c>
      <c r="B110" s="107" t="s">
        <v>1755</v>
      </c>
      <c r="C110" s="108" t="s">
        <v>796</v>
      </c>
      <c r="D110" s="107" t="s">
        <v>524</v>
      </c>
      <c r="E110" s="107" t="s">
        <v>796</v>
      </c>
      <c r="F110" s="107" t="s">
        <v>796</v>
      </c>
      <c r="G110" s="107" t="s">
        <v>1226</v>
      </c>
      <c r="H110" t="s">
        <v>1749</v>
      </c>
      <c r="I110" s="109" t="s">
        <v>4858</v>
      </c>
      <c r="J110" s="107" t="s">
        <v>80</v>
      </c>
      <c r="K110" s="107" t="s">
        <v>269</v>
      </c>
      <c r="L110" s="107" t="s">
        <v>144</v>
      </c>
      <c r="M110" s="109" t="s">
        <v>1676</v>
      </c>
      <c r="N110" s="109" t="s">
        <v>849</v>
      </c>
      <c r="O110" s="109" t="s">
        <v>799</v>
      </c>
    </row>
    <row r="111" spans="1:15" ht="15.75" customHeight="1" thickBot="1">
      <c r="A111" s="109" t="s">
        <v>1756</v>
      </c>
      <c r="B111" s="107" t="s">
        <v>1757</v>
      </c>
      <c r="C111" s="108" t="s">
        <v>796</v>
      </c>
      <c r="D111" s="107" t="s">
        <v>515</v>
      </c>
      <c r="E111" s="107" t="s">
        <v>796</v>
      </c>
      <c r="F111" s="107" t="s">
        <v>796</v>
      </c>
      <c r="G111" s="107" t="s">
        <v>1226</v>
      </c>
      <c r="H111" t="s">
        <v>1749</v>
      </c>
      <c r="I111" s="109" t="s">
        <v>4858</v>
      </c>
      <c r="J111" s="107" t="s">
        <v>269</v>
      </c>
      <c r="K111" s="107" t="s">
        <v>205</v>
      </c>
      <c r="L111" s="107" t="s">
        <v>333</v>
      </c>
      <c r="M111" s="109" t="s">
        <v>849</v>
      </c>
      <c r="N111" s="109" t="s">
        <v>804</v>
      </c>
      <c r="O111" s="109" t="s">
        <v>856</v>
      </c>
    </row>
    <row r="112" spans="1:15" ht="15.75" customHeight="1" thickBot="1">
      <c r="A112" s="109" t="s">
        <v>1758</v>
      </c>
      <c r="B112" s="107" t="s">
        <v>1759</v>
      </c>
      <c r="C112" s="108" t="s">
        <v>796</v>
      </c>
      <c r="D112" s="107" t="s">
        <v>524</v>
      </c>
      <c r="E112" s="107" t="s">
        <v>796</v>
      </c>
      <c r="F112" s="107" t="s">
        <v>796</v>
      </c>
      <c r="G112" s="107" t="s">
        <v>1226</v>
      </c>
      <c r="H112" t="s">
        <v>1749</v>
      </c>
      <c r="I112" s="109" t="s">
        <v>4858</v>
      </c>
      <c r="J112" s="107" t="s">
        <v>333</v>
      </c>
      <c r="K112" s="107" t="s">
        <v>80</v>
      </c>
      <c r="L112" s="107" t="s">
        <v>269</v>
      </c>
      <c r="M112" s="109" t="s">
        <v>1676</v>
      </c>
      <c r="N112" s="109" t="s">
        <v>810</v>
      </c>
      <c r="O112" s="109" t="s">
        <v>804</v>
      </c>
    </row>
    <row r="113" spans="1:15" ht="15.75" customHeight="1" thickBot="1">
      <c r="A113" s="109" t="s">
        <v>1760</v>
      </c>
      <c r="B113" s="107" t="s">
        <v>1761</v>
      </c>
      <c r="C113" s="108" t="s">
        <v>796</v>
      </c>
      <c r="D113" s="107" t="s">
        <v>515</v>
      </c>
      <c r="E113" s="107" t="s">
        <v>796</v>
      </c>
      <c r="F113" s="107" t="s">
        <v>796</v>
      </c>
      <c r="G113" s="107" t="s">
        <v>1226</v>
      </c>
      <c r="H113" t="s">
        <v>1749</v>
      </c>
      <c r="I113" s="109" t="s">
        <v>4858</v>
      </c>
      <c r="J113" s="107" t="s">
        <v>205</v>
      </c>
      <c r="K113" s="107" t="s">
        <v>144</v>
      </c>
      <c r="L113" s="107" t="s">
        <v>269</v>
      </c>
      <c r="M113" s="109" t="s">
        <v>810</v>
      </c>
      <c r="N113" s="109" t="s">
        <v>810</v>
      </c>
      <c r="O113" s="109" t="s">
        <v>849</v>
      </c>
    </row>
    <row r="114" spans="1:15" ht="15.75" customHeight="1" thickBot="1">
      <c r="A114" s="109" t="s">
        <v>1762</v>
      </c>
      <c r="B114" s="107" t="s">
        <v>1763</v>
      </c>
      <c r="C114" s="108" t="s">
        <v>796</v>
      </c>
      <c r="D114" s="107" t="s">
        <v>524</v>
      </c>
      <c r="E114" s="107" t="s">
        <v>796</v>
      </c>
      <c r="F114" s="107" t="s">
        <v>796</v>
      </c>
      <c r="G114" s="107" t="s">
        <v>1226</v>
      </c>
      <c r="H114" t="s">
        <v>1749</v>
      </c>
      <c r="I114" s="109" t="s">
        <v>4858</v>
      </c>
      <c r="J114" s="107" t="s">
        <v>80</v>
      </c>
      <c r="K114" s="107" t="s">
        <v>333</v>
      </c>
      <c r="L114" s="107" t="s">
        <v>144</v>
      </c>
      <c r="M114" s="109" t="s">
        <v>849</v>
      </c>
      <c r="N114" s="109" t="s">
        <v>849</v>
      </c>
      <c r="O114" s="109" t="s">
        <v>804</v>
      </c>
    </row>
    <row r="115" spans="1:15" ht="15.75" customHeight="1" thickBot="1">
      <c r="A115" s="109" t="s">
        <v>1764</v>
      </c>
      <c r="B115" s="107" t="s">
        <v>1765</v>
      </c>
      <c r="C115" s="108" t="s">
        <v>796</v>
      </c>
      <c r="D115" s="107" t="s">
        <v>515</v>
      </c>
      <c r="E115" s="107" t="s">
        <v>796</v>
      </c>
      <c r="F115" s="107" t="s">
        <v>796</v>
      </c>
      <c r="G115" s="107" t="s">
        <v>1302</v>
      </c>
      <c r="H115" t="s">
        <v>1766</v>
      </c>
      <c r="I115" s="109" t="s">
        <v>735</v>
      </c>
      <c r="J115" s="107" t="s">
        <v>205</v>
      </c>
      <c r="K115" s="107" t="s">
        <v>144</v>
      </c>
      <c r="L115" s="107" t="s">
        <v>16</v>
      </c>
      <c r="M115" s="109" t="s">
        <v>804</v>
      </c>
      <c r="N115" s="109" t="s">
        <v>834</v>
      </c>
      <c r="O115" s="109" t="s">
        <v>1718</v>
      </c>
    </row>
    <row r="116" spans="1:15" ht="15.75" customHeight="1" thickBot="1">
      <c r="A116" s="109" t="s">
        <v>1767</v>
      </c>
      <c r="B116" s="107" t="s">
        <v>1768</v>
      </c>
      <c r="C116" s="108" t="s">
        <v>796</v>
      </c>
      <c r="D116" s="107" t="s">
        <v>524</v>
      </c>
      <c r="E116" s="107" t="s">
        <v>796</v>
      </c>
      <c r="F116" s="107" t="s">
        <v>796</v>
      </c>
      <c r="G116" s="107" t="s">
        <v>1220</v>
      </c>
      <c r="H116" t="s">
        <v>1769</v>
      </c>
      <c r="I116" s="109" t="s">
        <v>735</v>
      </c>
      <c r="J116" s="107" t="s">
        <v>80</v>
      </c>
      <c r="K116" s="107" t="s">
        <v>269</v>
      </c>
      <c r="L116" s="107" t="s">
        <v>144</v>
      </c>
      <c r="M116" s="109" t="s">
        <v>1676</v>
      </c>
      <c r="N116" s="109" t="s">
        <v>849</v>
      </c>
      <c r="O116" s="109" t="s">
        <v>799</v>
      </c>
    </row>
    <row r="117" spans="1:15" ht="15.75" customHeight="1" thickBot="1">
      <c r="A117" s="109" t="s">
        <v>1772</v>
      </c>
      <c r="B117" s="107" t="s">
        <v>1773</v>
      </c>
      <c r="C117" s="108" t="s">
        <v>796</v>
      </c>
      <c r="D117" s="107" t="s">
        <v>515</v>
      </c>
      <c r="E117" s="107" t="s">
        <v>796</v>
      </c>
      <c r="F117" s="107" t="s">
        <v>796</v>
      </c>
      <c r="G117" s="107" t="s">
        <v>1214</v>
      </c>
      <c r="H117" t="s">
        <v>1774</v>
      </c>
      <c r="I117" s="109" t="s">
        <v>735</v>
      </c>
      <c r="J117" s="107" t="s">
        <v>16</v>
      </c>
      <c r="K117" s="107" t="s">
        <v>205</v>
      </c>
      <c r="L117" s="107" t="s">
        <v>80</v>
      </c>
      <c r="M117" s="109" t="s">
        <v>856</v>
      </c>
      <c r="N117" s="109" t="s">
        <v>1676</v>
      </c>
      <c r="O117" s="109" t="s">
        <v>849</v>
      </c>
    </row>
    <row r="118" spans="1:15" ht="15.75" customHeight="1" thickBot="1">
      <c r="A118" s="109" t="s">
        <v>1775</v>
      </c>
      <c r="B118" s="107" t="s">
        <v>1776</v>
      </c>
      <c r="C118" s="108" t="s">
        <v>796</v>
      </c>
      <c r="D118" s="107" t="s">
        <v>524</v>
      </c>
      <c r="E118" s="107" t="s">
        <v>796</v>
      </c>
      <c r="F118" s="107" t="s">
        <v>796</v>
      </c>
      <c r="G118" s="107" t="s">
        <v>1314</v>
      </c>
      <c r="H118" t="s">
        <v>1777</v>
      </c>
      <c r="I118" s="109" t="s">
        <v>735</v>
      </c>
      <c r="J118" s="107" t="s">
        <v>16</v>
      </c>
      <c r="K118" s="107" t="s">
        <v>144</v>
      </c>
      <c r="L118" s="107" t="s">
        <v>205</v>
      </c>
      <c r="M118" s="109" t="s">
        <v>804</v>
      </c>
      <c r="N118" s="109" t="s">
        <v>1676</v>
      </c>
      <c r="O118" s="109" t="s">
        <v>849</v>
      </c>
    </row>
    <row r="119" spans="1:15" ht="15.75" customHeight="1" thickBot="1">
      <c r="A119" s="109" t="s">
        <v>1778</v>
      </c>
      <c r="B119" s="107" t="s">
        <v>1779</v>
      </c>
      <c r="C119" s="108" t="s">
        <v>796</v>
      </c>
      <c r="D119" s="107" t="s">
        <v>515</v>
      </c>
      <c r="E119" s="107" t="s">
        <v>796</v>
      </c>
      <c r="F119" s="107" t="s">
        <v>796</v>
      </c>
      <c r="G119" s="107" t="s">
        <v>1265</v>
      </c>
      <c r="H119" t="s">
        <v>1780</v>
      </c>
      <c r="I119" s="109" t="s">
        <v>735</v>
      </c>
      <c r="J119" s="107" t="s">
        <v>144</v>
      </c>
      <c r="K119" s="107" t="s">
        <v>205</v>
      </c>
      <c r="L119" s="107" t="s">
        <v>16</v>
      </c>
      <c r="M119" s="109" t="s">
        <v>804</v>
      </c>
      <c r="N119" s="109" t="s">
        <v>849</v>
      </c>
      <c r="O119" s="109" t="s">
        <v>849</v>
      </c>
    </row>
    <row r="120" spans="1:15" ht="15.75" customHeight="1" thickBot="1">
      <c r="A120" s="109" t="s">
        <v>1781</v>
      </c>
      <c r="B120" s="107" t="s">
        <v>1782</v>
      </c>
      <c r="C120" s="108" t="s">
        <v>796</v>
      </c>
      <c r="D120" s="107" t="s">
        <v>524</v>
      </c>
      <c r="E120" s="107" t="s">
        <v>796</v>
      </c>
      <c r="F120" s="107" t="s">
        <v>796</v>
      </c>
      <c r="G120" s="107" t="s">
        <v>1308</v>
      </c>
      <c r="H120" t="s">
        <v>1726</v>
      </c>
      <c r="I120" s="109" t="s">
        <v>735</v>
      </c>
      <c r="J120" s="107" t="s">
        <v>16</v>
      </c>
      <c r="K120" s="107" t="s">
        <v>80</v>
      </c>
      <c r="L120" s="107" t="s">
        <v>144</v>
      </c>
      <c r="M120" s="109" t="s">
        <v>856</v>
      </c>
      <c r="N120" s="109" t="s">
        <v>1676</v>
      </c>
      <c r="O120" s="109" t="s">
        <v>810</v>
      </c>
    </row>
    <row r="121" spans="1:15" ht="15.75" customHeight="1" thickBot="1">
      <c r="A121" s="109" t="s">
        <v>1783</v>
      </c>
      <c r="B121" s="107" t="s">
        <v>1784</v>
      </c>
      <c r="C121" s="108" t="s">
        <v>796</v>
      </c>
      <c r="D121" s="107" t="s">
        <v>515</v>
      </c>
      <c r="E121" s="107" t="s">
        <v>796</v>
      </c>
      <c r="F121" s="107" t="s">
        <v>796</v>
      </c>
      <c r="G121" s="107" t="s">
        <v>1333</v>
      </c>
      <c r="H121" t="s">
        <v>1733</v>
      </c>
      <c r="I121" s="109" t="s">
        <v>735</v>
      </c>
      <c r="J121" s="107" t="s">
        <v>80</v>
      </c>
      <c r="K121" s="107" t="s">
        <v>144</v>
      </c>
      <c r="L121" s="107" t="s">
        <v>269</v>
      </c>
      <c r="M121" s="109" t="s">
        <v>849</v>
      </c>
      <c r="N121" s="109" t="s">
        <v>849</v>
      </c>
      <c r="O121" s="109" t="s">
        <v>799</v>
      </c>
    </row>
    <row r="122" spans="1:15" ht="15.75" customHeight="1" thickBot="1">
      <c r="A122" s="109" t="s">
        <v>1785</v>
      </c>
      <c r="B122" s="107" t="s">
        <v>1786</v>
      </c>
      <c r="C122" s="108" t="s">
        <v>796</v>
      </c>
      <c r="D122" s="107" t="s">
        <v>524</v>
      </c>
      <c r="E122" s="107" t="s">
        <v>796</v>
      </c>
      <c r="F122" s="107" t="s">
        <v>796</v>
      </c>
      <c r="G122" s="107" t="s">
        <v>1356</v>
      </c>
      <c r="H122" t="s">
        <v>1787</v>
      </c>
      <c r="I122" s="109" t="s">
        <v>735</v>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s">
        <v>2008</v>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07"/>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spans="1:5" ht="45" customHeight="1">
      <c r="A110" t="s">
        <v>2339</v>
      </c>
      <c r="B110" t="s">
        <v>2340</v>
      </c>
      <c r="C110" s="13" t="s">
        <v>2341</v>
      </c>
      <c r="E110" s="13"/>
    </row>
    <row r="111" spans="1:5" ht="45" customHeight="1">
      <c r="A111" t="s">
        <v>2342</v>
      </c>
      <c r="B111" t="s">
        <v>2313</v>
      </c>
      <c r="C111" s="13" t="s">
        <v>2343</v>
      </c>
      <c r="E111" s="13"/>
    </row>
    <row r="112" spans="1:5">
      <c r="A112" t="s">
        <v>2344</v>
      </c>
      <c r="B112" t="s">
        <v>2313</v>
      </c>
      <c r="C112" s="13" t="s">
        <v>2345</v>
      </c>
      <c r="E112" s="13"/>
    </row>
    <row r="113" spans="1:5">
      <c r="A113" t="s">
        <v>2346</v>
      </c>
      <c r="B113" t="s">
        <v>2313</v>
      </c>
      <c r="C113" s="13" t="s">
        <v>2347</v>
      </c>
      <c r="E113" s="13"/>
    </row>
    <row r="114" spans="1:5" ht="30" customHeight="1">
      <c r="A114" t="s">
        <v>2350</v>
      </c>
      <c r="B114" t="s">
        <v>2313</v>
      </c>
      <c r="C114" s="13" t="s">
        <v>2351</v>
      </c>
      <c r="E114" s="13" t="s">
        <v>2352</v>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spans="1:5">
      <c r="A121" t="s">
        <v>2368</v>
      </c>
      <c r="B121" t="s">
        <v>2354</v>
      </c>
      <c r="C121" s="13" t="s">
        <v>2369</v>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spans="1:5">
      <c r="A130" t="s">
        <v>2400</v>
      </c>
      <c r="B130" t="s">
        <v>2387</v>
      </c>
      <c r="C130" s="13" t="s">
        <v>2401</v>
      </c>
      <c r="E130" s="13" t="s">
        <v>2402</v>
      </c>
    </row>
    <row r="131" spans="1:5">
      <c r="A131" t="s">
        <v>2403</v>
      </c>
      <c r="B131" t="s">
        <v>2387</v>
      </c>
      <c r="C131" s="13" t="s">
        <v>2404</v>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spans="1:5">
      <c r="A163" t="s">
        <v>2488</v>
      </c>
      <c r="B163" t="s">
        <v>2481</v>
      </c>
      <c r="C163" t="s">
        <v>2489</v>
      </c>
      <c r="D163" t="s">
        <v>2478</v>
      </c>
    </row>
    <row r="164" spans="1:5">
      <c r="A164" t="s">
        <v>2490</v>
      </c>
      <c r="B164" t="s">
        <v>2481</v>
      </c>
      <c r="C164" t="s">
        <v>2491</v>
      </c>
      <c r="D164" t="s">
        <v>2492</v>
      </c>
      <c r="E164" t="s">
        <v>2493</v>
      </c>
    </row>
    <row r="165" spans="1:5">
      <c r="A165" t="s">
        <v>2494</v>
      </c>
      <c r="B165" t="s">
        <v>2481</v>
      </c>
      <c r="C165" t="s">
        <v>2495</v>
      </c>
      <c r="D165" t="s">
        <v>2478</v>
      </c>
    </row>
    <row r="166" spans="1:5">
      <c r="A166" t="s">
        <v>2501</v>
      </c>
      <c r="B166" t="s">
        <v>2497</v>
      </c>
      <c r="C166" t="s">
        <v>2502</v>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spans="1:5">
      <c r="A192" t="s">
        <v>2567</v>
      </c>
      <c r="B192" t="s">
        <v>2568</v>
      </c>
      <c r="C192" t="s">
        <v>2569</v>
      </c>
      <c r="D192" t="s">
        <v>2570</v>
      </c>
    </row>
    <row r="193" spans="1:5">
      <c r="A193" t="s">
        <v>2571</v>
      </c>
      <c r="B193" t="s">
        <v>2572</v>
      </c>
      <c r="C193" t="s">
        <v>2573</v>
      </c>
    </row>
    <row r="194" spans="1:5">
      <c r="A194" t="s">
        <v>2574</v>
      </c>
      <c r="B194" t="s">
        <v>2575</v>
      </c>
      <c r="C194" t="s">
        <v>2576</v>
      </c>
      <c r="D194" t="s">
        <v>2577</v>
      </c>
    </row>
    <row r="195" spans="1:5">
      <c r="A195" t="s">
        <v>2578</v>
      </c>
      <c r="B195" t="s">
        <v>2579</v>
      </c>
      <c r="C195" t="s">
        <v>2580</v>
      </c>
      <c r="D195" t="s">
        <v>2581</v>
      </c>
    </row>
    <row r="196" spans="1:5">
      <c r="A196" t="s">
        <v>2582</v>
      </c>
      <c r="B196" t="s">
        <v>2583</v>
      </c>
      <c r="C196" t="s">
        <v>2584</v>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spans="1:5">
      <c r="A230" t="s">
        <v>2676</v>
      </c>
      <c r="B230" t="s">
        <v>2675</v>
      </c>
      <c r="C230" t="s">
        <v>2677</v>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spans="1:5">
      <c r="A251" t="s">
        <v>2743</v>
      </c>
      <c r="B251" t="s">
        <v>2744</v>
      </c>
      <c r="C251" t="s">
        <v>2745</v>
      </c>
      <c r="D251" t="s">
        <v>2746</v>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spans="1:4">
      <c r="A259" t="s">
        <v>2767</v>
      </c>
      <c r="B259" t="s">
        <v>2768</v>
      </c>
      <c r="C259" t="s">
        <v>2769</v>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spans="1:5">
      <c r="A275" t="s">
        <v>2809</v>
      </c>
      <c r="B275" t="s">
        <v>2354</v>
      </c>
      <c r="C275" t="s">
        <v>2810</v>
      </c>
    </row>
    <row r="276" spans="1:5">
      <c r="A276" t="s">
        <v>2811</v>
      </c>
      <c r="B276" t="s">
        <v>2812</v>
      </c>
      <c r="C276" t="s">
        <v>2813</v>
      </c>
    </row>
    <row r="277" spans="1:5">
      <c r="A277" t="s">
        <v>2814</v>
      </c>
      <c r="B277" t="s">
        <v>2815</v>
      </c>
      <c r="C277" t="s">
        <v>2816</v>
      </c>
      <c r="D277" t="s">
        <v>2044</v>
      </c>
    </row>
    <row r="278" spans="1:5">
      <c r="A278" t="s">
        <v>2823</v>
      </c>
      <c r="B278" t="s">
        <v>2824</v>
      </c>
      <c r="C278" t="s">
        <v>2825</v>
      </c>
      <c r="D278" t="s">
        <v>2826</v>
      </c>
    </row>
    <row r="279" spans="1:5">
      <c r="A279" t="s">
        <v>2827</v>
      </c>
      <c r="B279" t="s">
        <v>2828</v>
      </c>
      <c r="C279" t="s">
        <v>2829</v>
      </c>
      <c r="D279" t="s">
        <v>2830</v>
      </c>
    </row>
    <row r="280" spans="1:5">
      <c r="A280" t="s">
        <v>2831</v>
      </c>
      <c r="B280" t="s">
        <v>2832</v>
      </c>
      <c r="C280" t="s">
        <v>2833</v>
      </c>
    </row>
    <row r="281" spans="1:5">
      <c r="A281" t="s">
        <v>2834</v>
      </c>
      <c r="B281" t="s">
        <v>2835</v>
      </c>
      <c r="C281" t="s">
        <v>2836</v>
      </c>
    </row>
    <row r="282" spans="1:5">
      <c r="A282" t="s">
        <v>2837</v>
      </c>
      <c r="B282" t="s">
        <v>2838</v>
      </c>
      <c r="C282" t="s">
        <v>2839</v>
      </c>
    </row>
    <row r="283" spans="1:5">
      <c r="A283" t="s">
        <v>2840</v>
      </c>
      <c r="B283" t="s">
        <v>2841</v>
      </c>
      <c r="C283" t="s">
        <v>2842</v>
      </c>
    </row>
    <row r="284" spans="1:5">
      <c r="A284" t="s">
        <v>2843</v>
      </c>
      <c r="B284" t="s">
        <v>2844</v>
      </c>
      <c r="C284" t="s">
        <v>2845</v>
      </c>
      <c r="D284" t="s">
        <v>2846</v>
      </c>
    </row>
    <row r="285" spans="1:5">
      <c r="A285" t="s">
        <v>2847</v>
      </c>
      <c r="B285" t="s">
        <v>2848</v>
      </c>
      <c r="C285" t="s">
        <v>2849</v>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spans="1:5">
      <c r="A317" t="s">
        <v>4958</v>
      </c>
      <c r="B317" t="s">
        <v>2042</v>
      </c>
      <c r="C317" t="s">
        <v>4959</v>
      </c>
      <c r="D317" t="s">
        <v>2051</v>
      </c>
      <c r="E317" t="s">
        <v>4960</v>
      </c>
    </row>
    <row r="318" spans="1:5">
      <c r="A318" t="s">
        <v>4961</v>
      </c>
      <c r="B318" t="s">
        <v>4962</v>
      </c>
      <c r="C318" t="s">
        <v>2384</v>
      </c>
    </row>
    <row r="319" spans="1:5">
      <c r="A319" t="s">
        <v>4963</v>
      </c>
      <c r="B319" t="s">
        <v>4964</v>
      </c>
      <c r="C319" t="s">
        <v>4965</v>
      </c>
    </row>
    <row r="320" spans="1:5">
      <c r="A320" t="s">
        <v>4966</v>
      </c>
      <c r="B320" t="s">
        <v>4967</v>
      </c>
      <c r="C320" t="s">
        <v>4968</v>
      </c>
      <c r="D320" t="s">
        <v>4969</v>
      </c>
    </row>
    <row r="321" spans="1:5">
      <c r="A321" t="s">
        <v>4970</v>
      </c>
      <c r="B321" t="s">
        <v>4971</v>
      </c>
      <c r="C321" t="s">
        <v>4972</v>
      </c>
      <c r="D321" t="s">
        <v>4969</v>
      </c>
    </row>
    <row r="322" spans="1:5">
      <c r="A322" t="s">
        <v>4973</v>
      </c>
      <c r="B322" t="s">
        <v>4974</v>
      </c>
      <c r="C322" t="s">
        <v>4975</v>
      </c>
      <c r="D322" t="s">
        <v>4969</v>
      </c>
    </row>
    <row r="323" spans="1:5">
      <c r="A323" t="s">
        <v>4976</v>
      </c>
      <c r="B323" t="s">
        <v>2042</v>
      </c>
      <c r="C323" t="s">
        <v>4977</v>
      </c>
      <c r="D323" t="s">
        <v>2051</v>
      </c>
      <c r="E323" t="s">
        <v>4978</v>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spans="1:5">
      <c r="A328" t="s">
        <v>5021</v>
      </c>
      <c r="B328" t="s">
        <v>5022</v>
      </c>
      <c r="C328" t="s">
        <v>5023</v>
      </c>
      <c r="D328" t="s">
        <v>5009</v>
      </c>
      <c r="E328" t="s">
        <v>5024</v>
      </c>
    </row>
    <row r="329" spans="1:5">
      <c r="A329" t="s">
        <v>5025</v>
      </c>
      <c r="B329" t="s">
        <v>5022</v>
      </c>
      <c r="C329" t="s">
        <v>5026</v>
      </c>
      <c r="D329" t="s">
        <v>5009</v>
      </c>
      <c r="E329" t="s">
        <v>5009</v>
      </c>
    </row>
    <row r="330" spans="1:5">
      <c r="A330" t="s">
        <v>5027</v>
      </c>
      <c r="B330" t="s">
        <v>5022</v>
      </c>
      <c r="C330" t="s">
        <v>5028</v>
      </c>
      <c r="D330" t="s">
        <v>5009</v>
      </c>
      <c r="E330" t="s">
        <v>5009</v>
      </c>
    </row>
    <row r="331" spans="1:5">
      <c r="A331" t="s">
        <v>5029</v>
      </c>
      <c r="B331" t="s">
        <v>5022</v>
      </c>
      <c r="C331" t="s">
        <v>5030</v>
      </c>
      <c r="D331" t="s">
        <v>5009</v>
      </c>
      <c r="E331" t="s">
        <v>5009</v>
      </c>
    </row>
    <row r="332" spans="1:5">
      <c r="A332" t="s">
        <v>5031</v>
      </c>
      <c r="B332" t="s">
        <v>5022</v>
      </c>
      <c r="C332" t="s">
        <v>5032</v>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spans="1:5">
      <c r="A365" t="inlineStr">
        <is>
          <t xml:space="preserve">staff.profile_cost</t>
        </is>
      </c>
      <c r="B365" t="inlineStr">
        <is>
          <t xml:space="preserve">Office · Staff Profile, under the name</t>
        </is>
      </c>
      <c r="C365" t="inlineStr">
        <is>
          <t xml:space="preserve">Hiring cost: {cost} Yen</t>
        </is>
      </c>
      <c r="D365" t="inlineStr">
        <is>
          <t xml:space="preserve">cost</t>
        </is>
      </c>
      <c r="E365" t="inlineStr">
        <is>
          <t xml:space="preserve">The price to hire this person.</t>
        </is>
      </c>
    </row>
    <row r="366" spans="1:5">
      <c r="A366" t="inlineStr">
        <is>
          <t xml:space="preserve">staff.tiers_heading</t>
        </is>
      </c>
      <c r="B366" t="inlineStr">
        <is>
          <t xml:space="preserve">Office · Staff Profile, heading above the tier list</t>
        </is>
      </c>
      <c r="C366" t="inlineStr">
        <is>
          <t xml:space="preserve">Bonuses by tier</t>
        </is>
      </c>
      <c r="E366" t="inlineStr">
        <is>
          <t xml:space="preserve">Heading above the list of tiers.</t>
        </is>
      </c>
    </row>
    <row r="367" spans="1:5">
      <c r="A367" t="inlineStr">
        <is>
          <t xml:space="preserve">staff.tier_label</t>
        </is>
      </c>
      <c r="B367" t="inlineStr">
        <is>
          <t xml:space="preserve">Office · Staff Profile, a tier already passed or not on offer</t>
        </is>
      </c>
      <c r="C367" t="inlineStr">
        <is>
          <t xml:space="preserve">Tier {tier}</t>
        </is>
      </c>
      <c r="D367" t="inlineStr">
        <is>
          <t xml:space="preserve">tier</t>
        </is>
      </c>
      <c r="E367" t="inlineStr">
        <is>
          <t xml:space="preserve">A tier's own heading when nothing else needs saying.</t>
        </is>
      </c>
    </row>
    <row r="368" spans="1:5">
      <c r="A368" t="inlineStr">
        <is>
          <t xml:space="preserve">staff.tier_on_hire</t>
        </is>
      </c>
      <c r="B368" t="inlineStr">
        <is>
          <t xml:space="preserve">Office · Staff Profile, the tier a candidate arrives at</t>
        </is>
      </c>
      <c r="C368" t="inlineStr">
        <is>
          <t xml:space="preserve">Tier {tier} · given when hired</t>
        </is>
      </c>
      <c r="D368" t="inlineStr">
        <is>
          <t xml:space="preserve">tier</t>
        </is>
      </c>
      <c r="E368" t="inlineStr">
        <is>
          <t xml:space="preserve">The tier the bonus below is paid at the moment you hire them.</t>
        </is>
      </c>
    </row>
    <row r="369" spans="1:5">
      <c r="A369" t="inlineStr">
        <is>
          <t xml:space="preserve">staff.tier_current</t>
        </is>
      </c>
      <c r="B369" t="inlineStr">
        <is>
          <t xml:space="preserve">Office · Staff Profile, the tier a hired person is at</t>
        </is>
      </c>
      <c r="C369" t="inlineStr">
        <is>
          <t xml:space="preserve">Tier {tier} · current</t>
        </is>
      </c>
      <c r="D369" t="inlineStr">
        <is>
          <t xml:space="preserve">tier</t>
        </is>
      </c>
      <c r="E369" t="inlineStr">
        <is>
          <t xml:space="preserve">Marks the tier a hired person has reached.</t>
        </is>
      </c>
    </row>
    <row r="370" spans="1:5">
      <c r="A370" t="inlineStr">
        <is>
          <t xml:space="preserve">staff.tier_upgrade</t>
        </is>
      </c>
      <c r="B370" t="inlineStr">
        <is>
          <t xml:space="preserve">Office · Staff Profile, a tier still to be bought</t>
        </is>
      </c>
      <c r="C370" t="inlineStr">
        <is>
          <t xml:space="preserve">Tier {tier} · upgrade cost {cost} Yen</t>
        </is>
      </c>
      <c r="D370" t="inlineStr">
        <is>
          <t xml:space="preserve">tier, cost</t>
        </is>
      </c>
      <c r="E370" t="inlineStr">
        <is>
          <t xml:space="preserve">What it costs to upgrade into this tier; the bonus below is paid when you do.</t>
        </is>
      </c>
    </row>
    <row r="371" spans="1:5">
      <c r="A371" t="inlineStr">
        <is>
          <t xml:space="preserve">staff.tier_upgrade_unpriced</t>
        </is>
      </c>
      <c r="B371" t="inlineStr">
        <is>
          <t xml:space="preserve">Office · Staff Profile, a tier with no price entered</t>
        </is>
      </c>
      <c r="C371" t="inlineStr">
        <is>
          <t xml:space="preserve">Tier {tier} · upgrade cost not set</t>
        </is>
      </c>
      <c r="D371" t="inlineStr">
        <is>
          <t xml:space="preserve">tier</t>
        </is>
      </c>
      <c r="E371" t="inlineStr">
        <is>
          <t xml:space="preserve">Shown when the workbook has no upgrade price for this step.</t>
        </is>
      </c>
    </row>
    <row r="372" spans="1:5">
      <c r="A372" t="inlineStr">
        <is>
          <t xml:space="preserve">staff.reward_booster</t>
        </is>
      </c>
      <c r="B372" t="inlineStr">
        <is>
          <t xml:space="preserve">Office · Staff Profile, a bonus line for an organisation</t>
        </is>
      </c>
      <c r="C372" t="inlineStr">
        <is>
          <t xml:space="preserve">{delta} standing with {name}</t>
        </is>
      </c>
      <c r="D372" t="inlineStr">
        <is>
          <t xml:space="preserve">delta, name</t>
        </is>
      </c>
      <c r="E372" t="inlineStr">
        <is>
          <t xml:space="preserve">One bonus: how much an organisation's standing moves. {delta} reads +2 or -2.</t>
        </is>
      </c>
    </row>
    <row r="373" spans="1:5">
      <c r="A373" t="inlineStr">
        <is>
          <t xml:space="preserve">staff.reward_segment</t>
        </is>
      </c>
      <c r="B373" t="inlineStr">
        <is>
          <t xml:space="preserve">Office · Staff Profile, a bonus line for an audience group</t>
        </is>
      </c>
      <c r="C373" t="inlineStr">
        <is>
          <t xml:space="preserve">{delta} sentiment among {name}</t>
        </is>
      </c>
      <c r="D373" t="inlineStr">
        <is>
          <t xml:space="preserve">delta, name</t>
        </is>
      </c>
      <c r="E373" t="inlineStr">
        <is>
          <t xml:space="preserve">One bonus: how much an audience group's sentiment moves. {delta} reads +2 or -2.</t>
        </is>
      </c>
    </row>
    <row r="374" spans="1:5">
      <c r="A374" t="inlineStr">
        <is>
          <t xml:space="preserve">staff.reward_none</t>
        </is>
      </c>
      <c r="B374" t="inlineStr">
        <is>
          <t xml:space="preserve">Office · Staff Profile, a tier that gives nothing</t>
        </is>
      </c>
      <c r="C374" t="inlineStr">
        <is>
          <t xml:space="preserve">No bonus at this tier.</t>
        </is>
      </c>
      <c r="E374" t="inlineStr">
        <is>
          <t xml:space="preserve">Shown for a tier with no bonus written.</t>
        </is>
      </c>
    </row>
    <row r="375" spans="1:5">
      <c r="A375" t="inlineStr">
        <is>
          <t xml:space="preserve">staff.no_upgrades</t>
        </is>
      </c>
      <c r="B375" t="inlineStr">
        <is>
          <t xml:space="preserve">Office · Staff Profile, for someone with only one tier</t>
        </is>
      </c>
      <c r="C375" t="inlineStr">
        <is>
          <t xml:space="preserve">This person has no higher tiers.</t>
        </is>
      </c>
      <c r="E375" t="inlineStr">
        <is>
          <t xml:space="preserve">Shown under the tier list when there is nothing to upgrade to.</t>
        </is>
      </c>
    </row>
    <row r="376" spans="1:5">
      <c r="A376" t="inlineStr">
        <is>
          <t xml:space="preserve">outcome.booster_hint</t>
        </is>
      </c>
      <c r="B376" t="inlineStr">
        <is>
          <t xml:space="preserve">Outcome panel, above the organisation icons</t>
        </is>
      </c>
      <c r="C376" t="inlineStr">
        <is>
          <t xml:space="preserve">Tap an organisation to see how its standing moved.</t>
        </is>
      </c>
      <c r="E376" t="inlineStr">
        <is>
          <t xml:space="preserve">One line above the row of organisation icons shown when a stage touched any.</t>
        </is>
      </c>
    </row>
    <row r="377" spans="1:5">
      <c r="A377" t="inlineStr">
        <is>
          <t xml:space="preserve">outcome.booster_change</t>
        </is>
      </c>
      <c r="B377" t="inlineStr">
        <is>
          <t xml:space="preserve">Outcome panel, after tapping an organisation icon</t>
        </is>
      </c>
      <c r="C377" t="inlineStr">
        <is>
          <t xml:space="preserve">{name}: {change}</t>
        </is>
      </c>
      <c r="D377" t="inlineStr">
        <is>
          <t xml:space="preserve">change, name</t>
        </is>
      </c>
      <c r="E377" t="inlineStr">
        <is>
          <t xml:space="preserve">The net standing change for that organisation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organisations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organisation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spans="1:5">
      <c r="A403" t="inlineStr">
        <is>
          <t xml:space="preserve">office.record_law_passed</t>
        </is>
      </c>
      <c r="B403" t="inlineStr">
        <is>
          <t xml:space="preserve">Your Record — a passed bill</t>
        </is>
      </c>
      <c r="C403" t="inlineStr">
        <is>
          <t xml:space="preserve">{name}: passed, {yes} to {no} with {abstain} abstaining. You voted {vote}.</t>
        </is>
      </c>
      <c r="D403" t="inlineStr">
        <is>
          <t xml:space="preserve">name, yes, no, abstain, vote</t>
        </is>
      </c>
      <c r="E403" t="inlineStr">
        <is>
          <t xml:space="preserve">One line per bill that passed.</t>
        </is>
      </c>
    </row>
    <row r="404" spans="1:5">
      <c r="A404" t="inlineStr">
        <is>
          <t xml:space="preserve">office.record_law_failed</t>
        </is>
      </c>
      <c r="B404" t="inlineStr">
        <is>
          <t xml:space="preserve">Your Record — a failed bill</t>
        </is>
      </c>
      <c r="C404" t="inlineStr">
        <is>
          <t xml:space="preserve">{name}: failed, {yes} to {no} with {abstain} abstaining. You voted {vote}.</t>
        </is>
      </c>
      <c r="D404" t="inlineStr">
        <is>
          <t xml:space="preserve">name, yes, no, abstain, vote</t>
        </is>
      </c>
      <c r="E404" t="inlineStr">
        <is>
          <t xml:space="preserve">One line per bill that failed.</t>
        </is>
      </c>
    </row>
    <row r="405" spans="1:5">
      <c r="A405" t="inlineStr">
        <is>
          <t xml:space="preserve">office.record_vote_yes</t>
        </is>
      </c>
      <c r="B405" t="inlineStr">
        <is>
          <t xml:space="preserve">Your Record — how you voted</t>
        </is>
      </c>
      <c r="C405" t="inlineStr">
        <is>
          <t xml:space="preserve">Yes</t>
        </is>
      </c>
      <c r="E405" t="inlineStr">
        <is>
          <t xml:space="preserve">Fills {vote} above.</t>
        </is>
      </c>
    </row>
    <row r="406" spans="1:5">
      <c r="A406" t="inlineStr">
        <is>
          <t xml:space="preserve">office.record_vote_no</t>
        </is>
      </c>
      <c r="B406" t="inlineStr">
        <is>
          <t xml:space="preserve">Your Record — how you voted</t>
        </is>
      </c>
      <c r="C406" t="inlineStr">
        <is>
          <t xml:space="preserve">No</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10</v>
      </c>
      <c r="J52" s="33">
        <f t="shared" si="7"/>
        <v>7</v>
      </c>
      <c r="K52" s="33">
        <f t="shared" si="8"/>
        <v>7</v>
      </c>
      <c r="L52" s="33">
        <f t="shared" si="9"/>
        <v>7</v>
      </c>
      <c r="M52" s="33">
        <f t="shared" si="10"/>
        <v>8</v>
      </c>
      <c r="N52" s="33">
        <f t="shared" si="11"/>
        <v>10</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favour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harbours in working order?</t>
        </is>
      </c>
      <c r="C81" s="136" t="inlineStr">
        <is>
          <t xml:space="preserve">Harbour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honour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labelling rules?</t>
        </is>
      </c>
      <c r="C23" s="55" t="inlineStr">
        <is>
          <t xml:space="preserve">Seafood labelling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modernised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spans="1:14">
      <c r="C29" s="16" t="s">
        <v>2956</v>
      </c>
      <c r="D29" s="57">
        <f t="shared" ref="D22:I22" si="0">COUNTIF(D2:D28,"S")</f>
      </c>
      <c r="E29" s="57">
        <f t="shared" si="0"/>
      </c>
      <c r="F29" s="57">
        <f t="shared" si="0"/>
      </c>
      <c r="G29" s="57">
        <f t="shared" si="0"/>
      </c>
      <c r="H29" s="57">
        <f t="shared" si="0"/>
      </c>
      <c r="I29" s="57">
        <f t="shared" si="0"/>
      </c>
    </row>
    <row r="31" spans="1:14">
      <c r="B31" s="58" t="s">
        <v>3169</v>
      </c>
    </row>
    <row r="32" spans="1:14">
      <c r="B32" s="58" t="s">
        <v>2957</v>
      </c>
    </row>
    <row r="33" spans="1:14">
      <c r="B33" s="58" t="s">
        <v>3008</v>
      </c>
    </row>
    <row r="34" spans="1:14">
      <c r="B34" s="58" t="s">
        <v>2960</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02"/>
  <sheetViews>
    <sheetView workbookViewId="0"/>
  </sheetViews>
  <sheetFormatPr defaultRowHeight="15"/>
  <sheetData>
    <row r="1" spans="1:4">
      <c r="A1" t="s">
        <v>2895</v>
      </c>
      <c r="B1" t="s">
        <v>6719</v>
      </c>
      <c r="C1" t="s">
        <v>6720</v>
      </c>
      <c r="D1" t="inlineStr">
        <is>
          <t xml:space="preserve">Annoys</t>
        </is>
      </c>
    </row>
    <row r="2" spans="1:3">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t>
        </is>
      </c>
    </row>
    <row r="3" spans="1:3">
      <c r="A3" t="s">
        <v>2943</v>
      </c>
      <c r="B3" t="inlineStr">
        <is>
          <t xml:space="preserve">BO08; BO23</t>
        </is>
      </c>
      <c r="C3" t="inlineStr">
        <is>
          <t xml:space="preserve">National Media's whole job is holding officials accountable. Rebalanced 2026-10-10 (draft): also pleases Taxpayers' Alliance.</t>
        </is>
      </c>
    </row>
    <row r="4" spans="1:3">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t>
        </is>
      </c>
    </row>
    <row r="5" spans="1:3">
      <c r="A5" t="s">
        <v>6609</v>
      </c>
      <c r="B5" t="s">
        <v>1411</v>
      </c>
      <c r="C5" t="s">
        <v>6724</v>
      </c>
    </row>
    <row r="6" spans="1:3">
      <c r="A6" t="s">
        <v>6611</v>
      </c>
      <c r="B6" t="inlineStr">
        <is>
          <t xml:space="preserve">BO05; BO22</t>
        </is>
      </c>
      <c r="C6" t="inlineStr">
        <is>
          <t xml:space="preserve">Chamber of Commerce represents the defense-industry members affected. Rebalanced 2026-10-10 (draft): also pleases Veterans' Association.</t>
        </is>
      </c>
    </row>
    <row r="7" spans="1:3">
      <c r="A7" t="s">
        <v>3028</v>
      </c>
      <c r="B7" t="inlineStr">
        <is>
          <t xml:space="preserve">BO06; BO21</t>
        </is>
      </c>
      <c r="C7" t="inlineStr">
        <is>
          <t xml:space="preserve">Neighborhood Associations are the ones asking for help for residents. Rebalanced 2026-10-10 (draft): also pleases Care and Welfare Council.</t>
        </is>
      </c>
    </row>
    <row r="8" spans="1:3">
      <c r="A8" t="s">
        <v>6660</v>
      </c>
      <c r="B8" t="inlineStr">
        <is>
          <t xml:space="preserve">BO04; BO22</t>
        </is>
      </c>
      <c r="C8" t="inlineStr">
        <is>
          <t xml:space="preserve">Mayors' Network governs the municipalities that host the bases. Rebalanced 2026-10-10 (draft): also pleases Veterans' Association.</t>
        </is>
      </c>
    </row>
    <row r="9" spans="1:3">
      <c r="A9" t="s">
        <v>6524</v>
      </c>
      <c r="B9" t="inlineStr">
        <is>
          <t xml:space="preserve">BO04; BO22</t>
        </is>
      </c>
      <c r="C9" t="inlineStr">
        <is>
          <t xml:space="preserve">Mayors' Network governs the municipalities that host the bases. Rebalanced 2026-10-10 (draft): also pleases Veterans' Association.</t>
        </is>
      </c>
    </row>
    <row r="10" spans="1:3">
      <c r="A10" t="s">
        <v>2912</v>
      </c>
      <c r="B10" t="inlineStr">
        <is>
          <t xml:space="preserve">BO06; BO21</t>
        </is>
      </c>
      <c r="C10" t="inlineStr">
        <is>
          <t xml:space="preserve">Neighborhood Associations track who actually benefits from a program. Rebalanced 2026-10-10 (draft): also pleases Care and Welfare Council.</t>
        </is>
      </c>
    </row>
    <row r="11" spans="1:3">
      <c r="A11" t="s">
        <v>3110</v>
      </c>
      <c r="B11" t="s">
        <v>1265</v>
      </c>
      <c r="C11" t="s">
        <v>6729</v>
      </c>
    </row>
    <row r="12" spans="1:3">
      <c r="A12" t="s">
        <v>6606</v>
      </c>
      <c r="B12" t="inlineStr">
        <is>
          <t xml:space="preserve">BO22; BO05</t>
        </is>
      </c>
      <c r="C12" t="inlineStr">
        <is>
          <t xml:space="preserve">Chamber of Commerce speaks for the manufacturers who'd supply them. Rebalanced 2026-10-10 (draft): also pleases Veterans' Association.</t>
        </is>
      </c>
    </row>
    <row r="13" spans="1:3">
      <c r="A13" t="s">
        <v>6467</v>
      </c>
      <c r="B13" t="inlineStr">
        <is>
          <t xml:space="preserve">BO21; BO12</t>
        </is>
      </c>
      <c r="C13" t="inlineStr">
        <is>
          <t xml:space="preserve">Family Network represents the families carrying the care burden. Rebalanced 2026-10-10 (draft): also pleases Care and Welfare Council.</t>
        </is>
      </c>
    </row>
    <row r="14" spans="1:3">
      <c r="A14" t="s">
        <v>6508</v>
      </c>
      <c r="B14" t="inlineStr">
        <is>
          <t xml:space="preserve">BO21; BO12</t>
        </is>
      </c>
      <c r="C14" t="inlineStr">
        <is>
          <t xml:space="preserve">Family Network represents the families carrying the care burden. Rebalanced 2026-10-10 (draft): also pleases Care and Welfare Council.</t>
        </is>
      </c>
    </row>
    <row r="15" spans="1:3">
      <c r="A15" t="s">
        <v>6628</v>
      </c>
      <c r="B15" t="inlineStr">
        <is>
          <t xml:space="preserve">BO12; BO21</t>
        </is>
      </c>
      <c r="C15" t="inlineStr">
        <is>
          <t xml:space="preserve">Family Network is built around exactly this: affording to raise kids. Rebalanced 2026-10-10 (draft): also pleases Care and Welfare Council.</t>
        </is>
      </c>
    </row>
    <row r="16" spans="1:3">
      <c r="A16" t="s">
        <v>2977</v>
      </c>
      <c r="B16" t="inlineStr">
        <is>
          <t xml:space="preserve">BO06; BO26</t>
        </is>
      </c>
      <c r="C16" t="inlineStr">
        <is>
          <t xml:space="preserve">Neighborhood Associations need plain answers to explain to residents. Rebalanced 2026-10-10 (draft): also pleases Consumer Advocacy Network.</t>
        </is>
      </c>
    </row>
    <row r="17" spans="1:3">
      <c r="A17" t="s">
        <v>2924</v>
      </c>
      <c r="B17" t="inlineStr">
        <is>
          <t xml:space="preserve">BO01; BO22</t>
        </is>
      </c>
      <c r="C17" t="inlineStr">
        <is>
          <t xml:space="preserve">Party Headquarters cares whether you keep your commitments to the line. Rebalanced 2026-10-10 (draft): also pleases Veterans' Association.</t>
        </is>
      </c>
    </row>
    <row r="18" spans="1:3">
      <c r="A18" t="s">
        <v>6466</v>
      </c>
      <c r="B18" t="inlineStr">
        <is>
          <t xml:space="preserve">BO06; BO27; BO19; BO12</t>
        </is>
      </c>
      <c r="C18" t="inlineStr">
        <is>
          <t xml:space="preserve">Neighborhood Associations are the first to report strain on local services. Rebalanced 2026-10-10 (draft): also pleases Urban Neighbourhood Alliance, Buddhist Temples Association, Family Network.</t>
        </is>
      </c>
    </row>
    <row r="19" spans="1:3">
      <c r="A19" t="s">
        <v>3132</v>
      </c>
      <c r="B19" t="s">
        <v>1226</v>
      </c>
      <c r="C19" t="s">
        <v>6736</v>
      </c>
    </row>
    <row r="20" spans="1:3">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t>
        </is>
      </c>
    </row>
    <row r="21" spans="1:3">
      <c r="A21" t="s">
        <v>3054</v>
      </c>
      <c r="B21" t="s">
        <v>1233</v>
      </c>
      <c r="C21" t="s">
        <v>6738</v>
      </c>
    </row>
    <row r="22" spans="1:3">
      <c r="A22" t="s">
        <v>6542</v>
      </c>
      <c r="B22" t="inlineStr">
        <is>
          <t xml:space="preserve">BO06; BO28</t>
        </is>
      </c>
      <c r="C22" t="inlineStr">
        <is>
          <t xml:space="preserve">Neighborhood Associations are who local consent actually represents. Rebalanced 2026-10-10 (draft): also pleases Ainu Community Council.</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spans="1:3">
      <c r="A25" t="s">
        <v>6490</v>
      </c>
      <c r="B25" t="inlineStr">
        <is>
          <t xml:space="preserve">BO17; BO20</t>
        </is>
      </c>
      <c r="C25" t="inlineStr">
        <is>
          <t xml:space="preserve">Members of Parliament are the ones who would actually amend it. Rebalanced 2026-10-10 (draft): also pleases Shrine Association.</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spans="1:3">
      <c r="A28" t="s">
        <v>2935</v>
      </c>
      <c r="B28" t="s">
        <v>1233</v>
      </c>
      <c r="C28" t="s">
        <v>6745</v>
      </c>
    </row>
    <row r="29" spans="1:3">
      <c r="A29" t="s">
        <v>3100</v>
      </c>
      <c r="B29" t="s">
        <v>1265</v>
      </c>
      <c r="C29" t="s">
        <v>6746</v>
      </c>
    </row>
    <row r="30" spans="1:3">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t>
        </is>
      </c>
    </row>
    <row r="31" spans="1:3">
      <c r="A31" t="s">
        <v>6470</v>
      </c>
      <c r="B31" t="inlineStr">
        <is>
          <t xml:space="preserve">BO18; BO26; BO11</t>
        </is>
      </c>
      <c r="C31" t="inlineStr">
        <is>
          <t xml:space="preserve">Constituency Voters are living the cost-of-living squeeze. Rebalanced 2026-10-10 (draft): also pleases Consumer Advocacy Network, Students United.</t>
        </is>
      </c>
    </row>
    <row r="32" spans="1:3">
      <c r="A32" t="s">
        <v>3129</v>
      </c>
      <c r="B32" t="s">
        <v>1226</v>
      </c>
      <c r="C32" t="s">
        <v>6749</v>
      </c>
    </row>
    <row r="33" spans="1:3">
      <c r="A33" t="s">
        <v>2905</v>
      </c>
      <c r="B33" t="s">
        <v>1226</v>
      </c>
      <c r="C33" t="s">
        <v>6750</v>
      </c>
    </row>
    <row r="34" spans="1:3">
      <c r="A34" t="s">
        <v>3126</v>
      </c>
      <c r="B34" t="inlineStr">
        <is>
          <t xml:space="preserve">BO08; BO26</t>
        </is>
      </c>
      <c r="C34" t="inlineStr">
        <is>
          <t xml:space="preserve">National Media chases cronyism stories hardest. Rebalanced 2026-10-10 (draft): also pleases Consumer Advocacy Network.</t>
        </is>
      </c>
    </row>
    <row r="35" spans="1:3">
      <c r="A35" t="s">
        <v>6603</v>
      </c>
      <c r="B35" t="inlineStr">
        <is>
          <t xml:space="preserve">BO22; BO23</t>
        </is>
      </c>
      <c r="C35" t="inlineStr">
        <is>
          <t xml:space="preserve">Veterans' Association and Taxpayers' Alliance follow what defence costs and buys. Rationale refreshed 2026-10-12 (draft): the Chamber of Commerce was moved off this theme in the 2026-10-10 rebalance.</t>
        </is>
      </c>
    </row>
    <row r="36" spans="1:3">
      <c r="A36" t="s">
        <v>6482</v>
      </c>
      <c r="B36" t="inlineStr">
        <is>
          <t xml:space="preserve">BO22; BO23</t>
        </is>
      </c>
      <c r="C36" t="inlineStr">
        <is>
          <t xml:space="preserve">Veterans' Association and Taxpayers' Alliance follow what defence costs and buys. Rationale refreshed 2026-10-12 (draft): the Chamber of Commerce was moved off this theme in the 2026-10-10 rebalance.</t>
        </is>
      </c>
    </row>
    <row r="37" spans="1:3">
      <c r="A37" t="s">
        <v>6484</v>
      </c>
      <c r="B37" t="inlineStr">
        <is>
          <t xml:space="preserve">BO16; BO22</t>
        </is>
      </c>
      <c r="C37" t="inlineStr">
        <is>
          <t xml:space="preserve">Innovation Society follows where defense R&amp;D money goes. Rebalanced 2026-10-10 (draft): also pleases Veterans' Association.</t>
        </is>
      </c>
    </row>
    <row r="38" spans="1:3">
      <c r="A38" t="s">
        <v>3075</v>
      </c>
      <c r="B38" t="inlineStr">
        <is>
          <t xml:space="preserve">BO09; BO26</t>
        </is>
      </c>
      <c r="C38" t="inlineStr">
        <is>
          <t xml:space="preserve">Labor Federation lives or dies on how a regulation's terms are defined. Rebalanced 2026-10-10 (draft): also pleases Consumer Advocacy Network.</t>
        </is>
      </c>
    </row>
    <row r="39" spans="1:3">
      <c r="A39" t="s">
        <v>6620</v>
      </c>
      <c r="B39" t="inlineStr">
        <is>
          <t xml:space="preserve">BO17; BO22</t>
        </is>
      </c>
      <c r="C39" t="inlineStr">
        <is>
          <t xml:space="preserve">Members of Parliament own the constitutional question of deterrence posture. Rebalanced 2026-10-10 (draft): also pleases Veterans' Association.</t>
        </is>
      </c>
    </row>
    <row r="40" spans="1:3">
      <c r="A40" t="s">
        <v>6536</v>
      </c>
      <c r="B40" t="inlineStr">
        <is>
          <t xml:space="preserve">BO04; BO30</t>
        </is>
      </c>
      <c r="C40" t="inlineStr">
        <is>
          <t xml:space="preserve">Mayors' Network runs municipal disaster planning. Rebalanced 2026-10-10 (draft): also pleases Rural Revitalization Council.</t>
        </is>
      </c>
    </row>
    <row r="41" spans="1:3">
      <c r="A41" t="s">
        <v>2952</v>
      </c>
      <c r="B41" t="s">
        <v>1245</v>
      </c>
      <c r="C41" t="s">
        <v>6757</v>
      </c>
    </row>
    <row r="42" spans="1:3">
      <c r="A42" t="s">
        <v>6465</v>
      </c>
      <c r="B42" t="inlineStr">
        <is>
          <t xml:space="preserve">BO03; BO28</t>
        </is>
      </c>
      <c r="C42" t="inlineStr">
        <is>
          <t xml:space="preserve">Local Kōenkai is the first to feel a constituency feeling unheard. Rebalanced 2026-10-10 (draft): also pleases Ainu Community Council.</t>
        </is>
      </c>
    </row>
    <row r="43" spans="1:3">
      <c r="A43" t="s">
        <v>3016</v>
      </c>
      <c r="B43" t="s">
        <v>1220</v>
      </c>
      <c r="C43" t="s">
        <v>6759</v>
      </c>
    </row>
    <row r="44" spans="1:3">
      <c r="A44" t="s">
        <v>6513</v>
      </c>
      <c r="B44" t="inlineStr">
        <is>
          <t xml:space="preserve">BO05; BO24</t>
        </is>
      </c>
      <c r="C44" t="inlineStr">
        <is>
          <t xml:space="preserve">Chamber of Commerce tracks supply security as a business risk. Rebalanced 2026-10-10 (draft): also pleases Financial Industry Association.</t>
        </is>
      </c>
    </row>
    <row r="45" spans="1:3">
      <c r="A45" t="s">
        <v>6635</v>
      </c>
      <c r="B45" t="inlineStr">
        <is>
          <t xml:space="preserve">BO21; BO12; BO19</t>
        </is>
      </c>
      <c r="C45" t="inlineStr">
        <is>
          <t xml:space="preserve">Family Network represents families caring for aging relatives. Rebalanced 2026-10-10 (draft): also pleases Care and Welfare Council, Buddhist Temples Association.</t>
        </is>
      </c>
    </row>
    <row r="46" spans="1:3">
      <c r="A46" t="s">
        <v>6615</v>
      </c>
      <c r="B46" t="s">
        <v>1411</v>
      </c>
      <c r="C46" t="s">
        <v>6762</v>
      </c>
    </row>
    <row r="47" spans="1:3">
      <c r="A47" t="s">
        <v>6492</v>
      </c>
      <c r="B47" t="s">
        <v>1411</v>
      </c>
      <c r="C47" t="s">
        <v>6762</v>
      </c>
    </row>
    <row r="48" spans="1:3">
      <c r="A48" t="s">
        <v>2197</v>
      </c>
      <c r="B48" t="inlineStr">
        <is>
          <t xml:space="preserve">BO16; BO26</t>
        </is>
      </c>
      <c r="C48" t="inlineStr">
        <is>
          <t xml:space="preserve">Innovation Society follows energy policy as its core beat. Rebalanced 2026-10-10 (draft): also pleases Consumer Advocacy Network.</t>
        </is>
      </c>
    </row>
    <row r="49" spans="1:3">
      <c r="A49" t="s">
        <v>6511</v>
      </c>
      <c r="B49" t="inlineStr">
        <is>
          <t xml:space="preserve">BO16; BO11</t>
        </is>
      </c>
      <c r="C49" t="inlineStr">
        <is>
          <t xml:space="preserve">Innovation Society follows energy policy as its core beat. Rebalanced 2026-10-10 (draft): also pleases Students United.</t>
        </is>
      </c>
    </row>
    <row r="50" spans="1:3">
      <c r="A50" t="s">
        <v>3070</v>
      </c>
      <c r="B50" t="inlineStr">
        <is>
          <t xml:space="preserve">BO09; BO26</t>
        </is>
      </c>
      <c r="C50" t="inlineStr">
        <is>
          <t xml:space="preserve">Labor Federation wants to know if a rule is actually enforced. Rebalanced 2026-10-10 (draft): also pleases Consumer Advocacy Network.</t>
        </is>
      </c>
    </row>
    <row r="51" spans="1:3">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t>
        </is>
      </c>
    </row>
    <row r="52" spans="1:3">
      <c r="A52" t="s">
        <v>3140</v>
      </c>
      <c r="B52" t="s">
        <v>1226</v>
      </c>
      <c r="C52" t="s">
        <v>6766</v>
      </c>
    </row>
    <row r="53" spans="1:3">
      <c r="A53" t="s">
        <v>2921</v>
      </c>
      <c r="B53" t="s">
        <v>1220</v>
      </c>
      <c r="C53" t="s">
        <v>6767</v>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spans="1:3">
      <c r="A57" t="s">
        <v>3163</v>
      </c>
      <c r="B57" t="s">
        <v>1226</v>
      </c>
      <c r="C57" t="s">
        <v>6770</v>
      </c>
    </row>
    <row r="58" spans="1:3">
      <c r="A58" t="s">
        <v>3113</v>
      </c>
      <c r="B58" t="inlineStr">
        <is>
          <t xml:space="preserve">BO04; BO25</t>
        </is>
      </c>
      <c r="C58" t="inlineStr">
        <is>
          <t xml:space="preserve">Mayors' Network has to actually deliver whatever gets promised. Rebalanced 2026-10-10 (draft): also pleases Small Business Owners' Association.</t>
        </is>
      </c>
    </row>
    <row r="59" spans="1:3">
      <c r="A59" t="s">
        <v>6480</v>
      </c>
      <c r="B59" t="inlineStr">
        <is>
          <t xml:space="preserve">BO23; BO05</t>
        </is>
      </c>
      <c r="C59" t="inlineStr">
        <is>
          <t xml:space="preserve">Chamber of Commerce wants sound public finances for a stable market. Rebalanced 2026-10-10 (draft): also pleases Taxpayers' Alliance.</t>
        </is>
      </c>
    </row>
    <row r="60" spans="1:3">
      <c r="A60" t="s">
        <v>3037</v>
      </c>
      <c r="B60" t="inlineStr">
        <is>
          <t xml:space="preserve">BO25; BO05</t>
        </is>
      </c>
      <c r="C60" t="inlineStr">
        <is>
          <t xml:space="preserve">Chamber of Commerce wants flexibility built into how rules apply to business. Rebalanced 2026-10-10 (draft): also pleases Small Business Owners' Association.</t>
        </is>
      </c>
    </row>
    <row r="61" spans="1:3">
      <c r="A61" t="s">
        <v>6474</v>
      </c>
      <c r="B61" t="inlineStr">
        <is>
          <t xml:space="preserve">BO18; BO26; BO10</t>
        </is>
      </c>
      <c r="C61" t="inlineStr">
        <is>
          <t xml:space="preserve">Constituency Voters feel a tax change at the checkout first. Rebalanced 2026-10-10 (draft): also pleases Consumer Advocacy Network, Agricultural Cooperatives.</t>
        </is>
      </c>
    </row>
    <row r="62" spans="1:3">
      <c r="A62" t="s">
        <v>6476</v>
      </c>
      <c r="B62" t="inlineStr">
        <is>
          <t xml:space="preserve">BO24; BO18</t>
        </is>
      </c>
      <c r="C62" t="inlineStr">
        <is>
          <t xml:space="preserve">Constituency Voters want to know who actually pays. Rebalanced 2026-10-10 (draft): also pleases Financial Industry Association.</t>
        </is>
      </c>
    </row>
    <row r="63" spans="1:3">
      <c r="A63" t="s">
        <v>6649</v>
      </c>
      <c r="B63" t="inlineStr">
        <is>
          <t xml:space="preserve">BO01; BO23</t>
        </is>
      </c>
      <c r="C63" t="inlineStr">
        <is>
          <t xml:space="preserve">Party Headquarters owns the party's own finance rules. Rebalanced 2026-10-10 (draft): also pleases Taxpayers' Alliance.</t>
        </is>
      </c>
    </row>
    <row r="64" spans="1:3">
      <c r="A64" t="s">
        <v>2994</v>
      </c>
      <c r="B64" t="inlineStr">
        <is>
          <t xml:space="preserve">BO06; BO21; BO19</t>
        </is>
      </c>
      <c r="C64" t="inlineStr">
        <is>
          <t xml:space="preserve">Neighborhood Associations see hardship first, at the household level. Rebalanced 2026-10-10 (draft): also pleases Care and Welfare Council, Buddhist Temples Association.</t>
        </is>
      </c>
    </row>
    <row r="65" spans="1:3">
      <c r="A65" t="s">
        <v>3151</v>
      </c>
      <c r="B65" t="inlineStr">
        <is>
          <t xml:space="preserve">BO08; BO26</t>
        </is>
      </c>
      <c r="C65" t="inlineStr">
        <is>
          <t xml:space="preserve">National Media's beat is whether an answer is honest. Rebalanced 2026-10-10 (draft): also pleases Consumer Advocacy Network.</t>
        </is>
      </c>
    </row>
    <row r="66" spans="1:3">
      <c r="A66" t="s">
        <v>6544</v>
      </c>
      <c r="B66" t="inlineStr">
        <is>
          <t xml:space="preserve">BO27; BO18; BO11</t>
        </is>
      </c>
      <c r="C66" t="inlineStr">
        <is>
          <t xml:space="preserve">Constituency Voters feel housing cost and availability directly. Rebalanced 2026-10-10 (draft): also pleases Urban Neighbourhood Alliance, Students United.</t>
        </is>
      </c>
    </row>
    <row r="67" spans="1:3">
      <c r="A67" t="s">
        <v>6530</v>
      </c>
      <c r="B67" t="inlineStr">
        <is>
          <t xml:space="preserve">BO27; BO18</t>
        </is>
      </c>
      <c r="C67" t="inlineStr">
        <is>
          <t xml:space="preserve">Constituency Voters are the ones being priced out. Rebalanced 2026-10-10 (draft): also pleases Urban Neighbourhood Alliance.</t>
        </is>
      </c>
    </row>
    <row r="68" spans="1:3">
      <c r="A68" t="s">
        <v>3146</v>
      </c>
      <c r="B68" t="s">
        <v>1226</v>
      </c>
      <c r="C68" t="s">
        <v>6781</v>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spans="1:3">
      <c r="A70" t="s">
        <v>6498</v>
      </c>
      <c r="B70" t="s">
        <v>1356</v>
      </c>
      <c r="C70" t="s">
        <v>6783</v>
      </c>
    </row>
    <row r="71" spans="1:3">
      <c r="A71" t="s">
        <v>2898</v>
      </c>
      <c r="B71" t="s">
        <v>1308</v>
      </c>
      <c r="C71" t="s">
        <v>6784</v>
      </c>
    </row>
    <row r="72" spans="1:3">
      <c r="A72" t="s">
        <v>3065</v>
      </c>
      <c r="B72" t="inlineStr">
        <is>
          <t xml:space="preserve">BO04; BO25</t>
        </is>
      </c>
      <c r="C72" t="inlineStr">
        <is>
          <t xml:space="preserve">Mayors' Network is who actually implements a policy on the ground. Rebalanced 2026-10-10 (draft): also pleases Small Business Owners' Association.</t>
        </is>
      </c>
    </row>
    <row r="73" spans="1:3">
      <c r="A73" t="s">
        <v>3045</v>
      </c>
      <c r="B73" t="inlineStr">
        <is>
          <t xml:space="preserve">BO10; BO30</t>
        </is>
      </c>
      <c r="C73" t="inlineStr">
        <is>
          <t xml:space="preserve">Agricultural Cooperatives respond to whatever inducement is on offer. Rebalanced 2026-10-10 (draft): also pleases Rural Revitalization Council.</t>
        </is>
      </c>
    </row>
    <row r="74" spans="1:3">
      <c r="A74" t="s">
        <v>2938</v>
      </c>
      <c r="B74" t="s">
        <v>1226</v>
      </c>
      <c r="C74" t="s">
        <v>6787</v>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spans="1:3">
      <c r="A76" t="s">
        <v>6500</v>
      </c>
      <c r="B76" t="inlineStr">
        <is>
          <t xml:space="preserve">BO15; BO29</t>
        </is>
      </c>
      <c r="C76" t="inlineStr">
        <is>
          <t xml:space="preserve">Our Traditional Society weighs in on how newcomers are integrated. Rebalanced 2026-10-10 (draft): also pleases Ainu Language and Culture Foundation.</t>
        </is>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inlineStr">
        <is>
          <t xml:space="preserve">BO10; BO24</t>
        </is>
      </c>
      <c r="C80" t="inlineStr">
        <is>
          <t xml:space="preserve">Agricultural Cooperatives weigh what leverage a deal actually gives them. Rebalanced 2026-10-10 (draft): also pleases Financial Industry Association.</t>
        </is>
      </c>
    </row>
    <row r="81" spans="1:3">
      <c r="A81" t="s">
        <v>3040</v>
      </c>
      <c r="B81" t="s">
        <v>1302</v>
      </c>
      <c r="C81" t="s">
        <v>6794</v>
      </c>
    </row>
    <row r="82" spans="1:3">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t>
        </is>
      </c>
    </row>
    <row r="83" spans="1:3">
      <c r="A83" t="s">
        <v>6526</v>
      </c>
      <c r="B83" t="inlineStr">
        <is>
          <t xml:space="preserve">BO04; BO30</t>
        </is>
      </c>
      <c r="C83" t="inlineStr">
        <is>
          <t xml:space="preserve">Mayors' Network is the body whose autonomy is actually in question. Rebalanced 2026-10-10 (draft): also pleases Rural Revitalization Council.</t>
        </is>
      </c>
    </row>
    <row r="84" spans="1:3">
      <c r="A84" t="s">
        <v>6686</v>
      </c>
      <c r="B84" t="inlineStr">
        <is>
          <t xml:space="preserve">BO06; BO28</t>
        </is>
      </c>
      <c r="C84" t="inlineStr">
        <is>
          <t xml:space="preserve">Neighborhood Associations are who local consent actually represents. Rebalanced 2026-10-10 (draft): also pleases Ainu Community Council.</t>
        </is>
      </c>
    </row>
    <row r="85" spans="1:3">
      <c r="A85" t="s">
        <v>2967</v>
      </c>
      <c r="B85" t="inlineStr">
        <is>
          <t xml:space="preserve">BO01; BO22</t>
        </is>
      </c>
      <c r="C85" t="inlineStr">
        <is>
          <t xml:space="preserve">Party Headquarters is the one keeping score on loyalty. Rebalanced 2026-10-10 (draft): also pleases Veterans' Association.</t>
        </is>
      </c>
    </row>
    <row r="86" spans="1:3">
      <c r="A86" t="s">
        <v>3083</v>
      </c>
      <c r="B86" t="s">
        <v>1220</v>
      </c>
      <c r="C86" t="s">
        <v>6798</v>
      </c>
    </row>
    <row r="87" spans="1:3">
      <c r="A87" t="s">
        <v>3123</v>
      </c>
      <c r="B87" t="inlineStr">
        <is>
          <t xml:space="preserve">BO24; BO05</t>
        </is>
      </c>
      <c r="C87" t="inlineStr">
        <is>
          <t xml:space="preserve">Chamber of Commerce follows the money in any policy. Rebalanced 2026-10-10 (draft): also pleases Financial Industry Association.</t>
        </is>
      </c>
    </row>
    <row r="88" spans="1:3">
      <c r="A88" t="s">
        <v>2927</v>
      </c>
      <c r="B88" t="s">
        <v>1226</v>
      </c>
      <c r="C88" t="s">
        <v>6800</v>
      </c>
    </row>
    <row r="89" spans="1:3">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t>
        </is>
      </c>
    </row>
    <row r="90" spans="1:3">
      <c r="A90" t="s">
        <v>6496</v>
      </c>
      <c r="B90" t="inlineStr">
        <is>
          <t xml:space="preserve">BO17; BO22</t>
        </is>
      </c>
      <c r="C90" t="inlineStr">
        <is>
          <t xml:space="preserve">Members of Parliament own the constitutional question of nuclear posture. Rebalanced 2026-10-10 (draft): also pleases Veterans' Association.</t>
        </is>
      </c>
    </row>
    <row r="91" spans="1:3">
      <c r="A91" t="s">
        <v>6638</v>
      </c>
      <c r="B91" t="s">
        <v>1362</v>
      </c>
      <c r="C91" t="s">
        <v>6803</v>
      </c>
    </row>
    <row r="92" spans="1:3">
      <c r="A92" t="s">
        <v>6494</v>
      </c>
      <c r="B92" t="inlineStr">
        <is>
          <t xml:space="preserve">BO17; BO22</t>
        </is>
      </c>
      <c r="C92" t="inlineStr">
        <is>
          <t xml:space="preserve">Members of Parliament own the constitutional question of nuclear posture. Rebalanced 2026-10-10 (draft): also pleases Veterans' Association.</t>
        </is>
      </c>
    </row>
    <row r="93" spans="1:3">
      <c r="A93" t="s">
        <v>2989</v>
      </c>
      <c r="B93" t="s">
        <v>1226</v>
      </c>
      <c r="C93" t="s">
        <v>6804</v>
      </c>
    </row>
    <row r="94" spans="1:3">
      <c r="A94" t="s">
        <v>3097</v>
      </c>
      <c r="B94" t="inlineStr">
        <is>
          <t xml:space="preserve">BO08; BO26</t>
        </is>
      </c>
      <c r="C94" t="inlineStr">
        <is>
          <t xml:space="preserve">National Media is a standing check on official oversight. Rebalanced 2026-10-10 (draft): also pleases Consumer Advocacy Network.</t>
        </is>
      </c>
    </row>
    <row r="95" spans="1:3">
      <c r="A95" t="s">
        <v>6528</v>
      </c>
      <c r="B95" t="inlineStr">
        <is>
          <t xml:space="preserve">BO27; BO18; BO20; BO13</t>
        </is>
      </c>
      <c r="C95" t="inlineStr">
        <is>
          <t xml:space="preserve">Constituency Voters live with the crowding and rent pressure. Rebalanced 2026-10-10 (draft): also pleases Urban Neighbourhood Alliance, Shrine Association, Yezo Artisans Guild.</t>
        </is>
      </c>
    </row>
    <row r="96" spans="1:3">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t>
        </is>
      </c>
    </row>
    <row r="97" spans="1:3">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t>
        </is>
      </c>
    </row>
    <row r="98" spans="1:3">
      <c r="A98" t="s">
        <v>3034</v>
      </c>
      <c r="B98" t="s">
        <v>1233</v>
      </c>
      <c r="C98" t="s">
        <v>6809</v>
      </c>
    </row>
    <row r="99" spans="1:3">
      <c r="A99" t="s">
        <v>6517</v>
      </c>
      <c r="B99" t="inlineStr">
        <is>
          <t xml:space="preserve">BO01; BO23</t>
        </is>
      </c>
      <c r="C99" t="inlineStr">
        <is>
          <t xml:space="preserve">Party Headquarters owns the party's own finance rules. Rebalanced 2026-10-10 (draft): also pleases Taxpayers' Alliance.</t>
        </is>
      </c>
    </row>
    <row r="100" spans="1:3">
      <c r="A100" t="s">
        <v>2902</v>
      </c>
      <c r="B100" t="s">
        <v>1245</v>
      </c>
      <c r="C100" t="s">
        <v>6810</v>
      </c>
    </row>
    <row r="101" spans="1:3">
      <c r="A101" t="s">
        <v>6640</v>
      </c>
      <c r="B101" t="inlineStr">
        <is>
          <t xml:space="preserve">BO26; BO05</t>
        </is>
      </c>
      <c r="C101" t="inlineStr">
        <is>
          <t xml:space="preserve">Chamber of Commerce represents the members paying the power bill. Rebalanced 2026-10-10 (draft): also pleases Consumer Advocacy Network.</t>
        </is>
      </c>
    </row>
    <row r="102" spans="1:3">
      <c r="A102" t="s">
        <v>6677</v>
      </c>
      <c r="B102" t="inlineStr">
        <is>
          <t xml:space="preserve">BO04; BO22</t>
        </is>
      </c>
      <c r="C102" t="inlineStr">
        <is>
          <t xml:space="preserve">Mayors' Network runs municipal disaster planning. Rebalanced 2026-10-10 (draft): also pleases Veterans' Association.</t>
        </is>
      </c>
    </row>
    <row r="103" spans="1:3">
      <c r="A103" t="s">
        <v>3013</v>
      </c>
      <c r="B103" t="inlineStr">
        <is>
          <t xml:space="preserve">BO26; BO05</t>
        </is>
      </c>
      <c r="C103" t="inlineStr">
        <is>
          <t xml:space="preserve">Chamber of Commerce tracks price effects on members directly. Rebalanced 2026-10-10 (draft): also pleases Consumer Advocacy Network.</t>
        </is>
      </c>
    </row>
    <row r="104" spans="1:3">
      <c r="A104" t="s">
        <v>6617</v>
      </c>
      <c r="B104" t="inlineStr">
        <is>
          <t xml:space="preserve">BO17; BO19</t>
        </is>
      </c>
      <c r="C104" t="inlineStr">
        <is>
          <t xml:space="preserve">Members of Parliament are custodians of the Three Non-Nuclear Principles. Rebalanced 2026-10-10 (draft): also pleases Buddhist Temples Association.</t>
        </is>
      </c>
    </row>
    <row r="105" spans="1:3">
      <c r="A105" t="s">
        <v>2955</v>
      </c>
      <c r="B105" t="s">
        <v>1292</v>
      </c>
      <c r="C105" t="s">
        <v>6814</v>
      </c>
    </row>
    <row r="106" spans="1:3">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t>
        </is>
      </c>
    </row>
    <row r="107" spans="1:3">
      <c r="A107" t="s">
        <v>394</v>
      </c>
      <c r="B107" t="s">
        <v>1220</v>
      </c>
      <c r="C107" t="s">
        <v>6815</v>
      </c>
    </row>
    <row r="108" spans="1:3">
      <c r="A108" t="s">
        <v>6680</v>
      </c>
      <c r="B108" t="inlineStr">
        <is>
          <t xml:space="preserve">BO04; BO30</t>
        </is>
      </c>
      <c r="C108" t="inlineStr">
        <is>
          <t xml:space="preserve">Mayors' Network leads disaster reconstruction on the ground. Rebalanced 2026-10-10 (draft): also pleases Rural Revitalization Council.</t>
        </is>
      </c>
    </row>
    <row r="109" spans="1:3">
      <c r="A109" t="s">
        <v>6689</v>
      </c>
      <c r="B109" t="inlineStr">
        <is>
          <t xml:space="preserve">BO27; BO04</t>
        </is>
      </c>
      <c r="C109" t="inlineStr">
        <is>
          <t xml:space="preserve">Mayors' Network approves and plans local redevelopment. Rebalanced 2026-10-10 (draft): also pleases Urban Neighbourhood Alliance.</t>
        </is>
      </c>
    </row>
    <row r="110" spans="1:3">
      <c r="A110" t="s">
        <v>6488</v>
      </c>
      <c r="B110" t="inlineStr">
        <is>
          <t xml:space="preserve">BO17; BO22</t>
        </is>
      </c>
      <c r="C110" t="inlineStr">
        <is>
          <t xml:space="preserve">Members of Parliament weigh regional security as a chamber-level question. Rebalanced 2026-10-10 (draft): also pleases Veterans' Association.</t>
        </is>
      </c>
    </row>
    <row r="111" spans="1:3">
      <c r="A111" t="s">
        <v>6663</v>
      </c>
      <c r="B111" t="inlineStr">
        <is>
          <t xml:space="preserve">BO04; BO30</t>
        </is>
      </c>
      <c r="C111" t="inlineStr">
        <is>
          <t xml:space="preserve">Mayors' Network is party to any base relocation decision. Rebalanced 2026-10-10 (draft): also pleases Rural Revitalization Council.</t>
        </is>
      </c>
    </row>
    <row r="112" spans="1:3">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t>
        </is>
      </c>
    </row>
    <row r="113" spans="1:3">
      <c r="A113" t="s">
        <v>2975</v>
      </c>
      <c r="B113" t="s">
        <v>1233</v>
      </c>
      <c r="C113" t="s">
        <v>6821</v>
      </c>
    </row>
    <row r="114" spans="1:3">
      <c r="A114" t="s">
        <v>3094</v>
      </c>
      <c r="B114" t="inlineStr">
        <is>
          <t xml:space="preserve">BO04; BO30; BO28</t>
        </is>
      </c>
      <c r="C114" t="inlineStr">
        <is>
          <t xml:space="preserve">Mayors' Network needs the resources to match any new mandate. Rebalanced 2026-10-10 (draft): also pleases Rural Revitalization Council, Ainu Community Council.</t>
        </is>
      </c>
    </row>
    <row r="115" spans="1:3">
      <c r="A115" t="s">
        <v>3080</v>
      </c>
      <c r="B115" t="inlineStr">
        <is>
          <t xml:space="preserve">BO09; BO24</t>
        </is>
      </c>
      <c r="C115" t="inlineStr">
        <is>
          <t xml:space="preserve">Labor Federation weighs the risk a rule shifts onto workers. Rebalanced 2026-10-10 (draft): also pleases Financial Industry Association.</t>
        </is>
      </c>
    </row>
    <row r="116" spans="1:3">
      <c r="A116" t="s">
        <v>6534</v>
      </c>
      <c r="B116" t="inlineStr">
        <is>
          <t xml:space="preserve">BO30; BO04</t>
        </is>
      </c>
      <c r="C116" t="inlineStr">
        <is>
          <t xml:space="preserve">Mayors' Network administers the rural municipalities in decline. Rebalanced 2026-10-10 (draft): also pleases Rural Revitalization Council.</t>
        </is>
      </c>
    </row>
    <row r="117" spans="1:3">
      <c r="A117" t="s">
        <v>6672</v>
      </c>
      <c r="B117" t="inlineStr">
        <is>
          <t xml:space="preserve">BO30; BO04; BO10</t>
        </is>
      </c>
      <c r="C117" t="inlineStr">
        <is>
          <t xml:space="preserve">Mayors' Network runs the clinics, schools, and routes at risk. Rebalanced 2026-10-10 (draft): also pleases Rural Revitalization Council, Agricultural Cooperatives.</t>
        </is>
      </c>
    </row>
    <row r="118" spans="1:3">
      <c r="A118" t="s">
        <v>6532</v>
      </c>
      <c r="B118" t="inlineStr">
        <is>
          <t xml:space="preserve">BO30; BO04; BO10</t>
        </is>
      </c>
      <c r="C118" t="inlineStr">
        <is>
          <t xml:space="preserve">Mayors' Network runs the clinics, schools, and routes at risk. Rebalanced 2026-10-10 (draft): also pleases Rural Revitalization Council, Agricultural Cooperatives.</t>
        </is>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inlineStr">
        <is>
          <t xml:space="preserve">BO17; BO22</t>
        </is>
      </c>
      <c r="C122" t="inlineStr">
        <is>
          <t xml:space="preserve">Members of Parliament set security strategy through the chamber. Rebalanced 2026-10-10 (draft): also pleases Veterans' Association.</t>
        </is>
      </c>
    </row>
    <row r="123" spans="1:3">
      <c r="A123" t="s">
        <v>6468</v>
      </c>
      <c r="B123" t="inlineStr">
        <is>
          <t xml:space="preserve">BO06; BO27; BO20</t>
        </is>
      </c>
      <c r="C123" t="inlineStr">
        <is>
          <t xml:space="preserve">Neighborhood Associations mediate exactly these local-space disputes. Rebalanced 2026-10-10 (draft): also pleases Urban Neighbourhood Alliance, Shrine Association.</t>
        </is>
      </c>
    </row>
    <row r="124" spans="1:3">
      <c r="A124" t="s">
        <v>6669</v>
      </c>
      <c r="B124" t="inlineStr">
        <is>
          <t xml:space="preserve">BO27; BO18; BO25</t>
        </is>
      </c>
      <c r="C124" t="inlineStr">
        <is>
          <t xml:space="preserve">Constituency Voters are the ones losing housing stock to it. Rebalanced 2026-10-10 (draft): also pleases Urban Neighbourhood Alliance, Small Business Owners' Association.</t>
        </is>
      </c>
    </row>
    <row r="125" spans="1:3">
      <c r="A125" t="s">
        <v>3061</v>
      </c>
      <c r="B125" t="s">
        <v>1233</v>
      </c>
      <c r="C125" t="s">
        <v>6832</v>
      </c>
    </row>
    <row r="126" spans="1:3">
      <c r="A126" t="s">
        <v>3105</v>
      </c>
      <c r="B126" t="inlineStr">
        <is>
          <t xml:space="preserve">BO25; BO05</t>
        </is>
      </c>
      <c r="C126" t="inlineStr">
        <is>
          <t xml:space="preserve">Chamber of Commerce wants a rule simple enough to actually comply with. Rebalanced 2026-10-10 (draft): also pleases Small Business Owners' Association.</t>
        </is>
      </c>
    </row>
    <row r="127" spans="1:3">
      <c r="A127" t="s">
        <v>6683</v>
      </c>
      <c r="B127" t="inlineStr">
        <is>
          <t xml:space="preserve">BO16; BO30</t>
        </is>
      </c>
      <c r="C127" t="inlineStr">
        <is>
          <t xml:space="preserve">Innovation Society represents the renewable-energy developers. Rebalanced 2026-10-10 (draft): also pleases Rural Revitalization Council.</t>
        </is>
      </c>
    </row>
    <row r="128" spans="1:3">
      <c r="A128" t="s">
        <v>3006</v>
      </c>
      <c r="B128" t="s">
        <v>1308</v>
      </c>
      <c r="C128" t="s">
        <v>6835</v>
      </c>
    </row>
    <row r="129" spans="1:3">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t>
        </is>
      </c>
    </row>
    <row r="130" spans="1:3">
      <c r="A130" t="s">
        <v>6643</v>
      </c>
      <c r="B130" t="inlineStr">
        <is>
          <t xml:space="preserve">BO10; BO05</t>
        </is>
      </c>
      <c r="C130" t="inlineStr">
        <is>
          <t xml:space="preserve">Chamber of Commerce represents the industries a subsidy would reach. Rebalanced 2026-10-10 (draft): also pleases Agricultural Cooperatives.</t>
        </is>
      </c>
    </row>
    <row r="131" spans="1:3">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t>
        </is>
      </c>
    </row>
    <row r="132" spans="1:3">
      <c r="A132" t="s">
        <v>6646</v>
      </c>
      <c r="B132" t="inlineStr">
        <is>
          <t xml:space="preserve">BO05; BO25; BO13</t>
        </is>
      </c>
      <c r="C132" t="inlineStr">
        <is>
          <t xml:space="preserve">Chamber of Commerce tracks supply-chain exposure directly. Rebalanced 2026-10-10 (draft): also pleases Small Business Owners' Association, Yezo Artisans Guild.</t>
        </is>
      </c>
    </row>
    <row r="133" spans="1:3">
      <c r="A133" t="s">
        <v>6515</v>
      </c>
      <c r="B133" t="inlineStr">
        <is>
          <t xml:space="preserve">BO05; BO25; BO13</t>
        </is>
      </c>
      <c r="C133" t="inlineStr">
        <is>
          <t xml:space="preserve">Chamber of Commerce tracks supply-chain exposure directly. Rebalanced 2026-10-10 (draft): also pleases Small Business Owners' Association, Yezo Artisans Guild.</t>
        </is>
      </c>
    </row>
    <row r="134" spans="1:3">
      <c r="A134" t="s">
        <v>662</v>
      </c>
      <c r="B134" t="inlineStr">
        <is>
          <t xml:space="preserve">BO10; BO30</t>
        </is>
      </c>
      <c r="C134" t="inlineStr">
        <is>
          <t xml:space="preserve">Agricultural Cooperatives measure a policy by the support it offers them. Rebalanced 2026-10-10 (draft): also pleases Rural Revitalization Council.</t>
        </is>
      </c>
    </row>
    <row r="135" spans="1:3">
      <c r="A135" t="s">
        <v>6594</v>
      </c>
      <c r="B135" t="inlineStr">
        <is>
          <t xml:space="preserve">BO18; BO23; BO25</t>
        </is>
      </c>
      <c r="C135" t="inlineStr">
        <is>
          <t xml:space="preserve">Constituency Voters feel a tax change at the checkout first. Rebalanced 2026-10-10 (draft): also pleases Taxpayers' Alliance, Small Business Owners' Association.</t>
        </is>
      </c>
    </row>
    <row r="136" spans="1:3">
      <c r="A136" t="s">
        <v>6472</v>
      </c>
      <c r="B136" t="inlineStr">
        <is>
          <t xml:space="preserve">BO18; BO23; BO25</t>
        </is>
      </c>
      <c r="C136" t="inlineStr">
        <is>
          <t xml:space="preserve">Constituency Voters feel a tax change at the checkout first. Rebalanced 2026-10-10 (draft): also pleases Taxpayers' Alliance, Small Business Owners' Association.</t>
        </is>
      </c>
    </row>
    <row r="137" spans="1:3">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t>
        </is>
      </c>
    </row>
    <row r="138" spans="1:3">
      <c r="A138" t="s">
        <v>6675</v>
      </c>
      <c r="B138" t="inlineStr">
        <is>
          <t xml:space="preserve">BO14; BO27</t>
        </is>
      </c>
      <c r="C138" t="inlineStr">
        <is>
          <t xml:space="preserve">Commuter Committee exists specifically for transit questions. Rebalanced 2026-10-10 (draft): also pleases Urban Neighbourhood Alliance.</t>
        </is>
      </c>
    </row>
    <row r="139" spans="1:3">
      <c r="A139" t="s">
        <v>2949</v>
      </c>
      <c r="B139" t="inlineStr">
        <is>
          <t xml:space="preserve">BO08; BO23</t>
        </is>
      </c>
      <c r="C139" t="inlineStr">
        <is>
          <t xml:space="preserve">National Media's core demand is transparency. Rebalanced 2026-10-10 (draft): also pleases Taxpayers' Alliance.</t>
        </is>
      </c>
    </row>
    <row r="140" spans="1:3">
      <c r="A140" t="s">
        <v>2946</v>
      </c>
      <c r="B140" t="inlineStr">
        <is>
          <t xml:space="preserve">BO03; BO28; BO19</t>
        </is>
      </c>
      <c r="C140" t="inlineStr">
        <is>
          <t xml:space="preserve">Local Kōenkai is built entirely on constituent trust. Rebalanced 2026-10-10 (draft): also pleases Ainu Community Council, Buddhist Temples Association.</t>
        </is>
      </c>
    </row>
    <row r="141" spans="1:3">
      <c r="A141" t="s">
        <v>2915</v>
      </c>
      <c r="B141" t="s">
        <v>1245</v>
      </c>
      <c r="C141" t="s">
        <v>6845</v>
      </c>
    </row>
    <row r="142" spans="1:3">
      <c r="A142" t="s">
        <v>6546</v>
      </c>
      <c r="B142" t="inlineStr">
        <is>
          <t xml:space="preserve">BO27; BO18</t>
        </is>
      </c>
      <c r="C142" t="inlineStr">
        <is>
          <t xml:space="preserve">Constituency Voters want empty homes addressed before new building. Rebalanced 2026-10-10 (draft): also pleases Urban Neighbourhood Alliance.</t>
        </is>
      </c>
    </row>
    <row r="143" spans="1:3">
      <c r="A143" t="s">
        <v>3160</v>
      </c>
      <c r="B143" t="s">
        <v>1226</v>
      </c>
      <c r="C143" t="s">
        <v>6847</v>
      </c>
    </row>
    <row r="144" spans="1:3">
      <c r="A144" t="s">
        <v>2908</v>
      </c>
      <c r="B144" t="s">
        <v>1245</v>
      </c>
      <c r="C144" t="s">
        <v>6848</v>
      </c>
    </row>
    <row r="145" spans="1:3">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t>
        </is>
      </c>
    </row>
    <row r="146" spans="1:3">
      <c r="A146" t="s">
        <v>6591</v>
      </c>
      <c r="B146" t="inlineStr">
        <is>
          <t xml:space="preserve">BO09; BO25; BO11</t>
        </is>
      </c>
      <c r="C146" t="inlineStr">
        <is>
          <t xml:space="preserve">Labor Federation represents the workers whose wages are at stake. Rebalanced 2026-10-10 (draft): also pleases Small Business Owners' Association, Students United.</t>
        </is>
      </c>
    </row>
    <row r="147" spans="1:3">
      <c r="A147" t="s">
        <v>6504</v>
      </c>
      <c r="B147" t="inlineStr">
        <is>
          <t xml:space="preserve">BO09; BO25</t>
        </is>
      </c>
      <c r="C147" t="inlineStr">
        <is>
          <t xml:space="preserve">Labor Federation represents the workforce directly. Rebalanced 2026-10-10 (draft): also pleases Small Business Owners' Association.</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Harbour upkeep</t>
        </is>
      </c>
      <c r="B156" t="inlineStr">
        <is>
          <t xml:space="preserve">BO07</t>
        </is>
      </c>
      <c r="C156" t="inlineStr">
        <is>
          <t xml:space="preserve">Fisheries Cooperative depends on working harbours.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row r="163">
      <c r="A163" t="inlineStr">
        <is>
          <t xml:space="preserve">Research funding</t>
        </is>
      </c>
      <c r="B163" t="inlineStr">
        <is>
          <t xml:space="preserve">BO16; BO11</t>
        </is>
      </c>
      <c r="C163" t="inlineStr">
        <is>
          <t xml:space="preserve">Draft 2026-10-12: Innovation Society and Students United both live on public research money.</t>
        </is>
      </c>
    </row>
    <row r="164">
      <c r="A164" t="inlineStr">
        <is>
          <t xml:space="preserve">Tech transfer</t>
        </is>
      </c>
      <c r="B164" t="inlineStr">
        <is>
          <t xml:space="preserve">BO16; BO11</t>
        </is>
      </c>
      <c r="C164" t="inlineStr">
        <is>
          <t xml:space="preserve">Draft 2026-10-12: Getting university work into industry: Innovation Society and Students United.</t>
        </is>
      </c>
    </row>
    <row r="165">
      <c r="A165" t="inlineStr">
        <is>
          <t xml:space="preserve">Data privacy</t>
        </is>
      </c>
      <c r="B165" t="inlineStr">
        <is>
          <t xml:space="preserve">BO16; BO26</t>
        </is>
      </c>
      <c r="C165" t="inlineStr">
        <is>
          <t xml:space="preserve">Draft 2026-10-12: Innovation Society and Consumer Advocacy Network on personal data.</t>
        </is>
      </c>
    </row>
    <row r="166">
      <c r="A166" t="inlineStr">
        <is>
          <t xml:space="preserve">Fintech rules</t>
        </is>
      </c>
      <c r="B166" t="inlineStr">
        <is>
          <t xml:space="preserve">BO16; BO24</t>
        </is>
      </c>
      <c r="C166" t="inlineStr">
        <is>
          <t xml:space="preserve">Draft 2026-10-12: Innovation Society and the Financial Industry Association on new payment tech.</t>
        </is>
      </c>
    </row>
    <row r="167">
      <c r="A167" t="inlineStr">
        <is>
          <t xml:space="preserve">Graduate jobs</t>
        </is>
      </c>
      <c r="B167" t="inlineStr">
        <is>
          <t xml:space="preserve">BO11; BO16</t>
        </is>
      </c>
      <c r="C167" t="inlineStr">
        <is>
          <t xml:space="preserve">Draft 2026-10-12: Students United and Innovation Society on where graduates end up.</t>
        </is>
      </c>
    </row>
    <row r="168">
      <c r="A168" t="inlineStr">
        <is>
          <t xml:space="preserve">Campus housing</t>
        </is>
      </c>
      <c r="B168" t="inlineStr">
        <is>
          <t xml:space="preserve">BO11; BO27</t>
        </is>
      </c>
      <c r="C168" t="inlineStr">
        <is>
          <t xml:space="preserve">Draft 2026-10-12: Students United and the Urban Neighbourhood Alliance on student housing.</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t>
        </is>
      </c>
    </row>
    <row r="170">
      <c r="A170" t="inlineStr">
        <is>
          <t xml:space="preserve">Local customs</t>
        </is>
      </c>
      <c r="B170" t="inlineStr">
        <is>
          <t xml:space="preserve">BO15; BO20; BO03</t>
        </is>
      </c>
      <c r="C170" t="inlineStr">
        <is>
          <t xml:space="preserve">Draft 2026-10-12: Local customs and how they are kept: traditionalists, shrines, Koenkai.</t>
        </is>
      </c>
    </row>
    <row r="171">
      <c r="A171" t="inlineStr">
        <is>
          <t xml:space="preserve">Shrine land</t>
        </is>
      </c>
      <c r="B171" t="inlineStr">
        <is>
          <t xml:space="preserve">BO20; BO15</t>
        </is>
      </c>
      <c r="C171" t="inlineStr">
        <is>
          <t xml:space="preserve">Draft 2026-10-12: Shrine grounds and the land around them.</t>
        </is>
      </c>
    </row>
    <row r="172">
      <c r="A172" t="inlineStr">
        <is>
          <t xml:space="preserve">Seasonal rites</t>
        </is>
      </c>
      <c r="B172" t="inlineStr">
        <is>
          <t xml:space="preserve">BO20; BO10</t>
        </is>
      </c>
      <c r="C172" t="inlineStr">
        <is>
          <t xml:space="preserve">Draft 2026-10-12: Harvest and seasonal rites tied to farming communities.</t>
        </is>
      </c>
    </row>
    <row r="173">
      <c r="A173" t="inlineStr">
        <is>
          <t xml:space="preserve">Traditional crafts</t>
        </is>
      </c>
      <c r="B173" t="inlineStr">
        <is>
          <t xml:space="preserve">BO13; BO15</t>
        </is>
      </c>
      <c r="C173" t="inlineStr">
        <is>
          <t xml:space="preserve">Draft 2026-10-12: Craft traditions: Artisans Guild and Our Traditional Society.</t>
        </is>
      </c>
    </row>
    <row r="174">
      <c r="A174" t="inlineStr">
        <is>
          <t xml:space="preserve">National symbols</t>
        </is>
      </c>
      <c r="B174" t="inlineStr">
        <is>
          <t xml:space="preserve">BO15; BO17</t>
        </is>
      </c>
      <c r="C174" t="inlineStr">
        <is>
          <t xml:space="preserve">Draft 2026-10-12: Flags, anthems and ceremony: traditionalists and the Diet.</t>
        </is>
      </c>
    </row>
    <row r="175">
      <c r="A175" t="inlineStr">
        <is>
          <t xml:space="preserve">Craft exports</t>
        </is>
      </c>
      <c r="B175" t="inlineStr">
        <is>
          <t xml:space="preserve">BO13; BO05</t>
        </is>
      </c>
      <c r="C175" t="inlineStr">
        <is>
          <t xml:space="preserve">Draft 2026-10-12: Selling Yezo crafts abroad: Artisans Guild and the Chamber of Commerce.</t>
        </is>
      </c>
    </row>
    <row r="176">
      <c r="A176" t="inlineStr">
        <is>
          <t xml:space="preserve">Raw materials</t>
        </is>
      </c>
      <c r="B176" t="inlineStr">
        <is>
          <t xml:space="preserve">BO13; BO10</t>
        </is>
      </c>
      <c r="C176" t="inlineStr">
        <is>
          <t xml:space="preserve">Draft 2026-10-12: Materials craftspeople depend on: Artisans Guild and farm cooperatives.</t>
        </is>
      </c>
    </row>
    <row r="177">
      <c r="A177" t="inlineStr">
        <is>
          <t xml:space="preserve">Craft certification</t>
        </is>
      </c>
      <c r="B177" t="inlineStr">
        <is>
          <t xml:space="preserve">BO13; BO26</t>
        </is>
      </c>
      <c r="C177" t="inlineStr">
        <is>
          <t xml:space="preserve">Draft 2026-10-12: Marks of authenticity: Artisans Guild and Consumer Advocacy Network.</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t>
        </is>
      </c>
    </row>
    <row r="180">
      <c r="A180" t="inlineStr">
        <is>
          <t xml:space="preserve">Child safety</t>
        </is>
      </c>
      <c r="B180" t="inlineStr">
        <is>
          <t xml:space="preserve">BO12; BO21</t>
        </is>
      </c>
      <c r="C180" t="inlineStr">
        <is>
          <t xml:space="preserve">Draft 2026-10-12: Keeping children safe.</t>
        </is>
      </c>
    </row>
    <row r="181">
      <c r="A181" t="inlineStr">
        <is>
          <t xml:space="preserve">Screen time</t>
        </is>
      </c>
      <c r="B181" t="inlineStr">
        <is>
          <t xml:space="preserve">BO12; BO16</t>
        </is>
      </c>
      <c r="C181" t="inlineStr">
        <is>
          <t xml:space="preserve">Draft 2026-10-12: Children and screens: Family Network and Innovation Society.</t>
        </is>
      </c>
    </row>
    <row r="182">
      <c r="A182" t="inlineStr">
        <is>
          <t xml:space="preserve">Insurance reform</t>
        </is>
      </c>
      <c r="B182" t="inlineStr">
        <is>
          <t xml:space="preserve">BO24; BO21</t>
        </is>
      </c>
      <c r="C182" t="inlineStr">
        <is>
          <t xml:space="preserve">Draft 2026-10-12: Insurance rules: financiers and the welfare council.</t>
        </is>
      </c>
    </row>
    <row r="183">
      <c r="A183" t="inlineStr">
        <is>
          <t xml:space="preserve">Household savings</t>
        </is>
      </c>
      <c r="B183" t="inlineStr">
        <is>
          <t xml:space="preserve">BO24; BO12</t>
        </is>
      </c>
      <c r="C183" t="inlineStr">
        <is>
          <t xml:space="preserve">Draft 2026-10-12: How families save.</t>
        </is>
      </c>
    </row>
    <row r="184">
      <c r="A184" t="inlineStr">
        <is>
          <t xml:space="preserve">Zoning</t>
        </is>
      </c>
      <c r="B184" t="inlineStr">
        <is>
          <t xml:space="preserve">BO27; BO11</t>
        </is>
      </c>
      <c r="C184" t="inlineStr">
        <is>
          <t xml:space="preserve">Draft 2026-10-12: Zoning in cities: Urban Alliance and Students United.</t>
        </is>
      </c>
    </row>
    <row r="185">
      <c r="A185" t="inlineStr">
        <is>
          <t xml:space="preserve">Gentrification</t>
        </is>
      </c>
      <c r="B185" t="inlineStr">
        <is>
          <t xml:space="preserve">BO27; BO18</t>
        </is>
      </c>
      <c r="C185" t="inlineStr">
        <is>
          <t xml:space="preserve">Draft 2026-10-12: Rising rents in changing neighbourhoods.</t>
        </is>
      </c>
    </row>
    <row r="186">
      <c r="A186" t="inlineStr">
        <is>
          <t xml:space="preserve">Port jobs</t>
        </is>
      </c>
      <c r="B186" t="inlineStr">
        <is>
          <t xml:space="preserve">BO07; BO09</t>
        </is>
      </c>
      <c r="C186" t="inlineStr">
        <is>
          <t xml:space="preserve">Draft 2026-10-12: Work at the harbour: Fisheries Cooperative and Labor Federation.</t>
        </is>
      </c>
    </row>
    <row r="187">
      <c r="A187" t="inlineStr">
        <is>
          <t xml:space="preserve">Fuel subsidy</t>
        </is>
      </c>
      <c r="B187" t="inlineStr">
        <is>
          <t xml:space="preserve">BO07; BO10</t>
        </is>
      </c>
      <c r="C187" t="inlineStr">
        <is>
          <t xml:space="preserve">Draft 2026-10-12: Fuel costs for boats and tractors.</t>
        </is>
      </c>
    </row>
    <row r="188">
      <c r="A188" t="inlineStr">
        <is>
          <t xml:space="preserve">Marine pollution</t>
        </is>
      </c>
      <c r="B188" t="inlineStr">
        <is>
          <t xml:space="preserve">BO07; BO26</t>
        </is>
      </c>
      <c r="C188" t="inlineStr">
        <is>
          <t xml:space="preserve">Draft 2026-10-12: Cleaner seas: fishers and consumers.</t>
        </is>
      </c>
    </row>
    <row r="189">
      <c r="A189" t="inlineStr">
        <is>
          <t xml:space="preserve">Committee workload</t>
        </is>
      </c>
      <c r="B189" t="inlineStr">
        <is>
          <t xml:space="preserve">BO17; BO02</t>
        </is>
      </c>
      <c r="C189" t="inlineStr">
        <is>
          <t xml:space="preserve">Draft 2026-10-12: The load on members.</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t>
        </is>
      </c>
    </row>
    <row r="192">
      <c r="A192" t="inlineStr">
        <is>
          <t xml:space="preserve">Constituent service</t>
        </is>
      </c>
      <c r="B192" t="inlineStr">
        <is>
          <t xml:space="preserve">BO18; BO03</t>
        </is>
      </c>
      <c r="C192" t="inlineStr">
        <is>
          <t xml:space="preserve">Draft 2026-10-12: Helping individual constituents.</t>
        </is>
      </c>
    </row>
    <row r="193">
      <c r="A193" t="inlineStr">
        <is>
          <t xml:space="preserve">Generational divide</t>
        </is>
      </c>
      <c r="B193" t="inlineStr">
        <is>
          <t xml:space="preserve">BO11</t>
        </is>
      </c>
      <c r="C193" t="inlineStr">
        <is>
          <t xml:space="preserve">Draft 2026-10-12: Students United draws a hard line between young and old voters (Divisive in-group/out-group).</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t>
        </is>
      </c>
    </row>
    <row r="195">
      <c r="A195" t="inlineStr">
        <is>
          <t xml:space="preserve">Faction discipline</t>
        </is>
      </c>
      <c r="B195" t="inlineStr">
        <is>
          <t xml:space="preserve">BO02</t>
        </is>
      </c>
      <c r="C195" t="inlineStr">
        <is>
          <t xml:space="preserve">Draft 2026-10-12: Party Faction on loyalty: who is with the faction and who is against it.</t>
        </is>
      </c>
    </row>
    <row r="196">
      <c r="A196" t="inlineStr">
        <is>
          <t xml:space="preserve">Ethics rules</t>
        </is>
      </c>
      <c r="B196" t="inlineStr">
        <is>
          <t xml:space="preserve">BO17; BO08</t>
        </is>
      </c>
      <c r="C196" t="inlineStr">
        <is>
          <t xml:space="preserve">Draft 2026-10-12: conduct rules for members, watched by the press (committee question).</t>
        </is>
      </c>
    </row>
    <row r="197">
      <c r="A197" t="inlineStr">
        <is>
          <t xml:space="preserve">Member pay</t>
        </is>
      </c>
      <c r="B197" t="inlineStr">
        <is>
          <t xml:space="preserve">BO17; BO23</t>
        </is>
      </c>
      <c r="C197" t="inlineStr">
        <is>
          <t xml:space="preserve">Draft 2026-10-12: what members are paid; Members of Parliament and Taxpayers' Alliance.</t>
        </is>
      </c>
    </row>
    <row r="198">
      <c r="A198" t="inlineStr">
        <is>
          <t xml:space="preserve">Parliamentary procedure</t>
        </is>
      </c>
      <c r="B198" t="inlineStr">
        <is>
          <t xml:space="preserve">BO17</t>
        </is>
      </c>
      <c r="C198" t="inlineStr">
        <is>
          <t xml:space="preserve">Draft 2026-10-12: how the Assembly runs its business.</t>
        </is>
      </c>
    </row>
    <row r="199">
      <c r="A199" t="inlineStr">
        <is>
          <t xml:space="preserve">Rice policy</t>
        </is>
      </c>
      <c r="B199" t="inlineStr">
        <is>
          <t xml:space="preserve">BO10; BO26</t>
        </is>
      </c>
      <c r="C199" t="inlineStr">
        <is>
          <t xml:space="preserve">Draft 2026-10-12: rice prices and production; farm cooperatives and consumers.</t>
        </is>
      </c>
    </row>
    <row r="200">
      <c r="A200" t="inlineStr">
        <is>
          <t xml:space="preserve">Crop insurance</t>
        </is>
      </c>
      <c r="B200" t="inlineStr">
        <is>
          <t xml:space="preserve">BO10; BO24</t>
        </is>
      </c>
      <c r="C200" t="inlineStr">
        <is>
          <t xml:space="preserve">Draft 2026-10-12: protecting farms against bad harvests.</t>
        </is>
      </c>
    </row>
    <row r="201">
      <c r="A201" t="inlineStr">
        <is>
          <t xml:space="preserve">Farm succession</t>
        </is>
      </c>
      <c r="B201" t="inlineStr">
        <is>
          <t xml:space="preserve">BO10; BO30</t>
        </is>
      </c>
      <c r="C201" t="inlineStr">
        <is>
          <t xml:space="preserve">Draft 2026-10-12: who takes over the farm.</t>
        </is>
      </c>
    </row>
    <row r="202">
      <c r="A202" t="inlineStr">
        <is>
          <t xml:space="preserve">Digital government</t>
        </is>
      </c>
      <c r="B202" t="inlineStr">
        <is>
          <t xml:space="preserve">BO16; BO26</t>
        </is>
      </c>
      <c r="C202" t="inlineStr">
        <is>
          <t xml:space="preserve">Draft 2026-10-12: Innovation Society wants it; Consumer Advocacy Network wants it to work.</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spans="1:8">
      <c r="A2" t="s">
        <v>3175</v>
      </c>
      <c r="B2" t="s">
        <v>5341</v>
      </c>
      <c r="C2" t="s">
        <v>5342</v>
      </c>
      <c r="D2" t="s">
        <v>5341</v>
      </c>
      <c r="E2" t="s">
        <v>5343</v>
      </c>
      <c r="F2" t="s">
        <v>682</v>
      </c>
      <c r="G2" t="s">
        <v>5344</v>
      </c>
      <c r="H2" t="s">
        <v>5345</v>
      </c>
    </row>
    <row r="3" spans="1:8">
      <c r="A3" t="s">
        <v>3181</v>
      </c>
      <c r="B3" t="s">
        <v>5346</v>
      </c>
      <c r="C3" t="s">
        <v>5347</v>
      </c>
      <c r="D3" t="s">
        <v>5346</v>
      </c>
      <c r="E3" t="s">
        <v>5348</v>
      </c>
      <c r="F3" t="s">
        <v>682</v>
      </c>
      <c r="G3" t="s">
        <v>5349</v>
      </c>
      <c r="H3" t="s">
        <v>5350</v>
      </c>
    </row>
    <row r="4" spans="1:8">
      <c r="A4" t="s">
        <v>3186</v>
      </c>
      <c r="B4" t="s">
        <v>5351</v>
      </c>
      <c r="C4" t="s">
        <v>5352</v>
      </c>
      <c r="D4" t="s">
        <v>5351</v>
      </c>
      <c r="E4" t="s">
        <v>4268</v>
      </c>
      <c r="F4" t="s">
        <v>682</v>
      </c>
      <c r="G4" t="s">
        <v>5353</v>
      </c>
      <c r="H4" t="s">
        <v>5354</v>
      </c>
    </row>
    <row r="5" spans="1:8">
      <c r="A5" t="s">
        <v>3190</v>
      </c>
      <c r="B5" t="s">
        <v>5355</v>
      </c>
      <c r="C5" t="s">
        <v>5356</v>
      </c>
      <c r="D5" t="s">
        <v>5355</v>
      </c>
      <c r="E5" t="s">
        <v>5357</v>
      </c>
      <c r="F5" t="s">
        <v>682</v>
      </c>
      <c r="G5" t="s">
        <v>5358</v>
      </c>
      <c r="H5" t="s">
        <v>5359</v>
      </c>
    </row>
    <row r="6" spans="1:8">
      <c r="A6" t="s">
        <v>5360</v>
      </c>
      <c r="B6" t="s">
        <v>5361</v>
      </c>
      <c r="C6" t="s">
        <v>5362</v>
      </c>
      <c r="D6" t="s">
        <v>5361</v>
      </c>
      <c r="E6" t="s">
        <v>5363</v>
      </c>
      <c r="F6" t="s">
        <v>682</v>
      </c>
      <c r="G6" t="s">
        <v>5364</v>
      </c>
      <c r="H6" t="s">
        <v>5365</v>
      </c>
    </row>
    <row r="7" spans="1:8">
      <c r="A7" t="s">
        <v>5366</v>
      </c>
      <c r="B7" t="s">
        <v>5367</v>
      </c>
      <c r="C7" t="s">
        <v>5368</v>
      </c>
      <c r="D7" t="s">
        <v>5367</v>
      </c>
      <c r="E7" t="s">
        <v>5369</v>
      </c>
      <c r="F7" t="s">
        <v>682</v>
      </c>
      <c r="G7" t="s">
        <v>5370</v>
      </c>
      <c r="H7" t="s">
        <v>5371</v>
      </c>
    </row>
    <row r="8" spans="1:8">
      <c r="A8" t="s">
        <v>5372</v>
      </c>
      <c r="B8" t="s">
        <v>5373</v>
      </c>
      <c r="C8" t="s">
        <v>5374</v>
      </c>
      <c r="D8" t="s">
        <v>5373</v>
      </c>
      <c r="E8" t="s">
        <v>5375</v>
      </c>
      <c r="F8" t="s">
        <v>682</v>
      </c>
      <c r="G8" t="s">
        <v>5376</v>
      </c>
      <c r="H8" t="s">
        <v>5377</v>
      </c>
    </row>
    <row r="9" spans="1:8">
      <c r="A9" t="s">
        <v>5378</v>
      </c>
      <c r="B9" t="s">
        <v>5379</v>
      </c>
      <c r="C9" t="s">
        <v>5380</v>
      </c>
      <c r="D9" t="s">
        <v>5379</v>
      </c>
      <c r="E9" t="s">
        <v>5381</v>
      </c>
      <c r="F9" t="s">
        <v>682</v>
      </c>
      <c r="G9" t="s">
        <v>5382</v>
      </c>
      <c r="H9" t="s">
        <v>5383</v>
      </c>
    </row>
    <row r="10" spans="1:8">
      <c r="A10" t="s">
        <v>5384</v>
      </c>
      <c r="B10" t="s">
        <v>5385</v>
      </c>
      <c r="C10" t="s">
        <v>5386</v>
      </c>
      <c r="D10" t="s">
        <v>5385</v>
      </c>
      <c r="E10" t="s">
        <v>5387</v>
      </c>
      <c r="F10" t="s">
        <v>682</v>
      </c>
      <c r="G10" t="s">
        <v>5388</v>
      </c>
      <c r="H10" t="s">
        <v>5389</v>
      </c>
    </row>
    <row r="11" spans="1:8">
      <c r="A11" t="s">
        <v>5390</v>
      </c>
      <c r="B11" t="s">
        <v>5391</v>
      </c>
      <c r="C11" t="s">
        <v>5392</v>
      </c>
      <c r="D11" t="s">
        <v>5391</v>
      </c>
      <c r="E11" t="s">
        <v>5393</v>
      </c>
      <c r="F11" t="s">
        <v>682</v>
      </c>
      <c r="G11" t="s">
        <v>5394</v>
      </c>
      <c r="H11" t="s">
        <v>5395</v>
      </c>
    </row>
    <row r="12" spans="1:8">
      <c r="A12" t="s">
        <v>5396</v>
      </c>
      <c r="B12" t="s">
        <v>5397</v>
      </c>
      <c r="C12" t="s">
        <v>5398</v>
      </c>
      <c r="D12" t="s">
        <v>5399</v>
      </c>
      <c r="E12" t="s">
        <v>5400</v>
      </c>
      <c r="F12" t="s">
        <v>682</v>
      </c>
      <c r="G12" t="s">
        <v>5401</v>
      </c>
      <c r="H12" t="s">
        <v>5402</v>
      </c>
    </row>
    <row r="13" spans="1:8">
      <c r="A13" t="s">
        <v>5403</v>
      </c>
      <c r="B13" t="s">
        <v>5404</v>
      </c>
      <c r="C13" t="s">
        <v>5405</v>
      </c>
      <c r="D13" t="s">
        <v>5404</v>
      </c>
      <c r="E13" t="s">
        <v>5406</v>
      </c>
      <c r="F13" t="s">
        <v>682</v>
      </c>
      <c r="G13" t="s">
        <v>5407</v>
      </c>
      <c r="H13" t="s">
        <v>5408</v>
      </c>
    </row>
    <row r="14" spans="1:8">
      <c r="A14" t="s">
        <v>5409</v>
      </c>
      <c r="B14" t="s">
        <v>5410</v>
      </c>
      <c r="C14" t="s">
        <v>5411</v>
      </c>
      <c r="D14" t="s">
        <v>5410</v>
      </c>
      <c r="E14" t="s">
        <v>5412</v>
      </c>
      <c r="F14" t="s">
        <v>682</v>
      </c>
      <c r="G14" t="s">
        <v>5413</v>
      </c>
      <c r="H14" t="s">
        <v>5414</v>
      </c>
    </row>
    <row r="15" spans="1:8">
      <c r="A15" t="s">
        <v>5415</v>
      </c>
      <c r="B15" t="s">
        <v>5416</v>
      </c>
      <c r="C15" t="s">
        <v>5417</v>
      </c>
      <c r="D15" t="s">
        <v>5416</v>
      </c>
      <c r="E15" t="s">
        <v>5922</v>
      </c>
      <c r="F15" t="s">
        <v>682</v>
      </c>
      <c r="G15" t="s">
        <v>5418</v>
      </c>
      <c r="H15" t="s">
        <v>3180</v>
      </c>
    </row>
    <row r="16" spans="1:8">
      <c r="A16" t="s">
        <v>5419</v>
      </c>
      <c r="B16" t="s">
        <v>5420</v>
      </c>
      <c r="C16" t="s">
        <v>5421</v>
      </c>
      <c r="D16" t="s">
        <v>5420</v>
      </c>
      <c r="E16" t="s">
        <v>5422</v>
      </c>
      <c r="F16" t="s">
        <v>682</v>
      </c>
      <c r="G16" t="s">
        <v>5423</v>
      </c>
      <c r="H16" t="s">
        <v>5424</v>
      </c>
    </row>
    <row r="17" spans="1:8">
      <c r="A17" t="s">
        <v>5425</v>
      </c>
      <c r="B17" t="s">
        <v>5426</v>
      </c>
      <c r="C17" t="s">
        <v>5427</v>
      </c>
      <c r="D17" t="s">
        <v>5426</v>
      </c>
      <c r="E17" t="s">
        <v>3185</v>
      </c>
      <c r="F17" t="s">
        <v>682</v>
      </c>
      <c r="G17" t="s">
        <v>5428</v>
      </c>
      <c r="H17" t="s">
        <v>5429</v>
      </c>
    </row>
    <row r="18" spans="1:8">
      <c r="A18" t="s">
        <v>5430</v>
      </c>
      <c r="B18" t="s">
        <v>5431</v>
      </c>
      <c r="C18" t="s">
        <v>5432</v>
      </c>
      <c r="D18" t="s">
        <v>5431</v>
      </c>
      <c r="E18" t="s">
        <v>5433</v>
      </c>
      <c r="F18" t="s">
        <v>682</v>
      </c>
      <c r="G18" t="s">
        <v>5434</v>
      </c>
      <c r="H18" t="s">
        <v>5414</v>
      </c>
    </row>
    <row r="19" spans="1:8">
      <c r="A19" t="s">
        <v>5435</v>
      </c>
      <c r="B19" t="s">
        <v>5436</v>
      </c>
      <c r="C19" t="s">
        <v>5437</v>
      </c>
      <c r="D19" t="s">
        <v>5438</v>
      </c>
      <c r="E19" t="s">
        <v>1736</v>
      </c>
      <c r="F19" t="s">
        <v>682</v>
      </c>
      <c r="G19" t="s">
        <v>5439</v>
      </c>
      <c r="H19" t="s">
        <v>5440</v>
      </c>
    </row>
    <row r="20" spans="1:8">
      <c r="A20" t="s">
        <v>5441</v>
      </c>
      <c r="B20" t="s">
        <v>5442</v>
      </c>
      <c r="C20" t="s">
        <v>5443</v>
      </c>
      <c r="D20" t="s">
        <v>5442</v>
      </c>
      <c r="E20" t="s">
        <v>5444</v>
      </c>
      <c r="F20" t="s">
        <v>682</v>
      </c>
      <c r="G20" t="s">
        <v>5445</v>
      </c>
      <c r="H20" t="s">
        <v>5389</v>
      </c>
    </row>
    <row r="21" spans="1:8">
      <c r="A21" t="s">
        <v>5446</v>
      </c>
      <c r="B21" t="s">
        <v>5447</v>
      </c>
      <c r="C21" t="s">
        <v>5448</v>
      </c>
      <c r="D21" t="s">
        <v>5447</v>
      </c>
      <c r="E21" t="s">
        <v>5449</v>
      </c>
      <c r="F21" t="s">
        <v>682</v>
      </c>
      <c r="G21" t="s">
        <v>5450</v>
      </c>
      <c r="H21" t="s">
        <v>5371</v>
      </c>
    </row>
    <row r="22" spans="1:8">
      <c r="A22" t="s">
        <v>5451</v>
      </c>
      <c r="B22" t="s">
        <v>3176</v>
      </c>
      <c r="C22" t="s">
        <v>3177</v>
      </c>
      <c r="D22" t="s">
        <v>3178</v>
      </c>
      <c r="E22" t="s">
        <v>1736</v>
      </c>
      <c r="F22" t="s">
        <v>682</v>
      </c>
      <c r="G22" t="s">
        <v>3179</v>
      </c>
      <c r="H22" t="s">
        <v>3180</v>
      </c>
    </row>
    <row r="23" spans="1:8">
      <c r="A23" t="s">
        <v>5452</v>
      </c>
      <c r="B23" t="s">
        <v>3182</v>
      </c>
      <c r="C23" t="s">
        <v>3183</v>
      </c>
      <c r="D23" t="s">
        <v>3184</v>
      </c>
      <c r="E23" t="s">
        <v>3185</v>
      </c>
      <c r="F23" t="s">
        <v>682</v>
      </c>
      <c r="G23" t="s">
        <v>3179</v>
      </c>
      <c r="H23" t="s">
        <v>3180</v>
      </c>
    </row>
    <row r="24" spans="1:8">
      <c r="A24" t="s">
        <v>5453</v>
      </c>
      <c r="B24" t="s">
        <v>3187</v>
      </c>
      <c r="C24" t="s">
        <v>3188</v>
      </c>
      <c r="D24" t="s">
        <v>3187</v>
      </c>
      <c r="E24" t="s">
        <v>3189</v>
      </c>
      <c r="F24" t="s">
        <v>682</v>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0">
      <c r="A1" t="s">
        <v>3244</v>
      </c>
      <c r="B1" t="s">
        <v>2</v>
      </c>
      <c r="C1" t="s">
        <v>3245</v>
      </c>
      <c r="D1" t="s">
        <v>3246</v>
      </c>
      <c r="E1" t="s">
        <v>3</v>
      </c>
      <c r="F1" t="s">
        <v>4</v>
      </c>
      <c r="G1" t="s">
        <v>5</v>
      </c>
      <c r="H1" t="s">
        <v>6</v>
      </c>
      <c r="I1" t="s">
        <v>7</v>
      </c>
      <c r="J1" t="inlineStr">
        <is>
          <t xml:space="preserve">Stage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s">
        <v>3362</v>
      </c>
      <c r="F21" s="61" t="s">
        <v>3363</v>
      </c>
      <c r="G21" s="61" t="s">
        <v>3364</v>
      </c>
      <c r="H21" s="61" t="s">
        <v>3365</v>
      </c>
      <c r="I21" s="61" t="s">
        <v>3366</v>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045"/>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spans="1:10">
      <c r="A989" t="s">
        <v>1245</v>
      </c>
      <c r="B989" t="s">
        <v>4447</v>
      </c>
      <c r="C989" t="s">
        <v>1279</v>
      </c>
      <c r="E989" t="s">
        <v>4448</v>
      </c>
      <c r="F989" t="s">
        <v>4449</v>
      </c>
      <c r="G989" t="s">
        <v>4450</v>
      </c>
      <c r="H989" t="s">
        <v>4451</v>
      </c>
      <c r="I989" t="s">
        <v>4452</v>
      </c>
      <c r="J989" t="s">
        <v>650</v>
      </c>
    </row>
    <row r="990" spans="1:10">
      <c r="A990" t="s">
        <v>1233</v>
      </c>
      <c r="B990" t="s">
        <v>4447</v>
      </c>
      <c r="C990" t="s">
        <v>1284</v>
      </c>
      <c r="E990" t="s">
        <v>4453</v>
      </c>
      <c r="F990" t="s">
        <v>4449</v>
      </c>
      <c r="G990" t="s">
        <v>4450</v>
      </c>
      <c r="H990" t="s">
        <v>4451</v>
      </c>
      <c r="I990" t="s">
        <v>4452</v>
      </c>
      <c r="J990" t="s">
        <v>650</v>
      </c>
    </row>
    <row r="991" spans="1:10">
      <c r="A991" t="s">
        <v>1292</v>
      </c>
      <c r="B991" t="s">
        <v>4447</v>
      </c>
      <c r="C991" t="s">
        <v>1289</v>
      </c>
      <c r="E991" t="s">
        <v>4454</v>
      </c>
      <c r="F991" t="s">
        <v>4449</v>
      </c>
      <c r="G991" t="s">
        <v>4450</v>
      </c>
      <c r="H991" t="s">
        <v>4451</v>
      </c>
      <c r="I991" t="s">
        <v>4452</v>
      </c>
      <c r="J991" t="s">
        <v>650</v>
      </c>
    </row>
    <row r="992" spans="1:10">
      <c r="A992" t="s">
        <v>1265</v>
      </c>
      <c r="B992" t="s">
        <v>4447</v>
      </c>
      <c r="C992" t="s">
        <v>1294</v>
      </c>
      <c r="E992" t="s">
        <v>4455</v>
      </c>
      <c r="F992" t="s">
        <v>4449</v>
      </c>
      <c r="G992" t="s">
        <v>4450</v>
      </c>
      <c r="H992" t="s">
        <v>4451</v>
      </c>
      <c r="I992" t="s">
        <v>4452</v>
      </c>
      <c r="J992" t="s">
        <v>650</v>
      </c>
    </row>
    <row r="993" spans="1:10">
      <c r="A993" t="s">
        <v>1302</v>
      </c>
      <c r="B993" t="s">
        <v>4447</v>
      </c>
      <c r="C993" t="s">
        <v>1299</v>
      </c>
      <c r="E993" t="s">
        <v>4456</v>
      </c>
      <c r="F993" t="s">
        <v>4449</v>
      </c>
      <c r="G993" t="s">
        <v>4450</v>
      </c>
      <c r="H993" t="s">
        <v>4451</v>
      </c>
      <c r="I993" t="s">
        <v>4452</v>
      </c>
      <c r="J993" t="s">
        <v>650</v>
      </c>
    </row>
    <row r="994" spans="1:10">
      <c r="A994" t="s">
        <v>1308</v>
      </c>
      <c r="B994" t="s">
        <v>4447</v>
      </c>
      <c r="C994" t="s">
        <v>1305</v>
      </c>
      <c r="E994" t="s">
        <v>4457</v>
      </c>
      <c r="F994" t="s">
        <v>4449</v>
      </c>
      <c r="G994" t="s">
        <v>4450</v>
      </c>
      <c r="H994" t="s">
        <v>4451</v>
      </c>
      <c r="I994" t="s">
        <v>4452</v>
      </c>
      <c r="J994" t="s">
        <v>650</v>
      </c>
    </row>
    <row r="995" spans="1:10">
      <c r="A995" t="s">
        <v>1314</v>
      </c>
      <c r="B995" t="s">
        <v>4447</v>
      </c>
      <c r="C995" t="s">
        <v>1311</v>
      </c>
      <c r="E995" t="s">
        <v>4458</v>
      </c>
      <c r="F995" t="s">
        <v>4449</v>
      </c>
      <c r="G995" t="s">
        <v>4450</v>
      </c>
      <c r="H995" t="s">
        <v>4451</v>
      </c>
      <c r="I995" t="s">
        <v>4452</v>
      </c>
      <c r="J995" t="s">
        <v>650</v>
      </c>
    </row>
    <row r="996" spans="1:10">
      <c r="A996" t="s">
        <v>1226</v>
      </c>
      <c r="B996" t="s">
        <v>4447</v>
      </c>
      <c r="C996" t="s">
        <v>1317</v>
      </c>
      <c r="E996" t="s">
        <v>4459</v>
      </c>
      <c r="F996" t="s">
        <v>4449</v>
      </c>
      <c r="G996" t="s">
        <v>4450</v>
      </c>
      <c r="H996" t="s">
        <v>4451</v>
      </c>
      <c r="I996" t="s">
        <v>4452</v>
      </c>
      <c r="J996" t="s">
        <v>650</v>
      </c>
    </row>
    <row r="997" spans="1:10">
      <c r="A997" t="s">
        <v>1220</v>
      </c>
      <c r="B997" t="s">
        <v>4447</v>
      </c>
      <c r="C997" t="s">
        <v>1217</v>
      </c>
      <c r="E997" t="s">
        <v>4460</v>
      </c>
      <c r="F997" t="s">
        <v>4449</v>
      </c>
      <c r="G997" t="s">
        <v>4450</v>
      </c>
      <c r="H997" t="s">
        <v>4451</v>
      </c>
      <c r="I997" t="s">
        <v>4452</v>
      </c>
      <c r="J997" t="s">
        <v>650</v>
      </c>
    </row>
    <row r="998" spans="1:10">
      <c r="A998" t="s">
        <v>1214</v>
      </c>
      <c r="B998" t="s">
        <v>4447</v>
      </c>
      <c r="C998" t="s">
        <v>1211</v>
      </c>
      <c r="E998" t="s">
        <v>4461</v>
      </c>
      <c r="F998" t="s">
        <v>4449</v>
      </c>
      <c r="G998" t="s">
        <v>4450</v>
      </c>
      <c r="H998" t="s">
        <v>4451</v>
      </c>
      <c r="I998" t="s">
        <v>4452</v>
      </c>
      <c r="J998" t="s">
        <v>650</v>
      </c>
    </row>
    <row r="999" spans="1:10">
      <c r="A999" t="s">
        <v>1333</v>
      </c>
      <c r="B999" t="s">
        <v>4447</v>
      </c>
      <c r="C999" t="s">
        <v>4462</v>
      </c>
      <c r="E999" t="s">
        <v>4463</v>
      </c>
      <c r="F999" t="s">
        <v>4449</v>
      </c>
      <c r="G999" t="s">
        <v>4450</v>
      </c>
      <c r="H999" t="s">
        <v>4451</v>
      </c>
      <c r="I999" t="s">
        <v>4452</v>
      </c>
      <c r="J999" t="s">
        <v>650</v>
      </c>
    </row>
    <row r="1000" spans="1:10">
      <c r="A1000" t="s">
        <v>1339</v>
      </c>
      <c r="B1000" t="s">
        <v>4447</v>
      </c>
      <c r="C1000" t="s">
        <v>4464</v>
      </c>
      <c r="E1000" t="s">
        <v>4465</v>
      </c>
      <c r="F1000" t="s">
        <v>4449</v>
      </c>
      <c r="G1000" t="s">
        <v>4450</v>
      </c>
      <c r="H1000" t="s">
        <v>4451</v>
      </c>
      <c r="I1000" t="s">
        <v>4452</v>
      </c>
      <c r="J1000" t="s">
        <v>650</v>
      </c>
    </row>
    <row r="1001" spans="1:10">
      <c r="A1001" t="s">
        <v>1345</v>
      </c>
      <c r="B1001" t="s">
        <v>4447</v>
      </c>
      <c r="C1001" t="s">
        <v>4466</v>
      </c>
      <c r="E1001" t="s">
        <v>4467</v>
      </c>
      <c r="F1001" t="s">
        <v>4449</v>
      </c>
      <c r="G1001" t="s">
        <v>4450</v>
      </c>
      <c r="H1001" t="s">
        <v>4451</v>
      </c>
      <c r="I1001" t="s">
        <v>4452</v>
      </c>
      <c r="J1001" t="s">
        <v>650</v>
      </c>
    </row>
    <row r="1002" spans="1:10">
      <c r="A1002" t="s">
        <v>1350</v>
      </c>
      <c r="B1002" t="s">
        <v>4447</v>
      </c>
      <c r="C1002" t="s">
        <v>4468</v>
      </c>
      <c r="E1002" t="s">
        <v>4469</v>
      </c>
      <c r="F1002" t="s">
        <v>4449</v>
      </c>
      <c r="G1002" t="s">
        <v>4450</v>
      </c>
      <c r="H1002" t="s">
        <v>4451</v>
      </c>
      <c r="I1002" t="s">
        <v>4452</v>
      </c>
      <c r="J1002" t="s">
        <v>650</v>
      </c>
    </row>
    <row r="1003" spans="1:10">
      <c r="A1003" t="s">
        <v>1356</v>
      </c>
      <c r="B1003" t="s">
        <v>4447</v>
      </c>
      <c r="C1003" t="s">
        <v>4470</v>
      </c>
      <c r="E1003" t="s">
        <v>4471</v>
      </c>
      <c r="F1003" t="s">
        <v>4449</v>
      </c>
      <c r="G1003" t="s">
        <v>4450</v>
      </c>
      <c r="H1003" t="s">
        <v>4451</v>
      </c>
      <c r="I1003" t="s">
        <v>4452</v>
      </c>
      <c r="J1003" t="s">
        <v>650</v>
      </c>
    </row>
    <row r="1004" spans="1:10">
      <c r="A1004" t="s">
        <v>1362</v>
      </c>
      <c r="B1004" t="s">
        <v>4447</v>
      </c>
      <c r="C1004" t="s">
        <v>4472</v>
      </c>
      <c r="E1004" t="s">
        <v>4473</v>
      </c>
      <c r="F1004" t="s">
        <v>4449</v>
      </c>
      <c r="G1004" t="s">
        <v>4450</v>
      </c>
      <c r="H1004" t="s">
        <v>4451</v>
      </c>
      <c r="I1004" t="s">
        <v>4452</v>
      </c>
      <c r="J1004" t="s">
        <v>650</v>
      </c>
    </row>
    <row r="1005" spans="1:10">
      <c r="A1005" t="s">
        <v>1445</v>
      </c>
      <c r="B1005" t="s">
        <v>4474</v>
      </c>
      <c r="C1005" t="s">
        <v>1446</v>
      </c>
      <c r="E1005" t="s">
        <v>4475</v>
      </c>
      <c r="F1005" t="s">
        <v>4476</v>
      </c>
      <c r="G1005" t="s">
        <v>4450</v>
      </c>
      <c r="H1005" t="s">
        <v>4477</v>
      </c>
      <c r="I1005" t="s">
        <v>4452</v>
      </c>
      <c r="J1005" t="s">
        <v>650</v>
      </c>
    </row>
    <row r="1006" spans="1:10">
      <c r="A1006" t="s">
        <v>1453</v>
      </c>
      <c r="B1006" t="s">
        <v>4474</v>
      </c>
      <c r="C1006" t="s">
        <v>1454</v>
      </c>
      <c r="E1006" t="s">
        <v>4478</v>
      </c>
      <c r="F1006" t="s">
        <v>4476</v>
      </c>
      <c r="G1006" t="s">
        <v>4450</v>
      </c>
      <c r="H1006" t="s">
        <v>4477</v>
      </c>
      <c r="I1006" t="s">
        <v>4452</v>
      </c>
      <c r="J1006" t="s">
        <v>650</v>
      </c>
    </row>
    <row r="1007" spans="1:10">
      <c r="A1007" t="s">
        <v>1461</v>
      </c>
      <c r="B1007" t="s">
        <v>4474</v>
      </c>
      <c r="C1007" t="s">
        <v>1462</v>
      </c>
      <c r="E1007" t="s">
        <v>4479</v>
      </c>
      <c r="F1007" t="s">
        <v>4476</v>
      </c>
      <c r="G1007" t="s">
        <v>4450</v>
      </c>
      <c r="H1007" t="s">
        <v>4477</v>
      </c>
      <c r="I1007" t="s">
        <v>4452</v>
      </c>
      <c r="J1007" t="s">
        <v>650</v>
      </c>
    </row>
    <row r="1008" spans="1:10">
      <c r="A1008" t="s">
        <v>1468</v>
      </c>
      <c r="B1008" t="s">
        <v>4474</v>
      </c>
      <c r="C1008" t="s">
        <v>1469</v>
      </c>
      <c r="E1008" t="s">
        <v>4480</v>
      </c>
      <c r="F1008" t="s">
        <v>4476</v>
      </c>
      <c r="G1008" t="s">
        <v>4450</v>
      </c>
      <c r="H1008" t="s">
        <v>4477</v>
      </c>
      <c r="I1008" t="s">
        <v>4452</v>
      </c>
      <c r="J1008" t="s">
        <v>650</v>
      </c>
    </row>
    <row r="1009" spans="1:10">
      <c r="A1009" t="s">
        <v>1474</v>
      </c>
      <c r="B1009" t="s">
        <v>4474</v>
      </c>
      <c r="C1009" t="s">
        <v>1475</v>
      </c>
      <c r="E1009" t="s">
        <v>4481</v>
      </c>
      <c r="F1009" t="s">
        <v>4476</v>
      </c>
      <c r="G1009" t="s">
        <v>4450</v>
      </c>
      <c r="H1009" t="s">
        <v>4477</v>
      </c>
      <c r="I1009" t="s">
        <v>4452</v>
      </c>
      <c r="J1009" t="s">
        <v>650</v>
      </c>
    </row>
    <row r="1010" spans="1:10">
      <c r="A1010" t="s">
        <v>1479</v>
      </c>
      <c r="B1010" t="s">
        <v>4474</v>
      </c>
      <c r="C1010" t="s">
        <v>1480</v>
      </c>
      <c r="E1010" t="s">
        <v>4482</v>
      </c>
      <c r="F1010" t="s">
        <v>4476</v>
      </c>
      <c r="G1010" t="s">
        <v>4450</v>
      </c>
      <c r="H1010" t="s">
        <v>4477</v>
      </c>
      <c r="I1010" t="s">
        <v>4452</v>
      </c>
      <c r="J1010" t="s">
        <v>650</v>
      </c>
    </row>
    <row r="1011" spans="1:10">
      <c r="A1011" t="s">
        <v>1484</v>
      </c>
      <c r="B1011" t="s">
        <v>4474</v>
      </c>
      <c r="C1011" t="s">
        <v>1485</v>
      </c>
      <c r="E1011" t="s">
        <v>4483</v>
      </c>
      <c r="F1011" t="s">
        <v>4476</v>
      </c>
      <c r="G1011" t="s">
        <v>4450</v>
      </c>
      <c r="H1011" t="s">
        <v>4477</v>
      </c>
      <c r="I1011" t="s">
        <v>4452</v>
      </c>
      <c r="J1011" t="s">
        <v>650</v>
      </c>
    </row>
    <row r="1012" spans="1:10">
      <c r="A1012" t="s">
        <v>1489</v>
      </c>
      <c r="B1012" t="s">
        <v>4474</v>
      </c>
      <c r="C1012" t="s">
        <v>1490</v>
      </c>
      <c r="E1012" t="s">
        <v>4484</v>
      </c>
      <c r="F1012" t="s">
        <v>4476</v>
      </c>
      <c r="G1012" t="s">
        <v>4450</v>
      </c>
      <c r="H1012" t="s">
        <v>4477</v>
      </c>
      <c r="I1012" t="s">
        <v>4452</v>
      </c>
      <c r="J1012" t="s">
        <v>650</v>
      </c>
    </row>
    <row r="1013" spans="1:10">
      <c r="A1013" t="s">
        <v>1494</v>
      </c>
      <c r="B1013" t="s">
        <v>4474</v>
      </c>
      <c r="C1013" t="s">
        <v>1495</v>
      </c>
      <c r="E1013" t="s">
        <v>4485</v>
      </c>
      <c r="F1013" t="s">
        <v>4476</v>
      </c>
      <c r="G1013" t="s">
        <v>4450</v>
      </c>
      <c r="H1013" t="s">
        <v>4477</v>
      </c>
      <c r="I1013" t="s">
        <v>4452</v>
      </c>
      <c r="J1013" t="s">
        <v>650</v>
      </c>
    </row>
    <row r="1014" spans="1:10">
      <c r="A1014" t="s">
        <v>1496</v>
      </c>
      <c r="B1014" t="s">
        <v>4474</v>
      </c>
      <c r="C1014" t="s">
        <v>1497</v>
      </c>
      <c r="E1014" t="s">
        <v>4486</v>
      </c>
      <c r="F1014" t="s">
        <v>4476</v>
      </c>
      <c r="G1014" t="s">
        <v>4450</v>
      </c>
      <c r="H1014" t="s">
        <v>4477</v>
      </c>
      <c r="I1014" t="s">
        <v>4452</v>
      </c>
      <c r="J1014" t="s">
        <v>650</v>
      </c>
    </row>
    <row r="1015" spans="1:10">
      <c r="A1015" t="s">
        <v>1498</v>
      </c>
      <c r="B1015" t="s">
        <v>4474</v>
      </c>
      <c r="C1015" t="s">
        <v>1499</v>
      </c>
      <c r="E1015" t="s">
        <v>4487</v>
      </c>
      <c r="F1015" t="s">
        <v>4476</v>
      </c>
      <c r="G1015" t="s">
        <v>4450</v>
      </c>
      <c r="H1015" t="s">
        <v>4477</v>
      </c>
      <c r="I1015" t="s">
        <v>4452</v>
      </c>
      <c r="J1015" t="s">
        <v>650</v>
      </c>
    </row>
    <row r="1016" spans="1:10">
      <c r="A1016" t="s">
        <v>1500</v>
      </c>
      <c r="B1016" t="s">
        <v>4474</v>
      </c>
      <c r="C1016" t="s">
        <v>1501</v>
      </c>
      <c r="E1016" t="s">
        <v>4488</v>
      </c>
      <c r="F1016" t="s">
        <v>4476</v>
      </c>
      <c r="G1016" t="s">
        <v>4450</v>
      </c>
      <c r="H1016" t="s">
        <v>4477</v>
      </c>
      <c r="I1016" t="s">
        <v>4452</v>
      </c>
      <c r="J1016" t="s">
        <v>650</v>
      </c>
    </row>
    <row r="1017" spans="1:10">
      <c r="A1017" t="s">
        <v>1502</v>
      </c>
      <c r="B1017" t="s">
        <v>4474</v>
      </c>
      <c r="C1017" t="s">
        <v>1503</v>
      </c>
      <c r="E1017" t="s">
        <v>4489</v>
      </c>
      <c r="F1017" t="s">
        <v>4476</v>
      </c>
      <c r="G1017" t="s">
        <v>4450</v>
      </c>
      <c r="H1017" t="s">
        <v>4477</v>
      </c>
      <c r="I1017" t="s">
        <v>4452</v>
      </c>
      <c r="J1017" t="s">
        <v>650</v>
      </c>
    </row>
    <row r="1018" spans="1:10">
      <c r="A1018" t="s">
        <v>1504</v>
      </c>
      <c r="B1018" t="s">
        <v>4474</v>
      </c>
      <c r="C1018" t="s">
        <v>1505</v>
      </c>
      <c r="E1018" t="s">
        <v>4490</v>
      </c>
      <c r="F1018" t="s">
        <v>4476</v>
      </c>
      <c r="G1018" t="s">
        <v>4450</v>
      </c>
      <c r="H1018" t="s">
        <v>4477</v>
      </c>
      <c r="I1018" t="s">
        <v>4452</v>
      </c>
      <c r="J1018" t="s">
        <v>650</v>
      </c>
    </row>
    <row r="1019" spans="1:10">
      <c r="A1019" t="s">
        <v>1506</v>
      </c>
      <c r="B1019" t="s">
        <v>4474</v>
      </c>
      <c r="C1019" t="s">
        <v>1507</v>
      </c>
      <c r="E1019" t="s">
        <v>4491</v>
      </c>
      <c r="F1019" t="s">
        <v>4476</v>
      </c>
      <c r="G1019" t="s">
        <v>4450</v>
      </c>
      <c r="H1019" t="s">
        <v>4477</v>
      </c>
      <c r="I1019" t="s">
        <v>4452</v>
      </c>
      <c r="J1019" t="s">
        <v>650</v>
      </c>
    </row>
    <row r="1020" spans="1:10">
      <c r="A1020" t="s">
        <v>1511</v>
      </c>
      <c r="B1020" t="s">
        <v>4474</v>
      </c>
      <c r="C1020" t="s">
        <v>1512</v>
      </c>
      <c r="E1020" t="s">
        <v>4492</v>
      </c>
      <c r="F1020" t="s">
        <v>4476</v>
      </c>
      <c r="G1020" t="s">
        <v>4450</v>
      </c>
      <c r="H1020" t="s">
        <v>4477</v>
      </c>
      <c r="I1020" t="s">
        <v>4452</v>
      </c>
      <c r="J1020" t="s">
        <v>650</v>
      </c>
    </row>
    <row r="1021" spans="1:11">
      <c r="A1021" t="s">
        <v>1515</v>
      </c>
      <c r="B1021" t="s">
        <v>4474</v>
      </c>
      <c r="C1021" t="s">
        <v>1516</v>
      </c>
      <c r="E1021" t="s">
        <v>4493</v>
      </c>
      <c r="F1021" t="s">
        <v>4476</v>
      </c>
      <c r="G1021" t="s">
        <v>4450</v>
      </c>
      <c r="H1021" t="s">
        <v>4477</v>
      </c>
      <c r="I1021" t="s">
        <v>4452</v>
      </c>
      <c r="J1021" t="s">
        <v>650</v>
      </c>
    </row>
    <row r="1022" spans="1:11">
      <c r="A1022" t="s">
        <v>1519</v>
      </c>
      <c r="B1022" t="s">
        <v>4474</v>
      </c>
      <c r="C1022" t="s">
        <v>1520</v>
      </c>
      <c r="E1022" t="s">
        <v>4494</v>
      </c>
      <c r="F1022" t="s">
        <v>4476</v>
      </c>
      <c r="G1022" t="s">
        <v>4450</v>
      </c>
      <c r="H1022" t="s">
        <v>4477</v>
      </c>
      <c r="I1022" t="s">
        <v>4452</v>
      </c>
      <c r="J1022" t="s">
        <v>650</v>
      </c>
    </row>
    <row r="1023" spans="1:11">
      <c r="A1023" t="s">
        <v>1523</v>
      </c>
      <c r="B1023" t="s">
        <v>4474</v>
      </c>
      <c r="C1023" t="s">
        <v>1524</v>
      </c>
      <c r="E1023" t="s">
        <v>4495</v>
      </c>
      <c r="F1023" t="s">
        <v>4476</v>
      </c>
      <c r="G1023" t="s">
        <v>4450</v>
      </c>
      <c r="H1023" t="s">
        <v>4477</v>
      </c>
      <c r="I1023" t="s">
        <v>4452</v>
      </c>
      <c r="J1023" t="s">
        <v>650</v>
      </c>
    </row>
    <row r="1024" spans="1:11">
      <c r="A1024" t="s">
        <v>1527</v>
      </c>
      <c r="B1024" t="s">
        <v>4474</v>
      </c>
      <c r="C1024" t="s">
        <v>1528</v>
      </c>
      <c r="E1024" t="s">
        <v>4496</v>
      </c>
      <c r="F1024" t="s">
        <v>4476</v>
      </c>
      <c r="G1024" t="s">
        <v>4450</v>
      </c>
      <c r="H1024" t="s">
        <v>4477</v>
      </c>
      <c r="I1024" t="s">
        <v>4452</v>
      </c>
      <c r="J1024" t="s">
        <v>650</v>
      </c>
    </row>
    <row r="1025" spans="1:11">
      <c r="A1025" t="s">
        <v>1533</v>
      </c>
      <c r="B1025" t="s">
        <v>4474</v>
      </c>
      <c r="C1025" t="s">
        <v>1534</v>
      </c>
      <c r="E1025" t="s">
        <v>4497</v>
      </c>
      <c r="F1025" t="s">
        <v>4476</v>
      </c>
      <c r="G1025" t="s">
        <v>4450</v>
      </c>
      <c r="H1025" t="s">
        <v>4477</v>
      </c>
      <c r="I1025" t="s">
        <v>4452</v>
      </c>
      <c r="J1025" t="s">
        <v>650</v>
      </c>
    </row>
    <row r="1026" spans="1:11">
      <c r="A1026" t="s">
        <v>1538</v>
      </c>
      <c r="B1026" t="s">
        <v>4474</v>
      </c>
      <c r="C1026" t="s">
        <v>1539</v>
      </c>
      <c r="E1026" t="s">
        <v>4498</v>
      </c>
      <c r="F1026" t="s">
        <v>4476</v>
      </c>
      <c r="G1026" t="s">
        <v>4450</v>
      </c>
      <c r="H1026" t="s">
        <v>4477</v>
      </c>
      <c r="I1026" t="s">
        <v>4452</v>
      </c>
      <c r="J1026" t="s">
        <v>650</v>
      </c>
    </row>
    <row r="1027" spans="1:11">
      <c r="A1027" t="s">
        <v>1543</v>
      </c>
      <c r="B1027" t="s">
        <v>4474</v>
      </c>
      <c r="C1027" t="s">
        <v>1544</v>
      </c>
      <c r="E1027" t="s">
        <v>4499</v>
      </c>
      <c r="F1027" t="s">
        <v>4476</v>
      </c>
      <c r="G1027" t="s">
        <v>4450</v>
      </c>
      <c r="H1027" t="s">
        <v>4477</v>
      </c>
      <c r="I1027" t="s">
        <v>4452</v>
      </c>
      <c r="J1027" t="s">
        <v>650</v>
      </c>
    </row>
    <row r="1028" spans="1:11">
      <c r="A1028" t="s">
        <v>1548</v>
      </c>
      <c r="B1028" t="s">
        <v>4474</v>
      </c>
      <c r="C1028" t="s">
        <v>1549</v>
      </c>
      <c r="E1028" t="s">
        <v>4500</v>
      </c>
      <c r="F1028" t="s">
        <v>4476</v>
      </c>
      <c r="G1028" t="s">
        <v>4450</v>
      </c>
      <c r="H1028" t="s">
        <v>4477</v>
      </c>
      <c r="I1028" t="s">
        <v>4452</v>
      </c>
      <c r="J1028" t="s">
        <v>650</v>
      </c>
    </row>
    <row r="1029" spans="1:11">
      <c r="A1029" t="s">
        <v>1553</v>
      </c>
      <c r="B1029" t="s">
        <v>4474</v>
      </c>
      <c r="C1029" t="s">
        <v>1554</v>
      </c>
      <c r="E1029" t="s">
        <v>4501</v>
      </c>
      <c r="F1029" t="s">
        <v>4476</v>
      </c>
      <c r="G1029" t="s">
        <v>4450</v>
      </c>
      <c r="H1029" t="s">
        <v>4477</v>
      </c>
      <c r="I1029" t="s">
        <v>4452</v>
      </c>
      <c r="J1029" t="s">
        <v>650</v>
      </c>
    </row>
    <row r="1030" spans="1:11">
      <c r="A1030" t="s">
        <v>1558</v>
      </c>
      <c r="B1030" t="s">
        <v>4474</v>
      </c>
      <c r="C1030" t="s">
        <v>1559</v>
      </c>
      <c r="E1030" t="s">
        <v>4502</v>
      </c>
      <c r="F1030" t="s">
        <v>4476</v>
      </c>
      <c r="G1030" t="s">
        <v>4450</v>
      </c>
      <c r="H1030" t="s">
        <v>4477</v>
      </c>
      <c r="I1030" t="s">
        <v>4452</v>
      </c>
      <c r="J1030" t="s">
        <v>650</v>
      </c>
    </row>
    <row r="1031" spans="1:11">
      <c r="A1031" t="s">
        <v>1564</v>
      </c>
      <c r="B1031" t="s">
        <v>4474</v>
      </c>
      <c r="C1031" t="s">
        <v>1565</v>
      </c>
      <c r="E1031" t="s">
        <v>4503</v>
      </c>
      <c r="F1031" t="s">
        <v>4476</v>
      </c>
      <c r="G1031" t="s">
        <v>4450</v>
      </c>
      <c r="H1031" t="s">
        <v>4477</v>
      </c>
      <c r="I1031" t="s">
        <v>4452</v>
      </c>
      <c r="J1031" t="s">
        <v>650</v>
      </c>
    </row>
    <row r="1032" spans="1:11">
      <c r="A1032" t="s">
        <v>1566</v>
      </c>
      <c r="B1032" t="s">
        <v>4474</v>
      </c>
      <c r="C1032" t="s">
        <v>1567</v>
      </c>
      <c r="E1032" t="s">
        <v>4504</v>
      </c>
      <c r="F1032" t="s">
        <v>4476</v>
      </c>
      <c r="G1032" t="s">
        <v>4450</v>
      </c>
      <c r="H1032" t="s">
        <v>4477</v>
      </c>
      <c r="I1032" t="s">
        <v>4452</v>
      </c>
      <c r="J1032" t="s">
        <v>650</v>
      </c>
    </row>
    <row r="1033" spans="1:11">
      <c r="A1033" t="s">
        <v>1568</v>
      </c>
      <c r="B1033" t="s">
        <v>4474</v>
      </c>
      <c r="C1033" t="s">
        <v>1569</v>
      </c>
      <c r="E1033" t="s">
        <v>4505</v>
      </c>
      <c r="F1033" t="s">
        <v>4476</v>
      </c>
      <c r="G1033" t="s">
        <v>4450</v>
      </c>
      <c r="H1033" t="s">
        <v>4477</v>
      </c>
      <c r="I1033" t="s">
        <v>4452</v>
      </c>
      <c r="J1033" t="s">
        <v>650</v>
      </c>
    </row>
    <row r="1034" spans="1:11">
      <c r="A1034" t="s">
        <v>511</v>
      </c>
      <c r="B1034" t="s">
        <v>5093</v>
      </c>
      <c r="C1034" t="inlineStr">
        <is>
          <t xml:space="preserve">Kenshin Sako (Neon Ambition outfit)</t>
        </is>
      </c>
      <c r="D1034" t="s">
        <v>3471</v>
      </c>
      <c r="E1034" t="s">
        <v>5095</v>
      </c>
      <c r="F1034" t="s">
        <v>5096</v>
      </c>
      <c r="G1034" t="s">
        <v>3474</v>
      </c>
      <c r="H1034" t="s">
        <v>5097</v>
      </c>
      <c r="I1034" t="s">
        <v>3476</v>
      </c>
      <c r="J1034" t="s">
        <v>671</v>
      </c>
      <c r="K1034" t="s">
        <v>5098</v>
      </c>
    </row>
    <row r="1035" spans="1:11">
      <c r="A1035" t="s">
        <v>511</v>
      </c>
      <c r="B1035" t="s">
        <v>5093</v>
      </c>
      <c r="C1035" t="inlineStr">
        <is>
          <t xml:space="preserve">Kenshin Sako (Neon Ambition outfit)</t>
        </is>
      </c>
      <c r="D1035" t="s">
        <v>3477</v>
      </c>
      <c r="E1035" t="s">
        <v>5099</v>
      </c>
      <c r="F1035" t="s">
        <v>5096</v>
      </c>
      <c r="G1035" t="s">
        <v>3474</v>
      </c>
      <c r="H1035" t="s">
        <v>5097</v>
      </c>
      <c r="I1035" t="s">
        <v>3476</v>
      </c>
      <c r="J1035" t="s">
        <v>671</v>
      </c>
    </row>
    <row r="1036" spans="1:11">
      <c r="A1036" t="s">
        <v>511</v>
      </c>
      <c r="B1036" t="s">
        <v>5093</v>
      </c>
      <c r="C1036" t="inlineStr">
        <is>
          <t xml:space="preserve">Kenshin Sako (Neon Ambition outfit)</t>
        </is>
      </c>
      <c r="D1036" t="s">
        <v>3479</v>
      </c>
      <c r="E1036" t="s">
        <v>5100</v>
      </c>
      <c r="F1036" t="s">
        <v>5096</v>
      </c>
      <c r="G1036" t="s">
        <v>3474</v>
      </c>
      <c r="H1036" t="s">
        <v>5097</v>
      </c>
      <c r="I1036" t="s">
        <v>3476</v>
      </c>
      <c r="J1036" t="s">
        <v>671</v>
      </c>
    </row>
    <row r="1037" spans="1:11">
      <c r="A1037" t="s">
        <v>511</v>
      </c>
      <c r="B1037" t="s">
        <v>5093</v>
      </c>
      <c r="C1037" t="inlineStr">
        <is>
          <t xml:space="preserve">Kenshin Sako (Neon Ambition outfit)</t>
        </is>
      </c>
      <c r="D1037" t="s">
        <v>3481</v>
      </c>
      <c r="E1037" t="s">
        <v>5101</v>
      </c>
      <c r="F1037" t="s">
        <v>5096</v>
      </c>
      <c r="G1037" t="s">
        <v>3474</v>
      </c>
      <c r="H1037" t="s">
        <v>5097</v>
      </c>
      <c r="I1037" t="s">
        <v>3476</v>
      </c>
      <c r="J1037" t="s">
        <v>671</v>
      </c>
    </row>
    <row r="1038" spans="1:11">
      <c r="A1038" t="s">
        <v>511</v>
      </c>
      <c r="B1038" t="s">
        <v>5093</v>
      </c>
      <c r="C1038" t="inlineStr">
        <is>
          <t xml:space="preserve">Kenshin Sako (Neon Ambition outfit)</t>
        </is>
      </c>
      <c r="D1038" t="s">
        <v>3483</v>
      </c>
      <c r="E1038" t="s">
        <v>5102</v>
      </c>
      <c r="F1038" t="s">
        <v>5096</v>
      </c>
      <c r="G1038" t="s">
        <v>3474</v>
      </c>
      <c r="H1038" t="s">
        <v>5097</v>
      </c>
      <c r="I1038" t="s">
        <v>3476</v>
      </c>
      <c r="J1038" t="s">
        <v>650</v>
      </c>
    </row>
    <row r="1039" spans="1:11">
      <c r="A1039" t="s">
        <v>511</v>
      </c>
      <c r="B1039" t="s">
        <v>5093</v>
      </c>
      <c r="C1039" t="inlineStr">
        <is>
          <t xml:space="preserve">Kenshin Sako (Neon Ambition outfit)</t>
        </is>
      </c>
      <c r="D1039" t="s">
        <v>3485</v>
      </c>
      <c r="E1039" t="s">
        <v>5103</v>
      </c>
      <c r="F1039" t="s">
        <v>5096</v>
      </c>
      <c r="G1039" t="s">
        <v>3474</v>
      </c>
      <c r="H1039" t="s">
        <v>5097</v>
      </c>
      <c r="I1039" t="s">
        <v>3476</v>
      </c>
      <c r="J1039" t="s">
        <v>650</v>
      </c>
    </row>
    <row r="1040" spans="1:11">
      <c r="A1040" t="s">
        <v>4414</v>
      </c>
      <c r="B1040" t="s">
        <v>5104</v>
      </c>
      <c r="C1040" t="s">
        <v>5105</v>
      </c>
      <c r="E1040" t="s">
        <v>5106</v>
      </c>
      <c r="F1040" t="s">
        <v>5107</v>
      </c>
      <c r="G1040" t="s">
        <v>4418</v>
      </c>
      <c r="H1040" t="s">
        <v>5108</v>
      </c>
      <c r="I1040" t="s">
        <v>4420</v>
      </c>
      <c r="J1040" t="s">
        <v>671</v>
      </c>
    </row>
    <row r="1041" spans="1:11">
      <c r="A1041" t="s">
        <v>745</v>
      </c>
      <c r="B1041" t="s">
        <v>4415</v>
      </c>
      <c r="C1041" t="s">
        <v>746</v>
      </c>
      <c r="E1041" t="s">
        <v>5109</v>
      </c>
      <c r="F1041" t="s">
        <v>4417</v>
      </c>
      <c r="G1041" t="s">
        <v>4418</v>
      </c>
      <c r="H1041" t="s">
        <v>4419</v>
      </c>
      <c r="I1041" t="s">
        <v>4420</v>
      </c>
      <c r="J1041" t="s">
        <v>671</v>
      </c>
    </row>
    <row r="1042" spans="1:11">
      <c r="A1042" t="s">
        <v>750</v>
      </c>
      <c r="B1042" t="s">
        <v>4415</v>
      </c>
      <c r="C1042" t="s">
        <v>751</v>
      </c>
      <c r="E1042" t="s">
        <v>5110</v>
      </c>
      <c r="F1042" t="s">
        <v>4417</v>
      </c>
      <c r="G1042" t="s">
        <v>4418</v>
      </c>
      <c r="H1042" t="s">
        <v>4419</v>
      </c>
      <c r="I1042" t="s">
        <v>4420</v>
      </c>
      <c r="J1042" t="s">
        <v>671</v>
      </c>
    </row>
    <row r="1043" spans="1:11">
      <c r="A1043" t="s">
        <v>5111</v>
      </c>
      <c r="B1043" t="s">
        <v>5112</v>
      </c>
      <c r="C1043" t="s">
        <v>5113</v>
      </c>
      <c r="D1043" t="s">
        <v>5114</v>
      </c>
      <c r="E1043" t="s">
        <v>5115</v>
      </c>
      <c r="F1043" t="s">
        <v>5116</v>
      </c>
      <c r="G1043" t="s">
        <v>5117</v>
      </c>
      <c r="H1043" t="s">
        <v>5118</v>
      </c>
      <c r="I1043" t="s">
        <v>3476</v>
      </c>
      <c r="J1043" t="s">
        <v>749</v>
      </c>
      <c r="K1043" t="s">
        <v>5119</v>
      </c>
    </row>
    <row r="1044" spans="1:11">
      <c r="A1044" t="s">
        <v>5111</v>
      </c>
      <c r="B1044" t="s">
        <v>5112</v>
      </c>
      <c r="C1044" t="s">
        <v>5120</v>
      </c>
      <c r="D1044" t="s">
        <v>5114</v>
      </c>
      <c r="E1044" t="s">
        <v>5121</v>
      </c>
      <c r="F1044" t="s">
        <v>5122</v>
      </c>
      <c r="G1044" t="s">
        <v>5123</v>
      </c>
      <c r="H1044" t="s">
        <v>5124</v>
      </c>
      <c r="I1044" t="s">
        <v>3476</v>
      </c>
      <c r="J1044" t="s">
        <v>749</v>
      </c>
      <c r="K1044" t="s">
        <v>5125</v>
      </c>
    </row>
    <row r="1045" spans="1:11">
      <c r="A1045" t="s">
        <v>5111</v>
      </c>
      <c r="B1045" t="s">
        <v>5112</v>
      </c>
      <c r="C1045" t="s">
        <v>5126</v>
      </c>
      <c r="E1045" t="s">
        <v>5127</v>
      </c>
      <c r="F1045" t="s">
        <v>5107</v>
      </c>
      <c r="G1045" t="s">
        <v>4418</v>
      </c>
      <c r="H1045" t="s">
        <v>5128</v>
      </c>
      <c r="I1045" t="s">
        <v>4420</v>
      </c>
      <c r="J1045" t="s">
        <v>749</v>
      </c>
      <c r="K1045" t="s">
        <v>5129</v>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4843</v>
      </c>
      <c r="B1" s="120" t="s">
        <v>4506</v>
      </c>
      <c r="C1" s="120" t="s">
        <v>4523</v>
      </c>
      <c r="D1" s="120" t="s">
        <v>4524</v>
      </c>
      <c r="E1" s="120" t="s">
        <v>4525</v>
      </c>
      <c r="F1" s="120" t="s">
        <v>4526</v>
      </c>
      <c r="G1" s="120" t="s">
        <v>4527</v>
      </c>
      <c r="H1" s="123" t="s">
        <v>4588</v>
      </c>
    </row>
    <row r="2" spans="1:8">
      <c r="A2" s="121" t="s">
        <v>4781</v>
      </c>
      <c r="B2" s="121" t="s">
        <v>4512</v>
      </c>
      <c r="C2" s="121">
        <v>7</v>
      </c>
      <c r="D2" s="121">
        <v>4</v>
      </c>
      <c r="E2" s="121">
        <v>8</v>
      </c>
      <c r="F2" s="121" t="s">
        <v>4589</v>
      </c>
      <c r="G2" s="121" t="s">
        <v>4590</v>
      </c>
      <c r="H2" s="124" t="s">
        <v>1704</v>
      </c>
    </row>
    <row r="3" spans="1:8">
      <c r="A3" s="121" t="s">
        <v>4781</v>
      </c>
      <c r="B3" s="121" t="s">
        <v>4513</v>
      </c>
      <c r="C3" s="121">
        <v>13</v>
      </c>
      <c r="D3" s="121">
        <v>1</v>
      </c>
      <c r="E3" s="121">
        <v>0</v>
      </c>
      <c r="F3" s="121" t="s">
        <v>4591</v>
      </c>
      <c r="G3" s="121" t="s">
        <v>4592</v>
      </c>
      <c r="H3" s="124" t="s">
        <v>1684</v>
      </c>
    </row>
    <row r="4" spans="1:8">
      <c r="A4" s="121" t="s">
        <v>4781</v>
      </c>
      <c r="B4" s="121" t="s">
        <v>4514</v>
      </c>
      <c r="C4" s="121">
        <v>10</v>
      </c>
      <c r="D4" s="121">
        <v>17</v>
      </c>
      <c r="E4" s="121">
        <v>0</v>
      </c>
      <c r="F4" s="121" t="s">
        <v>4593</v>
      </c>
      <c r="G4" s="121" t="s">
        <v>4594</v>
      </c>
      <c r="H4" s="124" t="s">
        <v>513</v>
      </c>
    </row>
    <row r="5" spans="1:8">
      <c r="A5" s="121" t="s">
        <v>4781</v>
      </c>
      <c r="B5" s="121" t="s">
        <v>4515</v>
      </c>
      <c r="C5" s="121">
        <v>2</v>
      </c>
      <c r="D5" s="121">
        <v>3</v>
      </c>
      <c r="E5" s="121">
        <v>0</v>
      </c>
      <c r="F5" s="121" t="s">
        <v>4593</v>
      </c>
      <c r="G5" s="121" t="s">
        <v>4595</v>
      </c>
      <c r="H5" s="124" t="s">
        <v>1673</v>
      </c>
    </row>
    <row r="6" spans="1:8">
      <c r="A6" s="121" t="s">
        <v>4781</v>
      </c>
      <c r="B6" s="121" t="s">
        <v>4516</v>
      </c>
      <c r="C6" s="121">
        <v>9</v>
      </c>
      <c r="D6" s="121">
        <v>16</v>
      </c>
      <c r="E6" s="121">
        <v>0</v>
      </c>
      <c r="F6" s="121" t="s">
        <v>4593</v>
      </c>
      <c r="G6" s="121" t="s">
        <v>4596</v>
      </c>
      <c r="H6" s="124" t="s">
        <v>531</v>
      </c>
    </row>
    <row r="7" spans="1:8">
      <c r="A7" s="121" t="s">
        <v>4781</v>
      </c>
      <c r="B7" s="121" t="s">
        <v>4517</v>
      </c>
      <c r="C7" s="121">
        <v>4</v>
      </c>
      <c r="D7" s="121">
        <v>7</v>
      </c>
      <c r="E7" s="121">
        <v>0</v>
      </c>
      <c r="F7" s="121" t="s">
        <v>4593</v>
      </c>
      <c r="G7" s="121" t="s">
        <v>4597</v>
      </c>
      <c r="H7" s="124" t="s">
        <v>540</v>
      </c>
    </row>
    <row r="8" spans="1:8">
      <c r="A8" s="121" t="s">
        <v>4782</v>
      </c>
      <c r="B8" s="121" t="s">
        <v>4512</v>
      </c>
      <c r="C8" s="121">
        <v>18</v>
      </c>
      <c r="D8" s="121">
        <v>1</v>
      </c>
      <c r="E8" s="121">
        <v>0</v>
      </c>
      <c r="F8" s="121" t="s">
        <v>4591</v>
      </c>
      <c r="G8" s="121" t="s">
        <v>4598</v>
      </c>
      <c r="H8" s="124" t="s">
        <v>1704</v>
      </c>
    </row>
    <row r="9" spans="1:8">
      <c r="A9" s="121" t="s">
        <v>4782</v>
      </c>
      <c r="B9" s="121" t="s">
        <v>4513</v>
      </c>
      <c r="C9" s="121">
        <v>13</v>
      </c>
      <c r="D9" s="121">
        <v>1</v>
      </c>
      <c r="E9" s="121">
        <v>0</v>
      </c>
      <c r="F9" s="121" t="s">
        <v>4591</v>
      </c>
      <c r="G9" s="121" t="s">
        <v>4599</v>
      </c>
      <c r="H9" s="124" t="s">
        <v>1684</v>
      </c>
    </row>
    <row r="10" spans="1:8">
      <c r="A10" s="121" t="s">
        <v>4782</v>
      </c>
      <c r="B10" s="121" t="s">
        <v>4514</v>
      </c>
      <c r="C10" s="121">
        <v>25</v>
      </c>
      <c r="D10" s="121">
        <v>2</v>
      </c>
      <c r="E10" s="121">
        <v>0</v>
      </c>
      <c r="F10" s="121" t="s">
        <v>4591</v>
      </c>
      <c r="G10" s="121" t="s">
        <v>4600</v>
      </c>
      <c r="H10" s="124" t="s">
        <v>513</v>
      </c>
    </row>
    <row r="11" spans="1:8">
      <c r="A11" s="121" t="s">
        <v>4782</v>
      </c>
      <c r="B11" s="121" t="s">
        <v>4515</v>
      </c>
      <c r="C11" s="121">
        <v>2</v>
      </c>
      <c r="D11" s="121">
        <v>1</v>
      </c>
      <c r="E11" s="121">
        <v>2</v>
      </c>
      <c r="F11" s="121" t="s">
        <v>4589</v>
      </c>
      <c r="G11" s="121" t="s">
        <v>4601</v>
      </c>
      <c r="H11" s="124" t="s">
        <v>1673</v>
      </c>
    </row>
    <row r="12" spans="1:8">
      <c r="A12" s="121" t="s">
        <v>4782</v>
      </c>
      <c r="B12" s="121" t="s">
        <v>4516</v>
      </c>
      <c r="C12" s="121">
        <v>9</v>
      </c>
      <c r="D12" s="121">
        <v>16</v>
      </c>
      <c r="E12" s="121">
        <v>0</v>
      </c>
      <c r="F12" s="121" t="s">
        <v>4593</v>
      </c>
      <c r="G12" s="121" t="s">
        <v>4602</v>
      </c>
      <c r="H12" s="124" t="s">
        <v>531</v>
      </c>
    </row>
    <row r="13" spans="1:8">
      <c r="A13" s="121" t="s">
        <v>4782</v>
      </c>
      <c r="B13" s="121" t="s">
        <v>4517</v>
      </c>
      <c r="C13" s="121">
        <v>9</v>
      </c>
      <c r="D13" s="121">
        <v>2</v>
      </c>
      <c r="E13" s="121">
        <v>0</v>
      </c>
      <c r="F13" s="121" t="s">
        <v>4591</v>
      </c>
      <c r="G13" s="121" t="s">
        <v>4603</v>
      </c>
      <c r="H13" s="124" t="s">
        <v>540</v>
      </c>
    </row>
    <row r="14" spans="1:8">
      <c r="A14" s="121" t="s">
        <v>4783</v>
      </c>
      <c r="B14" s="121" t="s">
        <v>4512</v>
      </c>
      <c r="C14" s="121">
        <v>4</v>
      </c>
      <c r="D14" s="121">
        <v>15</v>
      </c>
      <c r="E14" s="121">
        <v>0</v>
      </c>
      <c r="F14" s="121" t="s">
        <v>4593</v>
      </c>
      <c r="G14" s="121" t="s">
        <v>4604</v>
      </c>
      <c r="H14" s="124" t="s">
        <v>1704</v>
      </c>
    </row>
    <row r="15" spans="1:8">
      <c r="A15" s="121" t="s">
        <v>4783</v>
      </c>
      <c r="B15" s="121" t="s">
        <v>4513</v>
      </c>
      <c r="C15" s="121">
        <v>5</v>
      </c>
      <c r="D15" s="121">
        <v>9</v>
      </c>
      <c r="E15" s="121">
        <v>0</v>
      </c>
      <c r="F15" s="121" t="s">
        <v>4593</v>
      </c>
      <c r="G15" s="121" t="s">
        <v>4605</v>
      </c>
      <c r="H15" s="124" t="s">
        <v>1684</v>
      </c>
    </row>
    <row r="16" spans="1:8">
      <c r="A16" s="121" t="s">
        <v>4783</v>
      </c>
      <c r="B16" s="121" t="s">
        <v>4514</v>
      </c>
      <c r="C16" s="121">
        <v>11</v>
      </c>
      <c r="D16" s="121">
        <v>7</v>
      </c>
      <c r="E16" s="121">
        <v>9</v>
      </c>
      <c r="F16" s="121" t="s">
        <v>4589</v>
      </c>
      <c r="G16" s="121" t="s">
        <v>4606</v>
      </c>
      <c r="H16" s="124" t="s">
        <v>513</v>
      </c>
    </row>
    <row r="17" spans="1:8">
      <c r="A17" s="121" t="s">
        <v>4783</v>
      </c>
      <c r="B17" s="121" t="s">
        <v>4515</v>
      </c>
      <c r="C17" s="121">
        <v>1</v>
      </c>
      <c r="D17" s="121">
        <v>2</v>
      </c>
      <c r="E17" s="121">
        <v>2</v>
      </c>
      <c r="F17" s="121" t="s">
        <v>4589</v>
      </c>
      <c r="G17" s="121" t="s">
        <v>4607</v>
      </c>
      <c r="H17" s="124" t="s">
        <v>1673</v>
      </c>
    </row>
    <row r="18" spans="1:8">
      <c r="A18" s="121" t="s">
        <v>4783</v>
      </c>
      <c r="B18" s="121" t="s">
        <v>4516</v>
      </c>
      <c r="C18" s="121">
        <v>23</v>
      </c>
      <c r="D18" s="121">
        <v>2</v>
      </c>
      <c r="E18" s="121">
        <v>0</v>
      </c>
      <c r="F18" s="121" t="s">
        <v>4591</v>
      </c>
      <c r="G18" s="121" t="s">
        <v>4608</v>
      </c>
      <c r="H18" s="124" t="s">
        <v>531</v>
      </c>
    </row>
    <row r="19" spans="1:8">
      <c r="A19" s="121" t="s">
        <v>4783</v>
      </c>
      <c r="B19" s="121" t="s">
        <v>4517</v>
      </c>
      <c r="C19" s="121">
        <v>9</v>
      </c>
      <c r="D19" s="121">
        <v>2</v>
      </c>
      <c r="E19" s="121">
        <v>0</v>
      </c>
      <c r="F19" s="121" t="s">
        <v>4591</v>
      </c>
      <c r="G19" s="121" t="s">
        <v>4609</v>
      </c>
      <c r="H19" s="124" t="s">
        <v>540</v>
      </c>
    </row>
    <row r="20" spans="1:8">
      <c r="A20" s="121" t="s">
        <v>4784</v>
      </c>
      <c r="B20" s="121" t="s">
        <v>4512</v>
      </c>
      <c r="C20" s="121">
        <v>12</v>
      </c>
      <c r="D20" s="121">
        <v>7</v>
      </c>
      <c r="E20" s="121">
        <v>0</v>
      </c>
      <c r="F20" s="121" t="s">
        <v>4591</v>
      </c>
      <c r="G20" s="121" t="s">
        <v>4610</v>
      </c>
      <c r="H20" s="124" t="s">
        <v>1704</v>
      </c>
    </row>
    <row r="21" spans="1:8">
      <c r="A21" s="121" t="s">
        <v>4784</v>
      </c>
      <c r="B21" s="121" t="s">
        <v>4513</v>
      </c>
      <c r="C21" s="121">
        <v>11</v>
      </c>
      <c r="D21" s="121">
        <v>3</v>
      </c>
      <c r="E21" s="121">
        <v>0</v>
      </c>
      <c r="F21" s="121" t="s">
        <v>4591</v>
      </c>
      <c r="G21" s="121" t="s">
        <v>4611</v>
      </c>
      <c r="H21" s="124" t="s">
        <v>1684</v>
      </c>
    </row>
    <row r="22" spans="1:8">
      <c r="A22" s="121" t="s">
        <v>4784</v>
      </c>
      <c r="B22" s="121" t="s">
        <v>4514</v>
      </c>
      <c r="C22" s="121">
        <v>25</v>
      </c>
      <c r="D22" s="121">
        <v>2</v>
      </c>
      <c r="E22" s="121">
        <v>0</v>
      </c>
      <c r="F22" s="121" t="s">
        <v>4591</v>
      </c>
      <c r="G22" s="121" t="s">
        <v>4612</v>
      </c>
      <c r="H22" s="124" t="s">
        <v>513</v>
      </c>
    </row>
    <row r="23" spans="1:8">
      <c r="A23" s="121" t="s">
        <v>4784</v>
      </c>
      <c r="B23" s="121" t="s">
        <v>4515</v>
      </c>
      <c r="C23" s="121">
        <v>4</v>
      </c>
      <c r="D23" s="121">
        <v>1</v>
      </c>
      <c r="E23" s="121">
        <v>0</v>
      </c>
      <c r="F23" s="121" t="s">
        <v>4591</v>
      </c>
      <c r="G23" s="121" t="s">
        <v>4613</v>
      </c>
      <c r="H23" s="124" t="s">
        <v>1673</v>
      </c>
    </row>
    <row r="24" spans="1:8">
      <c r="A24" s="121" t="s">
        <v>4784</v>
      </c>
      <c r="B24" s="121" t="s">
        <v>4516</v>
      </c>
      <c r="C24" s="121">
        <v>20</v>
      </c>
      <c r="D24" s="121">
        <v>5</v>
      </c>
      <c r="E24" s="121">
        <v>0</v>
      </c>
      <c r="F24" s="121" t="s">
        <v>4591</v>
      </c>
      <c r="G24" s="121" t="s">
        <v>4614</v>
      </c>
      <c r="H24" s="124" t="s">
        <v>531</v>
      </c>
    </row>
    <row r="25" spans="1:8">
      <c r="A25" s="121" t="s">
        <v>4784</v>
      </c>
      <c r="B25" s="121" t="s">
        <v>4517</v>
      </c>
      <c r="C25" s="121">
        <v>10</v>
      </c>
      <c r="D25" s="121">
        <v>1</v>
      </c>
      <c r="E25" s="121">
        <v>0</v>
      </c>
      <c r="F25" s="121" t="s">
        <v>4591</v>
      </c>
      <c r="G25" s="121" t="s">
        <v>4615</v>
      </c>
      <c r="H25" s="124" t="s">
        <v>540</v>
      </c>
    </row>
    <row r="26" spans="1:8">
      <c r="A26" s="121" t="s">
        <v>4785</v>
      </c>
      <c r="B26" s="121" t="s">
        <v>4512</v>
      </c>
      <c r="C26" s="121">
        <v>7</v>
      </c>
      <c r="D26" s="121">
        <v>11</v>
      </c>
      <c r="E26" s="121">
        <v>1</v>
      </c>
      <c r="F26" s="121" t="s">
        <v>4593</v>
      </c>
      <c r="G26" s="121" t="s">
        <v>4616</v>
      </c>
      <c r="H26" s="124" t="s">
        <v>1704</v>
      </c>
    </row>
    <row r="27" spans="1:8">
      <c r="A27" s="121" t="s">
        <v>4785</v>
      </c>
      <c r="B27" s="121" t="s">
        <v>4513</v>
      </c>
      <c r="C27" s="121">
        <v>7</v>
      </c>
      <c r="D27" s="121">
        <v>7</v>
      </c>
      <c r="E27" s="121">
        <v>0</v>
      </c>
      <c r="F27" s="121" t="s">
        <v>4593</v>
      </c>
      <c r="G27" s="121" t="s">
        <v>4617</v>
      </c>
      <c r="H27" s="124" t="s">
        <v>1684</v>
      </c>
    </row>
    <row r="28" spans="1:8">
      <c r="A28" s="121" t="s">
        <v>4785</v>
      </c>
      <c r="B28" s="121" t="s">
        <v>4514</v>
      </c>
      <c r="C28" s="121">
        <v>17</v>
      </c>
      <c r="D28" s="121">
        <v>10</v>
      </c>
      <c r="E28" s="121">
        <v>0</v>
      </c>
      <c r="F28" s="121" t="s">
        <v>4591</v>
      </c>
      <c r="G28" s="121" t="s">
        <v>4618</v>
      </c>
      <c r="H28" s="124" t="s">
        <v>513</v>
      </c>
    </row>
    <row r="29" spans="1:8">
      <c r="A29" s="121" t="s">
        <v>4785</v>
      </c>
      <c r="B29" s="121" t="s">
        <v>4515</v>
      </c>
      <c r="C29" s="121">
        <v>4</v>
      </c>
      <c r="D29" s="121">
        <v>1</v>
      </c>
      <c r="E29" s="121">
        <v>0</v>
      </c>
      <c r="F29" s="121" t="s">
        <v>4591</v>
      </c>
      <c r="G29" s="121" t="s">
        <v>4619</v>
      </c>
      <c r="H29" s="124" t="s">
        <v>1673</v>
      </c>
    </row>
    <row r="30" spans="1:8">
      <c r="A30" s="121" t="s">
        <v>4785</v>
      </c>
      <c r="B30" s="121" t="s">
        <v>4516</v>
      </c>
      <c r="C30" s="121">
        <v>10</v>
      </c>
      <c r="D30" s="121">
        <v>6</v>
      </c>
      <c r="E30" s="121">
        <v>9</v>
      </c>
      <c r="F30" s="121" t="s">
        <v>4589</v>
      </c>
      <c r="G30" s="121" t="s">
        <v>4620</v>
      </c>
      <c r="H30" s="124" t="s">
        <v>531</v>
      </c>
    </row>
    <row r="31" spans="1:8">
      <c r="A31" s="121" t="s">
        <v>4785</v>
      </c>
      <c r="B31" s="121" t="s">
        <v>4517</v>
      </c>
      <c r="C31" s="121">
        <v>7</v>
      </c>
      <c r="D31" s="121">
        <v>4</v>
      </c>
      <c r="E31" s="121">
        <v>0</v>
      </c>
      <c r="F31" s="121" t="s">
        <v>4591</v>
      </c>
      <c r="G31" s="121" t="s">
        <v>4621</v>
      </c>
      <c r="H31" s="124" t="s">
        <v>540</v>
      </c>
    </row>
    <row r="32" spans="1:8">
      <c r="A32" s="121" t="s">
        <v>4786</v>
      </c>
      <c r="B32" s="121" t="s">
        <v>4512</v>
      </c>
      <c r="C32" s="121">
        <v>4</v>
      </c>
      <c r="D32" s="121">
        <v>7</v>
      </c>
      <c r="E32" s="121">
        <v>8</v>
      </c>
      <c r="F32" s="121" t="s">
        <v>4589</v>
      </c>
      <c r="G32" s="121" t="s">
        <v>4622</v>
      </c>
      <c r="H32" s="124" t="s">
        <v>1704</v>
      </c>
    </row>
    <row r="33" spans="1:8">
      <c r="A33" s="121" t="s">
        <v>4786</v>
      </c>
      <c r="B33" s="121" t="s">
        <v>4513</v>
      </c>
      <c r="C33" s="121">
        <v>5</v>
      </c>
      <c r="D33" s="121">
        <v>9</v>
      </c>
      <c r="E33" s="121">
        <v>0</v>
      </c>
      <c r="F33" s="121" t="s">
        <v>4593</v>
      </c>
      <c r="G33" s="121" t="s">
        <v>4623</v>
      </c>
      <c r="H33" s="124" t="s">
        <v>1684</v>
      </c>
    </row>
    <row r="34" spans="1:8">
      <c r="A34" s="121" t="s">
        <v>4786</v>
      </c>
      <c r="B34" s="121" t="s">
        <v>4514</v>
      </c>
      <c r="C34" s="121">
        <v>25</v>
      </c>
      <c r="D34" s="121">
        <v>2</v>
      </c>
      <c r="E34" s="121">
        <v>0</v>
      </c>
      <c r="F34" s="121" t="s">
        <v>4591</v>
      </c>
      <c r="G34" s="121" t="s">
        <v>4624</v>
      </c>
      <c r="H34" s="124" t="s">
        <v>513</v>
      </c>
    </row>
    <row r="35" spans="1:8">
      <c r="A35" s="121" t="s">
        <v>4786</v>
      </c>
      <c r="B35" s="121" t="s">
        <v>4515</v>
      </c>
      <c r="C35" s="121">
        <v>4</v>
      </c>
      <c r="D35" s="121">
        <v>1</v>
      </c>
      <c r="E35" s="121">
        <v>0</v>
      </c>
      <c r="F35" s="121" t="s">
        <v>4591</v>
      </c>
      <c r="G35" s="121" t="s">
        <v>4625</v>
      </c>
      <c r="H35" s="124" t="s">
        <v>1673</v>
      </c>
    </row>
    <row r="36" spans="1:8">
      <c r="A36" s="121" t="s">
        <v>4786</v>
      </c>
      <c r="B36" s="121" t="s">
        <v>4516</v>
      </c>
      <c r="C36" s="121">
        <v>23</v>
      </c>
      <c r="D36" s="121">
        <v>2</v>
      </c>
      <c r="E36" s="121">
        <v>0</v>
      </c>
      <c r="F36" s="121" t="s">
        <v>4591</v>
      </c>
      <c r="G36" s="121" t="s">
        <v>4626</v>
      </c>
      <c r="H36" s="124" t="s">
        <v>531</v>
      </c>
    </row>
    <row r="37" spans="1:8">
      <c r="A37" s="121" t="s">
        <v>4786</v>
      </c>
      <c r="B37" s="121" t="s">
        <v>4517</v>
      </c>
      <c r="C37" s="121">
        <v>1</v>
      </c>
      <c r="D37" s="121">
        <v>10</v>
      </c>
      <c r="E37" s="121">
        <v>0</v>
      </c>
      <c r="F37" s="121" t="s">
        <v>4593</v>
      </c>
      <c r="G37" s="121" t="s">
        <v>4627</v>
      </c>
      <c r="H37" s="124" t="s">
        <v>540</v>
      </c>
    </row>
    <row r="38" spans="1:8">
      <c r="A38" s="121" t="s">
        <v>4787</v>
      </c>
      <c r="B38" s="121" t="s">
        <v>4512</v>
      </c>
      <c r="C38" s="121">
        <v>18</v>
      </c>
      <c r="D38" s="121">
        <v>1</v>
      </c>
      <c r="E38" s="121">
        <v>0</v>
      </c>
      <c r="F38" s="121" t="s">
        <v>4591</v>
      </c>
      <c r="G38" s="121" t="s">
        <v>4628</v>
      </c>
      <c r="H38" s="124" t="s">
        <v>1704</v>
      </c>
    </row>
    <row r="39" spans="1:8">
      <c r="A39" s="121" t="s">
        <v>4787</v>
      </c>
      <c r="B39" s="121" t="s">
        <v>4513</v>
      </c>
      <c r="C39" s="121">
        <v>11</v>
      </c>
      <c r="D39" s="121">
        <v>3</v>
      </c>
      <c r="E39" s="121">
        <v>0</v>
      </c>
      <c r="F39" s="121" t="s">
        <v>4591</v>
      </c>
      <c r="G39" s="121" t="s">
        <v>4629</v>
      </c>
      <c r="H39" s="124" t="s">
        <v>1684</v>
      </c>
    </row>
    <row r="40" spans="1:8">
      <c r="A40" s="121" t="s">
        <v>4787</v>
      </c>
      <c r="B40" s="121" t="s">
        <v>4514</v>
      </c>
      <c r="C40" s="121">
        <v>25</v>
      </c>
      <c r="D40" s="121">
        <v>2</v>
      </c>
      <c r="E40" s="121">
        <v>0</v>
      </c>
      <c r="F40" s="121" t="s">
        <v>4591</v>
      </c>
      <c r="G40" s="121" t="s">
        <v>4630</v>
      </c>
      <c r="H40" s="124" t="s">
        <v>513</v>
      </c>
    </row>
    <row r="41" spans="1:8">
      <c r="A41" s="121" t="s">
        <v>4787</v>
      </c>
      <c r="B41" s="121" t="s">
        <v>4515</v>
      </c>
      <c r="C41" s="121">
        <v>4</v>
      </c>
      <c r="D41" s="121">
        <v>1</v>
      </c>
      <c r="E41" s="121">
        <v>0</v>
      </c>
      <c r="F41" s="121" t="s">
        <v>4591</v>
      </c>
      <c r="G41" s="121" t="s">
        <v>4631</v>
      </c>
      <c r="H41" s="124" t="s">
        <v>1673</v>
      </c>
    </row>
    <row r="42" spans="1:8">
      <c r="A42" s="121" t="s">
        <v>4787</v>
      </c>
      <c r="B42" s="121" t="s">
        <v>4516</v>
      </c>
      <c r="C42" s="121">
        <v>9</v>
      </c>
      <c r="D42" s="121">
        <v>16</v>
      </c>
      <c r="E42" s="121">
        <v>0</v>
      </c>
      <c r="F42" s="121" t="s">
        <v>4593</v>
      </c>
      <c r="G42" s="121" t="s">
        <v>4632</v>
      </c>
      <c r="H42" s="124" t="s">
        <v>531</v>
      </c>
    </row>
    <row r="43" spans="1:8">
      <c r="A43" s="121" t="s">
        <v>4787</v>
      </c>
      <c r="B43" s="121" t="s">
        <v>4517</v>
      </c>
      <c r="C43" s="121">
        <v>1</v>
      </c>
      <c r="D43" s="121">
        <v>10</v>
      </c>
      <c r="E43" s="121">
        <v>0</v>
      </c>
      <c r="F43" s="121" t="s">
        <v>4593</v>
      </c>
      <c r="G43" s="121" t="s">
        <v>4633</v>
      </c>
      <c r="H43" s="124" t="s">
        <v>540</v>
      </c>
    </row>
    <row r="44" spans="1:8">
      <c r="A44" s="121" t="s">
        <v>4788</v>
      </c>
      <c r="B44" s="121" t="s">
        <v>4512</v>
      </c>
      <c r="C44" s="121">
        <v>12</v>
      </c>
      <c r="D44" s="121">
        <v>7</v>
      </c>
      <c r="E44" s="121">
        <v>0</v>
      </c>
      <c r="F44" s="121" t="s">
        <v>4591</v>
      </c>
      <c r="G44" s="121" t="s">
        <v>4634</v>
      </c>
      <c r="H44" s="124" t="s">
        <v>1704</v>
      </c>
    </row>
    <row r="45" spans="1:8">
      <c r="A45" s="121" t="s">
        <v>4788</v>
      </c>
      <c r="B45" s="121" t="s">
        <v>4513</v>
      </c>
      <c r="C45" s="121">
        <v>11</v>
      </c>
      <c r="D45" s="121">
        <v>3</v>
      </c>
      <c r="E45" s="121">
        <v>0</v>
      </c>
      <c r="F45" s="121" t="s">
        <v>4591</v>
      </c>
      <c r="G45" s="121" t="s">
        <v>4635</v>
      </c>
      <c r="H45" s="124" t="s">
        <v>1684</v>
      </c>
    </row>
    <row r="46" spans="1:8">
      <c r="A46" s="121" t="s">
        <v>4788</v>
      </c>
      <c r="B46" s="121" t="s">
        <v>4514</v>
      </c>
      <c r="C46" s="121">
        <v>25</v>
      </c>
      <c r="D46" s="121">
        <v>2</v>
      </c>
      <c r="E46" s="121">
        <v>0</v>
      </c>
      <c r="F46" s="121" t="s">
        <v>4591</v>
      </c>
      <c r="G46" s="121" t="s">
        <v>4636</v>
      </c>
      <c r="H46" s="124" t="s">
        <v>513</v>
      </c>
    </row>
    <row r="47" spans="1:8">
      <c r="A47" s="121" t="s">
        <v>4788</v>
      </c>
      <c r="B47" s="121" t="s">
        <v>4515</v>
      </c>
      <c r="C47" s="121">
        <v>4</v>
      </c>
      <c r="D47" s="121">
        <v>1</v>
      </c>
      <c r="E47" s="121">
        <v>0</v>
      </c>
      <c r="F47" s="121" t="s">
        <v>4591</v>
      </c>
      <c r="G47" s="121" t="s">
        <v>4637</v>
      </c>
      <c r="H47" s="124" t="s">
        <v>1673</v>
      </c>
    </row>
    <row r="48" spans="1:8">
      <c r="A48" s="121" t="s">
        <v>4788</v>
      </c>
      <c r="B48" s="121" t="s">
        <v>4516</v>
      </c>
      <c r="C48" s="121">
        <v>10</v>
      </c>
      <c r="D48" s="121">
        <v>6</v>
      </c>
      <c r="E48" s="121">
        <v>9</v>
      </c>
      <c r="F48" s="121" t="s">
        <v>4589</v>
      </c>
      <c r="G48" s="121" t="s">
        <v>4638</v>
      </c>
      <c r="H48" s="124" t="s">
        <v>531</v>
      </c>
    </row>
    <row r="49" spans="1:8">
      <c r="A49" s="121" t="s">
        <v>4788</v>
      </c>
      <c r="B49" s="121" t="s">
        <v>4517</v>
      </c>
      <c r="C49" s="121">
        <v>1</v>
      </c>
      <c r="D49" s="121">
        <v>10</v>
      </c>
      <c r="E49" s="121">
        <v>0</v>
      </c>
      <c r="F49" s="121" t="s">
        <v>4593</v>
      </c>
      <c r="G49" s="121" t="s">
        <v>4639</v>
      </c>
      <c r="H49" s="124" t="s">
        <v>540</v>
      </c>
    </row>
    <row r="50" spans="1:8">
      <c r="A50" s="121" t="s">
        <v>4789</v>
      </c>
      <c r="B50" s="121" t="s">
        <v>4512</v>
      </c>
      <c r="C50" s="121">
        <v>4</v>
      </c>
      <c r="D50" s="121">
        <v>7</v>
      </c>
      <c r="E50" s="121">
        <v>8</v>
      </c>
      <c r="F50" s="121" t="s">
        <v>4589</v>
      </c>
      <c r="G50" s="121" t="s">
        <v>4640</v>
      </c>
      <c r="H50" s="124" t="s">
        <v>1704</v>
      </c>
    </row>
    <row r="51" spans="1:8">
      <c r="A51" s="121" t="s">
        <v>4789</v>
      </c>
      <c r="B51" s="121" t="s">
        <v>4513</v>
      </c>
      <c r="C51" s="121">
        <v>13</v>
      </c>
      <c r="D51" s="121">
        <v>1</v>
      </c>
      <c r="E51" s="121">
        <v>0</v>
      </c>
      <c r="F51" s="121" t="s">
        <v>4591</v>
      </c>
      <c r="G51" s="121" t="s">
        <v>4641</v>
      </c>
      <c r="H51" s="124" t="s">
        <v>1684</v>
      </c>
    </row>
    <row r="52" spans="1:8">
      <c r="A52" s="121" t="s">
        <v>4789</v>
      </c>
      <c r="B52" s="121" t="s">
        <v>4514</v>
      </c>
      <c r="C52" s="121">
        <v>25</v>
      </c>
      <c r="D52" s="121">
        <v>2</v>
      </c>
      <c r="E52" s="121">
        <v>0</v>
      </c>
      <c r="F52" s="121" t="s">
        <v>4591</v>
      </c>
      <c r="G52" s="121" t="s">
        <v>4642</v>
      </c>
      <c r="H52" s="124" t="s">
        <v>513</v>
      </c>
    </row>
    <row r="53" spans="1:8">
      <c r="A53" s="121" t="s">
        <v>4789</v>
      </c>
      <c r="B53" s="121" t="s">
        <v>4515</v>
      </c>
      <c r="C53" s="121">
        <v>4</v>
      </c>
      <c r="D53" s="121">
        <v>1</v>
      </c>
      <c r="E53" s="121">
        <v>0</v>
      </c>
      <c r="F53" s="121" t="s">
        <v>4591</v>
      </c>
      <c r="G53" s="121" t="s">
        <v>4643</v>
      </c>
      <c r="H53" s="124" t="s">
        <v>1673</v>
      </c>
    </row>
    <row r="54" spans="1:8">
      <c r="A54" s="121" t="s">
        <v>4789</v>
      </c>
      <c r="B54" s="121" t="s">
        <v>4516</v>
      </c>
      <c r="C54" s="121">
        <v>5</v>
      </c>
      <c r="D54" s="121">
        <v>20</v>
      </c>
      <c r="E54" s="121">
        <v>0</v>
      </c>
      <c r="F54" s="121" t="s">
        <v>4593</v>
      </c>
      <c r="G54" s="121" t="s">
        <v>4644</v>
      </c>
      <c r="H54" s="124" t="s">
        <v>531</v>
      </c>
    </row>
    <row r="55" spans="1:8">
      <c r="A55" s="121" t="s">
        <v>4789</v>
      </c>
      <c r="B55" s="121" t="s">
        <v>4517</v>
      </c>
      <c r="C55" s="121">
        <v>3</v>
      </c>
      <c r="D55" s="121">
        <v>4</v>
      </c>
      <c r="E55" s="121">
        <v>4</v>
      </c>
      <c r="F55" s="121" t="s">
        <v>4589</v>
      </c>
      <c r="G55" s="121" t="s">
        <v>4645</v>
      </c>
      <c r="H55" s="124" t="s">
        <v>540</v>
      </c>
    </row>
    <row r="56" spans="1:8">
      <c r="A56" s="121" t="s">
        <v>4790</v>
      </c>
      <c r="B56" s="121" t="s">
        <v>4512</v>
      </c>
      <c r="C56" s="121">
        <v>15</v>
      </c>
      <c r="D56" s="121">
        <v>4</v>
      </c>
      <c r="E56" s="121">
        <v>0</v>
      </c>
      <c r="F56" s="121" t="s">
        <v>4591</v>
      </c>
      <c r="G56" s="121" t="s">
        <v>4646</v>
      </c>
      <c r="H56" s="124" t="s">
        <v>1704</v>
      </c>
    </row>
    <row r="57" spans="1:8">
      <c r="A57" s="121" t="s">
        <v>4790</v>
      </c>
      <c r="B57" s="121" t="s">
        <v>4513</v>
      </c>
      <c r="C57" s="121">
        <v>3</v>
      </c>
      <c r="D57" s="121">
        <v>5</v>
      </c>
      <c r="E57" s="121">
        <v>6</v>
      </c>
      <c r="F57" s="121" t="s">
        <v>4589</v>
      </c>
      <c r="G57" s="121" t="inlineStr">
        <is>
          <t xml:space="preserve">Our communities decide that for themselves.</t>
        </is>
      </c>
      <c r="H57" s="124" t="s">
        <v>1684</v>
      </c>
    </row>
    <row r="58" spans="1:8">
      <c r="A58" s="121" t="s">
        <v>4790</v>
      </c>
      <c r="B58" s="121" t="s">
        <v>4514</v>
      </c>
      <c r="C58" s="121">
        <v>17</v>
      </c>
      <c r="D58" s="121">
        <v>10</v>
      </c>
      <c r="E58" s="121">
        <v>0</v>
      </c>
      <c r="F58" s="121" t="s">
        <v>4591</v>
      </c>
      <c r="G58" s="121" t="s">
        <v>4647</v>
      </c>
      <c r="H58" s="124" t="s">
        <v>513</v>
      </c>
    </row>
    <row r="59" spans="1:8">
      <c r="A59" s="121" t="s">
        <v>4790</v>
      </c>
      <c r="B59" s="121" t="s">
        <v>4515</v>
      </c>
      <c r="C59" s="121">
        <v>3</v>
      </c>
      <c r="D59" s="121">
        <v>2</v>
      </c>
      <c r="E59" s="121">
        <v>0</v>
      </c>
      <c r="F59" s="121" t="s">
        <v>4591</v>
      </c>
      <c r="G59" s="121" t="s">
        <v>4648</v>
      </c>
      <c r="H59" s="124" t="s">
        <v>1673</v>
      </c>
    </row>
    <row r="60" spans="1:8">
      <c r="A60" s="121" t="s">
        <v>4790</v>
      </c>
      <c r="B60" s="121" t="s">
        <v>4516</v>
      </c>
      <c r="C60" s="121">
        <v>16</v>
      </c>
      <c r="D60" s="121">
        <v>9</v>
      </c>
      <c r="E60" s="121">
        <v>0</v>
      </c>
      <c r="F60" s="121" t="s">
        <v>4591</v>
      </c>
      <c r="G60" s="121" t="s">
        <v>4649</v>
      </c>
      <c r="H60" s="124" t="s">
        <v>531</v>
      </c>
    </row>
    <row r="61" spans="1:8">
      <c r="A61" s="121" t="s">
        <v>4790</v>
      </c>
      <c r="B61" s="121" t="s">
        <v>4517</v>
      </c>
      <c r="C61" s="121">
        <v>1</v>
      </c>
      <c r="D61" s="121">
        <v>10</v>
      </c>
      <c r="E61" s="121">
        <v>0</v>
      </c>
      <c r="F61" s="121" t="s">
        <v>4593</v>
      </c>
      <c r="G61" s="121" t="s">
        <v>4650</v>
      </c>
      <c r="H61" s="124" t="s">
        <v>540</v>
      </c>
    </row>
    <row r="62" spans="1:8">
      <c r="A62" s="121" t="s">
        <v>4792</v>
      </c>
      <c r="B62" s="121" t="s">
        <v>4512</v>
      </c>
      <c r="C62" s="121">
        <v>12</v>
      </c>
      <c r="D62" s="121">
        <v>7</v>
      </c>
      <c r="E62" s="121">
        <v>0</v>
      </c>
      <c r="F62" s="121" t="s">
        <v>4591</v>
      </c>
      <c r="G62" s="121" t="s">
        <v>4651</v>
      </c>
      <c r="H62" s="124" t="s">
        <v>1704</v>
      </c>
    </row>
    <row r="63" spans="1:8">
      <c r="A63" s="121" t="s">
        <v>4792</v>
      </c>
      <c r="B63" s="121" t="s">
        <v>4513</v>
      </c>
      <c r="C63" s="121">
        <v>3</v>
      </c>
      <c r="D63" s="121">
        <v>11</v>
      </c>
      <c r="E63" s="121">
        <v>0</v>
      </c>
      <c r="F63" s="121" t="s">
        <v>4593</v>
      </c>
      <c r="G63" s="121" t="s">
        <v>4652</v>
      </c>
      <c r="H63" s="124" t="s">
        <v>1684</v>
      </c>
    </row>
    <row r="64" spans="1:8">
      <c r="A64" s="121" t="s">
        <v>4792</v>
      </c>
      <c r="B64" s="121" t="s">
        <v>4514</v>
      </c>
      <c r="C64" s="121">
        <v>11</v>
      </c>
      <c r="D64" s="121">
        <v>7</v>
      </c>
      <c r="E64" s="121">
        <v>9</v>
      </c>
      <c r="F64" s="121" t="s">
        <v>4589</v>
      </c>
      <c r="G64" s="121" t="s">
        <v>4653</v>
      </c>
      <c r="H64" s="124" t="s">
        <v>513</v>
      </c>
    </row>
    <row r="65" spans="1:8">
      <c r="A65" s="121" t="s">
        <v>4792</v>
      </c>
      <c r="B65" s="121" t="s">
        <v>4515</v>
      </c>
      <c r="C65" s="121">
        <v>3</v>
      </c>
      <c r="D65" s="121">
        <v>2</v>
      </c>
      <c r="E65" s="121">
        <v>0</v>
      </c>
      <c r="F65" s="121" t="s">
        <v>4591</v>
      </c>
      <c r="G65" s="121" t="s">
        <v>4654</v>
      </c>
      <c r="H65" s="124" t="s">
        <v>1673</v>
      </c>
    </row>
    <row r="66" spans="1:8">
      <c r="A66" s="121" t="s">
        <v>4792</v>
      </c>
      <c r="B66" s="121" t="s">
        <v>4516</v>
      </c>
      <c r="C66" s="121">
        <v>5</v>
      </c>
      <c r="D66" s="121">
        <v>20</v>
      </c>
      <c r="E66" s="121">
        <v>0</v>
      </c>
      <c r="F66" s="121" t="s">
        <v>4593</v>
      </c>
      <c r="G66" s="121" t="s">
        <v>4655</v>
      </c>
      <c r="H66" s="124" t="s">
        <v>531</v>
      </c>
    </row>
    <row r="67" spans="1:8">
      <c r="A67" s="121" t="s">
        <v>4792</v>
      </c>
      <c r="B67" s="121" t="s">
        <v>4517</v>
      </c>
      <c r="C67" s="121">
        <v>7</v>
      </c>
      <c r="D67" s="121">
        <v>4</v>
      </c>
      <c r="E67" s="121">
        <v>0</v>
      </c>
      <c r="F67" s="121" t="s">
        <v>4591</v>
      </c>
      <c r="G67" s="121" t="s">
        <v>4656</v>
      </c>
      <c r="H67" s="124" t="s">
        <v>540</v>
      </c>
    </row>
    <row r="68" spans="1:8">
      <c r="A68" s="121" t="s">
        <v>4793</v>
      </c>
      <c r="B68" s="121" t="s">
        <v>4512</v>
      </c>
      <c r="C68" s="121">
        <v>7</v>
      </c>
      <c r="D68" s="121">
        <v>4</v>
      </c>
      <c r="E68" s="121">
        <v>8</v>
      </c>
      <c r="F68" s="121" t="s">
        <v>4589</v>
      </c>
      <c r="G68" s="121" t="s">
        <v>4657</v>
      </c>
      <c r="H68" s="124" t="s">
        <v>1704</v>
      </c>
    </row>
    <row r="69" spans="1:8">
      <c r="A69" s="121" t="s">
        <v>4793</v>
      </c>
      <c r="B69" s="121" t="s">
        <v>4513</v>
      </c>
      <c r="C69" s="121">
        <v>5</v>
      </c>
      <c r="D69" s="121">
        <v>9</v>
      </c>
      <c r="E69" s="121">
        <v>0</v>
      </c>
      <c r="F69" s="121" t="s">
        <v>4593</v>
      </c>
      <c r="G69" s="121" t="s">
        <v>4658</v>
      </c>
      <c r="H69" s="124" t="s">
        <v>1684</v>
      </c>
    </row>
    <row r="70" spans="1:8">
      <c r="A70" s="121" t="s">
        <v>4793</v>
      </c>
      <c r="B70" s="121" t="s">
        <v>4514</v>
      </c>
      <c r="C70" s="121">
        <v>17</v>
      </c>
      <c r="D70" s="121">
        <v>10</v>
      </c>
      <c r="E70" s="121">
        <v>0</v>
      </c>
      <c r="F70" s="121" t="s">
        <v>4591</v>
      </c>
      <c r="G70" s="121" t="s">
        <v>4659</v>
      </c>
      <c r="H70" s="124" t="s">
        <v>513</v>
      </c>
    </row>
    <row r="71" spans="1:8">
      <c r="A71" s="121" t="s">
        <v>4793</v>
      </c>
      <c r="B71" s="121" t="s">
        <v>4515</v>
      </c>
      <c r="C71" s="121">
        <v>5</v>
      </c>
      <c r="D71" s="121">
        <v>0</v>
      </c>
      <c r="E71" s="121">
        <v>0</v>
      </c>
      <c r="F71" s="121" t="s">
        <v>4591</v>
      </c>
      <c r="G71" s="121" t="s">
        <v>4660</v>
      </c>
      <c r="H71" s="124" t="s">
        <v>1673</v>
      </c>
    </row>
    <row r="72" spans="1:8">
      <c r="A72" s="121" t="s">
        <v>4793</v>
      </c>
      <c r="B72" s="121" t="s">
        <v>4516</v>
      </c>
      <c r="C72" s="121">
        <v>20</v>
      </c>
      <c r="D72" s="121">
        <v>5</v>
      </c>
      <c r="E72" s="121">
        <v>0</v>
      </c>
      <c r="F72" s="121" t="s">
        <v>4591</v>
      </c>
      <c r="G72" s="121" t="s">
        <v>4661</v>
      </c>
      <c r="H72" s="124" t="s">
        <v>531</v>
      </c>
    </row>
    <row r="73" spans="1:8">
      <c r="A73" s="121" t="s">
        <v>4793</v>
      </c>
      <c r="B73" s="121" t="s">
        <v>4517</v>
      </c>
      <c r="C73" s="121">
        <v>4</v>
      </c>
      <c r="D73" s="121">
        <v>7</v>
      </c>
      <c r="E73" s="121">
        <v>0</v>
      </c>
      <c r="F73" s="121" t="s">
        <v>4593</v>
      </c>
      <c r="G73" s="121" t="s">
        <v>4662</v>
      </c>
      <c r="H73" s="124" t="s">
        <v>540</v>
      </c>
    </row>
    <row r="74" spans="1:8">
      <c r="A74" s="121" t="s">
        <v>4794</v>
      </c>
      <c r="B74" s="121" t="s">
        <v>4512</v>
      </c>
      <c r="C74" s="121">
        <v>18</v>
      </c>
      <c r="D74" s="121">
        <v>1</v>
      </c>
      <c r="E74" s="121">
        <v>0</v>
      </c>
      <c r="F74" s="121" t="s">
        <v>4591</v>
      </c>
      <c r="G74" s="121" t="s">
        <v>4663</v>
      </c>
      <c r="H74" s="124" t="s">
        <v>1704</v>
      </c>
    </row>
    <row r="75" spans="1:8">
      <c r="A75" s="121" t="s">
        <v>4794</v>
      </c>
      <c r="B75" s="121" t="s">
        <v>4513</v>
      </c>
      <c r="C75" s="121">
        <v>9</v>
      </c>
      <c r="D75" s="121">
        <v>5</v>
      </c>
      <c r="E75" s="121">
        <v>0</v>
      </c>
      <c r="F75" s="121" t="s">
        <v>4591</v>
      </c>
      <c r="G75" s="121" t="s">
        <v>4664</v>
      </c>
      <c r="H75" s="124" t="s">
        <v>1684</v>
      </c>
    </row>
    <row r="76" spans="1:8">
      <c r="A76" s="121" t="s">
        <v>4794</v>
      </c>
      <c r="B76" s="121" t="s">
        <v>4514</v>
      </c>
      <c r="C76" s="121">
        <v>17</v>
      </c>
      <c r="D76" s="121">
        <v>10</v>
      </c>
      <c r="E76" s="121">
        <v>0</v>
      </c>
      <c r="F76" s="121" t="s">
        <v>4591</v>
      </c>
      <c r="G76" s="121" t="s">
        <v>4665</v>
      </c>
      <c r="H76" s="124" t="s">
        <v>513</v>
      </c>
    </row>
    <row r="77" spans="1:8">
      <c r="A77" s="121" t="s">
        <v>4794</v>
      </c>
      <c r="B77" s="121" t="s">
        <v>4515</v>
      </c>
      <c r="C77" s="121">
        <v>2</v>
      </c>
      <c r="D77" s="121">
        <v>1</v>
      </c>
      <c r="E77" s="121">
        <v>2</v>
      </c>
      <c r="F77" s="121" t="s">
        <v>4589</v>
      </c>
      <c r="G77" s="121" t="s">
        <v>4666</v>
      </c>
      <c r="H77" s="124" t="s">
        <v>1673</v>
      </c>
    </row>
    <row r="78" spans="1:8">
      <c r="A78" s="121" t="s">
        <v>4794</v>
      </c>
      <c r="B78" s="121" t="s">
        <v>4516</v>
      </c>
      <c r="C78" s="121">
        <v>10</v>
      </c>
      <c r="D78" s="121">
        <v>6</v>
      </c>
      <c r="E78" s="121">
        <v>9</v>
      </c>
      <c r="F78" s="121" t="s">
        <v>4589</v>
      </c>
      <c r="G78" s="121" t="s">
        <v>4667</v>
      </c>
      <c r="H78" s="124" t="s">
        <v>531</v>
      </c>
    </row>
    <row r="79" spans="1:8">
      <c r="A79" s="121" t="s">
        <v>4794</v>
      </c>
      <c r="B79" s="121" t="s">
        <v>4517</v>
      </c>
      <c r="C79" s="121">
        <v>4</v>
      </c>
      <c r="D79" s="121">
        <v>3</v>
      </c>
      <c r="E79" s="121">
        <v>4</v>
      </c>
      <c r="F79" s="121" t="s">
        <v>4589</v>
      </c>
      <c r="G79" s="121" t="s">
        <v>4668</v>
      </c>
      <c r="H79" s="124" t="s">
        <v>540</v>
      </c>
    </row>
    <row r="80" spans="1:8">
      <c r="A80" s="121" t="s">
        <v>4795</v>
      </c>
      <c r="B80" s="121" t="s">
        <v>4512</v>
      </c>
      <c r="C80" s="121">
        <v>12</v>
      </c>
      <c r="D80" s="121">
        <v>7</v>
      </c>
      <c r="E80" s="121">
        <v>0</v>
      </c>
      <c r="F80" s="121" t="s">
        <v>4591</v>
      </c>
      <c r="G80" s="121" t="s">
        <v>4669</v>
      </c>
      <c r="H80" s="124" t="s">
        <v>1704</v>
      </c>
    </row>
    <row r="81" spans="1:8">
      <c r="A81" s="121" t="s">
        <v>4795</v>
      </c>
      <c r="B81" s="121" t="s">
        <v>4513</v>
      </c>
      <c r="C81" s="121">
        <v>9</v>
      </c>
      <c r="D81" s="121">
        <v>5</v>
      </c>
      <c r="E81" s="121">
        <v>0</v>
      </c>
      <c r="F81" s="121" t="s">
        <v>4591</v>
      </c>
      <c r="G81" s="121" t="s">
        <v>4670</v>
      </c>
      <c r="H81" s="124" t="s">
        <v>1684</v>
      </c>
    </row>
    <row r="82" spans="1:8">
      <c r="A82" s="121" t="s">
        <v>4795</v>
      </c>
      <c r="B82" s="121" t="s">
        <v>4514</v>
      </c>
      <c r="C82" s="121">
        <v>22</v>
      </c>
      <c r="D82" s="121">
        <v>5</v>
      </c>
      <c r="E82" s="121">
        <v>0</v>
      </c>
      <c r="F82" s="121" t="s">
        <v>4591</v>
      </c>
      <c r="G82" s="121" t="s">
        <v>4671</v>
      </c>
      <c r="H82" s="124" t="s">
        <v>513</v>
      </c>
    </row>
    <row r="83" spans="1:8">
      <c r="A83" s="121" t="s">
        <v>4795</v>
      </c>
      <c r="B83" s="121" t="s">
        <v>4515</v>
      </c>
      <c r="C83" s="121">
        <v>5</v>
      </c>
      <c r="D83" s="121">
        <v>0</v>
      </c>
      <c r="E83" s="121">
        <v>0</v>
      </c>
      <c r="F83" s="121" t="s">
        <v>4591</v>
      </c>
      <c r="G83" s="121" t="s">
        <v>4672</v>
      </c>
      <c r="H83" s="124" t="s">
        <v>1673</v>
      </c>
    </row>
    <row r="84" spans="1:8">
      <c r="A84" s="121" t="s">
        <v>4795</v>
      </c>
      <c r="B84" s="121" t="s">
        <v>4516</v>
      </c>
      <c r="C84" s="121">
        <v>16</v>
      </c>
      <c r="D84" s="121">
        <v>9</v>
      </c>
      <c r="E84" s="121">
        <v>0</v>
      </c>
      <c r="F84" s="121" t="s">
        <v>4591</v>
      </c>
      <c r="G84" s="121" t="s">
        <v>4673</v>
      </c>
      <c r="H84" s="124" t="s">
        <v>531</v>
      </c>
    </row>
    <row r="85" spans="1:8">
      <c r="A85" s="121" t="s">
        <v>4795</v>
      </c>
      <c r="B85" s="121" t="s">
        <v>4517</v>
      </c>
      <c r="C85" s="121">
        <v>7</v>
      </c>
      <c r="D85" s="121">
        <v>4</v>
      </c>
      <c r="E85" s="121">
        <v>0</v>
      </c>
      <c r="F85" s="121" t="s">
        <v>4591</v>
      </c>
      <c r="G85" s="121" t="s">
        <v>4674</v>
      </c>
      <c r="H85" s="124" t="s">
        <v>540</v>
      </c>
    </row>
    <row r="86" spans="1:8">
      <c r="A86" s="121" t="s">
        <v>4796</v>
      </c>
      <c r="B86" s="121" t="s">
        <v>4512</v>
      </c>
      <c r="C86" s="121">
        <v>4</v>
      </c>
      <c r="D86" s="121">
        <v>7</v>
      </c>
      <c r="E86" s="121">
        <v>8</v>
      </c>
      <c r="F86" s="121" t="s">
        <v>4589</v>
      </c>
      <c r="G86" s="121" t="s">
        <v>4675</v>
      </c>
      <c r="H86" s="124" t="s">
        <v>1704</v>
      </c>
    </row>
    <row r="87" spans="1:8">
      <c r="A87" s="121" t="s">
        <v>4796</v>
      </c>
      <c r="B87" s="121" t="s">
        <v>4513</v>
      </c>
      <c r="C87" s="121">
        <v>5</v>
      </c>
      <c r="D87" s="121">
        <v>9</v>
      </c>
      <c r="E87" s="121">
        <v>0</v>
      </c>
      <c r="F87" s="121" t="s">
        <v>4593</v>
      </c>
      <c r="G87" s="121" t="s">
        <v>4676</v>
      </c>
      <c r="H87" s="124" t="s">
        <v>1684</v>
      </c>
    </row>
    <row r="88" spans="1:8">
      <c r="A88" s="121" t="s">
        <v>4796</v>
      </c>
      <c r="B88" s="121" t="s">
        <v>4514</v>
      </c>
      <c r="C88" s="121">
        <v>11</v>
      </c>
      <c r="D88" s="121">
        <v>7</v>
      </c>
      <c r="E88" s="121">
        <v>9</v>
      </c>
      <c r="F88" s="121" t="s">
        <v>4589</v>
      </c>
      <c r="G88" s="121" t="s">
        <v>4677</v>
      </c>
      <c r="H88" s="124" t="s">
        <v>513</v>
      </c>
    </row>
    <row r="89" spans="1:8">
      <c r="A89" s="121" t="s">
        <v>4796</v>
      </c>
      <c r="B89" s="121" t="s">
        <v>4515</v>
      </c>
      <c r="C89" s="121">
        <v>1</v>
      </c>
      <c r="D89" s="121">
        <v>2</v>
      </c>
      <c r="E89" s="121">
        <v>2</v>
      </c>
      <c r="F89" s="121" t="s">
        <v>4589</v>
      </c>
      <c r="G89" s="121" t="s">
        <v>4678</v>
      </c>
      <c r="H89" s="124" t="s">
        <v>1673</v>
      </c>
    </row>
    <row r="90" spans="1:8">
      <c r="A90" s="121" t="s">
        <v>4796</v>
      </c>
      <c r="B90" s="121" t="s">
        <v>4516</v>
      </c>
      <c r="C90" s="121">
        <v>23</v>
      </c>
      <c r="D90" s="121">
        <v>2</v>
      </c>
      <c r="E90" s="121">
        <v>0</v>
      </c>
      <c r="F90" s="121" t="s">
        <v>4591</v>
      </c>
      <c r="G90" s="121" t="s">
        <v>4679</v>
      </c>
      <c r="H90" s="124" t="s">
        <v>531</v>
      </c>
    </row>
    <row r="91" spans="1:8">
      <c r="A91" s="121" t="s">
        <v>4796</v>
      </c>
      <c r="B91" s="121" t="s">
        <v>4517</v>
      </c>
      <c r="C91" s="121">
        <v>4</v>
      </c>
      <c r="D91" s="121">
        <v>7</v>
      </c>
      <c r="E91" s="121">
        <v>0</v>
      </c>
      <c r="F91" s="121" t="s">
        <v>4593</v>
      </c>
      <c r="G91" s="121" t="s">
        <v>4680</v>
      </c>
      <c r="H91" s="124" t="s">
        <v>540</v>
      </c>
    </row>
    <row r="92" spans="1:8">
      <c r="A92" s="121" t="s">
        <v>4797</v>
      </c>
      <c r="B92" s="121" t="s">
        <v>4512</v>
      </c>
      <c r="C92" s="121">
        <v>7</v>
      </c>
      <c r="D92" s="121">
        <v>12</v>
      </c>
      <c r="E92" s="121">
        <v>0</v>
      </c>
      <c r="F92" s="121" t="s">
        <v>4593</v>
      </c>
      <c r="G92" s="121" t="s">
        <v>4681</v>
      </c>
      <c r="H92" s="124" t="s">
        <v>1704</v>
      </c>
    </row>
    <row r="93" spans="1:8">
      <c r="A93" s="121" t="s">
        <v>4797</v>
      </c>
      <c r="B93" s="121" t="s">
        <v>4513</v>
      </c>
      <c r="C93" s="121">
        <v>9</v>
      </c>
      <c r="D93" s="121">
        <v>5</v>
      </c>
      <c r="E93" s="121">
        <v>0</v>
      </c>
      <c r="F93" s="121" t="s">
        <v>4591</v>
      </c>
      <c r="G93" s="121" t="s">
        <v>4682</v>
      </c>
      <c r="H93" s="124" t="s">
        <v>1684</v>
      </c>
    </row>
    <row r="94" spans="1:8">
      <c r="A94" s="121" t="s">
        <v>4797</v>
      </c>
      <c r="B94" s="121" t="s">
        <v>4514</v>
      </c>
      <c r="C94" s="121">
        <v>2</v>
      </c>
      <c r="D94" s="121">
        <v>25</v>
      </c>
      <c r="E94" s="121">
        <v>0</v>
      </c>
      <c r="F94" s="121" t="s">
        <v>4593</v>
      </c>
      <c r="G94" s="121" t="s">
        <v>4683</v>
      </c>
      <c r="H94" s="124" t="s">
        <v>513</v>
      </c>
    </row>
    <row r="95" spans="1:8">
      <c r="A95" s="121" t="s">
        <v>4797</v>
      </c>
      <c r="B95" s="121" t="s">
        <v>4515</v>
      </c>
      <c r="C95" s="121">
        <v>2</v>
      </c>
      <c r="D95" s="121">
        <v>3</v>
      </c>
      <c r="E95" s="121">
        <v>0</v>
      </c>
      <c r="F95" s="121" t="s">
        <v>4593</v>
      </c>
      <c r="G95" s="121" t="s">
        <v>4684</v>
      </c>
      <c r="H95" s="124" t="s">
        <v>1673</v>
      </c>
    </row>
    <row r="96" spans="1:8">
      <c r="A96" s="121" t="s">
        <v>4797</v>
      </c>
      <c r="B96" s="121" t="s">
        <v>4516</v>
      </c>
      <c r="C96" s="121">
        <v>5</v>
      </c>
      <c r="D96" s="121">
        <v>20</v>
      </c>
      <c r="E96" s="121">
        <v>0</v>
      </c>
      <c r="F96" s="121" t="s">
        <v>4593</v>
      </c>
      <c r="G96" s="121" t="s">
        <v>4685</v>
      </c>
      <c r="H96" s="124" t="s">
        <v>531</v>
      </c>
    </row>
    <row r="97" spans="1:8">
      <c r="A97" s="121" t="s">
        <v>4797</v>
      </c>
      <c r="B97" s="121" t="s">
        <v>4517</v>
      </c>
      <c r="C97" s="121">
        <v>10</v>
      </c>
      <c r="D97" s="121">
        <v>1</v>
      </c>
      <c r="E97" s="121">
        <v>0</v>
      </c>
      <c r="F97" s="121" t="s">
        <v>4591</v>
      </c>
      <c r="G97" s="121" t="s">
        <v>4686</v>
      </c>
      <c r="H97" s="124" t="s">
        <v>540</v>
      </c>
    </row>
    <row r="98" spans="1:8">
      <c r="A98" s="121" t="s">
        <v>4798</v>
      </c>
      <c r="B98" s="121" t="s">
        <v>4512</v>
      </c>
      <c r="C98" s="121">
        <v>15</v>
      </c>
      <c r="D98" s="121">
        <v>4</v>
      </c>
      <c r="E98" s="121">
        <v>0</v>
      </c>
      <c r="F98" s="121" t="s">
        <v>4591</v>
      </c>
      <c r="G98" s="121" t="s">
        <v>4687</v>
      </c>
      <c r="H98" s="124" t="s">
        <v>1704</v>
      </c>
    </row>
    <row r="99" spans="1:8">
      <c r="A99" s="121" t="s">
        <v>4798</v>
      </c>
      <c r="B99" s="121" t="s">
        <v>4513</v>
      </c>
      <c r="C99" s="121">
        <v>5</v>
      </c>
      <c r="D99" s="121">
        <v>3</v>
      </c>
      <c r="E99" s="121">
        <v>6</v>
      </c>
      <c r="F99" s="121" t="s">
        <v>4589</v>
      </c>
      <c r="G99" s="121" t="s">
        <v>4688</v>
      </c>
      <c r="H99" s="124" t="s">
        <v>1684</v>
      </c>
    </row>
    <row r="100" spans="1:8">
      <c r="A100" s="121" t="s">
        <v>4798</v>
      </c>
      <c r="B100" s="121" t="s">
        <v>4514</v>
      </c>
      <c r="C100" s="121">
        <v>22</v>
      </c>
      <c r="D100" s="121">
        <v>5</v>
      </c>
      <c r="E100" s="121">
        <v>0</v>
      </c>
      <c r="F100" s="121" t="s">
        <v>4591</v>
      </c>
      <c r="G100" s="121" t="s">
        <v>4689</v>
      </c>
      <c r="H100" s="124" t="s">
        <v>513</v>
      </c>
    </row>
    <row r="101" spans="1:8">
      <c r="A101" s="121" t="s">
        <v>4798</v>
      </c>
      <c r="B101" s="121" t="s">
        <v>4515</v>
      </c>
      <c r="C101" s="121">
        <v>3</v>
      </c>
      <c r="D101" s="121">
        <v>2</v>
      </c>
      <c r="E101" s="121">
        <v>0</v>
      </c>
      <c r="F101" s="121" t="s">
        <v>4591</v>
      </c>
      <c r="G101" s="121" t="s">
        <v>4690</v>
      </c>
      <c r="H101" s="124" t="s">
        <v>1673</v>
      </c>
    </row>
    <row r="102" spans="1:8">
      <c r="A102" s="121" t="s">
        <v>4798</v>
      </c>
      <c r="B102" s="121" t="s">
        <v>4516</v>
      </c>
      <c r="C102" s="121">
        <v>16</v>
      </c>
      <c r="D102" s="121">
        <v>9</v>
      </c>
      <c r="E102" s="121">
        <v>0</v>
      </c>
      <c r="F102" s="121" t="s">
        <v>4591</v>
      </c>
      <c r="G102" s="121" t="s">
        <v>4691</v>
      </c>
      <c r="H102" s="124" t="s">
        <v>531</v>
      </c>
    </row>
    <row r="103" spans="1:8">
      <c r="A103" s="121" t="s">
        <v>4798</v>
      </c>
      <c r="B103" s="121" t="s">
        <v>4517</v>
      </c>
      <c r="C103" s="121">
        <v>1</v>
      </c>
      <c r="D103" s="121">
        <v>10</v>
      </c>
      <c r="E103" s="121">
        <v>0</v>
      </c>
      <c r="F103" s="121" t="s">
        <v>4593</v>
      </c>
      <c r="G103" s="121" t="s">
        <v>4692</v>
      </c>
      <c r="H103" s="124" t="s">
        <v>540</v>
      </c>
    </row>
    <row r="104" spans="1:8">
      <c r="A104" s="121" t="s">
        <v>4799</v>
      </c>
      <c r="B104" s="121" t="s">
        <v>4512</v>
      </c>
      <c r="C104" s="121">
        <v>7</v>
      </c>
      <c r="D104" s="121">
        <v>12</v>
      </c>
      <c r="E104" s="121">
        <v>0</v>
      </c>
      <c r="F104" s="121" t="s">
        <v>4593</v>
      </c>
      <c r="G104" s="121" t="s">
        <v>4693</v>
      </c>
      <c r="H104" s="124" t="s">
        <v>1704</v>
      </c>
    </row>
    <row r="105" spans="1:8">
      <c r="A105" s="121" t="s">
        <v>4799</v>
      </c>
      <c r="B105" s="121" t="s">
        <v>4513</v>
      </c>
      <c r="C105" s="121">
        <v>3</v>
      </c>
      <c r="D105" s="121">
        <v>11</v>
      </c>
      <c r="E105" s="121">
        <v>0</v>
      </c>
      <c r="F105" s="121" t="s">
        <v>4593</v>
      </c>
      <c r="G105" s="121" t="s">
        <v>4694</v>
      </c>
      <c r="H105" s="124" t="s">
        <v>1684</v>
      </c>
    </row>
    <row r="106" spans="1:8">
      <c r="A106" s="121" t="s">
        <v>4799</v>
      </c>
      <c r="B106" s="121" t="s">
        <v>4514</v>
      </c>
      <c r="C106" s="121">
        <v>10</v>
      </c>
      <c r="D106" s="121">
        <v>17</v>
      </c>
      <c r="E106" s="121">
        <v>0</v>
      </c>
      <c r="F106" s="121" t="s">
        <v>4593</v>
      </c>
      <c r="G106" s="121" t="s">
        <v>4695</v>
      </c>
      <c r="H106" s="124" t="s">
        <v>513</v>
      </c>
    </row>
    <row r="107" spans="1:8">
      <c r="A107" s="121" t="s">
        <v>4799</v>
      </c>
      <c r="B107" s="121" t="s">
        <v>4515</v>
      </c>
      <c r="C107" s="121">
        <v>2</v>
      </c>
      <c r="D107" s="121">
        <v>3</v>
      </c>
      <c r="E107" s="121">
        <v>0</v>
      </c>
      <c r="F107" s="121" t="s">
        <v>4593</v>
      </c>
      <c r="G107" s="121" t="s">
        <v>4696</v>
      </c>
      <c r="H107" s="124" t="s">
        <v>1673</v>
      </c>
    </row>
    <row r="108" spans="1:8">
      <c r="A108" s="121" t="s">
        <v>4799</v>
      </c>
      <c r="B108" s="121" t="s">
        <v>4516</v>
      </c>
      <c r="C108" s="121">
        <v>23</v>
      </c>
      <c r="D108" s="121">
        <v>2</v>
      </c>
      <c r="E108" s="121">
        <v>0</v>
      </c>
      <c r="F108" s="121" t="s">
        <v>4591</v>
      </c>
      <c r="G108" s="121" t="s">
        <v>4697</v>
      </c>
      <c r="H108" s="124" t="s">
        <v>531</v>
      </c>
    </row>
    <row r="109" spans="1:8">
      <c r="A109" s="121" t="s">
        <v>4799</v>
      </c>
      <c r="B109" s="121" t="s">
        <v>4517</v>
      </c>
      <c r="C109" s="121">
        <v>10</v>
      </c>
      <c r="D109" s="121">
        <v>1</v>
      </c>
      <c r="E109" s="121">
        <v>0</v>
      </c>
      <c r="F109" s="121" t="s">
        <v>4591</v>
      </c>
      <c r="G109" s="121" t="s">
        <v>4698</v>
      </c>
      <c r="H109" s="124" t="s">
        <v>540</v>
      </c>
    </row>
    <row r="110" spans="1:8">
      <c r="A110" s="121" t="s">
        <v>4800</v>
      </c>
      <c r="B110" s="121" t="s">
        <v>4512</v>
      </c>
      <c r="C110" s="121">
        <v>7</v>
      </c>
      <c r="D110" s="121">
        <v>12</v>
      </c>
      <c r="E110" s="121">
        <v>0</v>
      </c>
      <c r="F110" s="121" t="s">
        <v>4593</v>
      </c>
      <c r="G110" s="121" t="s">
        <v>4699</v>
      </c>
      <c r="H110" s="124" t="s">
        <v>1704</v>
      </c>
    </row>
    <row r="111" spans="1:8">
      <c r="A111" s="121" t="s">
        <v>4800</v>
      </c>
      <c r="B111" s="121" t="s">
        <v>4513</v>
      </c>
      <c r="C111" s="121">
        <v>5</v>
      </c>
      <c r="D111" s="121">
        <v>9</v>
      </c>
      <c r="E111" s="121">
        <v>0</v>
      </c>
      <c r="F111" s="121" t="s">
        <v>4593</v>
      </c>
      <c r="G111" s="121" t="s">
        <v>4700</v>
      </c>
      <c r="H111" s="124" t="s">
        <v>1684</v>
      </c>
    </row>
    <row r="112" spans="1:8">
      <c r="A112" s="121" t="s">
        <v>4800</v>
      </c>
      <c r="B112" s="121" t="s">
        <v>4514</v>
      </c>
      <c r="C112" s="121">
        <v>7</v>
      </c>
      <c r="D112" s="121">
        <v>11</v>
      </c>
      <c r="E112" s="121">
        <v>9</v>
      </c>
      <c r="F112" s="121" t="s">
        <v>4589</v>
      </c>
      <c r="G112" s="121" t="s">
        <v>4701</v>
      </c>
      <c r="H112" s="124" t="s">
        <v>513</v>
      </c>
    </row>
    <row r="113" spans="1:8">
      <c r="A113" s="121" t="s">
        <v>4800</v>
      </c>
      <c r="B113" s="121" t="s">
        <v>4515</v>
      </c>
      <c r="C113" s="121">
        <v>2</v>
      </c>
      <c r="D113" s="121">
        <v>1</v>
      </c>
      <c r="E113" s="121">
        <v>2</v>
      </c>
      <c r="F113" s="121" t="s">
        <v>4589</v>
      </c>
      <c r="G113" s="121" t="s">
        <v>4702</v>
      </c>
      <c r="H113" s="124" t="s">
        <v>1673</v>
      </c>
    </row>
    <row r="114" spans="1:8">
      <c r="A114" s="121" t="s">
        <v>4800</v>
      </c>
      <c r="B114" s="121" t="s">
        <v>4516</v>
      </c>
      <c r="C114" s="121">
        <v>20</v>
      </c>
      <c r="D114" s="121">
        <v>5</v>
      </c>
      <c r="E114" s="121">
        <v>0</v>
      </c>
      <c r="F114" s="121" t="s">
        <v>4591</v>
      </c>
      <c r="G114" s="121" t="s">
        <v>4703</v>
      </c>
      <c r="H114" s="124" t="s">
        <v>531</v>
      </c>
    </row>
    <row r="115" spans="1:8">
      <c r="A115" s="121" t="s">
        <v>4800</v>
      </c>
      <c r="B115" s="121" t="s">
        <v>4517</v>
      </c>
      <c r="C115" s="121">
        <v>3</v>
      </c>
      <c r="D115" s="121">
        <v>4</v>
      </c>
      <c r="E115" s="121">
        <v>4</v>
      </c>
      <c r="F115" s="121" t="s">
        <v>4589</v>
      </c>
      <c r="G115" s="121" t="s">
        <v>4704</v>
      </c>
      <c r="H115" s="124" t="s">
        <v>540</v>
      </c>
    </row>
    <row r="116" spans="1:8">
      <c r="A116" s="121" t="s">
        <v>4801</v>
      </c>
      <c r="B116" s="121" t="s">
        <v>4512</v>
      </c>
      <c r="C116" s="121">
        <v>12</v>
      </c>
      <c r="D116" s="121">
        <v>7</v>
      </c>
      <c r="E116" s="121">
        <v>0</v>
      </c>
      <c r="F116" s="121" t="s">
        <v>4591</v>
      </c>
      <c r="G116" s="121" t="s">
        <v>4705</v>
      </c>
      <c r="H116" s="124" t="s">
        <v>1704</v>
      </c>
    </row>
    <row r="117" spans="1:8">
      <c r="A117" s="121" t="s">
        <v>4801</v>
      </c>
      <c r="B117" s="121" t="s">
        <v>4513</v>
      </c>
      <c r="C117" s="121">
        <v>5</v>
      </c>
      <c r="D117" s="121">
        <v>9</v>
      </c>
      <c r="E117" s="121">
        <v>0</v>
      </c>
      <c r="F117" s="121" t="s">
        <v>4593</v>
      </c>
      <c r="G117" s="121" t="s">
        <v>4706</v>
      </c>
      <c r="H117" s="124" t="s">
        <v>1684</v>
      </c>
    </row>
    <row r="118" spans="1:8">
      <c r="A118" s="121" t="s">
        <v>4801</v>
      </c>
      <c r="B118" s="121" t="s">
        <v>4514</v>
      </c>
      <c r="C118" s="121">
        <v>11</v>
      </c>
      <c r="D118" s="121">
        <v>7</v>
      </c>
      <c r="E118" s="121">
        <v>9</v>
      </c>
      <c r="F118" s="121" t="s">
        <v>4589</v>
      </c>
      <c r="G118" s="121" t="s">
        <v>4707</v>
      </c>
      <c r="H118" s="124" t="s">
        <v>513</v>
      </c>
    </row>
    <row r="119" spans="1:8">
      <c r="A119" s="121" t="s">
        <v>4801</v>
      </c>
      <c r="B119" s="121" t="s">
        <v>4515</v>
      </c>
      <c r="C119" s="121">
        <v>1</v>
      </c>
      <c r="D119" s="121">
        <v>2</v>
      </c>
      <c r="E119" s="121">
        <v>2</v>
      </c>
      <c r="F119" s="121" t="s">
        <v>4589</v>
      </c>
      <c r="G119" s="121" t="s">
        <v>4708</v>
      </c>
      <c r="H119" s="124" t="s">
        <v>1673</v>
      </c>
    </row>
    <row r="120" spans="1:8">
      <c r="A120" s="121" t="s">
        <v>4801</v>
      </c>
      <c r="B120" s="121" t="s">
        <v>4516</v>
      </c>
      <c r="C120" s="121">
        <v>23</v>
      </c>
      <c r="D120" s="121">
        <v>2</v>
      </c>
      <c r="E120" s="121">
        <v>0</v>
      </c>
      <c r="F120" s="121" t="s">
        <v>4591</v>
      </c>
      <c r="G120" s="121" t="s">
        <v>4709</v>
      </c>
      <c r="H120" s="124" t="s">
        <v>531</v>
      </c>
    </row>
    <row r="121" spans="1:8">
      <c r="A121" s="121" t="s">
        <v>4801</v>
      </c>
      <c r="B121" s="121" t="s">
        <v>4517</v>
      </c>
      <c r="C121" s="121">
        <v>4</v>
      </c>
      <c r="D121" s="121">
        <v>7</v>
      </c>
      <c r="E121" s="121">
        <v>0</v>
      </c>
      <c r="F121" s="121" t="s">
        <v>4593</v>
      </c>
      <c r="G121" s="121" t="s">
        <v>4710</v>
      </c>
      <c r="H121" s="124" t="s">
        <v>540</v>
      </c>
    </row>
    <row r="122" spans="1:8">
      <c r="A122" s="121" t="s">
        <v>4802</v>
      </c>
      <c r="B122" s="121" t="s">
        <v>4512</v>
      </c>
      <c r="C122" s="121">
        <v>15</v>
      </c>
      <c r="D122" s="121">
        <v>4</v>
      </c>
      <c r="E122" s="121">
        <v>0</v>
      </c>
      <c r="F122" s="121" t="s">
        <v>4591</v>
      </c>
      <c r="G122" s="121" t="s">
        <v>4711</v>
      </c>
      <c r="H122" s="124" t="s">
        <v>1704</v>
      </c>
    </row>
    <row r="123" spans="1:8">
      <c r="A123" s="121" t="s">
        <v>4802</v>
      </c>
      <c r="B123" s="121" t="s">
        <v>4513</v>
      </c>
      <c r="C123" s="121">
        <v>9</v>
      </c>
      <c r="D123" s="121">
        <v>5</v>
      </c>
      <c r="E123" s="121">
        <v>0</v>
      </c>
      <c r="F123" s="121" t="s">
        <v>4591</v>
      </c>
      <c r="G123" s="121" t="s">
        <v>4712</v>
      </c>
      <c r="H123" s="124" t="s">
        <v>1684</v>
      </c>
    </row>
    <row r="124" spans="1:8">
      <c r="A124" s="121" t="s">
        <v>4802</v>
      </c>
      <c r="B124" s="121" t="s">
        <v>4514</v>
      </c>
      <c r="C124" s="121">
        <v>22</v>
      </c>
      <c r="D124" s="121">
        <v>5</v>
      </c>
      <c r="E124" s="121">
        <v>0</v>
      </c>
      <c r="F124" s="121" t="s">
        <v>4591</v>
      </c>
      <c r="G124" s="121" t="s">
        <v>4713</v>
      </c>
      <c r="H124" s="124" t="s">
        <v>513</v>
      </c>
    </row>
    <row r="125" spans="1:8">
      <c r="A125" s="121" t="s">
        <v>4802</v>
      </c>
      <c r="B125" s="121" t="s">
        <v>4515</v>
      </c>
      <c r="C125" s="121">
        <v>3</v>
      </c>
      <c r="D125" s="121">
        <v>2</v>
      </c>
      <c r="E125" s="121">
        <v>0</v>
      </c>
      <c r="F125" s="121" t="s">
        <v>4591</v>
      </c>
      <c r="G125" s="121" t="s">
        <v>4714</v>
      </c>
      <c r="H125" s="124" t="s">
        <v>1673</v>
      </c>
    </row>
    <row r="126" spans="1:8">
      <c r="A126" s="121" t="s">
        <v>4802</v>
      </c>
      <c r="B126" s="121" t="s">
        <v>4516</v>
      </c>
      <c r="C126" s="121">
        <v>2</v>
      </c>
      <c r="D126" s="121">
        <v>23</v>
      </c>
      <c r="E126" s="121">
        <v>0</v>
      </c>
      <c r="F126" s="121" t="s">
        <v>4593</v>
      </c>
      <c r="G126" s="121" t="s">
        <v>4715</v>
      </c>
      <c r="H126" s="124" t="s">
        <v>531</v>
      </c>
    </row>
    <row r="127" spans="1:8">
      <c r="A127" s="121" t="s">
        <v>4802</v>
      </c>
      <c r="B127" s="121" t="s">
        <v>4517</v>
      </c>
      <c r="C127" s="121">
        <v>10</v>
      </c>
      <c r="D127" s="121">
        <v>1</v>
      </c>
      <c r="E127" s="121">
        <v>0</v>
      </c>
      <c r="F127" s="121" t="s">
        <v>4591</v>
      </c>
      <c r="G127" s="121" t="s">
        <v>4716</v>
      </c>
      <c r="H127" s="124" t="s">
        <v>540</v>
      </c>
    </row>
    <row r="128" spans="1:8">
      <c r="A128" s="121" t="s">
        <v>4803</v>
      </c>
      <c r="B128" s="121" t="s">
        <v>4512</v>
      </c>
      <c r="C128" s="121">
        <v>15</v>
      </c>
      <c r="D128" s="121">
        <v>4</v>
      </c>
      <c r="E128" s="121">
        <v>0</v>
      </c>
      <c r="F128" s="121" t="s">
        <v>4591</v>
      </c>
      <c r="G128" s="121" t="s">
        <v>4717</v>
      </c>
      <c r="H128" s="124" t="s">
        <v>1704</v>
      </c>
    </row>
    <row r="129" spans="1:8">
      <c r="A129" s="121" t="s">
        <v>4803</v>
      </c>
      <c r="B129" s="121" t="s">
        <v>4513</v>
      </c>
      <c r="C129" s="121">
        <v>5</v>
      </c>
      <c r="D129" s="121">
        <v>9</v>
      </c>
      <c r="E129" s="121">
        <v>0</v>
      </c>
      <c r="F129" s="121" t="s">
        <v>4593</v>
      </c>
      <c r="G129" s="121" t="s">
        <v>4718</v>
      </c>
      <c r="H129" s="124" t="s">
        <v>1684</v>
      </c>
    </row>
    <row r="130" spans="1:8">
      <c r="A130" s="121" t="s">
        <v>4803</v>
      </c>
      <c r="B130" s="121" t="s">
        <v>4514</v>
      </c>
      <c r="C130" s="121">
        <v>22</v>
      </c>
      <c r="D130" s="121">
        <v>5</v>
      </c>
      <c r="E130" s="121">
        <v>0</v>
      </c>
      <c r="F130" s="121" t="s">
        <v>4591</v>
      </c>
      <c r="G130" s="121" t="s">
        <v>4719</v>
      </c>
      <c r="H130" s="124" t="s">
        <v>513</v>
      </c>
    </row>
    <row r="131" spans="1:8">
      <c r="A131" s="121" t="s">
        <v>4803</v>
      </c>
      <c r="B131" s="121" t="s">
        <v>4515</v>
      </c>
      <c r="C131" s="121">
        <v>3</v>
      </c>
      <c r="D131" s="121">
        <v>2</v>
      </c>
      <c r="E131" s="121">
        <v>0</v>
      </c>
      <c r="F131" s="121" t="s">
        <v>4591</v>
      </c>
      <c r="G131" s="121" t="s">
        <v>4720</v>
      </c>
      <c r="H131" s="124" t="s">
        <v>1673</v>
      </c>
    </row>
    <row r="132" spans="1:8">
      <c r="A132" s="121" t="s">
        <v>4803</v>
      </c>
      <c r="B132" s="121" t="s">
        <v>4516</v>
      </c>
      <c r="C132" s="121">
        <v>6</v>
      </c>
      <c r="D132" s="121">
        <v>10</v>
      </c>
      <c r="E132" s="121">
        <v>9</v>
      </c>
      <c r="F132" s="121" t="s">
        <v>4589</v>
      </c>
      <c r="G132" s="121" t="s">
        <v>4721</v>
      </c>
      <c r="H132" s="124" t="s">
        <v>531</v>
      </c>
    </row>
    <row r="133" spans="1:8">
      <c r="A133" s="121" t="s">
        <v>4803</v>
      </c>
      <c r="B133" s="121" t="s">
        <v>4517</v>
      </c>
      <c r="C133" s="121">
        <v>1</v>
      </c>
      <c r="D133" s="121">
        <v>10</v>
      </c>
      <c r="E133" s="121">
        <v>0</v>
      </c>
      <c r="F133" s="121" t="s">
        <v>4593</v>
      </c>
      <c r="G133" s="121" t="s">
        <v>4722</v>
      </c>
      <c r="H133" s="124" t="s">
        <v>540</v>
      </c>
    </row>
    <row r="134" spans="1:8">
      <c r="A134" s="121" t="s">
        <v>4804</v>
      </c>
      <c r="B134" s="121" t="s">
        <v>4512</v>
      </c>
      <c r="C134" s="121">
        <v>4</v>
      </c>
      <c r="D134" s="121">
        <v>15</v>
      </c>
      <c r="E134" s="121">
        <v>0</v>
      </c>
      <c r="F134" s="121" t="s">
        <v>4593</v>
      </c>
      <c r="G134" s="121" t="s">
        <v>4723</v>
      </c>
      <c r="H134" s="124" t="s">
        <v>1704</v>
      </c>
    </row>
    <row r="135" spans="1:8">
      <c r="A135" s="121" t="s">
        <v>4804</v>
      </c>
      <c r="B135" s="121" t="s">
        <v>4513</v>
      </c>
      <c r="C135" s="121">
        <v>13</v>
      </c>
      <c r="D135" s="121">
        <v>1</v>
      </c>
      <c r="E135" s="121">
        <v>0</v>
      </c>
      <c r="F135" s="121" t="s">
        <v>4591</v>
      </c>
      <c r="G135" s="121" t="s">
        <v>4724</v>
      </c>
      <c r="H135" s="124" t="s">
        <v>1684</v>
      </c>
    </row>
    <row r="136" spans="1:8">
      <c r="A136" s="121" t="s">
        <v>4804</v>
      </c>
      <c r="B136" s="121" t="s">
        <v>4514</v>
      </c>
      <c r="C136" s="121">
        <v>11</v>
      </c>
      <c r="D136" s="121">
        <v>7</v>
      </c>
      <c r="E136" s="121">
        <v>9</v>
      </c>
      <c r="F136" s="121" t="s">
        <v>4589</v>
      </c>
      <c r="G136" s="121" t="s">
        <v>4725</v>
      </c>
      <c r="H136" s="124" t="s">
        <v>513</v>
      </c>
    </row>
    <row r="137" spans="1:8">
      <c r="A137" s="121" t="s">
        <v>4804</v>
      </c>
      <c r="B137" s="121" t="s">
        <v>4515</v>
      </c>
      <c r="C137" s="121">
        <v>4</v>
      </c>
      <c r="D137" s="121">
        <v>1</v>
      </c>
      <c r="E137" s="121">
        <v>0</v>
      </c>
      <c r="F137" s="121" t="s">
        <v>4591</v>
      </c>
      <c r="G137" s="121" t="s">
        <v>4726</v>
      </c>
      <c r="H137" s="124" t="s">
        <v>1673</v>
      </c>
    </row>
    <row r="138" spans="1:8">
      <c r="A138" s="121" t="s">
        <v>4804</v>
      </c>
      <c r="B138" s="121" t="s">
        <v>4516</v>
      </c>
      <c r="C138" s="121">
        <v>5</v>
      </c>
      <c r="D138" s="121">
        <v>20</v>
      </c>
      <c r="E138" s="121">
        <v>0</v>
      </c>
      <c r="F138" s="121" t="s">
        <v>4593</v>
      </c>
      <c r="G138" s="121" t="s">
        <v>4727</v>
      </c>
      <c r="H138" s="124" t="s">
        <v>531</v>
      </c>
    </row>
    <row r="139" spans="1:8">
      <c r="A139" s="121" t="s">
        <v>4804</v>
      </c>
      <c r="B139" s="121" t="s">
        <v>4517</v>
      </c>
      <c r="C139" s="121">
        <v>4</v>
      </c>
      <c r="D139" s="121">
        <v>7</v>
      </c>
      <c r="E139" s="121">
        <v>0</v>
      </c>
      <c r="F139" s="121" t="s">
        <v>4593</v>
      </c>
      <c r="G139" s="121" t="s">
        <v>4728</v>
      </c>
      <c r="H139" s="124" t="s">
        <v>540</v>
      </c>
    </row>
    <row r="140" spans="1:8">
      <c r="A140" s="121" t="s">
        <v>4805</v>
      </c>
      <c r="B140" s="121" t="s">
        <v>4512</v>
      </c>
      <c r="C140" s="121">
        <v>1</v>
      </c>
      <c r="D140" s="121">
        <v>18</v>
      </c>
      <c r="E140" s="121">
        <v>0</v>
      </c>
      <c r="F140" s="121" t="s">
        <v>4593</v>
      </c>
      <c r="G140" s="121" t="s">
        <v>4729</v>
      </c>
      <c r="H140" s="124" t="s">
        <v>1704</v>
      </c>
    </row>
    <row r="141" spans="1:8">
      <c r="A141" s="121" t="s">
        <v>4805</v>
      </c>
      <c r="B141" s="121" t="s">
        <v>4513</v>
      </c>
      <c r="C141" s="121">
        <v>1</v>
      </c>
      <c r="D141" s="121">
        <v>13</v>
      </c>
      <c r="E141" s="121">
        <v>0</v>
      </c>
      <c r="F141" s="121" t="s">
        <v>4593</v>
      </c>
      <c r="G141" s="121" t="s">
        <v>4730</v>
      </c>
      <c r="H141" s="124" t="s">
        <v>1684</v>
      </c>
    </row>
    <row r="142" spans="1:8">
      <c r="A142" s="121" t="s">
        <v>4805</v>
      </c>
      <c r="B142" s="121" t="s">
        <v>4514</v>
      </c>
      <c r="C142" s="121">
        <v>7</v>
      </c>
      <c r="D142" s="121">
        <v>11</v>
      </c>
      <c r="E142" s="121">
        <v>9</v>
      </c>
      <c r="F142" s="121" t="s">
        <v>4589</v>
      </c>
      <c r="G142" s="121" t="s">
        <v>4731</v>
      </c>
      <c r="H142" s="124" t="s">
        <v>513</v>
      </c>
    </row>
    <row r="143" spans="1:8">
      <c r="A143" s="121" t="s">
        <v>4805</v>
      </c>
      <c r="B143" s="121" t="s">
        <v>4515</v>
      </c>
      <c r="C143" s="121">
        <v>1</v>
      </c>
      <c r="D143" s="121">
        <v>2</v>
      </c>
      <c r="E143" s="121">
        <v>2</v>
      </c>
      <c r="F143" s="121" t="s">
        <v>4589</v>
      </c>
      <c r="G143" s="121" t="s">
        <v>4732</v>
      </c>
      <c r="H143" s="124" t="s">
        <v>1673</v>
      </c>
    </row>
    <row r="144" spans="1:8">
      <c r="A144" s="121" t="s">
        <v>4805</v>
      </c>
      <c r="B144" s="121" t="s">
        <v>4516</v>
      </c>
      <c r="C144" s="121">
        <v>20</v>
      </c>
      <c r="D144" s="121">
        <v>5</v>
      </c>
      <c r="E144" s="121">
        <v>0</v>
      </c>
      <c r="F144" s="121" t="s">
        <v>4591</v>
      </c>
      <c r="G144" s="121" t="s">
        <v>4733</v>
      </c>
      <c r="H144" s="124" t="s">
        <v>531</v>
      </c>
    </row>
    <row r="145" spans="1:8">
      <c r="A145" s="121" t="s">
        <v>4805</v>
      </c>
      <c r="B145" s="121" t="s">
        <v>4517</v>
      </c>
      <c r="C145" s="121">
        <v>10</v>
      </c>
      <c r="D145" s="121">
        <v>1</v>
      </c>
      <c r="E145" s="121">
        <v>0</v>
      </c>
      <c r="F145" s="121" t="s">
        <v>4591</v>
      </c>
      <c r="G145" s="121" t="s">
        <v>4734</v>
      </c>
      <c r="H145" s="124" t="s">
        <v>540</v>
      </c>
    </row>
    <row r="146" spans="1:8" ht="30">
      <c r="A146" s="121" t="s">
        <v>4806</v>
      </c>
      <c r="B146" s="121" t="s">
        <v>4512</v>
      </c>
      <c r="C146" s="121">
        <v>0</v>
      </c>
      <c r="D146" s="121">
        <v>19</v>
      </c>
      <c r="E146" s="121">
        <v>0</v>
      </c>
      <c r="F146" s="121" t="s">
        <v>4593</v>
      </c>
      <c r="G146" s="121" t="s">
        <v>4846</v>
      </c>
      <c r="H146" s="124" t="s">
        <v>1704</v>
      </c>
    </row>
    <row r="147" spans="1:8">
      <c r="A147" s="121" t="s">
        <v>4806</v>
      </c>
      <c r="B147" s="121" t="s">
        <v>4513</v>
      </c>
      <c r="C147" s="121">
        <v>6</v>
      </c>
      <c r="D147" s="121">
        <v>8</v>
      </c>
      <c r="E147" s="121">
        <v>0</v>
      </c>
      <c r="F147" s="121" t="s">
        <v>4593</v>
      </c>
      <c r="G147" s="121" t="s">
        <v>4847</v>
      </c>
      <c r="H147" s="124" t="s">
        <v>1684</v>
      </c>
    </row>
    <row r="148" spans="1:8">
      <c r="A148" s="121" t="s">
        <v>4806</v>
      </c>
      <c r="B148" s="121" t="s">
        <v>4514</v>
      </c>
      <c r="C148" s="121">
        <v>7</v>
      </c>
      <c r="D148" s="121">
        <v>11</v>
      </c>
      <c r="E148" s="121">
        <v>9</v>
      </c>
      <c r="F148" s="121" t="s">
        <v>4589</v>
      </c>
      <c r="G148" s="121" t="s">
        <v>4844</v>
      </c>
      <c r="H148" s="124" t="s">
        <v>513</v>
      </c>
    </row>
    <row r="149" spans="1:8">
      <c r="A149" s="121" t="s">
        <v>4806</v>
      </c>
      <c r="B149" s="121" t="s">
        <v>4515</v>
      </c>
      <c r="C149" s="121">
        <v>4</v>
      </c>
      <c r="D149" s="121">
        <v>0</v>
      </c>
      <c r="E149" s="121">
        <v>1</v>
      </c>
      <c r="F149" s="121" t="s">
        <v>4591</v>
      </c>
      <c r="G149" s="121" t="s">
        <v>4735</v>
      </c>
      <c r="H149" s="124" t="s">
        <v>1673</v>
      </c>
    </row>
    <row r="150" spans="1:8">
      <c r="A150" s="121" t="s">
        <v>4806</v>
      </c>
      <c r="B150" s="121" t="s">
        <v>4516</v>
      </c>
      <c r="C150" s="121">
        <v>25</v>
      </c>
      <c r="D150" s="121">
        <v>0</v>
      </c>
      <c r="E150" s="121">
        <v>0</v>
      </c>
      <c r="F150" s="121" t="s">
        <v>4591</v>
      </c>
      <c r="G150" s="121" t="s">
        <v>4736</v>
      </c>
      <c r="H150" s="124" t="s">
        <v>531</v>
      </c>
    </row>
    <row r="151" spans="1:8">
      <c r="A151" s="121" t="s">
        <v>4806</v>
      </c>
      <c r="B151" s="121" t="s">
        <v>4517</v>
      </c>
      <c r="C151" s="121">
        <v>6</v>
      </c>
      <c r="D151" s="121">
        <v>5</v>
      </c>
      <c r="E151" s="121">
        <v>0</v>
      </c>
      <c r="F151" s="121" t="s">
        <v>4591</v>
      </c>
      <c r="G151" s="121" t="s">
        <v>4845</v>
      </c>
      <c r="H151" s="124" t="s">
        <v>540</v>
      </c>
    </row>
    <row r="152" spans="1:8">
      <c r="A152" s="121" t="s">
        <v>4807</v>
      </c>
      <c r="B152" s="121" t="s">
        <v>4512</v>
      </c>
      <c r="C152" s="121">
        <v>7</v>
      </c>
      <c r="D152" s="121">
        <v>12</v>
      </c>
      <c r="E152" s="121">
        <v>0</v>
      </c>
      <c r="F152" s="121" t="s">
        <v>4593</v>
      </c>
      <c r="G152" s="121" t="s">
        <v>4737</v>
      </c>
      <c r="H152" s="124" t="s">
        <v>1704</v>
      </c>
    </row>
    <row r="153" spans="1:8">
      <c r="A153" s="121" t="s">
        <v>4807</v>
      </c>
      <c r="B153" s="121" t="s">
        <v>4513</v>
      </c>
      <c r="C153" s="121">
        <v>5</v>
      </c>
      <c r="D153" s="121">
        <v>9</v>
      </c>
      <c r="E153" s="121">
        <v>0</v>
      </c>
      <c r="F153" s="121" t="s">
        <v>4593</v>
      </c>
      <c r="G153" s="121" t="s">
        <v>4738</v>
      </c>
      <c r="H153" s="124" t="s">
        <v>1684</v>
      </c>
    </row>
    <row r="154" spans="1:8">
      <c r="A154" s="121" t="s">
        <v>4807</v>
      </c>
      <c r="B154" s="121" t="s">
        <v>4514</v>
      </c>
      <c r="C154" s="121">
        <v>5</v>
      </c>
      <c r="D154" s="121">
        <v>22</v>
      </c>
      <c r="E154" s="121">
        <v>0</v>
      </c>
      <c r="F154" s="121" t="s">
        <v>4593</v>
      </c>
      <c r="G154" s="121" t="s">
        <v>4739</v>
      </c>
      <c r="H154" s="124" t="s">
        <v>513</v>
      </c>
    </row>
    <row r="155" spans="1:8">
      <c r="A155" s="121" t="s">
        <v>4807</v>
      </c>
      <c r="B155" s="121" t="s">
        <v>4515</v>
      </c>
      <c r="C155" s="121">
        <v>0</v>
      </c>
      <c r="D155" s="121">
        <v>5</v>
      </c>
      <c r="E155" s="121">
        <v>0</v>
      </c>
      <c r="F155" s="121" t="s">
        <v>4593</v>
      </c>
      <c r="G155" s="121" t="s">
        <v>4740</v>
      </c>
      <c r="H155" s="124" t="s">
        <v>1673</v>
      </c>
    </row>
    <row r="156" spans="1:8">
      <c r="A156" s="121" t="s">
        <v>4807</v>
      </c>
      <c r="B156" s="121" t="s">
        <v>4516</v>
      </c>
      <c r="C156" s="121">
        <v>2</v>
      </c>
      <c r="D156" s="121">
        <v>23</v>
      </c>
      <c r="E156" s="121">
        <v>0</v>
      </c>
      <c r="F156" s="121" t="s">
        <v>4593</v>
      </c>
      <c r="G156" s="121" t="s">
        <v>4741</v>
      </c>
      <c r="H156" s="124" t="s">
        <v>531</v>
      </c>
    </row>
    <row r="157" spans="1:8">
      <c r="A157" s="121" t="s">
        <v>4807</v>
      </c>
      <c r="B157" s="121" t="s">
        <v>4517</v>
      </c>
      <c r="C157" s="121">
        <v>4</v>
      </c>
      <c r="D157" s="121">
        <v>7</v>
      </c>
      <c r="E157" s="121">
        <v>0</v>
      </c>
      <c r="F157" s="121" t="s">
        <v>4593</v>
      </c>
      <c r="G157" s="121" t="s">
        <v>4742</v>
      </c>
      <c r="H157" s="124" t="s">
        <v>540</v>
      </c>
    </row>
    <row r="158" spans="1:8">
      <c r="A158" s="121" t="s">
        <v>4808</v>
      </c>
      <c r="B158" s="121" t="s">
        <v>4512</v>
      </c>
      <c r="C158" s="121">
        <v>15</v>
      </c>
      <c r="D158" s="121">
        <v>4</v>
      </c>
      <c r="E158" s="121">
        <v>0</v>
      </c>
      <c r="F158" s="121" t="s">
        <v>4591</v>
      </c>
      <c r="G158" s="121" t="s">
        <v>4743</v>
      </c>
      <c r="H158" s="124" t="s">
        <v>1704</v>
      </c>
    </row>
    <row r="159" spans="1:8">
      <c r="A159" s="121" t="s">
        <v>4808</v>
      </c>
      <c r="B159" s="121" t="s">
        <v>4513</v>
      </c>
      <c r="C159" s="121">
        <v>9</v>
      </c>
      <c r="D159" s="121">
        <v>5</v>
      </c>
      <c r="E159" s="121">
        <v>0</v>
      </c>
      <c r="F159" s="121" t="s">
        <v>4591</v>
      </c>
      <c r="G159" s="121" t="s">
        <v>4744</v>
      </c>
      <c r="H159" s="124" t="s">
        <v>1684</v>
      </c>
    </row>
    <row r="160" spans="1:8">
      <c r="A160" s="121" t="s">
        <v>4808</v>
      </c>
      <c r="B160" s="121" t="s">
        <v>4514</v>
      </c>
      <c r="C160" s="121">
        <v>7</v>
      </c>
      <c r="D160" s="121">
        <v>11</v>
      </c>
      <c r="E160" s="121">
        <v>9</v>
      </c>
      <c r="F160" s="121" t="s">
        <v>4589</v>
      </c>
      <c r="G160" s="121" t="s">
        <v>4745</v>
      </c>
      <c r="H160" s="124" t="s">
        <v>513</v>
      </c>
    </row>
    <row r="161" spans="1:8">
      <c r="A161" s="121" t="s">
        <v>4808</v>
      </c>
      <c r="B161" s="121" t="s">
        <v>4515</v>
      </c>
      <c r="C161" s="121">
        <v>2</v>
      </c>
      <c r="D161" s="121">
        <v>1</v>
      </c>
      <c r="E161" s="121">
        <v>2</v>
      </c>
      <c r="F161" s="121" t="s">
        <v>4589</v>
      </c>
      <c r="G161" s="121" t="s">
        <v>4746</v>
      </c>
      <c r="H161" s="124" t="s">
        <v>1673</v>
      </c>
    </row>
    <row r="162" spans="1:8">
      <c r="A162" s="121" t="s">
        <v>4808</v>
      </c>
      <c r="B162" s="121" t="s">
        <v>4516</v>
      </c>
      <c r="C162" s="121">
        <v>2</v>
      </c>
      <c r="D162" s="121">
        <v>23</v>
      </c>
      <c r="E162" s="121">
        <v>0</v>
      </c>
      <c r="F162" s="121" t="s">
        <v>4593</v>
      </c>
      <c r="G162" s="121" t="s">
        <v>4747</v>
      </c>
      <c r="H162" s="124" t="s">
        <v>531</v>
      </c>
    </row>
    <row r="163" spans="1:8">
      <c r="A163" s="121" t="s">
        <v>4808</v>
      </c>
      <c r="B163" s="121" t="s">
        <v>4517</v>
      </c>
      <c r="C163" s="121">
        <v>2</v>
      </c>
      <c r="D163" s="121">
        <v>9</v>
      </c>
      <c r="E163" s="121">
        <v>0</v>
      </c>
      <c r="F163" s="121" t="s">
        <v>4593</v>
      </c>
      <c r="G163" s="121" t="s">
        <v>4748</v>
      </c>
      <c r="H163" s="124" t="s">
        <v>540</v>
      </c>
    </row>
    <row r="164" spans="1:8">
      <c r="A164" s="121" t="s">
        <v>4809</v>
      </c>
      <c r="B164" s="121" t="s">
        <v>4512</v>
      </c>
      <c r="C164" s="121">
        <v>7</v>
      </c>
      <c r="D164" s="121">
        <v>4</v>
      </c>
      <c r="E164" s="121">
        <v>8</v>
      </c>
      <c r="F164" s="121" t="s">
        <v>4589</v>
      </c>
      <c r="G164" s="121" t="s">
        <v>4749</v>
      </c>
      <c r="H164" s="124" t="s">
        <v>1704</v>
      </c>
    </row>
    <row r="165" spans="1:8">
      <c r="A165" s="121" t="s">
        <v>4809</v>
      </c>
      <c r="B165" s="121" t="s">
        <v>4513</v>
      </c>
      <c r="C165" s="121">
        <v>3</v>
      </c>
      <c r="D165" s="121">
        <v>5</v>
      </c>
      <c r="E165" s="121">
        <v>6</v>
      </c>
      <c r="F165" s="121" t="s">
        <v>4589</v>
      </c>
      <c r="G165" s="121" t="s">
        <v>4750</v>
      </c>
      <c r="H165" s="124" t="s">
        <v>1684</v>
      </c>
    </row>
    <row r="166" spans="1:8">
      <c r="A166" s="121" t="s">
        <v>4809</v>
      </c>
      <c r="B166" s="121" t="s">
        <v>4514</v>
      </c>
      <c r="C166" s="121">
        <v>17</v>
      </c>
      <c r="D166" s="121">
        <v>10</v>
      </c>
      <c r="E166" s="121">
        <v>0</v>
      </c>
      <c r="F166" s="121" t="s">
        <v>4591</v>
      </c>
      <c r="G166" s="121" t="s">
        <v>4751</v>
      </c>
      <c r="H166" s="124" t="s">
        <v>513</v>
      </c>
    </row>
    <row r="167" spans="1:8">
      <c r="A167" s="121" t="s">
        <v>4809</v>
      </c>
      <c r="B167" s="121" t="s">
        <v>4515</v>
      </c>
      <c r="C167" s="121">
        <v>2</v>
      </c>
      <c r="D167" s="121">
        <v>1</v>
      </c>
      <c r="E167" s="121">
        <v>2</v>
      </c>
      <c r="F167" s="121" t="s">
        <v>4589</v>
      </c>
      <c r="G167" s="121" t="s">
        <v>4752</v>
      </c>
      <c r="H167" s="124" t="s">
        <v>1673</v>
      </c>
    </row>
    <row r="168" spans="1:8">
      <c r="A168" s="121" t="s">
        <v>4809</v>
      </c>
      <c r="B168" s="121" t="s">
        <v>4516</v>
      </c>
      <c r="C168" s="121">
        <v>10</v>
      </c>
      <c r="D168" s="121">
        <v>6</v>
      </c>
      <c r="E168" s="121">
        <v>9</v>
      </c>
      <c r="F168" s="121" t="s">
        <v>4589</v>
      </c>
      <c r="G168" s="121" t="s">
        <v>4753</v>
      </c>
      <c r="H168" s="124" t="s">
        <v>531</v>
      </c>
    </row>
    <row r="169" spans="1:8">
      <c r="A169" s="121" t="s">
        <v>4809</v>
      </c>
      <c r="B169" s="121" t="s">
        <v>4517</v>
      </c>
      <c r="C169" s="121">
        <v>4</v>
      </c>
      <c r="D169" s="121">
        <v>7</v>
      </c>
      <c r="E169" s="121">
        <v>0</v>
      </c>
      <c r="F169" s="121" t="s">
        <v>4593</v>
      </c>
      <c r="G169" s="121" t="s">
        <v>4754</v>
      </c>
      <c r="H169" s="124" t="s">
        <v>540</v>
      </c>
    </row>
    <row r="170" spans="1:8">
      <c r="A170" s="121" t="s">
        <v>4810</v>
      </c>
      <c r="B170" s="121" t="s">
        <v>4512</v>
      </c>
      <c r="C170" s="121">
        <v>18</v>
      </c>
      <c r="D170" s="121">
        <v>1</v>
      </c>
      <c r="E170" s="121">
        <v>0</v>
      </c>
      <c r="F170" s="121" t="s">
        <v>4591</v>
      </c>
      <c r="G170" s="121" t="s">
        <v>4755</v>
      </c>
      <c r="H170" s="124" t="s">
        <v>1704</v>
      </c>
    </row>
    <row r="171" spans="1:8">
      <c r="A171" s="121" t="s">
        <v>4810</v>
      </c>
      <c r="B171" s="121" t="s">
        <v>4513</v>
      </c>
      <c r="C171" s="121">
        <v>13</v>
      </c>
      <c r="D171" s="121">
        <v>1</v>
      </c>
      <c r="E171" s="121">
        <v>0</v>
      </c>
      <c r="F171" s="121" t="s">
        <v>4591</v>
      </c>
      <c r="G171" s="121" t="s">
        <v>4756</v>
      </c>
      <c r="H171" s="124" t="s">
        <v>1684</v>
      </c>
    </row>
    <row r="172" spans="1:8">
      <c r="A172" s="121" t="s">
        <v>4810</v>
      </c>
      <c r="B172" s="121" t="s">
        <v>4514</v>
      </c>
      <c r="C172" s="121">
        <v>17</v>
      </c>
      <c r="D172" s="121">
        <v>10</v>
      </c>
      <c r="E172" s="121">
        <v>0</v>
      </c>
      <c r="F172" s="121" t="s">
        <v>4591</v>
      </c>
      <c r="G172" s="121" t="s">
        <v>4774</v>
      </c>
      <c r="H172" s="124" t="s">
        <v>513</v>
      </c>
    </row>
    <row r="173" spans="1:8">
      <c r="A173" s="121" t="s">
        <v>4810</v>
      </c>
      <c r="B173" s="121" t="s">
        <v>4515</v>
      </c>
      <c r="C173" s="121">
        <v>1</v>
      </c>
      <c r="D173" s="121">
        <v>2</v>
      </c>
      <c r="E173" s="121">
        <v>2</v>
      </c>
      <c r="F173" s="121" t="s">
        <v>4589</v>
      </c>
      <c r="G173" s="121" t="s">
        <v>4757</v>
      </c>
      <c r="H173" s="124" t="s">
        <v>1673</v>
      </c>
    </row>
    <row r="174" spans="1:8">
      <c r="A174" s="121" t="s">
        <v>4810</v>
      </c>
      <c r="B174" s="121" t="s">
        <v>4516</v>
      </c>
      <c r="C174" s="121">
        <v>4</v>
      </c>
      <c r="D174" s="121">
        <v>16</v>
      </c>
      <c r="E174" s="121">
        <v>5</v>
      </c>
      <c r="F174" s="121" t="s">
        <v>4589</v>
      </c>
      <c r="G174" s="121" t="s">
        <v>4773</v>
      </c>
      <c r="H174" s="124" t="s">
        <v>531</v>
      </c>
    </row>
    <row r="175" spans="1:8">
      <c r="A175" s="121" t="s">
        <v>4810</v>
      </c>
      <c r="B175" s="121" t="s">
        <v>4517</v>
      </c>
      <c r="C175" s="121">
        <v>10</v>
      </c>
      <c r="D175" s="121">
        <v>1</v>
      </c>
      <c r="E175" s="121">
        <v>0</v>
      </c>
      <c r="F175" s="121" t="s">
        <v>4591</v>
      </c>
      <c r="G175" s="121" t="s">
        <v>4758</v>
      </c>
      <c r="H175" s="124" t="s">
        <v>540</v>
      </c>
    </row>
    <row r="176" spans="1:8">
      <c r="A176" s="121" t="s">
        <v>4811</v>
      </c>
      <c r="B176" s="121" t="s">
        <v>4512</v>
      </c>
      <c r="C176" s="121">
        <v>12</v>
      </c>
      <c r="D176" s="121">
        <v>7</v>
      </c>
      <c r="E176" s="121">
        <v>0</v>
      </c>
      <c r="F176" s="121" t="s">
        <v>4591</v>
      </c>
      <c r="G176" s="121" t="s">
        <v>4759</v>
      </c>
      <c r="H176" s="124" t="s">
        <v>1704</v>
      </c>
    </row>
    <row r="177" spans="1:8">
      <c r="A177" s="121" t="s">
        <v>4811</v>
      </c>
      <c r="B177" s="121" t="s">
        <v>4513</v>
      </c>
      <c r="C177" s="121">
        <v>5</v>
      </c>
      <c r="D177" s="121">
        <v>3</v>
      </c>
      <c r="E177" s="121">
        <v>6</v>
      </c>
      <c r="F177" s="121" t="s">
        <v>4589</v>
      </c>
      <c r="G177" s="121" t="s">
        <v>4760</v>
      </c>
      <c r="H177" s="124" t="s">
        <v>1684</v>
      </c>
    </row>
    <row r="178" spans="1:8">
      <c r="A178" s="121" t="s">
        <v>4811</v>
      </c>
      <c r="B178" s="121" t="s">
        <v>4514</v>
      </c>
      <c r="C178" s="121">
        <v>7</v>
      </c>
      <c r="D178" s="121">
        <v>11</v>
      </c>
      <c r="E178" s="121">
        <v>9</v>
      </c>
      <c r="F178" s="121" t="s">
        <v>4593</v>
      </c>
      <c r="G178" s="121" t="s">
        <v>4763</v>
      </c>
      <c r="H178" s="124" t="s">
        <v>513</v>
      </c>
    </row>
    <row r="179" spans="1:8">
      <c r="A179" s="121" t="s">
        <v>4811</v>
      </c>
      <c r="B179" s="121" t="s">
        <v>4515</v>
      </c>
      <c r="C179" s="121">
        <v>2</v>
      </c>
      <c r="D179" s="121">
        <v>3</v>
      </c>
      <c r="E179" s="121">
        <v>0</v>
      </c>
      <c r="F179" s="121" t="s">
        <v>4589</v>
      </c>
      <c r="G179" s="121" t="s">
        <v>4761</v>
      </c>
      <c r="H179" s="124" t="s">
        <v>1673</v>
      </c>
    </row>
    <row r="180" spans="1:8" ht="30">
      <c r="A180" s="121" t="s">
        <v>4811</v>
      </c>
      <c r="B180" s="121" t="s">
        <v>4516</v>
      </c>
      <c r="C180" s="121">
        <v>0</v>
      </c>
      <c r="D180" s="121">
        <v>16</v>
      </c>
      <c r="E180" s="121">
        <v>9</v>
      </c>
      <c r="F180" s="121" t="s">
        <v>4593</v>
      </c>
      <c r="G180" s="121" t="s">
        <v>4772</v>
      </c>
      <c r="H180" s="124" t="s">
        <v>531</v>
      </c>
    </row>
    <row r="181" spans="1:8">
      <c r="A181" s="121" t="s">
        <v>4811</v>
      </c>
      <c r="B181" s="121" t="s">
        <v>4517</v>
      </c>
      <c r="C181" s="121">
        <v>0</v>
      </c>
      <c r="D181" s="121">
        <v>11</v>
      </c>
      <c r="E181" s="121">
        <v>0</v>
      </c>
      <c r="F181" s="121" t="s">
        <v>4593</v>
      </c>
      <c r="G181" s="121" t="s">
        <v>4762</v>
      </c>
      <c r="H181" s="124" t="s">
        <v>540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IF(C2&gt;=50,"Passes","Fails")</f>
        <v>Fails</v>
      </c>
      <c r="H2" s="121">
        <f>C2-50</f>
        <v>-5</v>
      </c>
      <c r="I2" s="121" t="str">
        <f>IF(OR(C2=50,C2=50-1),"SWING","—")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IF(C3&gt;=50,"Passes","Fails")</f>
        <v>Passes</v>
      </c>
      <c r="H3" s="121">
        <f t="shared" ref="H3:H31" si="2">C3-50</f>
        <v>26</v>
      </c>
      <c r="I3" s="121" t="str">
        <f t="shared" ref="I3:I31" si="3">IF(OR(C3=50,C3=50-1),"SWING","—")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3</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32</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2</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12</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18</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13</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4</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5</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-9</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8</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10</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21</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-2</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-15</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12</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5</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-6</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6</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11</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2</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-9</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-10</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-2</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-27</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-13</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-7</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13</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-24</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4527</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s">
        <v>5286</v>
      </c>
    </row>
    <row r="12" spans="1:2">
      <c r="A12" t="s">
        <v>853</v>
      </c>
      <c r="B12" t="s">
        <v>5287</v>
      </c>
    </row>
    <row r="13" spans="1:2">
      <c r="A13" t="s">
        <v>859</v>
      </c>
      <c r="B13" t="s">
        <v>5288</v>
      </c>
    </row>
    <row r="14" spans="1:2">
      <c r="A14" t="s">
        <v>864</v>
      </c>
      <c r="B14" t="s">
        <v>5289</v>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s">
        <v>5333</v>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5131</v>
      </c>
      <c r="B1" t="s">
        <v>597</v>
      </c>
      <c r="C1" t="s">
        <v>5132</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5133</v>
      </c>
      <c r="B1" t="s">
        <v>597</v>
      </c>
      <c r="C1" t="s">
        <v>5134</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5135</v>
      </c>
      <c r="B1" t="s">
        <v>5132</v>
      </c>
      <c r="C1" t="s">
        <v>597</v>
      </c>
      <c r="D1" t="s">
        <v>5136</v>
      </c>
      <c r="E1" t="s">
        <v>5137</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organisations it concerns. Answer in a suit the question handles well (tap a card to see) and those organisations are pleased; answer badly and they are annoyed. Some questions also set other organisations back when answered well. No organisation has a fixed favourite suit, but across many questions some suits please some organisations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I1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row>
    <row r="2">
      <c r="A2" t="inlineStr">
        <is>
          <t xml:space="preserve">PL01</t>
        </is>
      </c>
      <c r="B2" t="inlineStr">
        <is>
          <t xml:space="preserve">Earnest</t>
        </is>
      </c>
      <c r="C2" t="inlineStr">
        <is>
          <t xml:space="preserve">attack</t>
        </is>
      </c>
      <c r="D2" t="inlineStr">
        <is>
          <t xml:space="preserve">ST01; ST09; ST10; ST11; ST12; ST13; ST14; ST15; ST16; ST17; ST18</t>
        </is>
      </c>
      <c r="E2" t="inlineStr">
        <is>
          <t xml:space="preserve">That is not what the record shows.</t>
        </is>
      </c>
      <c r="F2" t="inlineStr">
        <is>
          <t xml:space="preserve">Let us be honest about who failed.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apologise for compassion.</t>
        </is>
      </c>
    </row>
    <row r="8">
      <c r="A8" t="inlineStr">
        <is>
          <t xml:space="preserve">PL07</t>
        </is>
      </c>
      <c r="B8" t="inlineStr">
        <is>
          <t xml:space="preserve">Appeal</t>
        </is>
      </c>
      <c r="C8" t="inlineStr">
        <is>
          <t xml:space="preserve">attack</t>
        </is>
      </c>
      <c r="D8" t="inlineStr">
        <is>
          <t xml:space="preserve">ST01; ST09; ST10; ST11; ST12; ST13; ST14; ST15; ST16; ST17; ST18</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rumours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sheetData>
  <legacyDrawing r:id="rId1"/>
</worksheet>
</file>

<file path=xl/worksheets/sheet46.xml><?xml version="1.0" encoding="utf-8"?>
<worksheet xmlns="http://schemas.openxmlformats.org/spreadsheetml/2006/main" xmlns:r="http://schemas.openxmlformats.org/officeDocument/2006/relationships">
  <dimension ref="A1:K34"/>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t>
        </is>
      </c>
      <c r="C11" t="inlineStr">
        <is>
          <t xml:space="preserve">Can we afford the defence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t>
        </is>
      </c>
      <c r="C16" t="inlineStr">
        <is>
          <t xml:space="preserve">Should the rules of debate favour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t>
        </is>
      </c>
      <c r="C21" t="inlineStr">
        <is>
          <t xml:space="preserve">How exposed are our supply chains to a single neighbour?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neighbourhood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sheetData>
  <legacyDrawing r:id="rId1"/>
</worksheet>
</file>

<file path=xl/worksheets/sheet47.xml><?xml version="1.0" encoding="utf-8"?>
<worksheet xmlns="http://schemas.openxmlformats.org/spreadsheetml/2006/main" xmlns:r="http://schemas.openxmlformats.org/officeDocument/2006/relationships">
  <dimension ref="A1:K6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BO15 -2; BO23 -2</t>
        </is>
      </c>
      <c r="K2" t="inlineStr">
        <is>
          <t xml:space="preserve">Draft 2026-10-12: Ainu groups gain; traditionalists and taxpayers object.</t>
        </is>
      </c>
    </row>
    <row r="3">
      <c r="A3" t="inlineStr">
        <is>
          <t xml:space="preserve">LW02</t>
        </is>
      </c>
      <c r="B3" t="inlineStr">
        <is>
          <t xml:space="preserve">BI01</t>
        </is>
      </c>
      <c r="C3" t="inlineStr">
        <is>
          <t xml:space="preserve">Failed</t>
        </is>
      </c>
      <c r="D3" t="inlineStr">
        <is>
          <t xml:space="preserve">Once</t>
        </is>
      </c>
      <c r="E3" t="inlineStr">
        <is>
          <t xml:space="preserve">BO28 -1; BO29 -1; BO15 +1; BO23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BO24 +2; BO16 +2; BO09 -2; BO27 -2</t>
        </is>
      </c>
      <c r="K6" t="inlineStr">
        <is>
          <t xml:space="preserve">Draft 2026-10-12: Business gains; labour and city neighbourhoods lose protections.</t>
        </is>
      </c>
    </row>
    <row r="7">
      <c r="A7" t="inlineStr">
        <is>
          <t xml:space="preserve">LW06</t>
        </is>
      </c>
      <c r="B7" t="inlineStr">
        <is>
          <t xml:space="preserve">BI03</t>
        </is>
      </c>
      <c r="C7" t="inlineStr">
        <is>
          <t xml:space="preserve">Failed</t>
        </is>
      </c>
      <c r="D7" t="inlineStr">
        <is>
          <t xml:space="preserve">Once</t>
        </is>
      </c>
      <c r="E7" t="inlineStr">
        <is>
          <t xml:space="preserve">BO05 -1; BO24 -1; BO16 -1; BO09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BO23 -2</t>
        </is>
      </c>
      <c r="K10" t="inlineStr">
        <is>
          <t xml:space="preserve">Draft 2026-10-12: Veterans and fishing towns gain; taxpayers pay.</t>
        </is>
      </c>
    </row>
    <row r="11">
      <c r="A11" t="inlineStr">
        <is>
          <t xml:space="preserve">LW10</t>
        </is>
      </c>
      <c r="B11" t="inlineStr">
        <is>
          <t xml:space="preserve">BI05</t>
        </is>
      </c>
      <c r="C11" t="inlineStr">
        <is>
          <t xml:space="preserve">Failed</t>
        </is>
      </c>
      <c r="D11" t="inlineStr">
        <is>
          <t xml:space="preserve">Once</t>
        </is>
      </c>
      <c r="E11" t="inlineStr">
        <is>
          <t xml:space="preserve">BO22 -1; BO07 -1;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BO05 +2; BO15 -2; BO09 -2</t>
        </is>
      </c>
      <c r="K12" t="inlineStr">
        <is>
          <t xml:space="preserve">Draft 2026-10-12: Employers gain workers; traditionalists and unions object.</t>
        </is>
      </c>
    </row>
    <row r="13">
      <c r="A13" t="inlineStr">
        <is>
          <t xml:space="preserve">LW12</t>
        </is>
      </c>
      <c r="B13" t="inlineStr">
        <is>
          <t xml:space="preserve">BI06</t>
        </is>
      </c>
      <c r="C13" t="inlineStr">
        <is>
          <t xml:space="preserve">Failed</t>
        </is>
      </c>
      <c r="D13" t="inlineStr">
        <is>
          <t xml:space="preserve">Once</t>
        </is>
      </c>
      <c r="E13" t="inlineStr">
        <is>
          <t xml:space="preserve">BO10 -1; BO07 -1; BO05 -1; BO15 +1; BO09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BO30 +2; BO04 +2; BO23 -2</t>
        </is>
      </c>
      <c r="K14" t="inlineStr">
        <is>
          <t xml:space="preserve">Draft 2026-10-12: Innovators, rural towns and mayors gain; taxpayers pay.</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BO30 -1; BO04 -1;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BO26 -2; BO25 -2; BO23 -2</t>
        </is>
      </c>
      <c r="K17" t="inlineStr">
        <is>
          <t xml:space="preserve">Draft 2026-10-12: Care sector gains; consumers, small business and taxpayers pay.</t>
        </is>
      </c>
    </row>
    <row r="18">
      <c r="A18" t="inlineStr">
        <is>
          <t xml:space="preserve">LW17</t>
        </is>
      </c>
      <c r="B18" t="inlineStr">
        <is>
          <t xml:space="preserve">BI08</t>
        </is>
      </c>
      <c r="C18" t="inlineStr">
        <is>
          <t xml:space="preserve">Failed</t>
        </is>
      </c>
      <c r="D18" t="inlineStr">
        <is>
          <t xml:space="preserve">Once</t>
        </is>
      </c>
      <c r="E18" t="inlineStr">
        <is>
          <t xml:space="preserve">BO21 -1; BO26 +1; BO25 +1; BO23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BO01 -2</t>
        </is>
      </c>
      <c r="K19" t="inlineStr">
        <is>
          <t xml:space="preserve">Draft 2026-10-12: Local government gains; party HQ loses central control.</t>
        </is>
      </c>
    </row>
    <row r="20">
      <c r="A20" t="inlineStr">
        <is>
          <t xml:space="preserve">LW19</t>
        </is>
      </c>
      <c r="B20" t="inlineStr">
        <is>
          <t xml:space="preserve">BI09</t>
        </is>
      </c>
      <c r="C20" t="inlineStr">
        <is>
          <t xml:space="preserve">Failed</t>
        </is>
      </c>
      <c r="D20" t="inlineStr">
        <is>
          <t xml:space="preserve">Once</t>
        </is>
      </c>
      <c r="E20" t="inlineStr">
        <is>
          <t xml:space="preserve">BO04 -1; BO03 -1; BO01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 BO11 +2; BO02 -2</t>
        </is>
      </c>
      <c r="K21" t="inlineStr">
        <is>
          <t xml:space="preserve">Draft 2026-10-12: Families and students welcome it; factions lose seat patronage.</t>
        </is>
      </c>
    </row>
    <row r="22">
      <c r="A22" t="inlineStr">
        <is>
          <t xml:space="preserve">LW21</t>
        </is>
      </c>
      <c r="B22" t="inlineStr">
        <is>
          <t xml:space="preserve">BI10</t>
        </is>
      </c>
      <c r="C22" t="inlineStr">
        <is>
          <t xml:space="preserve">Failed</t>
        </is>
      </c>
      <c r="D22" t="inlineStr">
        <is>
          <t xml:space="preserve">Once</t>
        </is>
      </c>
      <c r="E22" t="inlineStr">
        <is>
          <t xml:space="preserve">BO12 -1; BO11 -1; BO02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 BO15 -2</t>
        </is>
      </c>
      <c r="K23" t="inlineStr">
        <is>
          <t xml:space="preserve">Draft 2026-10-12: Fishers and commuters gain; traditionalists wary of Japan.</t>
        </is>
      </c>
    </row>
    <row r="24">
      <c r="A24" t="inlineStr">
        <is>
          <t xml:space="preserve">LW23</t>
        </is>
      </c>
      <c r="B24" t="inlineStr">
        <is>
          <t xml:space="preserve">BI11</t>
        </is>
      </c>
      <c r="C24" t="inlineStr">
        <is>
          <t xml:space="preserve">Failed</t>
        </is>
      </c>
      <c r="D24" t="inlineStr">
        <is>
          <t xml:space="preserve">Once</t>
        </is>
      </c>
      <c r="E24" t="inlineStr">
        <is>
          <t xml:space="preserve">BO07 -1; BO14 -1; BO15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 BO01 -2</t>
        </is>
      </c>
      <c r="K25" t="inlineStr">
        <is>
          <t xml:space="preserve">Draft 2026-10-12: Media and consumer watchdogs gain; the party loses appointments.</t>
        </is>
      </c>
    </row>
    <row r="26">
      <c r="A26" t="inlineStr">
        <is>
          <t xml:space="preserve">LW25</t>
        </is>
      </c>
      <c r="B26" t="inlineStr">
        <is>
          <t xml:space="preserve">BI12</t>
        </is>
      </c>
      <c r="C26" t="inlineStr">
        <is>
          <t xml:space="preserve">Failed</t>
        </is>
      </c>
      <c r="D26" t="inlineStr">
        <is>
          <t xml:space="preserve">Once</t>
        </is>
      </c>
      <c r="E26" t="inlineStr">
        <is>
          <t xml:space="preserve">BO08 -1; BO26 -1; BO01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BO20 +2; BO15 +2; BO23 -2</t>
        </is>
      </c>
      <c r="K27" t="inlineStr">
        <is>
          <t xml:space="preserve">Draft 2026-10-12: Temples, shrines and traditionalists gain; taxpayers pay.</t>
        </is>
      </c>
    </row>
    <row r="28">
      <c r="A28" t="inlineStr">
        <is>
          <t xml:space="preserve">LW27</t>
        </is>
      </c>
      <c r="B28" t="inlineStr">
        <is>
          <t xml:space="preserve">BI13</t>
        </is>
      </c>
      <c r="C28" t="inlineStr">
        <is>
          <t xml:space="preserve">Failed</t>
        </is>
      </c>
      <c r="D28" t="inlineStr">
        <is>
          <t xml:space="preserve">Once</t>
        </is>
      </c>
      <c r="E28" t="inlineStr">
        <is>
          <t xml:space="preserve">BO19 -1; BO20 -1; BO15 -1; BO23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BO18 +2; BO23 -2; BO08 -2; BO06 +2</t>
        </is>
      </c>
      <c r="F29">
        <v>2</v>
      </c>
      <c r="K29" t="inlineStr">
        <is>
          <t xml:space="preserve">Draft 2026-10-12: Members and districts gain; taxpayers and press call it pork. BO06 added: neighbourhood projects get funded.</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BO18 -1; BO23 +1; BO08 +1; BO06 -1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BO11 +2; BO05 +2; BO13 -2</t>
        </is>
      </c>
      <c r="K32" t="inlineStr">
        <is>
          <t xml:space="preserve">Draft 2026-10-12: Tech, students and business gain; artisans feel left behind.</t>
        </is>
      </c>
    </row>
    <row r="33">
      <c r="A33" t="inlineStr">
        <is>
          <t xml:space="preserve">LW32</t>
        </is>
      </c>
      <c r="B33" t="inlineStr">
        <is>
          <t xml:space="preserve">BI15</t>
        </is>
      </c>
      <c r="C33" t="inlineStr">
        <is>
          <t xml:space="preserve">Failed</t>
        </is>
      </c>
      <c r="D33" t="inlineStr">
        <is>
          <t xml:space="preserve">Once</t>
        </is>
      </c>
      <c r="E33" t="inlineStr">
        <is>
          <t xml:space="preserve">BO16 -1; BO11 -1; BO05 -1;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BO26 -2</t>
        </is>
      </c>
      <c r="K34" t="inlineStr">
        <is>
          <t xml:space="preserve">Draft 2026-10-12: Security-minded groups gain; press and civil liberties groups object.</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BO15 -2; BO20 -2</t>
        </is>
      </c>
      <c r="K36" t="inlineStr">
        <is>
          <t xml:space="preserve">Draft 2026-10-12: Students and city voters gain; traditionalists and shrines object.</t>
        </is>
      </c>
    </row>
    <row r="37">
      <c r="A37" t="inlineStr">
        <is>
          <t xml:space="preserve">LW36</t>
        </is>
      </c>
      <c r="B37" t="inlineStr">
        <is>
          <t xml:space="preserve">BI17</t>
        </is>
      </c>
      <c r="C37" t="inlineStr">
        <is>
          <t xml:space="preserve">Failed</t>
        </is>
      </c>
      <c r="D37" t="inlineStr">
        <is>
          <t xml:space="preserve">Once</t>
        </is>
      </c>
      <c r="E37" t="inlineStr">
        <is>
          <t xml:space="preserve">BO11 -1; BO27 -1;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BO01 +3; BO22 +2; BO08 -2; BO26 -2; BO04 -2</t>
        </is>
      </c>
      <c r="K38" t="inlineStr">
        <is>
          <t xml:space="preserve">Draft 2026-10-12: Party HQ and veterans gain; press, watchdogs and mayors lose.</t>
        </is>
      </c>
    </row>
    <row r="39">
      <c r="A39" t="inlineStr">
        <is>
          <t xml:space="preserve">LW38</t>
        </is>
      </c>
      <c r="B39" t="inlineStr">
        <is>
          <t xml:space="preserve">BI18</t>
        </is>
      </c>
      <c r="C39" t="inlineStr">
        <is>
          <t xml:space="preserve">Failed</t>
        </is>
      </c>
      <c r="D39" t="inlineStr">
        <is>
          <t xml:space="preserve">Once</t>
        </is>
      </c>
      <c r="E39" t="inlineStr">
        <is>
          <t xml:space="preserve">BO01 -1; BO22 -1; BO08 +1; BO26 +1; BO04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BO01 +2; BO09 -2</t>
        </is>
      </c>
      <c r="K40" t="inlineStr">
        <is>
          <t xml:space="preserve">Draft 2026-10-12: Veterans and party HQ gain; unions object.</t>
        </is>
      </c>
    </row>
    <row r="41">
      <c r="A41" t="inlineStr">
        <is>
          <t xml:space="preserve">LW40</t>
        </is>
      </c>
      <c r="B41" t="inlineStr">
        <is>
          <t xml:space="preserve">BI19</t>
        </is>
      </c>
      <c r="C41" t="inlineStr">
        <is>
          <t xml:space="preserve">Failed</t>
        </is>
      </c>
      <c r="D41" t="inlineStr">
        <is>
          <t xml:space="preserve">Once</t>
        </is>
      </c>
      <c r="E41" t="inlineStr">
        <is>
          <t xml:space="preserve">BO22 -1; BO01 -1;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BO24 +2; BO13 +2; BO10 -2; BO30 -2</t>
        </is>
      </c>
      <c r="K42" t="inlineStr">
        <is>
          <t xml:space="preserve">Draft 2026-10-12: Exporters gain; farmers face EU dairy and wine.</t>
        </is>
      </c>
    </row>
    <row r="43">
      <c r="A43" t="inlineStr">
        <is>
          <t xml:space="preserve">LW42</t>
        </is>
      </c>
      <c r="B43" t="inlineStr">
        <is>
          <t xml:space="preserve">BI20</t>
        </is>
      </c>
      <c r="C43" t="inlineStr">
        <is>
          <t xml:space="preserve">Failed</t>
        </is>
      </c>
      <c r="D43" t="inlineStr">
        <is>
          <t xml:space="preserve">Once</t>
        </is>
      </c>
      <c r="E43" t="inlineStr">
        <is>
          <t xml:space="preserve">BO05 -1; BO24 -1; BO13 -1;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BO15 +2; BO07 +2; BO24 -2</t>
        </is>
      </c>
      <c r="K44" t="inlineStr">
        <is>
          <t xml:space="preserve">Draft 2026-10-12: Security and coastal groups gain; finance loses deals.</t>
        </is>
      </c>
    </row>
    <row r="45">
      <c r="A45" t="inlineStr">
        <is>
          <t xml:space="preserve">LW44</t>
        </is>
      </c>
      <c r="B45" t="inlineStr">
        <is>
          <t xml:space="preserve">BI21</t>
        </is>
      </c>
      <c r="C45" t="inlineStr">
        <is>
          <t xml:space="preserve">Failed</t>
        </is>
      </c>
      <c r="D45" t="inlineStr">
        <is>
          <t xml:space="preserve">Once</t>
        </is>
      </c>
      <c r="E45" t="inlineStr">
        <is>
          <t xml:space="preserve">BO22 -1; BO15 -1; BO07 -1;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BO05 +2; BO13 +2; BO15 -2</t>
        </is>
      </c>
      <c r="K46" t="inlineStr">
        <is>
          <t xml:space="preserve">Draft 2026-10-12: Tourism businesses gain; traditionalists wary.</t>
        </is>
      </c>
    </row>
    <row r="47">
      <c r="A47" t="inlineStr">
        <is>
          <t xml:space="preserve">LW46</t>
        </is>
      </c>
      <c r="B47" t="inlineStr">
        <is>
          <t xml:space="preserve">BI22</t>
        </is>
      </c>
      <c r="C47" t="inlineStr">
        <is>
          <t xml:space="preserve">Failed</t>
        </is>
      </c>
      <c r="D47" t="inlineStr">
        <is>
          <t xml:space="preserve">Once</t>
        </is>
      </c>
      <c r="E47" t="inlineStr">
        <is>
          <t xml:space="preserve">BO25 -1; BO05 -1;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BO22 -2; BO15 -2</t>
        </is>
      </c>
      <c r="K48" t="inlineStr">
        <is>
          <t xml:space="preserve">Draft 2026-10-12: Fishers and small business gain; veterans and traditionalists object.</t>
        </is>
      </c>
    </row>
    <row r="49">
      <c r="A49" t="inlineStr">
        <is>
          <t xml:space="preserve">LW48</t>
        </is>
      </c>
      <c r="B49" t="inlineStr">
        <is>
          <t xml:space="preserve">BI23</t>
        </is>
      </c>
      <c r="C49" t="inlineStr">
        <is>
          <t xml:space="preserve">Failed</t>
        </is>
      </c>
      <c r="D49" t="inlineStr">
        <is>
          <t xml:space="preserve">Once</t>
        </is>
      </c>
      <c r="E49" t="inlineStr">
        <is>
          <t xml:space="preserve">BO07 -1; BO25 -1; BO22 +1; BO15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BO16 +2; BO24 +2; BO07 -2; BO26 -2</t>
        </is>
      </c>
      <c r="K50" t="inlineStr">
        <is>
          <t xml:space="preserve">Draft 2026-10-12: Industry gains; fishers and consumer groups fear the risk.</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BO16 -1; BO24 -1; BO07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BO25 +2; BO12 -2; BO19 -2; BO06 -2</t>
        </is>
      </c>
      <c r="K53" t="inlineStr">
        <is>
          <t xml:space="preserve">Draft 2026-10-12: Business and mayors gain; families and temples object. BO06 added: a casino resort is a neighbourhood worry.</t>
        </is>
      </c>
    </row>
    <row r="54">
      <c r="A54" t="inlineStr">
        <is>
          <t xml:space="preserve">LW53</t>
        </is>
      </c>
      <c r="B54" t="inlineStr">
        <is>
          <t xml:space="preserve">BI25</t>
        </is>
      </c>
      <c r="C54" t="inlineStr">
        <is>
          <t xml:space="preserve">Failed</t>
        </is>
      </c>
      <c r="D54" t="inlineStr">
        <is>
          <t xml:space="preserve">Once</t>
        </is>
      </c>
      <c r="E54" t="inlineStr">
        <is>
          <t xml:space="preserve">BO05 -1; BO04 -1; BO25 -1; BO12 +1; BO19 +1; BO06 +1</t>
        </is>
      </c>
      <c r="K54" t="inlineStr">
        <is>
          <t xml:space="preserve">Draft 2026-10-12: supporters disappointed, opponents relieved. BO06 added: the neighbourhood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BO17 -2; BO03 -2</t>
        </is>
      </c>
      <c r="K55" t="inlineStr">
        <is>
          <t xml:space="preserve">Draft 2026-10-12: Watchdogs gain; members and koenkai lose referrals.</t>
        </is>
      </c>
    </row>
    <row r="56">
      <c r="A56" t="inlineStr">
        <is>
          <t xml:space="preserve">LW55</t>
        </is>
      </c>
      <c r="B56" t="inlineStr">
        <is>
          <t xml:space="preserve">BI26</t>
        </is>
      </c>
      <c r="C56" t="inlineStr">
        <is>
          <t xml:space="preserve">Failed</t>
        </is>
      </c>
      <c r="D56" t="inlineStr">
        <is>
          <t xml:space="preserve">Once</t>
        </is>
      </c>
      <c r="E56" t="inlineStr">
        <is>
          <t xml:space="preserve">BO26 -1; BO08 -1; BO17 +1; BO03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BO25 -2; BO05 -2</t>
        </is>
      </c>
      <c r="K57" t="inlineStr">
        <is>
          <t xml:space="preserve">Draft 2026-10-12: Workers and students gain; employers pay.</t>
        </is>
      </c>
    </row>
    <row r="58">
      <c r="A58" t="inlineStr">
        <is>
          <t xml:space="preserve">LW57</t>
        </is>
      </c>
      <c r="B58" t="inlineStr">
        <is>
          <t xml:space="preserve">BI27</t>
        </is>
      </c>
      <c r="C58" t="inlineStr">
        <is>
          <t xml:space="preserve">Failed</t>
        </is>
      </c>
      <c r="D58" t="inlineStr">
        <is>
          <t xml:space="preserve">Once</t>
        </is>
      </c>
      <c r="E58" t="inlineStr">
        <is>
          <t xml:space="preserve">BO09 -1; BO11 -1; BO25 +1; BO05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 BO01 -2</t>
        </is>
      </c>
      <c r="K59" t="inlineStr">
        <is>
          <t xml:space="preserve">Draft 2026-10-12: Watchdogs gain; members and party HQ lose control of districts.</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 BO01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BO20 +2; BO19 +2; BO11 -2; BO27 -2</t>
        </is>
      </c>
      <c r="K61" t="inlineStr">
        <is>
          <t xml:space="preserve">Draft 2026-10-12: Traditionalists gain; students and city voters object.</t>
        </is>
      </c>
    </row>
    <row r="62">
      <c r="A62" t="inlineStr">
        <is>
          <t xml:space="preserve">LW61</t>
        </is>
      </c>
      <c r="B62" t="inlineStr">
        <is>
          <t xml:space="preserve">BI29</t>
        </is>
      </c>
      <c r="C62" t="inlineStr">
        <is>
          <t xml:space="preserve">Failed</t>
        </is>
      </c>
      <c r="D62" t="inlineStr">
        <is>
          <t xml:space="preserve">Once</t>
        </is>
      </c>
      <c r="E62" t="inlineStr">
        <is>
          <t xml:space="preserve">BO15 -1; BO20 -1; BO19 -1;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