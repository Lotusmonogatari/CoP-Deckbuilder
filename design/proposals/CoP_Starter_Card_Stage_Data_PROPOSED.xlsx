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Balance" sheetId="2" state="visible" r:id="rId2"/>
    <sheet name="Suits" sheetId="3" state="visible" r:id="rId3"/>
    <sheet name="Stages" sheetId="4" state="visible" r:id="rId4"/>
    <sheet name="Affinity" sheetId="5" state="visible" r:id="rId5"/>
    <sheet name="Cards" sheetId="6" state="visible" r:id="rId6"/>
    <sheet name="CardStage" sheetId="7" state="visible" r:id="rId7"/>
    <sheet name="Segments" sheetId="8" state="visible" r:id="rId8"/>
    <sheet name="Modifiers" sheetId="9" state="visible" r:id="rId9"/>
    <sheet name="Boosters" sheetId="10" state="visible" r:id="rId10"/>
    <sheet name="Opponents" sheetId="11" state="visible" r:id="rId11"/>
    <sheet name="Yoron" sheetId="12" state="visible" r:id="rId12"/>
    <sheet name="Bills" sheetId="13" state="visible" r:id="rId13"/>
    <sheet name="Committee" sheetId="14" state="visible" r:id="rId14"/>
    <sheet name="Modules" sheetId="15" state="visible" r:id="rId15"/>
    <sheet name="Sanban" sheetId="16" state="visible" r:id="rId16"/>
    <sheet name="Lists" sheetId="17" state="visible" r:id="rId17"/>
    <sheet name="Assets" sheetId="18" state="visible" r:id="rId18"/>
    <sheet name="Visitors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\x"/>
    <numFmt numFmtId="165" formatCode="0.0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Noto Sans CJK SC"/>
      <family val="2"/>
      <sz val="11"/>
    </font>
    <font>
      <name val="Noto Sans CJK SC"/>
      <charset val="1"/>
      <family val="2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Noto Sans CJK SC"/>
      <family val="2"/>
      <color rgb="FF000000"/>
      <sz val="11"/>
    </font>
    <font>
      <name val="Arial"/>
      <family val="2"/>
      <sz val="10"/>
    </font>
    <font>
      <name val="Noto Sans CJK SC"/>
      <charset val="1"/>
      <family val="2"/>
      <color rgb="FF0000FF"/>
      <sz val="11"/>
    </font>
    <font>
      <name val="Noto Sans CJK SC"/>
      <family val="2"/>
      <color rgb="FF0000FF"/>
      <sz val="11"/>
    </font>
    <font>
      <name val="Noto Sans CJK SC"/>
      <charset val="1"/>
      <family val="2"/>
      <b val="1"/>
      <color rgb="FFFFFFFF"/>
      <sz val="11"/>
    </font>
    <font>
      <name val="Noto Sans CJK SC"/>
      <family val="2"/>
      <sz val="10"/>
    </font>
    <font>
      <name val="Arial"/>
      <charset val="1"/>
      <family val="0"/>
      <i val="1"/>
      <sz val="11"/>
    </font>
    <font>
      <name val="Noto Sans CJK SC"/>
      <family val="2"/>
      <b val="1"/>
      <color rgb="FF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A1F2B"/>
        <bgColor rgb="FF8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9" fontId="10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19" fillId="4" borderId="1" applyAlignment="1" pivotButton="0" quotePrefix="0" xfId="0">
      <alignment horizontal="general" vertical="center" wrapText="1"/>
    </xf>
    <xf numFmtId="9" fontId="14" fillId="0" borderId="1" applyAlignment="1" pivotButton="0" quotePrefix="0" xfId="0">
      <alignment horizontal="general" vertical="top" wrapText="1"/>
    </xf>
    <xf numFmtId="0" fontId="17" fillId="3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top" wrapText="1"/>
    </xf>
    <xf numFmtId="165" fontId="11" fillId="0" borderId="1" applyAlignment="1" pivotButton="0" quotePrefix="0" xfId="0">
      <alignment horizontal="general" vertical="top" wrapText="1"/>
    </xf>
    <xf numFmtId="2" fontId="14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65" fontId="14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3" fillId="4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9" fontId="10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19" fillId="4" borderId="1" applyAlignment="1" pivotButton="0" quotePrefix="0" xfId="0">
      <alignment horizontal="general" vertical="center" wrapText="1"/>
    </xf>
    <xf numFmtId="9" fontId="14" fillId="0" borderId="1" applyAlignment="1" pivotButton="0" quotePrefix="0" xfId="0">
      <alignment horizontal="general" vertical="top" wrapText="1"/>
    </xf>
    <xf numFmtId="0" fontId="17" fillId="3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164" fontId="14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top" wrapText="1"/>
    </xf>
    <xf numFmtId="0" fontId="23" fillId="5" borderId="0" pivotButton="0" quotePrefix="0" xfId="0"/>
    <xf numFmtId="165" fontId="11" fillId="0" borderId="1" applyAlignment="1" pivotButton="0" quotePrefix="0" xfId="0">
      <alignment horizontal="general" vertical="top" wrapText="1"/>
    </xf>
    <xf numFmtId="2" fontId="14" fillId="0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general" vertical="top" wrapText="1"/>
    </xf>
    <xf numFmtId="165" fontId="14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4" borderId="0" applyAlignment="1" pivotButton="0" quotePrefix="0" xfId="0">
      <alignment horizontal="general" vertical="bottom"/>
    </xf>
    <xf numFmtId="0" fontId="23" fillId="5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Unknown Author</author>
  </authors>
  <commentList>
    <comment ref="A21" authorId="0" shapeId="0">
      <text>
        <t>Normal band (6–7) is my interpolation between Cameron's Easy 3–5 and Hard 8–10. Confirm or drop.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G2" authorId="0" shapeId="0">
      <text>
        <t>Set per module by difficulty (Balance rows 20–22; Modules col N).</t>
      </text>
    </comment>
    <comment ref="W2" authorId="0" shapeId="0">
      <text>
        <t>ΔJiban/Kanban/Kaban = change to Sanban meta-variables on a stage win.</t>
      </text>
    </comment>
    <comment ref="C9" authorId="0" shapeId="0">
      <text>
        <t>Proposed name. Alternative: 総務会 Sōmukai (party general council).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3" authorId="0" shapeId="0">
      <text>
        <t>If the protagonist can be a Five Point Independent, 'Party Faction' needs a stand-in (their coordinating bloc).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2" authorId="0" shapeId="0">
      <text>
        <t>Starting stances are proposals; Against count sets the committee's opposition at start (Modules col I).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5" authorId="0" shapeId="0">
      <text>
        <t>Assumption: 'caucus support' is a persistent meta-variable fed by caucus stage results, not the in-stage bar.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2" min="1" max="1"/>
    <col width="95" customWidth="1" style="42" min="2" max="2"/>
  </cols>
  <sheetData>
    <row r="1" ht="17.25" customHeight="1" s="43">
      <c r="A1" s="44" t="inlineStr">
        <is>
          <t>Coliseum of Parliament — Starter Card &amp; Stage Data</t>
        </is>
      </c>
      <c r="B1" s="45" t="n"/>
    </row>
    <row r="2" ht="26.25" customHeight="1" s="43">
      <c r="A2" s="46" t="inlineStr">
        <is>
          <t>Purpose</t>
        </is>
      </c>
      <c r="B2" s="45" t="inlineStr">
        <is>
          <t>Source-of-truth data for the rhetoric card battler. Each tab = one data table the engine reads (export each tab to CSV/JSON). Keep IDs stable; rename freely.</t>
        </is>
      </c>
    </row>
    <row r="3" ht="26.25" customHeight="1" s="43">
      <c r="A3" s="46" t="inlineStr">
        <is>
          <t>Status</t>
        </is>
      </c>
      <c r="B3" s="45" t="inlineStr">
        <is>
          <t>STARTER / PLACEHOLDER. Canon fields come from the Lore Databook; every number is a first-pass value for playtesting.</t>
        </is>
      </c>
    </row>
    <row r="4" ht="15" customHeight="1" s="43">
      <c r="A4" s="46" t="n"/>
      <c r="B4" s="45" t="n"/>
    </row>
    <row r="5" ht="15" customHeight="1" s="43">
      <c r="A5" s="47" t="inlineStr">
        <is>
          <t>TAB GUIDE</t>
        </is>
      </c>
      <c r="B5" s="45" t="n"/>
    </row>
    <row r="6" ht="26.25" customHeight="1" s="43">
      <c r="A6" s="46" t="inlineStr">
        <is>
          <t>Balance</t>
        </is>
      </c>
      <c r="B6" s="45" t="inlineStr">
        <is>
          <t>Global levers: power-score weights, deck shares, XP tiers, bill difficulty, committee size by difficulty, Jiban &amp; Party support thresholds.</t>
        </is>
      </c>
    </row>
    <row r="7" ht="15" customHeight="1" s="43">
      <c r="A7" s="46" t="inlineStr">
        <is>
          <t>Suits</t>
        </is>
      </c>
      <c r="B7" s="45" t="inlineStr">
        <is>
          <t>The six canon rhetorical Elements → card suits, with proposed Japanese names.</t>
        </is>
      </c>
    </row>
    <row r="8" ht="15" customHeight="1" s="43">
      <c r="A8" s="46" t="inlineStr">
        <is>
          <t>Affinity</t>
        </is>
      </c>
      <c r="B8" s="45" t="inlineStr">
        <is>
          <t>Suit × Stage power multipliers. Drives 'favored suit' per stage and the CardStage view.</t>
        </is>
      </c>
    </row>
    <row r="9" ht="15" customHeight="1" s="43">
      <c r="A9" s="46" t="inlineStr">
        <is>
          <t>Cards</t>
        </is>
      </c>
      <c r="B9" s="45" t="inlineStr">
        <is>
          <t>24 starter cards (4 per suit). Power Score and Power/Cost are formulas for balancing.</t>
        </is>
      </c>
    </row>
    <row r="10" ht="15" customHeight="1" s="43">
      <c r="A10" s="46" t="inlineStr">
        <is>
          <t>CardStage</t>
        </is>
      </c>
      <c r="B10" s="45" t="inlineStr">
        <is>
          <t>Read-only view: each card's effective power in each stage (Power Score × Affinity).</t>
        </is>
      </c>
    </row>
    <row r="11" ht="29.25" customHeight="1" s="43">
      <c r="A11" s="46" t="inlineStr">
        <is>
          <t>Stages</t>
        </is>
      </c>
      <c r="B11" s="45" t="inlineStr">
        <is>
          <t>Seven combat stages (incl. ST08 Party Steering Committee) + one non-combat mode (陳情 office hours).</t>
        </is>
      </c>
    </row>
    <row r="12" ht="15" customHeight="1" s="43">
      <c r="A12" s="46" t="inlineStr">
        <is>
          <t>Segments</t>
        </is>
      </c>
      <c r="B12" s="45" t="inlineStr">
        <is>
          <t>Audience segments that Jinmyaku modifiers key off.</t>
        </is>
      </c>
    </row>
    <row r="13" ht="16.5" customHeight="1" s="43">
      <c r="A13" s="46" t="inlineStr">
        <is>
          <t>Modifiers</t>
        </is>
      </c>
      <c r="B13" s="48" t="inlineStr">
        <is>
          <t>Modifier effects (M01–M15), each linked to its source booster organization.</t>
        </is>
      </c>
    </row>
    <row r="14" ht="15" customHeight="1" s="43">
      <c r="A14" s="46" t="inlineStr">
        <is>
          <t>Opponents</t>
        </is>
      </c>
      <c r="B14" s="45" t="inlineStr">
        <is>
          <t>Nine canon MPs (2018 roster) incl. Walter Peard; deck composition derived from their Elements.</t>
        </is>
      </c>
    </row>
    <row r="15" ht="16.5" customHeight="1" s="43">
      <c r="A15" s="46" t="inlineStr">
        <is>
          <t>Yoron</t>
        </is>
      </c>
      <c r="B15" s="48" t="inlineStr">
        <is>
          <t>世論 public-opinion topics (drawn from databook policy dimensions).</t>
        </is>
      </c>
    </row>
    <row r="16" ht="15" customHeight="1" s="43">
      <c r="A16" s="46" t="inlineStr">
        <is>
          <t>Bills</t>
        </is>
      </c>
      <c r="B16" s="45" t="inlineStr">
        <is>
          <t>Example bills; difficulty modifier is computed from Yoron alignment.</t>
        </is>
      </c>
    </row>
    <row r="17" ht="15" customHeight="1" s="43">
      <c r="A17" s="46" t="inlineStr">
        <is>
          <t>Modules</t>
        </is>
      </c>
      <c r="B17" s="45" t="inlineStr">
        <is>
          <t>Module 01 vertical slice: stage sequence with computed opponent start support and XP. Committee size/opposition read from Committee tab.</t>
        </is>
      </c>
    </row>
    <row r="18" ht="16.5" customHeight="1" s="43">
      <c r="A18" s="46" t="inlineStr">
        <is>
          <t>Sanban</t>
        </is>
      </c>
      <c r="B18" s="48" t="inlineStr">
        <is>
          <t>三バン meta-variables (地盤 Jiban, 看板 Kanban, 鞄 Kaban) plus 党内支持 Party support.</t>
        </is>
      </c>
    </row>
    <row r="19" ht="15" customHeight="1" s="43">
      <c r="A19" s="46" t="inlineStr">
        <is>
          <t>Lists</t>
        </is>
      </c>
      <c r="B19" s="45" t="inlineStr">
        <is>
          <t>Dropdown sources for data validation.</t>
        </is>
      </c>
    </row>
    <row r="20" ht="15" customHeight="1" s="43">
      <c r="A20" s="46" t="n"/>
      <c r="B20" s="45" t="n"/>
    </row>
    <row r="21" ht="15" customHeight="1" s="43">
      <c r="A21" s="47" t="inlineStr">
        <is>
          <t>COLOR KEY</t>
        </is>
      </c>
      <c r="B21" s="45" t="n"/>
    </row>
    <row r="22" ht="15" customHeight="1" s="43">
      <c r="A22" s="46" t="inlineStr">
        <is>
          <t>Blue text</t>
        </is>
      </c>
      <c r="B22" s="49" t="inlineStr">
        <is>
          <t>Hardcoded input — edit freely.</t>
        </is>
      </c>
    </row>
    <row r="23" ht="15" customHeight="1" s="43">
      <c r="A23" s="46" t="inlineStr">
        <is>
          <t>Black text</t>
        </is>
      </c>
      <c r="B23" s="45" t="inlineStr">
        <is>
          <t>Formula — do not overwrite.</t>
        </is>
      </c>
    </row>
    <row r="24" ht="15" customHeight="1" s="43">
      <c r="A24" s="46" t="inlineStr">
        <is>
          <t>Green text</t>
        </is>
      </c>
      <c r="B24" s="50" t="inlineStr">
        <is>
          <t>Direct link to another tab.</t>
        </is>
      </c>
    </row>
    <row r="25" ht="15" customHeight="1" s="43">
      <c r="A25" s="46" t="inlineStr">
        <is>
          <t>Yellow fill</t>
        </is>
      </c>
      <c r="B25" s="51" t="inlineStr">
        <is>
          <t>Open design decision — needs your call.</t>
        </is>
      </c>
    </row>
    <row r="26" ht="15" customHeight="1" s="43">
      <c r="A26" s="46" t="n"/>
      <c r="B26" s="45" t="n"/>
    </row>
    <row r="27" ht="15" customHeight="1" s="43">
      <c r="A27" s="47" t="inlineStr">
        <is>
          <t>SOURCING / CONFIDENCE</t>
        </is>
      </c>
      <c r="B27" s="45" t="n"/>
    </row>
    <row r="28" ht="26.25" customHeight="1" s="43">
      <c r="A28" s="46" t="inlineStr">
        <is>
          <t>Canon [H]</t>
        </is>
      </c>
      <c r="B28" s="45" t="inlineStr">
        <is>
          <t>Opponent name, party, committee, Positioning, Element 1/2; 101 seats / 51 majority; Element list. Source: Lore Databook 6.10.25, October_2018_Politicians &amp; Party_and_Coalition sheets.</t>
        </is>
      </c>
    </row>
    <row r="29" ht="32.25" customHeight="1" s="43">
      <c r="A29" s="46" t="inlineStr">
        <is>
          <t>Proposed [M]</t>
        </is>
      </c>
      <c r="B29" s="45" t="inlineStr">
        <is>
          <t>All Japanese mechanic/card names — review for tone; many are real Japanese political terms (根回し, 玉虫色, 記憶にございません, 三バン, 番記者).</t>
        </is>
      </c>
    </row>
    <row r="30" ht="15" customHeight="1" s="43">
      <c r="A30" s="46" t="inlineStr">
        <is>
          <t>Placeholder [L]</t>
        </is>
      </c>
      <c r="B30" s="45" t="inlineStr">
        <is>
          <t>All numbers, bill titles, committee size (11), Yoron starting values (50).</t>
        </is>
      </c>
    </row>
    <row r="31" ht="15" customHeight="1" s="43">
      <c r="A31" s="46" t="n"/>
      <c r="B31" s="45" t="n"/>
    </row>
    <row r="32" ht="15" customHeight="1" s="43">
      <c r="A32" s="47" t="inlineStr">
        <is>
          <t>OPEN DECISIONS</t>
        </is>
      </c>
      <c r="B32" s="45" t="n"/>
    </row>
    <row r="33" ht="42" customHeight="1" s="43">
      <c r="A33" s="46" t="inlineStr">
        <is>
          <t>1. Jiban floor</t>
        </is>
      </c>
      <c r="B33" s="45" t="inlineStr">
        <is>
          <t>RESOLVED: Jiban ≤ 15 triggers Town Hall event; Jiban = 0 freezes all funding. Recall dropped.</t>
        </is>
      </c>
    </row>
    <row r="34" ht="15" customHeight="1" s="43">
      <c r="A34" s="52" t="inlineStr">
        <is>
          <t>2. Protagonist</t>
        </is>
      </c>
      <c r="B34" s="45" t="inlineStr">
        <is>
          <t>Canon MP or new character? Party determines the Caucus opponent (Modules row 3).</t>
        </is>
      </c>
    </row>
    <row r="35" ht="15" customHeight="1" s="43">
      <c r="A35" s="52" t="inlineStr">
        <is>
          <t>3. Yoron seeding</t>
        </is>
      </c>
      <c r="B35" s="45" t="inlineStr">
        <is>
          <t>Seed from databook party scores, or set independently (keeps lore separate from analytics)?</t>
        </is>
      </c>
    </row>
    <row r="36" ht="15" customHeight="1" s="43">
      <c r="A36" s="46" t="inlineStr">
        <is>
          <t>4. Committee size</t>
        </is>
      </c>
      <c r="B36" s="45" t="inlineStr">
        <is>
          <t>RESOLVED: Easy 3–5, Hard 8–10 (Normal 6–7 proposed, Balance!A21). Set per module in Modules col N.</t>
        </is>
      </c>
    </row>
    <row r="37" ht="15" customHeight="1" s="43">
      <c r="A37" s="52" t="inlineStr">
        <is>
          <t>5. Data hygiene</t>
        </is>
      </c>
      <c r="B37" s="45" t="inlineStr">
        <is>
          <t>Databook Positioning value 'Authortarian' is misspelled — fix before engine string-matching.</t>
        </is>
      </c>
    </row>
    <row r="38" ht="16.5" customHeight="1" s="43">
      <c r="A38" s="53" t="inlineStr">
        <is>
          <t>6. Steering name</t>
        </is>
      </c>
      <c r="B38" s="54" t="inlineStr">
        <is>
          <t>Stage ST08 Japanese name: 党運営委員会 (proposed) vs 総務会.</t>
        </is>
      </c>
    </row>
    <row r="39" ht="26.25" customHeight="1" s="43">
      <c r="A39" s="55" t="inlineStr">
        <is>
          <t>7. Party thresholds</t>
        </is>
      </c>
      <c r="B39" s="54" t="inlineStr">
        <is>
          <t>RESOLVED: &gt;75 allied buff (M09); &lt;50 debuff (M10); &lt;25 Steering Committee (ST08). Magnitudes are placeholders.</t>
        </is>
      </c>
    </row>
    <row r="41" ht="15" customHeight="1" s="43">
      <c r="A41" s="56" t="inlineStr">
        <is>
          <t>TABS ADDED (REV 3)</t>
        </is>
      </c>
      <c r="B41" s="45" t="n"/>
    </row>
    <row r="42" ht="26.85" customHeight="1" s="43">
      <c r="A42" s="55" t="inlineStr">
        <is>
          <t>Boosters</t>
        </is>
      </c>
      <c r="B42" s="45" t="inlineStr">
        <is>
          <t>10 booster organizations (2 Party / 4 Constituency / 4 National) with linked modifiers and tier-balance check.</t>
        </is>
      </c>
    </row>
    <row r="43" ht="15" customHeight="1" s="43">
      <c r="A43" s="55" t="inlineStr">
        <is>
          <t>Committee</t>
        </is>
      </c>
      <c r="B43" s="45" t="inlineStr">
        <is>
          <t>Canon Environment committee members for Module 01 with proposed starting stances.</t>
        </is>
      </c>
    </row>
    <row r="44" ht="26.85" customHeight="1" s="43">
      <c r="A44" s="55" t="inlineStr">
        <is>
          <t>Assets</t>
        </is>
      </c>
      <c r="B44" s="45" t="inlineStr">
        <is>
          <t>Production inventory: ~190 visual assets, audio, text; Status dropdown and progress summary (cols L–P).</t>
        </is>
      </c>
    </row>
    <row r="46" ht="15" customHeight="1" s="43">
      <c r="A46" s="56" t="inlineStr">
        <is>
          <t>MORE OPEN DECISIONS</t>
        </is>
      </c>
      <c r="B46" s="45" t="n"/>
    </row>
    <row r="47" ht="15" customHeight="1" s="43">
      <c r="A47" s="53" t="inlineStr">
        <is>
          <t>8. Turn-limit ending</t>
        </is>
      </c>
      <c r="B47" s="45" t="inlineStr">
        <is>
          <t>If neither side reaches threshold at the turn limit: loss, tie, or highest support wins?</t>
        </is>
      </c>
    </row>
    <row r="48" ht="15" customHeight="1" s="43">
      <c r="A48" s="53" t="inlineStr">
        <is>
          <t>9. Opponent win</t>
        </is>
      </c>
      <c r="B48" s="45" t="inlineStr">
        <is>
          <t>Does the opponent win by reaching its own threshold, or only by running out your clock?</t>
        </is>
      </c>
    </row>
    <row r="49" ht="15" customHeight="1" s="43">
      <c r="A49" s="53" t="inlineStr">
        <is>
          <t>10. Opponent engine</t>
        </is>
      </c>
      <c r="B49" s="45" t="inlineStr">
        <is>
          <t>Real decks vs. scripted intent patterns (recommended for MVP).</t>
        </is>
      </c>
    </row>
    <row r="50" ht="15" customHeight="1" s="43">
      <c r="A50" s="53" t="inlineStr">
        <is>
          <t>11. Protagonist party</t>
        </is>
      </c>
      <c r="B50" s="45" t="inlineStr">
        <is>
          <t>Party Faction (BO02) needs a stand-in if protagonist is a Five Point Independent.</t>
        </is>
      </c>
    </row>
    <row r="51" ht="15" customHeight="1" s="43">
      <c r="A51" s="53" t="inlineStr">
        <is>
          <t>12. Fisheries topic</t>
        </is>
      </c>
      <c r="B51" s="45" t="inlineStr">
        <is>
          <t>M15 uses Environment until a Fisheries Yoron topic is chosen.</t>
        </is>
      </c>
    </row>
    <row r="53" ht="15" customHeight="1" s="43">
      <c r="A53" s="56" t="inlineStr">
        <is>
          <t>CHANGELOG</t>
        </is>
      </c>
      <c r="B53" s="45" t="n"/>
    </row>
    <row r="54" ht="26.85" customHeight="1" s="43">
      <c r="A54" s="55" t="inlineStr">
        <is>
          <t>Rev 2</t>
        </is>
      </c>
      <c r="B54" s="45" t="inlineStr">
        <is>
          <t>Jiban triggers (15 / 0); Party support thresholds (75 / 50 / 25) + ST08 Steering Committee; committee size by difficulty.</t>
        </is>
      </c>
    </row>
    <row r="55" ht="39.55" customHeight="1" s="43">
      <c r="A55" s="55" t="inlineStr">
        <is>
          <t>Rev 3</t>
        </is>
      </c>
      <c r="B55" s="45" t="inlineStr">
        <is>
          <t>Card renames C03 Formal Apology, C11 Groundwork, C13 Present the Stats; canon fix: Module 01 committee chair Brigham → Walter Peard (OP09); Boosters, Committee, Assets tabs; M05/M06 renamed; M11–M15 added.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42" min="1" max="1"/>
    <col width="12" customWidth="1" style="42" min="2" max="2"/>
    <col width="70" customWidth="1" style="42" min="3" max="3"/>
  </cols>
  <sheetData>
    <row r="1" ht="31.5" customHeight="1" s="43">
      <c r="A1" s="57" t="inlineStr">
        <is>
          <t>Lever</t>
        </is>
      </c>
      <c r="B1" s="57" t="inlineStr">
        <is>
          <t>Value</t>
        </is>
      </c>
      <c r="C1" s="57" t="inlineStr">
        <is>
          <t>Note</t>
        </is>
      </c>
    </row>
    <row r="2" ht="15" customHeight="1" s="43">
      <c r="A2" s="58" t="inlineStr">
        <is>
          <t>W_self (own support gain)</t>
        </is>
      </c>
      <c r="B2" s="59" t="n">
        <v>1</v>
      </c>
      <c r="C2" s="58" t="inlineStr">
        <is>
          <t>Weight in Power Score</t>
        </is>
      </c>
    </row>
    <row r="3" ht="15" customHeight="1" s="43">
      <c r="A3" s="58" t="inlineStr">
        <is>
          <t>W_opp (opponent support loss)</t>
        </is>
      </c>
      <c r="B3" s="59" t="n">
        <v>1.2</v>
      </c>
      <c r="C3" s="58" t="inlineStr">
        <is>
          <t>Swing value &gt; self gain: it moves the relative gap directly</t>
        </is>
      </c>
    </row>
    <row r="4" ht="15" customHeight="1" s="43">
      <c r="A4" s="58" t="inlineStr">
        <is>
          <t>W_guard (block)</t>
        </is>
      </c>
      <c r="B4" s="59" t="n">
        <v>0.6</v>
      </c>
      <c r="C4" s="58" t="inlineStr">
        <is>
          <t>Block only matters if opponent attacks</t>
        </is>
      </c>
    </row>
    <row r="5" ht="15" customHeight="1" s="43">
      <c r="A5" s="58" t="inlineStr">
        <is>
          <t>W_draw (per card drawn)</t>
        </is>
      </c>
      <c r="B5" s="59" t="n">
        <v>2</v>
      </c>
      <c r="C5" s="58" t="inlineStr">
        <is>
          <t>Card advantage</t>
        </is>
      </c>
    </row>
    <row r="6" ht="29.25" customHeight="1" s="43">
      <c r="A6" s="58" t="inlineStr">
        <is>
          <t>W_gaffe (失言 penalty per point)</t>
        </is>
      </c>
      <c r="B6" s="59" t="n">
        <v>1.5</v>
      </c>
      <c r="C6" s="58" t="inlineStr">
        <is>
          <t>Risk cost of gaffe meter</t>
        </is>
      </c>
    </row>
    <row r="8" ht="15" customHeight="1" s="43">
      <c r="A8" s="58" t="inlineStr">
        <is>
          <t>Starter deck size</t>
        </is>
      </c>
      <c r="B8" s="59" t="n">
        <v>12</v>
      </c>
      <c r="C8" s="58" t="inlineStr">
        <is>
          <t>Player and default opponent deck size</t>
        </is>
      </c>
    </row>
    <row r="9" ht="15" customHeight="1" s="43">
      <c r="A9" s="58" t="inlineStr">
        <is>
          <t>Primary suit share</t>
        </is>
      </c>
      <c r="B9" s="60" t="n">
        <v>0.5</v>
      </c>
      <c r="C9" s="58" t="inlineStr">
        <is>
          <t>Opponent deck share from Element 1</t>
        </is>
      </c>
    </row>
    <row r="10" ht="15" customHeight="1" s="43">
      <c r="A10" s="58" t="inlineStr">
        <is>
          <t>Secondary suit share</t>
        </is>
      </c>
      <c r="B10" s="60" t="n">
        <v>0.3</v>
      </c>
      <c r="C10" s="58" t="inlineStr">
        <is>
          <t>Opponent deck share from Element 2</t>
        </is>
      </c>
    </row>
    <row r="11" ht="15" customHeight="1" s="43">
      <c r="A11" s="61" t="inlineStr">
        <is>
          <t>XP TIER TABLE</t>
        </is>
      </c>
    </row>
    <row r="12" ht="15" customHeight="1" s="43">
      <c r="A12" s="58" t="inlineStr">
        <is>
          <t>Starter</t>
        </is>
      </c>
      <c r="B12" s="59" t="n">
        <v>0</v>
      </c>
      <c r="C12" s="58" t="inlineStr">
        <is>
          <t>XP to unlock — tier table</t>
        </is>
      </c>
    </row>
    <row r="13" ht="15" customHeight="1" s="43">
      <c r="A13" s="58" t="inlineStr">
        <is>
          <t>Tier 1</t>
        </is>
      </c>
      <c r="B13" s="59" t="n">
        <v>60</v>
      </c>
      <c r="C13" s="58" t="inlineStr">
        <is>
          <t>XP to unlock</t>
        </is>
      </c>
    </row>
    <row r="14" ht="15" customHeight="1" s="43">
      <c r="A14" s="58" t="inlineStr">
        <is>
          <t>Tier 2</t>
        </is>
      </c>
      <c r="B14" s="59" t="n">
        <v>120</v>
      </c>
      <c r="C14" s="58" t="inlineStr">
        <is>
          <t>XP to unlock</t>
        </is>
      </c>
    </row>
    <row r="16" ht="15" customHeight="1" s="43">
      <c r="A16" s="58" t="inlineStr">
        <is>
          <t>Bill difficulty factor</t>
        </is>
      </c>
      <c r="B16" s="59" t="n">
        <v>0.2</v>
      </c>
      <c r="C16" s="58" t="inlineStr">
        <is>
          <t>Opp start support change per point of Yoron misalignment</t>
        </is>
      </c>
    </row>
    <row r="17" ht="15" customHeight="1" s="43">
      <c r="A17" s="58" t="inlineStr">
        <is>
          <t>Yoron neutral point</t>
        </is>
      </c>
      <c r="B17" s="59" t="n">
        <v>50</v>
      </c>
      <c r="C17" s="58" t="inlineStr">
        <is>
          <t>Opinion value treated as neutral (0–100 scale)</t>
        </is>
      </c>
    </row>
    <row r="19" ht="26.25" customHeight="1" s="43">
      <c r="A19" s="61" t="inlineStr">
        <is>
          <t>COMMITTEE SIZE BY DIFFICULTY</t>
        </is>
      </c>
      <c r="B19" s="61" t="inlineStr">
        <is>
          <t>Min</t>
        </is>
      </c>
      <c r="C19" s="61" t="inlineStr">
        <is>
          <t>Max</t>
        </is>
      </c>
    </row>
    <row r="20" ht="15" customHeight="1" s="43">
      <c r="A20" s="58" t="inlineStr">
        <is>
          <t>Easy</t>
        </is>
      </c>
      <c r="B20" s="59" t="n">
        <v>3</v>
      </c>
      <c r="C20" s="59" t="n">
        <v>5</v>
      </c>
    </row>
    <row r="21" ht="15" customHeight="1" s="43">
      <c r="A21" s="62" t="inlineStr">
        <is>
          <t>Normal</t>
        </is>
      </c>
      <c r="B21" s="59" t="n">
        <v>6</v>
      </c>
      <c r="C21" s="59" t="n">
        <v>7</v>
      </c>
    </row>
    <row r="22" ht="15" customHeight="1" s="43">
      <c r="A22" s="58" t="inlineStr">
        <is>
          <t>Hard</t>
        </is>
      </c>
      <c r="B22" s="59" t="n">
        <v>8</v>
      </c>
      <c r="C22" s="59" t="n">
        <v>10</v>
      </c>
    </row>
    <row r="23" ht="26.25" customHeight="1" s="43">
      <c r="A23" s="58" t="inlineStr">
        <is>
          <t>Committee: share of members opposed at start</t>
        </is>
      </c>
      <c r="B23" s="60" t="n">
        <v>0.4</v>
      </c>
      <c r="C23" s="58" t="inlineStr">
        <is>
          <t>Fallback only when a committee stage has no members listed in the Committee tab</t>
        </is>
      </c>
    </row>
    <row r="25" ht="15" customHeight="1" s="43">
      <c r="A25" s="58" t="inlineStr">
        <is>
          <t>Jiban Town Hall trigger (≤)</t>
        </is>
      </c>
      <c r="B25" s="59" t="n">
        <v>15</v>
      </c>
      <c r="C25" s="58" t="inlineStr">
        <is>
          <t>Cameron decision: triggers Town Hall event</t>
        </is>
      </c>
    </row>
    <row r="26" ht="15" customHeight="1" s="43">
      <c r="A26" s="58" t="inlineStr">
        <is>
          <t>Jiban funding freeze (≤)</t>
        </is>
      </c>
      <c r="B26" s="59" t="n">
        <v>0</v>
      </c>
      <c r="C26" s="58" t="inlineStr">
        <is>
          <t>Cameron decision: all funding frozen</t>
        </is>
      </c>
    </row>
    <row r="27" ht="15" customHeight="1" s="43">
      <c r="A27" s="58" t="inlineStr">
        <is>
          <t>Party support: allied buff (&gt;)</t>
        </is>
      </c>
      <c r="B27" s="59" t="n">
        <v>75</v>
      </c>
      <c r="C27" s="58" t="inlineStr">
        <is>
          <t>Cameron decision → M09</t>
        </is>
      </c>
    </row>
    <row r="28" ht="15" customHeight="1" s="43">
      <c r="A28" s="58" t="inlineStr">
        <is>
          <t>Party support: debuff (&lt;)</t>
        </is>
      </c>
      <c r="B28" s="59" t="n">
        <v>50</v>
      </c>
      <c r="C28" s="58" t="inlineStr">
        <is>
          <t>Cameron decision → M10</t>
        </is>
      </c>
    </row>
    <row r="29" ht="26.25" customHeight="1" s="43">
      <c r="A29" s="58" t="inlineStr">
        <is>
          <t>Party support: Steering Committee (&lt;)</t>
        </is>
      </c>
      <c r="B29" s="59" t="n">
        <v>25</v>
      </c>
      <c r="C29" s="58" t="inlineStr">
        <is>
          <t>Cameron decision → ST08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42" min="1" max="1"/>
    <col width="12" customWidth="1" style="42" min="2" max="3"/>
    <col width="22" customWidth="1" style="42" min="4" max="4"/>
    <col width="55" customWidth="1" style="42" min="5" max="5"/>
    <col width="12" customWidth="1" style="42" min="6" max="6"/>
  </cols>
  <sheetData>
    <row r="1" ht="31.5" customHeight="1" s="43">
      <c r="A1" s="57" t="inlineStr">
        <is>
          <t>Element (canon)</t>
        </is>
      </c>
      <c r="B1" s="57" t="inlineStr">
        <is>
          <t>Suit (JP)</t>
        </is>
      </c>
      <c r="C1" s="57" t="inlineStr">
        <is>
          <t>Romaji</t>
        </is>
      </c>
      <c r="D1" s="57" t="inlineStr">
        <is>
          <t>Gloss</t>
        </is>
      </c>
      <c r="E1" s="57" t="inlineStr">
        <is>
          <t>Play pattern</t>
        </is>
      </c>
      <c r="F1" s="57" t="inlineStr">
        <is>
          <t>Cards in pool</t>
        </is>
      </c>
    </row>
    <row r="2" ht="16.5" customHeight="1" s="43">
      <c r="A2" s="59" t="inlineStr">
        <is>
          <t>Earnest</t>
        </is>
      </c>
      <c r="B2" s="63" t="inlineStr">
        <is>
          <t>誠実</t>
        </is>
      </c>
      <c r="C2" s="59" t="inlineStr">
        <is>
          <t>Seijitsu</t>
        </is>
      </c>
      <c r="D2" s="59" t="inlineStr">
        <is>
          <t>sincerity</t>
        </is>
      </c>
      <c r="E2" s="59" t="inlineStr">
        <is>
          <t>Steady own-support gain; resists and cleans up gaffes</t>
        </is>
      </c>
      <c r="F2" s="58">
        <f>COUNTIF(Cards!$E$2:$E$200,A2)</f>
        <v/>
      </c>
    </row>
    <row r="3" ht="16.5" customHeight="1" s="43">
      <c r="A3" s="59" t="inlineStr">
        <is>
          <t>Emotional</t>
        </is>
      </c>
      <c r="B3" s="63" t="inlineStr">
        <is>
          <t>情熱</t>
        </is>
      </c>
      <c r="C3" s="59" t="inlineStr">
        <is>
          <t>Jōnetsu</t>
        </is>
      </c>
      <c r="D3" s="59" t="inlineStr">
        <is>
          <t>passion</t>
        </is>
      </c>
      <c r="E3" s="59" t="inlineStr">
        <is>
          <t>Burst gains that scale with crowd size; some gaffe risk</t>
        </is>
      </c>
      <c r="F3" s="58">
        <f>COUNTIF(Cards!$E$2:$E$200,A3)</f>
        <v/>
      </c>
    </row>
    <row r="4" ht="16.5" customHeight="1" s="43">
      <c r="A4" s="59" t="inlineStr">
        <is>
          <t>Appeal</t>
        </is>
      </c>
      <c r="B4" s="63" t="inlineStr">
        <is>
          <t>求心</t>
        </is>
      </c>
      <c r="C4" s="59" t="inlineStr">
        <is>
          <t>Kyūshin</t>
        </is>
      </c>
      <c r="D4" s="59" t="inlineStr">
        <is>
          <t>rallying pull</t>
        </is>
      </c>
      <c r="E4" s="59" t="inlineStr">
        <is>
          <t>Segment-targeted gains, setup and card flow (根回し)</t>
        </is>
      </c>
      <c r="F4" s="58">
        <f>COUNTIF(Cards!$E$2:$E$200,A4)</f>
        <v/>
      </c>
    </row>
    <row r="5" ht="16.5" customHeight="1" s="43">
      <c r="A5" s="59" t="inlineStr">
        <is>
          <t>Data Driven</t>
        </is>
      </c>
      <c r="B5" s="63" t="inlineStr">
        <is>
          <t>実証</t>
        </is>
      </c>
      <c r="C5" s="59" t="inlineStr">
        <is>
          <t>Jisshō</t>
        </is>
      </c>
      <c r="D5" s="59" t="inlineStr">
        <is>
          <t>evidence</t>
        </is>
      </c>
      <c r="E5" s="59" t="inlineStr">
        <is>
          <t>Refutation: lowers opponent support; strong in committee</t>
        </is>
      </c>
      <c r="F5" s="58">
        <f>COUNTIF(Cards!$E$2:$E$200,A5)</f>
        <v/>
      </c>
    </row>
    <row r="6" ht="16.5" customHeight="1" s="43">
      <c r="A6" s="59" t="inlineStr">
        <is>
          <t>Divisive</t>
        </is>
      </c>
      <c r="B6" s="63" t="inlineStr">
        <is>
          <t>分断</t>
        </is>
      </c>
      <c r="C6" s="59" t="inlineStr">
        <is>
          <t>Bundan</t>
        </is>
      </c>
      <c r="D6" s="59" t="inlineStr">
        <is>
          <t>division</t>
        </is>
      </c>
      <c r="E6" s="59" t="inlineStr">
        <is>
          <t>Steals support both ways; polarizes; moderate gaffe risk</t>
        </is>
      </c>
      <c r="F6" s="58">
        <f>COUNTIF(Cards!$E$2:$E$200,A6)</f>
        <v/>
      </c>
    </row>
    <row r="7" ht="16.5" customHeight="1" s="43">
      <c r="A7" s="59" t="inlineStr">
        <is>
          <t>Duplicitous</t>
        </is>
      </c>
      <c r="B7" s="63" t="inlineStr">
        <is>
          <t>二枚舌</t>
        </is>
      </c>
      <c r="C7" s="59" t="inlineStr">
        <is>
          <t>Nimaijita</t>
        </is>
      </c>
      <c r="D7" s="59" t="inlineStr">
        <is>
          <t>two tongues</t>
        </is>
      </c>
      <c r="E7" s="59" t="inlineStr">
        <is>
          <t>High power and strong guards, heavy gaffe accrual</t>
        </is>
      </c>
      <c r="F7" s="58">
        <f>COUNTIF(Cards!$E$2:$E$200,A7)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42" min="1" max="1"/>
    <col width="16" customWidth="1" style="42" min="2" max="2"/>
    <col width="11" customWidth="1" style="42" min="3" max="3"/>
    <col width="12" customWidth="1" style="42" min="4" max="4"/>
    <col width="11" customWidth="1" style="42" min="5" max="5"/>
    <col width="12" customWidth="1" style="42" min="6" max="6"/>
    <col width="8" customWidth="1" style="42" min="7" max="7"/>
    <col width="9" customWidth="1" style="42" min="8" max="8"/>
    <col width="8" customWidth="1" style="42" min="9" max="9"/>
    <col width="7" customWidth="1" style="42" min="10" max="10"/>
    <col width="10" customWidth="1" style="42" min="11" max="11"/>
    <col width="7" customWidth="1" style="42" min="12" max="12"/>
    <col width="8" customWidth="1" style="42" min="13" max="17"/>
    <col width="9" customWidth="1" style="42" min="18" max="18"/>
    <col width="8" customWidth="1" style="42" min="19" max="19"/>
    <col width="9" customWidth="1" style="42" min="20" max="21"/>
    <col width="13" customWidth="1" style="42" min="22" max="22"/>
    <col width="8" customWidth="1" style="42" min="23" max="26"/>
    <col width="50" customWidth="1" style="42" min="27" max="27"/>
    <col width="10" customWidth="1" style="42" min="28" max="28"/>
  </cols>
  <sheetData>
    <row r="1" ht="31.5" customHeight="1" s="43">
      <c r="A1" s="57" t="inlineStr">
        <is>
          <t>Stage ID</t>
        </is>
      </c>
      <c r="B1" s="57" t="inlineStr">
        <is>
          <t>Stage (EN)</t>
        </is>
      </c>
      <c r="C1" s="57" t="inlineStr">
        <is>
          <t>Stage (JP)</t>
        </is>
      </c>
      <c r="D1" s="57" t="inlineStr">
        <is>
          <t>Romaji</t>
        </is>
      </c>
      <c r="E1" s="57" t="inlineStr">
        <is>
          <t>Mode</t>
        </is>
      </c>
      <c r="F1" s="57" t="inlineStr">
        <is>
          <t>Bar unit</t>
        </is>
      </c>
      <c r="G1" s="57" t="inlineStr">
        <is>
          <t>Bar max</t>
        </is>
      </c>
      <c r="H1" s="57" t="inlineStr">
        <is>
          <t>Win threshold</t>
        </is>
      </c>
      <c r="I1" s="57" t="inlineStr">
        <is>
          <t>Win %</t>
        </is>
      </c>
      <c r="J1" s="57" t="inlineStr">
        <is>
          <t>Turn limit</t>
        </is>
      </c>
      <c r="K1" s="64" t="inlineStr">
        <is>
          <t>持ち時間 / turn (energy)</t>
        </is>
      </c>
      <c r="L1" s="57" t="inlineStr">
        <is>
          <t>Hand size</t>
        </is>
      </c>
      <c r="M1" s="64" t="inlineStr">
        <is>
          <t>失言 gaffe limit</t>
        </is>
      </c>
      <c r="N1" s="57" t="inlineStr">
        <is>
          <t>Player start</t>
        </is>
      </c>
      <c r="O1" s="57" t="inlineStr">
        <is>
          <t>Opp start</t>
        </is>
      </c>
      <c r="P1" s="57" t="inlineStr">
        <is>
          <t>% Press</t>
        </is>
      </c>
      <c r="Q1" s="57" t="inlineStr">
        <is>
          <t>% Loyalists</t>
        </is>
      </c>
      <c r="R1" s="57" t="inlineStr">
        <is>
          <t>% Constituents</t>
        </is>
      </c>
      <c r="S1" s="57" t="inlineStr">
        <is>
          <t>% Donors</t>
        </is>
      </c>
      <c r="T1" s="57" t="inlineStr">
        <is>
          <t>% Bureaucrats</t>
        </is>
      </c>
      <c r="U1" s="57" t="inlineStr">
        <is>
          <t>Segment check</t>
        </is>
      </c>
      <c r="V1" s="57" t="inlineStr">
        <is>
          <t>Favored suit</t>
        </is>
      </c>
      <c r="W1" s="57" t="inlineStr">
        <is>
          <t>Win ΔJiban</t>
        </is>
      </c>
      <c r="X1" s="57" t="inlineStr">
        <is>
          <t>Win ΔKanban</t>
        </is>
      </c>
      <c r="Y1" s="57" t="inlineStr">
        <is>
          <t>Win ΔKaban</t>
        </is>
      </c>
      <c r="Z1" s="57" t="inlineStr">
        <is>
          <t>XP reward</t>
        </is>
      </c>
      <c r="AA1" s="57" t="inlineStr">
        <is>
          <t>Signature rule</t>
        </is>
      </c>
      <c r="AB1" s="57" t="inlineStr">
        <is>
          <t>Win ΔParty support</t>
        </is>
      </c>
    </row>
    <row r="2" ht="26.25" customHeight="1" s="43">
      <c r="A2" s="59" t="inlineStr">
        <is>
          <t>ST01</t>
        </is>
      </c>
      <c r="B2" s="59" t="inlineStr">
        <is>
          <t>Committee</t>
        </is>
      </c>
      <c r="C2" s="63" t="inlineStr">
        <is>
          <t>委員会</t>
        </is>
      </c>
      <c r="D2" s="59" t="inlineStr">
        <is>
          <t>Iinkai</t>
        </is>
      </c>
      <c r="E2" s="59" t="inlineStr">
        <is>
          <t>Combat</t>
        </is>
      </c>
      <c r="F2" s="59" t="inlineStr">
        <is>
          <t>Members</t>
        </is>
      </c>
      <c r="G2" s="58" t="inlineStr">
        <is>
          <t>varies</t>
        </is>
      </c>
      <c r="H2" s="58" t="inlineStr">
        <is>
          <t>majority</t>
        </is>
      </c>
      <c r="I2" s="65">
        <f>IF(AND(ISNUMBER(G2),ISNUMBER(H2)),IF(G2=0,"",H2/G2),"varies")</f>
        <v/>
      </c>
      <c r="J2" s="59" t="n">
        <v>6</v>
      </c>
      <c r="K2" s="59" t="n">
        <v>3</v>
      </c>
      <c r="L2" s="59" t="n">
        <v>5</v>
      </c>
      <c r="M2" s="59" t="n">
        <v>5</v>
      </c>
      <c r="N2" s="58" t="inlineStr">
        <is>
          <t>varies</t>
        </is>
      </c>
      <c r="O2" s="58" t="inlineStr">
        <is>
          <t>varies</t>
        </is>
      </c>
      <c r="P2" s="60" t="n">
        <v>0.1</v>
      </c>
      <c r="Q2" s="60" t="n">
        <v>0.4</v>
      </c>
      <c r="R2" s="60" t="n">
        <v>0</v>
      </c>
      <c r="S2" s="60" t="n">
        <v>0</v>
      </c>
      <c r="T2" s="60" t="n">
        <v>0.5</v>
      </c>
      <c r="U2" s="65">
        <f>SUM(P2:T2)</f>
        <v/>
      </c>
      <c r="V2" s="58">
        <f>IF(E2&lt;&gt;"Combat","—",IFERROR(INDEX(Affinity!$A$2:$A$7,MATCH(MAX(INDEX(Affinity!$B$2:$H$7,0,MATCH(A2,Affinity!$B$1:$H$1,0))),INDEX(Affinity!$B$2:$H$7,0,MATCH(A2,Affinity!$B$1:$H$1,0)),0)),"—"))</f>
        <v/>
      </c>
      <c r="W2" s="59" t="n">
        <v>0</v>
      </c>
      <c r="X2" s="59" t="n">
        <v>1</v>
      </c>
      <c r="Y2" s="59" t="n">
        <v>0</v>
      </c>
      <c r="Z2" s="59" t="n">
        <v>20</v>
      </c>
      <c r="AA2" s="59" t="inlineStr">
        <is>
          <t>Each member has a Positioning; winning a member locks their vote.</t>
        </is>
      </c>
      <c r="AB2" s="59" t="n">
        <v>0</v>
      </c>
    </row>
    <row r="3" ht="16.5" customHeight="1" s="43">
      <c r="A3" s="59" t="inlineStr">
        <is>
          <t>ST02</t>
        </is>
      </c>
      <c r="B3" s="59" t="inlineStr">
        <is>
          <t>Floor Debate</t>
        </is>
      </c>
      <c r="C3" s="63" t="inlineStr">
        <is>
          <t>本会議</t>
        </is>
      </c>
      <c r="D3" s="59" t="inlineStr">
        <is>
          <t>Honkaigi</t>
        </is>
      </c>
      <c r="E3" s="59" t="inlineStr">
        <is>
          <t>Combat</t>
        </is>
      </c>
      <c r="F3" s="59" t="inlineStr">
        <is>
          <t>Seats</t>
        </is>
      </c>
      <c r="G3" s="59" t="n">
        <v>101</v>
      </c>
      <c r="H3" s="59" t="n">
        <v>51</v>
      </c>
      <c r="I3" s="65">
        <f>IF(AND(ISNUMBER(G3),ISNUMBER(H3)),IF(G3=0,"",H3/G3),"varies")</f>
        <v/>
      </c>
      <c r="J3" s="59" t="n">
        <v>8</v>
      </c>
      <c r="K3" s="59" t="n">
        <v>3</v>
      </c>
      <c r="L3" s="59" t="n">
        <v>5</v>
      </c>
      <c r="M3" s="59" t="n">
        <v>6</v>
      </c>
      <c r="N3" s="59" t="n">
        <v>40</v>
      </c>
      <c r="O3" s="59" t="n">
        <v>40</v>
      </c>
      <c r="P3" s="60" t="n">
        <v>0.2</v>
      </c>
      <c r="Q3" s="60" t="n">
        <v>0.6</v>
      </c>
      <c r="R3" s="60" t="n">
        <v>0.1</v>
      </c>
      <c r="S3" s="60" t="n">
        <v>0</v>
      </c>
      <c r="T3" s="60" t="n">
        <v>0.1</v>
      </c>
      <c r="U3" s="65">
        <f>SUM(P3:T3)</f>
        <v/>
      </c>
      <c r="V3" s="58">
        <f>IF(E3&lt;&gt;"Combat","—",IFERROR(INDEX(Affinity!$A$2:$A$7,MATCH(MAX(INDEX(Affinity!$B$2:$H$7,0,MATCH(A3,Affinity!$B$1:$H$1,0))),INDEX(Affinity!$B$2:$H$7,0,MATCH(A3,Affinity!$B$1:$H$1,0)),0)),"—"))</f>
        <v/>
      </c>
      <c r="W3" s="59" t="n">
        <v>1</v>
      </c>
      <c r="X3" s="59" t="n">
        <v>2</v>
      </c>
      <c r="Y3" s="59" t="n">
        <v>0</v>
      </c>
      <c r="Z3" s="59" t="n">
        <v>40</v>
      </c>
      <c r="AA3" s="59" t="inlineStr">
        <is>
          <t>Party blocs vote together; flip a bloc to swing seats.</t>
        </is>
      </c>
      <c r="AB3" s="59" t="n">
        <v>3</v>
      </c>
    </row>
    <row r="4" ht="16.5" customHeight="1" s="43">
      <c r="A4" s="59" t="inlineStr">
        <is>
          <t>ST03</t>
        </is>
      </c>
      <c r="B4" s="59" t="inlineStr">
        <is>
          <t>Party Caucus</t>
        </is>
      </c>
      <c r="C4" s="63" t="inlineStr">
        <is>
          <t>議員総会</t>
        </is>
      </c>
      <c r="D4" s="59" t="inlineStr">
        <is>
          <t>Giin Sōkai</t>
        </is>
      </c>
      <c r="E4" s="59" t="inlineStr">
        <is>
          <t>Combat</t>
        </is>
      </c>
      <c r="F4" s="59" t="inlineStr">
        <is>
          <t>Support</t>
        </is>
      </c>
      <c r="G4" s="59" t="n">
        <v>100</v>
      </c>
      <c r="H4" s="59" t="n">
        <v>60</v>
      </c>
      <c r="I4" s="65">
        <f>IF(AND(ISNUMBER(G4),ISNUMBER(H4)),IF(G4=0,"",H4/G4),"varies")</f>
        <v/>
      </c>
      <c r="J4" s="59" t="n">
        <v>6</v>
      </c>
      <c r="K4" s="59" t="n">
        <v>3</v>
      </c>
      <c r="L4" s="59" t="n">
        <v>5</v>
      </c>
      <c r="M4" s="59" t="n">
        <v>5</v>
      </c>
      <c r="N4" s="59" t="n">
        <v>40</v>
      </c>
      <c r="O4" s="59" t="n">
        <v>40</v>
      </c>
      <c r="P4" s="60" t="n">
        <v>0</v>
      </c>
      <c r="Q4" s="60" t="n">
        <v>0.9</v>
      </c>
      <c r="R4" s="60" t="n">
        <v>0</v>
      </c>
      <c r="S4" s="60" t="n">
        <v>0.1</v>
      </c>
      <c r="T4" s="60" t="n">
        <v>0</v>
      </c>
      <c r="U4" s="65">
        <f>SUM(P4:T4)</f>
        <v/>
      </c>
      <c r="V4" s="58">
        <f>IF(E4&lt;&gt;"Combat","—",IFERROR(INDEX(Affinity!$A$2:$A$7,MATCH(MAX(INDEX(Affinity!$B$2:$H$7,0,MATCH(A4,Affinity!$B$1:$H$1,0))),INDEX(Affinity!$B$2:$H$7,0,MATCH(A4,Affinity!$B$1:$H$1,0)),0)),"—"))</f>
        <v/>
      </c>
      <c r="W4" s="59" t="n">
        <v>0</v>
      </c>
      <c r="X4" s="59" t="n">
        <v>0</v>
      </c>
      <c r="Y4" s="59" t="n">
        <v>0</v>
      </c>
      <c r="Z4" s="59" t="n">
        <v>25</v>
      </c>
      <c r="AA4" s="59" t="inlineStr">
        <is>
          <t>Result feeds 党内支持 Party support (Sanban row 5).</t>
        </is>
      </c>
      <c r="AB4" s="59" t="n">
        <v>10</v>
      </c>
    </row>
    <row r="5" ht="26.25" customHeight="1" s="43">
      <c r="A5" s="59" t="inlineStr">
        <is>
          <t>ST04</t>
        </is>
      </c>
      <c r="B5" s="59" t="inlineStr">
        <is>
          <t>Press Conference</t>
        </is>
      </c>
      <c r="C5" s="63" t="inlineStr">
        <is>
          <t>記者会見</t>
        </is>
      </c>
      <c r="D5" s="59" t="inlineStr">
        <is>
          <t>Kisha Kaiken</t>
        </is>
      </c>
      <c r="E5" s="59" t="inlineStr">
        <is>
          <t>Combat</t>
        </is>
      </c>
      <c r="F5" s="59" t="inlineStr">
        <is>
          <t>Press tone</t>
        </is>
      </c>
      <c r="G5" s="59" t="n">
        <v>100</v>
      </c>
      <c r="H5" s="59" t="n">
        <v>55</v>
      </c>
      <c r="I5" s="65">
        <f>IF(AND(ISNUMBER(G5),ISNUMBER(H5)),IF(G5=0,"",H5/G5),"varies")</f>
        <v/>
      </c>
      <c r="J5" s="59" t="n">
        <v>5</v>
      </c>
      <c r="K5" s="59" t="n">
        <v>3</v>
      </c>
      <c r="L5" s="59" t="n">
        <v>5</v>
      </c>
      <c r="M5" s="59" t="n">
        <v>4</v>
      </c>
      <c r="N5" s="59" t="n">
        <v>45</v>
      </c>
      <c r="O5" s="59" t="n">
        <v>45</v>
      </c>
      <c r="P5" s="60" t="n">
        <v>0.9</v>
      </c>
      <c r="Q5" s="60" t="n">
        <v>0</v>
      </c>
      <c r="R5" s="60" t="n">
        <v>0</v>
      </c>
      <c r="S5" s="60" t="n">
        <v>0</v>
      </c>
      <c r="T5" s="60" t="n">
        <v>0.1</v>
      </c>
      <c r="U5" s="65">
        <f>SUM(P5:T5)</f>
        <v/>
      </c>
      <c r="V5" s="58">
        <f>IF(E5&lt;&gt;"Combat","—",IFERROR(INDEX(Affinity!$A$2:$A$7,MATCH(MAX(INDEX(Affinity!$B$2:$H$7,0,MATCH(A5,Affinity!$B$1:$H$1,0))),INDEX(Affinity!$B$2:$H$7,0,MATCH(A5,Affinity!$B$1:$H$1,0)),0)),"—"))</f>
        <v/>
      </c>
      <c r="W5" s="59" t="n">
        <v>0</v>
      </c>
      <c r="X5" s="59" t="n">
        <v>3</v>
      </c>
      <c r="Y5" s="59" t="n">
        <v>0</v>
      </c>
      <c r="Z5" s="59" t="n">
        <v>25</v>
      </c>
      <c r="AA5" s="59" t="inlineStr">
        <is>
          <t>Questions arrive as enemy intents; gaffe limit is tight.</t>
        </is>
      </c>
      <c r="AB5" s="59" t="n">
        <v>0</v>
      </c>
    </row>
    <row r="6" ht="26.25" customHeight="1" s="43">
      <c r="A6" s="59" t="inlineStr">
        <is>
          <t>ST05</t>
        </is>
      </c>
      <c r="B6" s="59" t="inlineStr">
        <is>
          <t>Town Hall</t>
        </is>
      </c>
      <c r="C6" s="63" t="inlineStr">
        <is>
          <t>住民集会</t>
        </is>
      </c>
      <c r="D6" s="59" t="inlineStr">
        <is>
          <t>Jūmin Shūkai</t>
        </is>
      </c>
      <c r="E6" s="59" t="inlineStr">
        <is>
          <t>Combat</t>
        </is>
      </c>
      <c r="F6" s="59" t="inlineStr">
        <is>
          <t>Support</t>
        </is>
      </c>
      <c r="G6" s="59" t="n">
        <v>100</v>
      </c>
      <c r="H6" s="59" t="n">
        <v>60</v>
      </c>
      <c r="I6" s="65">
        <f>IF(AND(ISNUMBER(G6),ISNUMBER(H6)),IF(G6=0,"",H6/G6),"varies")</f>
        <v/>
      </c>
      <c r="J6" s="59" t="n">
        <v>6</v>
      </c>
      <c r="K6" s="59" t="n">
        <v>3</v>
      </c>
      <c r="L6" s="59" t="n">
        <v>5</v>
      </c>
      <c r="M6" s="59" t="n">
        <v>6</v>
      </c>
      <c r="N6" s="59" t="n">
        <v>40</v>
      </c>
      <c r="O6" s="59" t="n">
        <v>40</v>
      </c>
      <c r="P6" s="60" t="n">
        <v>0.1</v>
      </c>
      <c r="Q6" s="60" t="n">
        <v>0.1</v>
      </c>
      <c r="R6" s="60" t="n">
        <v>0.7</v>
      </c>
      <c r="S6" s="60" t="n">
        <v>0.1</v>
      </c>
      <c r="T6" s="60" t="n">
        <v>0</v>
      </c>
      <c r="U6" s="65">
        <f>SUM(P6:T6)</f>
        <v/>
      </c>
      <c r="V6" s="58">
        <f>IF(E6&lt;&gt;"Combat","—",IFERROR(INDEX(Affinity!$A$2:$A$7,MATCH(MAX(INDEX(Affinity!$B$2:$H$7,0,MATCH(A6,Affinity!$B$1:$H$1,0))),INDEX(Affinity!$B$2:$H$7,0,MATCH(A6,Affinity!$B$1:$H$1,0)),0)),"—"))</f>
        <v/>
      </c>
      <c r="W6" s="59" t="n">
        <v>4</v>
      </c>
      <c r="X6" s="59" t="n">
        <v>1</v>
      </c>
      <c r="Y6" s="59" t="n">
        <v>0</v>
      </c>
      <c r="Z6" s="59" t="n">
        <v>20</v>
      </c>
      <c r="AA6" s="59" t="inlineStr">
        <is>
          <t>Heckler events add random debuffs; win feeds Jiban.</t>
        </is>
      </c>
      <c r="AB6" s="59" t="n">
        <v>0</v>
      </c>
    </row>
    <row r="7" ht="26.25" customHeight="1" s="43">
      <c r="A7" s="59" t="inlineStr">
        <is>
          <t>ST06</t>
        </is>
      </c>
      <c r="B7" s="59" t="inlineStr">
        <is>
          <t>TV Debate / Interview</t>
        </is>
      </c>
      <c r="C7" s="63" t="inlineStr">
        <is>
          <t>討論番組</t>
        </is>
      </c>
      <c r="D7" s="59" t="inlineStr">
        <is>
          <t>Tōron Bangumi</t>
        </is>
      </c>
      <c r="E7" s="59" t="inlineStr">
        <is>
          <t>Combat</t>
        </is>
      </c>
      <c r="F7" s="59" t="inlineStr">
        <is>
          <t>Support</t>
        </is>
      </c>
      <c r="G7" s="59" t="n">
        <v>100</v>
      </c>
      <c r="H7" s="59" t="n">
        <v>50</v>
      </c>
      <c r="I7" s="65">
        <f>IF(AND(ISNUMBER(G7),ISNUMBER(H7)),IF(G7=0,"",H7/G7),"varies")</f>
        <v/>
      </c>
      <c r="J7" s="59" t="n">
        <v>6</v>
      </c>
      <c r="K7" s="59" t="n">
        <v>3</v>
      </c>
      <c r="L7" s="59" t="n">
        <v>5</v>
      </c>
      <c r="M7" s="59" t="n">
        <v>5</v>
      </c>
      <c r="N7" s="59" t="n">
        <v>50</v>
      </c>
      <c r="O7" s="59" t="n">
        <v>50</v>
      </c>
      <c r="P7" s="60" t="n">
        <v>0.5</v>
      </c>
      <c r="Q7" s="60" t="n">
        <v>0.2</v>
      </c>
      <c r="R7" s="60" t="n">
        <v>0.3</v>
      </c>
      <c r="S7" s="60" t="n">
        <v>0</v>
      </c>
      <c r="T7" s="60" t="n">
        <v>0</v>
      </c>
      <c r="U7" s="65">
        <f>SUM(P7:T7)</f>
        <v/>
      </c>
      <c r="V7" s="58">
        <f>IF(E7&lt;&gt;"Combat","—",IFERROR(INDEX(Affinity!$A$2:$A$7,MATCH(MAX(INDEX(Affinity!$B$2:$H$7,0,MATCH(A7,Affinity!$B$1:$H$1,0))),INDEX(Affinity!$B$2:$H$7,0,MATCH(A7,Affinity!$B$1:$H$1,0)),0)),"—"))</f>
        <v/>
      </c>
      <c r="W7" s="59" t="n">
        <v>0</v>
      </c>
      <c r="X7" s="59" t="n">
        <v>3</v>
      </c>
      <c r="Y7" s="59" t="n">
        <v>0</v>
      </c>
      <c r="Z7" s="59" t="n">
        <v>25</v>
      </c>
      <c r="AA7" s="59" t="inlineStr">
        <is>
          <t>Win = stay at/above threshold every turn (survival).</t>
        </is>
      </c>
      <c r="AB7" s="59" t="n">
        <v>0</v>
      </c>
    </row>
    <row r="8" ht="26.25" customHeight="1" s="43">
      <c r="A8" s="59" t="inlineStr">
        <is>
          <t>ST07</t>
        </is>
      </c>
      <c r="B8" s="59" t="inlineStr">
        <is>
          <t>Office Hours</t>
        </is>
      </c>
      <c r="C8" s="63" t="inlineStr">
        <is>
          <t>陳情</t>
        </is>
      </c>
      <c r="D8" s="59" t="inlineStr">
        <is>
          <t>Chinjō</t>
        </is>
      </c>
      <c r="E8" s="59" t="inlineStr">
        <is>
          <t>Non-combat</t>
        </is>
      </c>
      <c r="F8" s="59" t="inlineStr">
        <is>
          <t>Time slots</t>
        </is>
      </c>
      <c r="G8" s="58" t="n"/>
      <c r="H8" s="58" t="n"/>
      <c r="I8" s="65">
        <f>IF(AND(ISNUMBER(G8),ISNUMBER(H8)),IF(G8=0,"",H8/G8),"varies")</f>
        <v/>
      </c>
      <c r="J8" s="58" t="n"/>
      <c r="K8" s="59" t="n">
        <v>5</v>
      </c>
      <c r="L8" s="58" t="n"/>
      <c r="M8" s="58" t="n"/>
      <c r="N8" s="58" t="n"/>
      <c r="O8" s="58" t="n"/>
      <c r="P8" s="60" t="n">
        <v>0</v>
      </c>
      <c r="Q8" s="60" t="n">
        <v>0</v>
      </c>
      <c r="R8" s="60" t="n">
        <v>0.6</v>
      </c>
      <c r="S8" s="60" t="n">
        <v>0.3</v>
      </c>
      <c r="T8" s="60" t="n">
        <v>0.1</v>
      </c>
      <c r="U8" s="65">
        <f>SUM(P8:T8)</f>
        <v/>
      </c>
      <c r="V8" s="58">
        <f>IF(E8&lt;&gt;"Combat","—",IFERROR(INDEX(Affinity!$A$2:$A$7,MATCH(MAX(INDEX(Affinity!$B$2:$H$7,0,MATCH(A8,Affinity!$B$1:$H$1,0))),INDEX(Affinity!$B$2:$H$7,0,MATCH(A8,Affinity!$B$1:$H$1,0)),0)),"—"))</f>
        <v/>
      </c>
      <c r="W8" s="58" t="n"/>
      <c r="X8" s="58" t="n"/>
      <c r="Y8" s="58" t="n"/>
      <c r="Z8" s="59" t="n">
        <v>10</v>
      </c>
      <c r="AA8" s="59" t="inlineStr">
        <is>
          <t>Visitors arrive as event cards; spend time slots to respond. Outputs Jiban, Kaban, unlocks.</t>
        </is>
      </c>
      <c r="AB8" s="58" t="n"/>
    </row>
    <row r="9" ht="39" customHeight="1" s="43">
      <c r="A9" s="59" t="inlineStr">
        <is>
          <t>ST08</t>
        </is>
      </c>
      <c r="B9" s="59" t="inlineStr">
        <is>
          <t>Party Steering Committee</t>
        </is>
      </c>
      <c r="C9" s="66" t="inlineStr">
        <is>
          <t>党運営委員会</t>
        </is>
      </c>
      <c r="D9" s="59" t="inlineStr">
        <is>
          <t>Tō Un'ei Iinkai</t>
        </is>
      </c>
      <c r="E9" s="59" t="inlineStr">
        <is>
          <t>Combat</t>
        </is>
      </c>
      <c r="F9" s="59" t="inlineStr">
        <is>
          <t>Support</t>
        </is>
      </c>
      <c r="G9" s="59" t="n">
        <v>100</v>
      </c>
      <c r="H9" s="59" t="n">
        <v>60</v>
      </c>
      <c r="I9" s="65">
        <f>IF(AND(ISNUMBER(G9),ISNUMBER(H9)),IF(G9=0,"",H9/G9),"varies")</f>
        <v/>
      </c>
      <c r="J9" s="59" t="n">
        <v>6</v>
      </c>
      <c r="K9" s="59" t="n">
        <v>3</v>
      </c>
      <c r="L9" s="59" t="n">
        <v>5</v>
      </c>
      <c r="M9" s="59" t="n">
        <v>5</v>
      </c>
      <c r="N9" s="59" t="n">
        <v>20</v>
      </c>
      <c r="O9" s="59" t="n">
        <v>50</v>
      </c>
      <c r="P9" s="60" t="n">
        <v>0</v>
      </c>
      <c r="Q9" s="60" t="n">
        <v>0.8</v>
      </c>
      <c r="R9" s="60" t="n">
        <v>0</v>
      </c>
      <c r="S9" s="60" t="n">
        <v>0</v>
      </c>
      <c r="T9" s="60" t="n">
        <v>0.2</v>
      </c>
      <c r="U9" s="65">
        <f>SUM(P9:T9)</f>
        <v/>
      </c>
      <c r="V9" s="58">
        <f>IF(E9&lt;&gt;"Combat","—",IFERROR(INDEX(Affinity!$A$2:$A$7,MATCH(MAX(INDEX(Affinity!$B$2:$H$7,0,MATCH(A9,Affinity!$B$1:$H$1,0))),INDEX(Affinity!$B$2:$H$7,0,MATCH(A9,Affinity!$B$1:$H$1,0)),0)),"—"))</f>
        <v/>
      </c>
      <c r="W9" s="59" t="n">
        <v>0</v>
      </c>
      <c r="X9" s="59" t="n">
        <v>-3</v>
      </c>
      <c r="Y9" s="59" t="n">
        <v>-20</v>
      </c>
      <c r="Z9" s="59" t="n">
        <v>15</v>
      </c>
      <c r="AA9" s="59" t="inlineStr">
        <is>
          <t>Triggered when Party support &lt; 25. Entry cost: one Kōenkai and one Bankisha modifier disabled for the next module. Win restores Party support.</t>
        </is>
      </c>
      <c r="AB9" s="59" t="n">
        <v>30</v>
      </c>
    </row>
  </sheetData>
  <dataValidations count="1">
    <dataValidation sqref="E2:E50" showDropDown="0" showInputMessage="0" showErrorMessage="0" allowBlank="1" type="list" errorStyle="stop" operator="between">
      <formula1>Lists!$E$2:$E$3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12" customWidth="1" style="42" min="2" max="8"/>
  </cols>
  <sheetData>
    <row r="1" ht="31.5" customHeight="1" s="43">
      <c r="A1" s="57" t="inlineStr">
        <is>
          <t>Element</t>
        </is>
      </c>
      <c r="B1" s="57" t="inlineStr">
        <is>
          <t>ST01</t>
        </is>
      </c>
      <c r="C1" s="57" t="inlineStr">
        <is>
          <t>ST02</t>
        </is>
      </c>
      <c r="D1" s="57" t="inlineStr">
        <is>
          <t>ST03</t>
        </is>
      </c>
      <c r="E1" s="57" t="inlineStr">
        <is>
          <t>ST04</t>
        </is>
      </c>
      <c r="F1" s="57" t="inlineStr">
        <is>
          <t>ST05</t>
        </is>
      </c>
      <c r="G1" s="57" t="inlineStr">
        <is>
          <t>ST06</t>
        </is>
      </c>
      <c r="H1" s="57" t="inlineStr">
        <is>
          <t>ST08</t>
        </is>
      </c>
    </row>
    <row r="2" ht="15" customHeight="1" s="43">
      <c r="A2" s="59" t="inlineStr">
        <is>
          <t>Earnest</t>
        </is>
      </c>
      <c r="B2" s="67" t="n">
        <v>1</v>
      </c>
      <c r="C2" s="67" t="n">
        <v>1</v>
      </c>
      <c r="D2" s="67" t="n">
        <v>1.1</v>
      </c>
      <c r="E2" s="67" t="n">
        <v>1.2</v>
      </c>
      <c r="F2" s="67" t="n">
        <v>1.2</v>
      </c>
      <c r="G2" s="67" t="n">
        <v>1.1</v>
      </c>
      <c r="H2" s="67" t="n">
        <v>1.2</v>
      </c>
    </row>
    <row r="3" ht="15" customHeight="1" s="43">
      <c r="A3" s="59" t="inlineStr">
        <is>
          <t>Emotional</t>
        </is>
      </c>
      <c r="B3" s="67" t="n">
        <v>0.8</v>
      </c>
      <c r="C3" s="67" t="n">
        <v>1.1</v>
      </c>
      <c r="D3" s="67" t="n">
        <v>1</v>
      </c>
      <c r="E3" s="67" t="n">
        <v>0.9</v>
      </c>
      <c r="F3" s="67" t="n">
        <v>1.3</v>
      </c>
      <c r="G3" s="67" t="n">
        <v>1</v>
      </c>
      <c r="H3" s="67" t="n">
        <v>0.9</v>
      </c>
    </row>
    <row r="4" ht="15" customHeight="1" s="43">
      <c r="A4" s="59" t="inlineStr">
        <is>
          <t>Appeal</t>
        </is>
      </c>
      <c r="B4" s="67" t="n">
        <v>1</v>
      </c>
      <c r="C4" s="67" t="n">
        <v>1.2</v>
      </c>
      <c r="D4" s="67" t="n">
        <v>1.25</v>
      </c>
      <c r="E4" s="67" t="n">
        <v>0.9</v>
      </c>
      <c r="F4" s="67" t="n">
        <v>1.1</v>
      </c>
      <c r="G4" s="67" t="n">
        <v>1</v>
      </c>
      <c r="H4" s="67" t="n">
        <v>1.3</v>
      </c>
    </row>
    <row r="5" ht="15" customHeight="1" s="43">
      <c r="A5" s="59" t="inlineStr">
        <is>
          <t>Data Driven</t>
        </is>
      </c>
      <c r="B5" s="67" t="n">
        <v>1.3</v>
      </c>
      <c r="C5" s="67" t="n">
        <v>1.1</v>
      </c>
      <c r="D5" s="67" t="n">
        <v>0.9</v>
      </c>
      <c r="E5" s="67" t="n">
        <v>1</v>
      </c>
      <c r="F5" s="67" t="n">
        <v>0.8</v>
      </c>
      <c r="G5" s="67" t="n">
        <v>1.2</v>
      </c>
      <c r="H5" s="67" t="n">
        <v>1</v>
      </c>
    </row>
    <row r="6" ht="15" customHeight="1" s="43">
      <c r="A6" s="59" t="inlineStr">
        <is>
          <t>Divisive</t>
        </is>
      </c>
      <c r="B6" s="67" t="n">
        <v>0.8</v>
      </c>
      <c r="C6" s="67" t="n">
        <v>1.2</v>
      </c>
      <c r="D6" s="67" t="n">
        <v>0.8</v>
      </c>
      <c r="E6" s="67" t="n">
        <v>1</v>
      </c>
      <c r="F6" s="67" t="n">
        <v>1.1</v>
      </c>
      <c r="G6" s="67" t="n">
        <v>1.1</v>
      </c>
      <c r="H6" s="67" t="n">
        <v>0.7</v>
      </c>
    </row>
    <row r="7" ht="15" customHeight="1" s="43">
      <c r="A7" s="59" t="inlineStr">
        <is>
          <t>Duplicitous</t>
        </is>
      </c>
      <c r="B7" s="67" t="n">
        <v>1.1</v>
      </c>
      <c r="C7" s="67" t="n">
        <v>1</v>
      </c>
      <c r="D7" s="67" t="n">
        <v>1.1</v>
      </c>
      <c r="E7" s="67" t="n">
        <v>0.7</v>
      </c>
      <c r="F7" s="67" t="n">
        <v>0.9</v>
      </c>
      <c r="G7" s="67" t="n">
        <v>0.8</v>
      </c>
      <c r="H7" s="67" t="n">
        <v>1</v>
      </c>
    </row>
    <row r="9" ht="26.25" customHeight="1" s="43">
      <c r="A9" s="68" t="inlineStr">
        <is>
          <t>Stage name →</t>
        </is>
      </c>
      <c r="B9" s="58">
        <f>IFERROR(INDEX(Stages!$B$2:$B$9,MATCH(B$1,Stages!$A$2:$A$9,0)),"")</f>
        <v/>
      </c>
      <c r="C9" s="58">
        <f>IFERROR(INDEX(Stages!$B$2:$B$9,MATCH(C$1,Stages!$A$2:$A$9,0)),"")</f>
        <v/>
      </c>
      <c r="D9" s="58">
        <f>IFERROR(INDEX(Stages!$B$2:$B$9,MATCH(D$1,Stages!$A$2:$A$9,0)),"")</f>
        <v/>
      </c>
      <c r="E9" s="58">
        <f>IFERROR(INDEX(Stages!$B$2:$B$9,MATCH(E$1,Stages!$A$2:$A$9,0)),"")</f>
        <v/>
      </c>
      <c r="F9" s="58">
        <f>IFERROR(INDEX(Stages!$B$2:$B$9,MATCH(F$1,Stages!$A$2:$A$9,0)),"")</f>
        <v/>
      </c>
      <c r="G9" s="58">
        <f>IFERROR(INDEX(Stages!$B$2:$B$9,MATCH(G$1,Stages!$A$2:$A$9,0)),"")</f>
        <v/>
      </c>
      <c r="H9" s="58">
        <f>IFERROR(INDEX(Stages!$B$2:$B$9,MATCH(H$1,Stages!$A$2:$A$9,0)),"")</f>
        <v/>
      </c>
    </row>
    <row r="10" ht="15" customHeight="1" s="43">
      <c r="A10" s="68" t="inlineStr">
        <is>
          <t>Column average</t>
        </is>
      </c>
      <c r="B10" s="69">
        <f>AVERAGE(B2:B7)</f>
        <v/>
      </c>
      <c r="C10" s="69">
        <f>AVERAGE(C2:C7)</f>
        <v/>
      </c>
      <c r="D10" s="69">
        <f>AVERAGE(D2:D7)</f>
        <v/>
      </c>
      <c r="E10" s="69">
        <f>AVERAGE(E2:E7)</f>
        <v/>
      </c>
      <c r="F10" s="69">
        <f>AVERAGE(F2:F7)</f>
        <v/>
      </c>
      <c r="G10" s="69">
        <f>AVERAGE(G2:G7)</f>
        <v/>
      </c>
      <c r="H10" s="69">
        <f>AVERAGE(H2:H7)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X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24" customWidth="1" style="42" min="2" max="2"/>
    <col width="16" customWidth="1" style="42" min="3" max="3"/>
    <col width="20" customWidth="1" style="42" min="4" max="4"/>
    <col width="13" customWidth="1" style="42" min="5" max="5"/>
    <col width="9" customWidth="1" style="42" min="6" max="6"/>
    <col width="10" customWidth="1" style="42" min="7" max="7"/>
    <col width="9" customWidth="1" style="42" min="8" max="8"/>
    <col width="7" customWidth="1" style="42" min="9" max="12"/>
    <col width="8" customWidth="1" style="42" min="13" max="13"/>
    <col width="13" customWidth="1" style="42" min="14" max="14"/>
    <col width="40" customWidth="1" style="42" min="15" max="15"/>
    <col width="32" customWidth="1" style="42" min="16" max="16"/>
    <col width="9" customWidth="1" style="42" min="17" max="20"/>
    <col width="11" customWidth="1" style="42" min="21" max="21"/>
  </cols>
  <sheetData>
    <row r="1" ht="31.5" customHeight="1" s="43">
      <c r="A1" s="57" t="inlineStr">
        <is>
          <t>Card ID</t>
        </is>
      </c>
      <c r="B1" s="57" t="inlineStr">
        <is>
          <t>Name (EN)</t>
        </is>
      </c>
      <c r="C1" s="57" t="inlineStr">
        <is>
          <t>Name (JP)</t>
        </is>
      </c>
      <c r="D1" s="57" t="inlineStr">
        <is>
          <t>Romaji</t>
        </is>
      </c>
      <c r="E1" s="57" t="inlineStr">
        <is>
          <t>Suit (Element)</t>
        </is>
      </c>
      <c r="F1" s="57" t="inlineStr">
        <is>
          <t>Suit (JP)</t>
        </is>
      </c>
      <c r="G1" s="57" t="inlineStr">
        <is>
          <t>Type</t>
        </is>
      </c>
      <c r="H1" s="57" t="inlineStr">
        <is>
          <t>Cost (持ち時間)</t>
        </is>
      </c>
      <c r="I1" s="57" t="inlineStr">
        <is>
          <t>Self +</t>
        </is>
      </c>
      <c r="J1" s="57" t="inlineStr">
        <is>
          <t>Opp −</t>
        </is>
      </c>
      <c r="K1" s="57" t="inlineStr">
        <is>
          <t>Guard</t>
        </is>
      </c>
      <c r="L1" s="57" t="inlineStr">
        <is>
          <t>Draw</t>
        </is>
      </c>
      <c r="M1" s="57" t="inlineStr">
        <is>
          <t>Gaffe +/−</t>
        </is>
      </c>
      <c r="N1" s="57" t="inlineStr">
        <is>
          <t>Target segment</t>
        </is>
      </c>
      <c r="O1" s="57" t="inlineStr">
        <is>
          <t>Effect text</t>
        </is>
      </c>
      <c r="P1" s="57" t="inlineStr">
        <is>
          <t>Upgrade (+)</t>
        </is>
      </c>
      <c r="Q1" s="57" t="inlineStr">
        <is>
          <t>Tier</t>
        </is>
      </c>
      <c r="R1" s="57" t="inlineStr">
        <is>
          <t>XP to unlock</t>
        </is>
      </c>
      <c r="S1" s="57" t="inlineStr">
        <is>
          <t>Power Score</t>
        </is>
      </c>
      <c r="T1" s="57" t="inlineStr">
        <is>
          <t>Power / Cost</t>
        </is>
      </c>
      <c r="U1" s="70" t="inlineStr">
        <is>
          <t>Balance flag</t>
        </is>
      </c>
      <c r="V1" s="71" t="inlineStr">
        <is>
          <t>Special</t>
        </is>
      </c>
      <c r="W1" s="71" t="inlineStr">
        <is>
          <t>Special value</t>
        </is>
      </c>
      <c r="X1" s="71" t="inlineStr">
        <is>
          <t>Special note [PROPOSED]</t>
        </is>
      </c>
    </row>
    <row r="2" ht="16.5" customHeight="1" s="43">
      <c r="A2" s="59" t="inlineStr">
        <is>
          <t>C01</t>
        </is>
      </c>
      <c r="B2" s="59" t="inlineStr">
        <is>
          <t>Record of Service</t>
        </is>
      </c>
      <c r="C2" s="63" t="inlineStr">
        <is>
          <t>実績報告</t>
        </is>
      </c>
      <c r="D2" s="59" t="inlineStr">
        <is>
          <t>Jisseki Hōkoku</t>
        </is>
      </c>
      <c r="E2" s="59" t="inlineStr">
        <is>
          <t>Earnest</t>
        </is>
      </c>
      <c r="F2" s="58">
        <f>IFERROR(INDEX(Suits!$B$2:$B$7,MATCH(E2,Suits!$A$2:$A$7,0)),"?")</f>
        <v/>
      </c>
      <c r="G2" s="59" t="inlineStr">
        <is>
          <t>Gain</t>
        </is>
      </c>
      <c r="H2" s="59" t="n">
        <v>1</v>
      </c>
      <c r="I2" s="59" t="n">
        <v>3</v>
      </c>
      <c r="J2" s="59" t="n">
        <v>0</v>
      </c>
      <c r="K2" s="59" t="n">
        <v>0</v>
      </c>
      <c r="L2" s="59" t="n">
        <v>0</v>
      </c>
      <c r="M2" s="59" t="n">
        <v>0</v>
      </c>
      <c r="N2" s="59" t="inlineStr">
        <is>
          <t>Any</t>
        </is>
      </c>
      <c r="O2" s="59" t="inlineStr">
        <is>
          <t>Gain 3 support.</t>
        </is>
      </c>
      <c r="P2" s="59" t="inlineStr">
        <is>
          <t>Gain 4.</t>
        </is>
      </c>
      <c r="Q2" s="59" t="inlineStr">
        <is>
          <t>Starter</t>
        </is>
      </c>
      <c r="R2" s="58">
        <f>IFERROR(INDEX(Balance!$B$12:$B$14,MATCH(Q2,Balance!$A$12:$A$14,0)),"")</f>
        <v/>
      </c>
      <c r="S2" s="72">
        <f>I2*Balance!$B$2+J2*Balance!$B$3+K2*Balance!$B$4+L2*Balance!$B$5-M2*Balance!$B$6</f>
        <v/>
      </c>
      <c r="T2" s="73">
        <f>IF(H2=0,"",S2/H2)</f>
        <v/>
      </c>
      <c r="U2" s="58">
        <f>IF(T2="","",IF(T2&gt;$T$27*1.3,"HIGH",IF(T2&lt;$T$27*0.7,"LOW","ok")))</f>
        <v/>
      </c>
    </row>
    <row r="3" ht="16.5" customHeight="1" s="43">
      <c r="A3" s="59" t="inlineStr">
        <is>
          <t>C02</t>
        </is>
      </c>
      <c r="B3" s="59" t="inlineStr">
        <is>
          <t>Sincere Answer</t>
        </is>
      </c>
      <c r="C3" s="63" t="inlineStr">
        <is>
          <t>誠意ある答弁</t>
        </is>
      </c>
      <c r="D3" s="59" t="inlineStr">
        <is>
          <t>Seii aru Tōben</t>
        </is>
      </c>
      <c r="E3" s="59" t="inlineStr">
        <is>
          <t>Earnest</t>
        </is>
      </c>
      <c r="F3" s="58">
        <f>IFERROR(INDEX(Suits!$B$2:$B$7,MATCH(E3,Suits!$A$2:$A$7,0)),"?")</f>
        <v/>
      </c>
      <c r="G3" s="59" t="inlineStr">
        <is>
          <t>Defend</t>
        </is>
      </c>
      <c r="H3" s="59" t="n">
        <v>1</v>
      </c>
      <c r="I3" s="59" t="n">
        <v>1</v>
      </c>
      <c r="J3" s="59" t="n">
        <v>0</v>
      </c>
      <c r="K3" s="59" t="n">
        <v>4</v>
      </c>
      <c r="L3" s="59" t="n">
        <v>0</v>
      </c>
      <c r="M3" s="59" t="n">
        <v>0</v>
      </c>
      <c r="N3" s="59" t="inlineStr">
        <is>
          <t>Any</t>
        </is>
      </c>
      <c r="O3" s="59" t="inlineStr">
        <is>
          <t>Gain 1. Guard 4 this turn.</t>
        </is>
      </c>
      <c r="P3" s="59" t="inlineStr">
        <is>
          <t>Guard 6.</t>
        </is>
      </c>
      <c r="Q3" s="59" t="inlineStr">
        <is>
          <t>Starter</t>
        </is>
      </c>
      <c r="R3" s="58">
        <f>IFERROR(INDEX(Balance!$B$12:$B$14,MATCH(Q3,Balance!$A$12:$A$14,0)),"")</f>
        <v/>
      </c>
      <c r="S3" s="72">
        <f>I3*Balance!$B$2+J3*Balance!$B$3+K3*Balance!$B$4+L3*Balance!$B$5-M3*Balance!$B$6</f>
        <v/>
      </c>
      <c r="T3" s="73">
        <f>IF(H3=0,"",S3/H3)</f>
        <v/>
      </c>
      <c r="U3" s="58">
        <f>IF(T3="","",IF(T3&gt;$T$27*1.3,"HIGH",IF(T3&lt;$T$27*0.7,"LOW","ok")))</f>
        <v/>
      </c>
    </row>
    <row r="4" ht="32.25" customHeight="1" s="43">
      <c r="A4" s="59" t="inlineStr">
        <is>
          <t>C03</t>
        </is>
      </c>
      <c r="B4" s="59" t="inlineStr">
        <is>
          <t>Formal Apology</t>
        </is>
      </c>
      <c r="C4" s="63" t="inlineStr">
        <is>
          <t>深々と頭を下げる</t>
        </is>
      </c>
      <c r="D4" s="59" t="inlineStr">
        <is>
          <t>Fukabuka to Atama o Sageru</t>
        </is>
      </c>
      <c r="E4" s="59" t="inlineStr">
        <is>
          <t>Earnest</t>
        </is>
      </c>
      <c r="F4" s="58">
        <f>IFERROR(INDEX(Suits!$B$2:$B$7,MATCH(E4,Suits!$A$2:$A$7,0)),"?")</f>
        <v/>
      </c>
      <c r="G4" s="59" t="inlineStr">
        <is>
          <t>Utility</t>
        </is>
      </c>
      <c r="H4" s="59" t="n">
        <v>2</v>
      </c>
      <c r="I4" s="59" t="n">
        <v>2</v>
      </c>
      <c r="J4" s="59" t="n">
        <v>0</v>
      </c>
      <c r="K4" s="59" t="n">
        <v>0</v>
      </c>
      <c r="L4" s="59" t="n">
        <v>0</v>
      </c>
      <c r="M4" s="59" t="n">
        <v>-3</v>
      </c>
      <c r="N4" s="59" t="inlineStr">
        <is>
          <t>Any</t>
        </is>
      </c>
      <c r="O4" s="59" t="inlineStr">
        <is>
          <t>Gain 2. Reduce gaffe meter by 3.</t>
        </is>
      </c>
      <c r="P4" s="59" t="inlineStr">
        <is>
          <t>Also draw 1.</t>
        </is>
      </c>
      <c r="Q4" s="59" t="inlineStr">
        <is>
          <t>Tier 1</t>
        </is>
      </c>
      <c r="R4" s="58">
        <f>IFERROR(INDEX(Balance!$B$12:$B$14,MATCH(Q4,Balance!$A$12:$A$14,0)),"")</f>
        <v/>
      </c>
      <c r="S4" s="72">
        <f>I4*Balance!$B$2+J4*Balance!$B$3+K4*Balance!$B$4+L4*Balance!$B$5-M4*Balance!$B$6</f>
        <v/>
      </c>
      <c r="T4" s="73">
        <f>IF(H4=0,"",S4/H4)</f>
        <v/>
      </c>
      <c r="U4" s="58">
        <f>IF(T4="","",IF(T4&gt;$T$27*1.3,"HIGH",IF(T4&lt;$T$27*0.7,"LOW","ok")))</f>
        <v/>
      </c>
    </row>
    <row r="5" ht="16.5" customHeight="1" s="43">
      <c r="A5" s="59" t="inlineStr">
        <is>
          <t>C04</t>
        </is>
      </c>
      <c r="B5" s="59" t="inlineStr">
        <is>
          <t>Return to First Principles</t>
        </is>
      </c>
      <c r="C5" s="63" t="inlineStr">
        <is>
          <t>初心表明</t>
        </is>
      </c>
      <c r="D5" s="59" t="inlineStr">
        <is>
          <t>Shoshin Hyōmei</t>
        </is>
      </c>
      <c r="E5" s="59" t="inlineStr">
        <is>
          <t>Earnest</t>
        </is>
      </c>
      <c r="F5" s="58">
        <f>IFERROR(INDEX(Suits!$B$2:$B$7,MATCH(E5,Suits!$A$2:$A$7,0)),"?")</f>
        <v/>
      </c>
      <c r="G5" s="59" t="inlineStr">
        <is>
          <t>Gain</t>
        </is>
      </c>
      <c r="H5" s="59" t="n">
        <v>3</v>
      </c>
      <c r="I5" s="59" t="n">
        <v>6</v>
      </c>
      <c r="J5" s="59" t="n">
        <v>0</v>
      </c>
      <c r="K5" s="59" t="n">
        <v>0</v>
      </c>
      <c r="L5" s="59" t="n">
        <v>0</v>
      </c>
      <c r="M5" s="59" t="n">
        <v>0</v>
      </c>
      <c r="N5" s="59" t="inlineStr">
        <is>
          <t>Any</t>
        </is>
      </c>
      <c r="O5" s="59" t="inlineStr">
        <is>
          <t>Gain 6; +2 more if Kanban ≥ 60.</t>
        </is>
      </c>
      <c r="P5" s="59" t="inlineStr">
        <is>
          <t>Cost 2.</t>
        </is>
      </c>
      <c r="Q5" s="59" t="inlineStr">
        <is>
          <t>Tier 2</t>
        </is>
      </c>
      <c r="R5" s="58">
        <f>IFERROR(INDEX(Balance!$B$12:$B$14,MATCH(Q5,Balance!$A$12:$A$14,0)),"")</f>
        <v/>
      </c>
      <c r="S5" s="72">
        <f>I5*Balance!$B$2+J5*Balance!$B$3+K5*Balance!$B$4+L5*Balance!$B$5-M5*Balance!$B$6</f>
        <v/>
      </c>
      <c r="T5" s="73">
        <f>IF(H5=0,"",S5/H5)</f>
        <v/>
      </c>
      <c r="U5" s="58">
        <f>IF(T5="","",IF(T5&gt;$T$27*1.3,"HIGH",IF(T5&lt;$T$27*0.7,"LOW","ok")))</f>
        <v/>
      </c>
      <c r="V5" s="74" t="inlineStr">
        <is>
          <t>bonus_if_kanban_ge_60</t>
        </is>
      </c>
      <c r="W5" s="74" t="n">
        <v>2</v>
      </c>
      <c r="X5" s="74" t="inlineStr">
        <is>
          <t>Gain 6; +2 more if Kanban &gt;= 60</t>
        </is>
      </c>
    </row>
    <row r="6" ht="16.5" customHeight="1" s="43">
      <c r="A6" s="59" t="inlineStr">
        <is>
          <t>C05</t>
        </is>
      </c>
      <c r="B6" s="59" t="inlineStr">
        <is>
          <t>Impassioned Speech</t>
        </is>
      </c>
      <c r="C6" s="63" t="inlineStr">
        <is>
          <t>熱弁</t>
        </is>
      </c>
      <c r="D6" s="59" t="inlineStr">
        <is>
          <t>Netsuben</t>
        </is>
      </c>
      <c r="E6" s="59" t="inlineStr">
        <is>
          <t>Emotional</t>
        </is>
      </c>
      <c r="F6" s="58">
        <f>IFERROR(INDEX(Suits!$B$2:$B$7,MATCH(E6,Suits!$A$2:$A$7,0)),"?")</f>
        <v/>
      </c>
      <c r="G6" s="59" t="inlineStr">
        <is>
          <t>Gain</t>
        </is>
      </c>
      <c r="H6" s="59" t="n">
        <v>2</v>
      </c>
      <c r="I6" s="59" t="n">
        <v>5</v>
      </c>
      <c r="J6" s="59" t="n">
        <v>0</v>
      </c>
      <c r="K6" s="59" t="n">
        <v>0</v>
      </c>
      <c r="L6" s="59" t="n">
        <v>0</v>
      </c>
      <c r="M6" s="59" t="n">
        <v>1</v>
      </c>
      <c r="N6" s="59" t="inlineStr">
        <is>
          <t>Any</t>
        </is>
      </c>
      <c r="O6" s="59" t="inlineStr">
        <is>
          <t>Gain 5. Gaffe +1.</t>
        </is>
      </c>
      <c r="P6" s="59" t="inlineStr">
        <is>
          <t>Gain 7.</t>
        </is>
      </c>
      <c r="Q6" s="59" t="inlineStr">
        <is>
          <t>Starter</t>
        </is>
      </c>
      <c r="R6" s="58">
        <f>IFERROR(INDEX(Balance!$B$12:$B$14,MATCH(Q6,Balance!$A$12:$A$14,0)),"")</f>
        <v/>
      </c>
      <c r="S6" s="72">
        <f>I6*Balance!$B$2+J6*Balance!$B$3+K6*Balance!$B$4+L6*Balance!$B$5-M6*Balance!$B$6</f>
        <v/>
      </c>
      <c r="T6" s="73">
        <f>IF(H6=0,"",S6/H6)</f>
        <v/>
      </c>
      <c r="U6" s="58">
        <f>IF(T6="","",IF(T6&gt;$T$27*1.3,"HIGH",IF(T6&lt;$T$27*0.7,"LOW","ok")))</f>
        <v/>
      </c>
    </row>
    <row r="7" ht="16.5" customHeight="1" s="43">
      <c r="A7" s="59" t="inlineStr">
        <is>
          <t>C06</t>
        </is>
      </c>
      <c r="B7" s="59" t="inlineStr">
        <is>
          <t>Tearful Appeal</t>
        </is>
      </c>
      <c r="C7" s="63" t="inlineStr">
        <is>
          <t>涙の訴え</t>
        </is>
      </c>
      <c r="D7" s="59" t="inlineStr">
        <is>
          <t>Namida no Uttae</t>
        </is>
      </c>
      <c r="E7" s="59" t="inlineStr">
        <is>
          <t>Emotional</t>
        </is>
      </c>
      <c r="F7" s="58">
        <f>IFERROR(INDEX(Suits!$B$2:$B$7,MATCH(E7,Suits!$A$2:$A$7,0)),"?")</f>
        <v/>
      </c>
      <c r="G7" s="59" t="inlineStr">
        <is>
          <t>Gain</t>
        </is>
      </c>
      <c r="H7" s="59" t="n">
        <v>2</v>
      </c>
      <c r="I7" s="59" t="n">
        <v>4</v>
      </c>
      <c r="J7" s="59" t="n">
        <v>0</v>
      </c>
      <c r="K7" s="59" t="n">
        <v>0</v>
      </c>
      <c r="L7" s="59" t="n">
        <v>0</v>
      </c>
      <c r="M7" s="59" t="n">
        <v>0</v>
      </c>
      <c r="N7" s="59" t="inlineStr">
        <is>
          <t>Constituents</t>
        </is>
      </c>
      <c r="O7" s="59" t="inlineStr">
        <is>
          <t>Gain 4; doubled if Constituents ≥ 50%.</t>
        </is>
      </c>
      <c r="P7" s="59" t="inlineStr">
        <is>
          <t>Gain 5.</t>
        </is>
      </c>
      <c r="Q7" s="59" t="inlineStr">
        <is>
          <t>Starter</t>
        </is>
      </c>
      <c r="R7" s="58">
        <f>IFERROR(INDEX(Balance!$B$12:$B$14,MATCH(Q7,Balance!$A$12:$A$14,0)),"")</f>
        <v/>
      </c>
      <c r="S7" s="72">
        <f>I7*Balance!$B$2+J7*Balance!$B$3+K7*Balance!$B$4+L7*Balance!$B$5-M7*Balance!$B$6</f>
        <v/>
      </c>
      <c r="T7" s="73">
        <f>IF(H7=0,"",S7/H7)</f>
        <v/>
      </c>
      <c r="U7" s="58">
        <f>IF(T7="","",IF(T7&gt;$T$27*1.3,"HIGH",IF(T7&lt;$T$27*0.7,"LOW","ok")))</f>
        <v/>
      </c>
      <c r="V7" s="74" t="inlineStr">
        <is>
          <t>double_if_target_segment_ge_50</t>
        </is>
      </c>
      <c r="W7" s="74" t="n"/>
      <c r="X7" s="74" t="inlineStr">
        <is>
          <t>Doubled if Constituents &gt;= 50% (reads Target segment)</t>
        </is>
      </c>
    </row>
    <row r="8" ht="16.5" customHeight="1" s="43">
      <c r="A8" s="59" t="inlineStr">
        <is>
          <t>C07</t>
        </is>
      </c>
      <c r="B8" s="59" t="inlineStr">
        <is>
          <t>Rousing Applause</t>
        </is>
      </c>
      <c r="C8" s="63" t="inlineStr">
        <is>
          <t>拍手喝采</t>
        </is>
      </c>
      <c r="D8" s="59" t="inlineStr">
        <is>
          <t>Hakushu Kassai</t>
        </is>
      </c>
      <c r="E8" s="59" t="inlineStr">
        <is>
          <t>Emotional</t>
        </is>
      </c>
      <c r="F8" s="58">
        <f>IFERROR(INDEX(Suits!$B$2:$B$7,MATCH(E8,Suits!$A$2:$A$7,0)),"?")</f>
        <v/>
      </c>
      <c r="G8" s="59" t="inlineStr">
        <is>
          <t>Utility</t>
        </is>
      </c>
      <c r="H8" s="59" t="n">
        <v>1</v>
      </c>
      <c r="I8" s="59" t="n">
        <v>2</v>
      </c>
      <c r="J8" s="59" t="n">
        <v>0</v>
      </c>
      <c r="K8" s="59" t="n">
        <v>0</v>
      </c>
      <c r="L8" s="59" t="n">
        <v>1</v>
      </c>
      <c r="M8" s="59" t="n">
        <v>0</v>
      </c>
      <c r="N8" s="59" t="inlineStr">
        <is>
          <t>Any</t>
        </is>
      </c>
      <c r="O8" s="59" t="inlineStr">
        <is>
          <t>Gain 2. Draw 1.</t>
        </is>
      </c>
      <c r="P8" s="59" t="inlineStr">
        <is>
          <t>Draw 2.</t>
        </is>
      </c>
      <c r="Q8" s="59" t="inlineStr">
        <is>
          <t>Tier 1</t>
        </is>
      </c>
      <c r="R8" s="58">
        <f>IFERROR(INDEX(Balance!$B$12:$B$14,MATCH(Q8,Balance!$A$12:$A$14,0)),"")</f>
        <v/>
      </c>
      <c r="S8" s="72">
        <f>I8*Balance!$B$2+J8*Balance!$B$3+K8*Balance!$B$4+L8*Balance!$B$5-M8*Balance!$B$6</f>
        <v/>
      </c>
      <c r="T8" s="73">
        <f>IF(H8=0,"",S8/H8)</f>
        <v/>
      </c>
      <c r="U8" s="58">
        <f>IF(T8="","",IF(T8&gt;$T$27*1.3,"HIGH",IF(T8&lt;$T$27*0.7,"LOW","ok")))</f>
        <v/>
      </c>
    </row>
    <row r="9" ht="26.25" customHeight="1" s="43">
      <c r="A9" s="59" t="inlineStr">
        <is>
          <t>C08</t>
        </is>
      </c>
      <c r="B9" s="59" t="inlineStr">
        <is>
          <t>Speech from the Soul</t>
        </is>
      </c>
      <c r="C9" s="63" t="inlineStr">
        <is>
          <t>魂の演説</t>
        </is>
      </c>
      <c r="D9" s="59" t="inlineStr">
        <is>
          <t>Tamashii no Enzetsu</t>
        </is>
      </c>
      <c r="E9" s="59" t="inlineStr">
        <is>
          <t>Emotional</t>
        </is>
      </c>
      <c r="F9" s="58">
        <f>IFERROR(INDEX(Suits!$B$2:$B$7,MATCH(E9,Suits!$A$2:$A$7,0)),"?")</f>
        <v/>
      </c>
      <c r="G9" s="59" t="inlineStr">
        <is>
          <t>Gain</t>
        </is>
      </c>
      <c r="H9" s="59" t="n">
        <v>3</v>
      </c>
      <c r="I9" s="59" t="n">
        <v>8</v>
      </c>
      <c r="J9" s="59" t="n">
        <v>0</v>
      </c>
      <c r="K9" s="59" t="n">
        <v>0</v>
      </c>
      <c r="L9" s="59" t="n">
        <v>0</v>
      </c>
      <c r="M9" s="59" t="n">
        <v>2</v>
      </c>
      <c r="N9" s="59" t="inlineStr">
        <is>
          <t>Any</t>
        </is>
      </c>
      <c r="O9" s="59" t="inlineStr">
        <is>
          <t>Gain 8. Gaffe +2.</t>
        </is>
      </c>
      <c r="P9" s="59" t="inlineStr">
        <is>
          <t>Gaffe +1.</t>
        </is>
      </c>
      <c r="Q9" s="59" t="inlineStr">
        <is>
          <t>Tier 2</t>
        </is>
      </c>
      <c r="R9" s="58">
        <f>IFERROR(INDEX(Balance!$B$12:$B$14,MATCH(Q9,Balance!$A$12:$A$14,0)),"")</f>
        <v/>
      </c>
      <c r="S9" s="72">
        <f>I9*Balance!$B$2+J9*Balance!$B$3+K9*Balance!$B$4+L9*Balance!$B$5-M9*Balance!$B$6</f>
        <v/>
      </c>
      <c r="T9" s="73">
        <f>IF(H9=0,"",S9/H9)</f>
        <v/>
      </c>
      <c r="U9" s="58">
        <f>IF(T9="","",IF(T9&gt;$T$27*1.3,"HIGH",IF(T9&lt;$T$27*0.7,"LOW","ok")))</f>
        <v/>
      </c>
    </row>
    <row r="10" ht="16.5" customHeight="1" s="43">
      <c r="A10" s="59" t="inlineStr">
        <is>
          <t>C09</t>
        </is>
      </c>
      <c r="B10" s="59" t="inlineStr">
        <is>
          <t>Party Unity</t>
        </is>
      </c>
      <c r="C10" s="63" t="inlineStr">
        <is>
          <t>党の結束</t>
        </is>
      </c>
      <c r="D10" s="59" t="inlineStr">
        <is>
          <t>Tō no Kessoku</t>
        </is>
      </c>
      <c r="E10" s="59" t="inlineStr">
        <is>
          <t>Appeal</t>
        </is>
      </c>
      <c r="F10" s="58">
        <f>IFERROR(INDEX(Suits!$B$2:$B$7,MATCH(E10,Suits!$A$2:$A$7,0)),"?")</f>
        <v/>
      </c>
      <c r="G10" s="59" t="inlineStr">
        <is>
          <t>Gain</t>
        </is>
      </c>
      <c r="H10" s="59" t="n">
        <v>1</v>
      </c>
      <c r="I10" s="59" t="n">
        <v>3</v>
      </c>
      <c r="J10" s="59" t="n">
        <v>0</v>
      </c>
      <c r="K10" s="59" t="n">
        <v>0</v>
      </c>
      <c r="L10" s="59" t="n">
        <v>0</v>
      </c>
      <c r="M10" s="59" t="n">
        <v>0</v>
      </c>
      <c r="N10" s="59" t="inlineStr">
        <is>
          <t>Loyalists</t>
        </is>
      </c>
      <c r="O10" s="59" t="inlineStr">
        <is>
          <t>Gain 3; +2 if Loyalists ≥ 50%.</t>
        </is>
      </c>
      <c r="P10" s="59" t="inlineStr">
        <is>
          <t>Gain 4.</t>
        </is>
      </c>
      <c r="Q10" s="59" t="inlineStr">
        <is>
          <t>Starter</t>
        </is>
      </c>
      <c r="R10" s="58">
        <f>IFERROR(INDEX(Balance!$B$12:$B$14,MATCH(Q10,Balance!$A$12:$A$14,0)),"")</f>
        <v/>
      </c>
      <c r="S10" s="72">
        <f>I10*Balance!$B$2+J10*Balance!$B$3+K10*Balance!$B$4+L10*Balance!$B$5-M10*Balance!$B$6</f>
        <v/>
      </c>
      <c r="T10" s="73">
        <f>IF(H10=0,"",S10/H10)</f>
        <v/>
      </c>
      <c r="U10" s="58">
        <f>IF(T10="","",IF(T10&gt;$T$27*1.3,"HIGH",IF(T10&lt;$T$27*0.7,"LOW","ok")))</f>
        <v/>
      </c>
      <c r="V10" s="74" t="inlineStr">
        <is>
          <t>bonus_if_target_segment_ge_50</t>
        </is>
      </c>
      <c r="W10" s="74" t="n">
        <v>2</v>
      </c>
      <c r="X10" s="74" t="inlineStr">
        <is>
          <t>+2 if Loyalists &gt;= 50% (reads Target segment)</t>
        </is>
      </c>
    </row>
    <row r="11" ht="16.5" customHeight="1" s="43">
      <c r="A11" s="59" t="inlineStr">
        <is>
          <t>C10</t>
        </is>
      </c>
      <c r="B11" s="59" t="inlineStr">
        <is>
          <t>Voice of the Hometown</t>
        </is>
      </c>
      <c r="C11" s="63" t="inlineStr">
        <is>
          <t>地元の声</t>
        </is>
      </c>
      <c r="D11" s="59" t="inlineStr">
        <is>
          <t>Jimoto no Koe</t>
        </is>
      </c>
      <c r="E11" s="59" t="inlineStr">
        <is>
          <t>Appeal</t>
        </is>
      </c>
      <c r="F11" s="58">
        <f>IFERROR(INDEX(Suits!$B$2:$B$7,MATCH(E11,Suits!$A$2:$A$7,0)),"?")</f>
        <v/>
      </c>
      <c r="G11" s="59" t="inlineStr">
        <is>
          <t>Gain</t>
        </is>
      </c>
      <c r="H11" s="59" t="n">
        <v>1</v>
      </c>
      <c r="I11" s="59" t="n">
        <v>3</v>
      </c>
      <c r="J11" s="59" t="n">
        <v>0</v>
      </c>
      <c r="K11" s="59" t="n">
        <v>0</v>
      </c>
      <c r="L11" s="59" t="n">
        <v>0</v>
      </c>
      <c r="M11" s="59" t="n">
        <v>0</v>
      </c>
      <c r="N11" s="59" t="inlineStr">
        <is>
          <t>Constituents</t>
        </is>
      </c>
      <c r="O11" s="59" t="inlineStr">
        <is>
          <t>Gain 3; +2 if Constituents ≥ 50%.</t>
        </is>
      </c>
      <c r="P11" s="59" t="inlineStr">
        <is>
          <t>Gain 4.</t>
        </is>
      </c>
      <c r="Q11" s="59" t="inlineStr">
        <is>
          <t>Starter</t>
        </is>
      </c>
      <c r="R11" s="58">
        <f>IFERROR(INDEX(Balance!$B$12:$B$14,MATCH(Q11,Balance!$A$12:$A$14,0)),"")</f>
        <v/>
      </c>
      <c r="S11" s="72">
        <f>I11*Balance!$B$2+J11*Balance!$B$3+K11*Balance!$B$4+L11*Balance!$B$5-M11*Balance!$B$6</f>
        <v/>
      </c>
      <c r="T11" s="73">
        <f>IF(H11=0,"",S11/H11)</f>
        <v/>
      </c>
      <c r="U11" s="58">
        <f>IF(T11="","",IF(T11&gt;$T$27*1.3,"HIGH",IF(T11&lt;$T$27*0.7,"LOW","ok")))</f>
        <v/>
      </c>
      <c r="V11" s="74" t="inlineStr">
        <is>
          <t>bonus_if_target_segment_ge_50</t>
        </is>
      </c>
      <c r="W11" s="74" t="n">
        <v>2</v>
      </c>
      <c r="X11" s="74" t="inlineStr">
        <is>
          <t>+2 if Constituents &gt;= 50% (same key as C09; Target segment differs)</t>
        </is>
      </c>
    </row>
    <row r="12" ht="16.5" customHeight="1" s="43">
      <c r="A12" s="59" t="inlineStr">
        <is>
          <t>C11</t>
        </is>
      </c>
      <c r="B12" s="59" t="inlineStr">
        <is>
          <t>Groundwork</t>
        </is>
      </c>
      <c r="C12" s="63" t="inlineStr">
        <is>
          <t>根回し</t>
        </is>
      </c>
      <c r="D12" s="59" t="inlineStr">
        <is>
          <t>Nemawashi</t>
        </is>
      </c>
      <c r="E12" s="59" t="inlineStr">
        <is>
          <t>Appeal</t>
        </is>
      </c>
      <c r="F12" s="58">
        <f>IFERROR(INDEX(Suits!$B$2:$B$7,MATCH(E12,Suits!$A$2:$A$7,0)),"?")</f>
        <v/>
      </c>
      <c r="G12" s="59" t="inlineStr">
        <is>
          <t>Buff</t>
        </is>
      </c>
      <c r="H12" s="59" t="n">
        <v>2</v>
      </c>
      <c r="I12" s="59" t="n">
        <v>2</v>
      </c>
      <c r="J12" s="59" t="n">
        <v>0</v>
      </c>
      <c r="K12" s="59" t="n">
        <v>0</v>
      </c>
      <c r="L12" s="59" t="n">
        <v>0</v>
      </c>
      <c r="M12" s="59" t="n">
        <v>0</v>
      </c>
      <c r="N12" s="59" t="inlineStr">
        <is>
          <t>Any</t>
        </is>
      </c>
      <c r="O12" s="59" t="inlineStr">
        <is>
          <t>Gain 2. Your next card this turn gets +2.</t>
        </is>
      </c>
      <c r="P12" s="59" t="inlineStr">
        <is>
          <t>Next card +3.</t>
        </is>
      </c>
      <c r="Q12" s="59" t="inlineStr">
        <is>
          <t>Tier 1</t>
        </is>
      </c>
      <c r="R12" s="58">
        <f>IFERROR(INDEX(Balance!$B$12:$B$14,MATCH(Q12,Balance!$A$12:$A$14,0)),"")</f>
        <v/>
      </c>
      <c r="S12" s="72">
        <f>I12*Balance!$B$2+J12*Balance!$B$3+K12*Balance!$B$4+L12*Balance!$B$5-M12*Balance!$B$6</f>
        <v/>
      </c>
      <c r="T12" s="73">
        <f>IF(H12=0,"",S12/H12)</f>
        <v/>
      </c>
      <c r="U12" s="58">
        <f>IF(T12="","",IF(T12&gt;$T$27*1.3,"HIGH",IF(T12&lt;$T$27*0.7,"LOW","ok")))</f>
        <v/>
      </c>
      <c r="V12" s="74" t="inlineStr">
        <is>
          <t>buff_next_card_this_turn</t>
        </is>
      </c>
      <c r="W12" s="74" t="n">
        <v>2</v>
      </c>
      <c r="X12" s="74" t="inlineStr">
        <is>
          <t>Your next card this turn gets +2</t>
        </is>
      </c>
    </row>
    <row r="13" ht="16.5" customHeight="1" s="43">
      <c r="A13" s="59" t="inlineStr">
        <is>
          <t>C12</t>
        </is>
      </c>
      <c r="B13" s="59" t="inlineStr">
        <is>
          <t>Head Count</t>
        </is>
      </c>
      <c r="C13" s="63" t="inlineStr">
        <is>
          <t>票読み</t>
        </is>
      </c>
      <c r="D13" s="59" t="inlineStr">
        <is>
          <t>Hyōyomi</t>
        </is>
      </c>
      <c r="E13" s="59" t="inlineStr">
        <is>
          <t>Appeal</t>
        </is>
      </c>
      <c r="F13" s="58">
        <f>IFERROR(INDEX(Suits!$B$2:$B$7,MATCH(E13,Suits!$A$2:$A$7,0)),"?")</f>
        <v/>
      </c>
      <c r="G13" s="59" t="inlineStr">
        <is>
          <t>Utility</t>
        </is>
      </c>
      <c r="H13" s="59" t="n">
        <v>2</v>
      </c>
      <c r="I13" s="59" t="n">
        <v>0</v>
      </c>
      <c r="J13" s="59" t="n">
        <v>0</v>
      </c>
      <c r="K13" s="59" t="n">
        <v>0</v>
      </c>
      <c r="L13" s="59" t="n">
        <v>2</v>
      </c>
      <c r="M13" s="59" t="n">
        <v>0</v>
      </c>
      <c r="N13" s="59" t="inlineStr">
        <is>
          <t>Any</t>
        </is>
      </c>
      <c r="O13" s="59" t="inlineStr">
        <is>
          <t>Draw 2. Reveal opponent's next intent.</t>
        </is>
      </c>
      <c r="P13" s="59" t="inlineStr">
        <is>
          <t>Cost 1.</t>
        </is>
      </c>
      <c r="Q13" s="59" t="inlineStr">
        <is>
          <t>Tier 1</t>
        </is>
      </c>
      <c r="R13" s="58">
        <f>IFERROR(INDEX(Balance!$B$12:$B$14,MATCH(Q13,Balance!$A$12:$A$14,0)),"")</f>
        <v/>
      </c>
      <c r="S13" s="72">
        <f>I13*Balance!$B$2+J13*Balance!$B$3+K13*Balance!$B$4+L13*Balance!$B$5-M13*Balance!$B$6</f>
        <v/>
      </c>
      <c r="T13" s="73">
        <f>IF(H13=0,"",S13/H13)</f>
        <v/>
      </c>
      <c r="U13" s="58">
        <f>IF(T13="","",IF(T13&gt;$T$27*1.3,"HIGH",IF(T13&lt;$T$27*0.7,"LOW","ok")))</f>
        <v/>
      </c>
      <c r="V13" s="74" t="inlineStr">
        <is>
          <t>reveal_next_intent</t>
        </is>
      </c>
      <c r="W13" s="74" t="n"/>
      <c r="X13" s="74" t="inlineStr">
        <is>
          <t>Reveal the opponent's move after next</t>
        </is>
      </c>
    </row>
    <row r="14" ht="16.5" customHeight="1" s="43">
      <c r="A14" s="59" t="inlineStr">
        <is>
          <t>C13</t>
        </is>
      </c>
      <c r="B14" s="59" t="inlineStr">
        <is>
          <t>Present the Stats</t>
        </is>
      </c>
      <c r="C14" s="63" t="inlineStr">
        <is>
          <t>統計提示</t>
        </is>
      </c>
      <c r="D14" s="59" t="inlineStr">
        <is>
          <t>Tōkei Teiji</t>
        </is>
      </c>
      <c r="E14" s="59" t="inlineStr">
        <is>
          <t>Data Driven</t>
        </is>
      </c>
      <c r="F14" s="58">
        <f>IFERROR(INDEX(Suits!$B$2:$B$7,MATCH(E14,Suits!$A$2:$A$7,0)),"?")</f>
        <v/>
      </c>
      <c r="G14" s="59" t="inlineStr">
        <is>
          <t>Attack</t>
        </is>
      </c>
      <c r="H14" s="59" t="n">
        <v>1</v>
      </c>
      <c r="I14" s="59" t="n">
        <v>0</v>
      </c>
      <c r="J14" s="59" t="n">
        <v>3</v>
      </c>
      <c r="K14" s="59" t="n">
        <v>0</v>
      </c>
      <c r="L14" s="59" t="n">
        <v>0</v>
      </c>
      <c r="M14" s="59" t="n">
        <v>0</v>
      </c>
      <c r="N14" s="59" t="inlineStr">
        <is>
          <t>Any</t>
        </is>
      </c>
      <c r="O14" s="59" t="inlineStr">
        <is>
          <t>Opponent −3.</t>
        </is>
      </c>
      <c r="P14" s="59" t="inlineStr">
        <is>
          <t>Opponent −4.</t>
        </is>
      </c>
      <c r="Q14" s="59" t="inlineStr">
        <is>
          <t>Starter</t>
        </is>
      </c>
      <c r="R14" s="58">
        <f>IFERROR(INDEX(Balance!$B$12:$B$14,MATCH(Q14,Balance!$A$12:$A$14,0)),"")</f>
        <v/>
      </c>
      <c r="S14" s="72">
        <f>I14*Balance!$B$2+J14*Balance!$B$3+K14*Balance!$B$4+L14*Balance!$B$5-M14*Balance!$B$6</f>
        <v/>
      </c>
      <c r="T14" s="73">
        <f>IF(H14=0,"",S14/H14)</f>
        <v/>
      </c>
      <c r="U14" s="58">
        <f>IF(T14="","",IF(T14&gt;$T$27*1.3,"HIGH",IF(T14&lt;$T$27*0.7,"LOW","ok")))</f>
        <v/>
      </c>
    </row>
    <row r="15" ht="16.5" customHeight="1" s="43">
      <c r="A15" s="59" t="inlineStr">
        <is>
          <t>C14</t>
        </is>
      </c>
      <c r="B15" s="59" t="inlineStr">
        <is>
          <t>Document Request</t>
        </is>
      </c>
      <c r="C15" s="63" t="inlineStr">
        <is>
          <t>資料請求</t>
        </is>
      </c>
      <c r="D15" s="59" t="inlineStr">
        <is>
          <t>Shiryō Seikyū</t>
        </is>
      </c>
      <c r="E15" s="59" t="inlineStr">
        <is>
          <t>Data Driven</t>
        </is>
      </c>
      <c r="F15" s="58">
        <f>IFERROR(INDEX(Suits!$B$2:$B$7,MATCH(E15,Suits!$A$2:$A$7,0)),"?")</f>
        <v/>
      </c>
      <c r="G15" s="59" t="inlineStr">
        <is>
          <t>Utility</t>
        </is>
      </c>
      <c r="H15" s="59" t="n">
        <v>1</v>
      </c>
      <c r="I15" s="59" t="n">
        <v>0</v>
      </c>
      <c r="J15" s="59" t="n">
        <v>1</v>
      </c>
      <c r="K15" s="59" t="n">
        <v>0</v>
      </c>
      <c r="L15" s="59" t="n">
        <v>1</v>
      </c>
      <c r="M15" s="59" t="n">
        <v>0</v>
      </c>
      <c r="N15" s="59" t="inlineStr">
        <is>
          <t>Bureaucrats</t>
        </is>
      </c>
      <c r="O15" s="59" t="inlineStr">
        <is>
          <t>Opponent −1. Draw 1.</t>
        </is>
      </c>
      <c r="P15" s="59" t="inlineStr">
        <is>
          <t>Draw 2.</t>
        </is>
      </c>
      <c r="Q15" s="59" t="inlineStr">
        <is>
          <t>Starter</t>
        </is>
      </c>
      <c r="R15" s="58">
        <f>IFERROR(INDEX(Balance!$B$12:$B$14,MATCH(Q15,Balance!$A$12:$A$14,0)),"")</f>
        <v/>
      </c>
      <c r="S15" s="72">
        <f>I15*Balance!$B$2+J15*Balance!$B$3+K15*Balance!$B$4+L15*Balance!$B$5-M15*Balance!$B$6</f>
        <v/>
      </c>
      <c r="T15" s="73">
        <f>IF(H15=0,"",S15/H15)</f>
        <v/>
      </c>
      <c r="U15" s="58">
        <f>IF(T15="","",IF(T15&gt;$T$27*1.3,"HIGH",IF(T15&lt;$T$27*0.7,"LOW","ok")))</f>
        <v/>
      </c>
    </row>
    <row r="16" ht="26.25" customHeight="1" s="43">
      <c r="A16" s="59" t="inlineStr">
        <is>
          <t>C15</t>
        </is>
      </c>
      <c r="B16" s="59" t="inlineStr">
        <is>
          <t>Pursue the Contradiction</t>
        </is>
      </c>
      <c r="C16" s="63" t="inlineStr">
        <is>
          <t>矛盾追及</t>
        </is>
      </c>
      <c r="D16" s="59" t="inlineStr">
        <is>
          <t>Mujun Tsuikyū</t>
        </is>
      </c>
      <c r="E16" s="59" t="inlineStr">
        <is>
          <t>Data Driven</t>
        </is>
      </c>
      <c r="F16" s="58">
        <f>IFERROR(INDEX(Suits!$B$2:$B$7,MATCH(E16,Suits!$A$2:$A$7,0)),"?")</f>
        <v/>
      </c>
      <c r="G16" s="59" t="inlineStr">
        <is>
          <t>Attack</t>
        </is>
      </c>
      <c r="H16" s="59" t="n">
        <v>2</v>
      </c>
      <c r="I16" s="59" t="n">
        <v>0</v>
      </c>
      <c r="J16" s="59" t="n">
        <v>6</v>
      </c>
      <c r="K16" s="59" t="n">
        <v>0</v>
      </c>
      <c r="L16" s="59" t="n">
        <v>0</v>
      </c>
      <c r="M16" s="59" t="n">
        <v>0</v>
      </c>
      <c r="N16" s="59" t="inlineStr">
        <is>
          <t>Any</t>
        </is>
      </c>
      <c r="O16" s="59" t="inlineStr">
        <is>
          <t>Opponent −6; −2 more if opponent gaffe &gt; 0.</t>
        </is>
      </c>
      <c r="P16" s="59" t="inlineStr">
        <is>
          <t>Opponent −8.</t>
        </is>
      </c>
      <c r="Q16" s="59" t="inlineStr">
        <is>
          <t>Tier 1</t>
        </is>
      </c>
      <c r="R16" s="58">
        <f>IFERROR(INDEX(Balance!$B$12:$B$14,MATCH(Q16,Balance!$A$12:$A$14,0)),"")</f>
        <v/>
      </c>
      <c r="S16" s="72">
        <f>I16*Balance!$B$2+J16*Balance!$B$3+K16*Balance!$B$4+L16*Balance!$B$5-M16*Balance!$B$6</f>
        <v/>
      </c>
      <c r="T16" s="73">
        <f>IF(H16=0,"",S16/H16)</f>
        <v/>
      </c>
      <c r="U16" s="58">
        <f>IF(T16="","",IF(T16&gt;$T$27*1.3,"HIGH",IF(T16&lt;$T$27*0.7,"LOW","ok")))</f>
        <v/>
      </c>
      <c r="V16" s="74" t="inlineStr">
        <is>
          <t>bonus_opp_minus_if_opp_gaffe</t>
        </is>
      </c>
      <c r="W16" s="74" t="n">
        <v>2</v>
      </c>
      <c r="X16" s="74" t="inlineStr">
        <is>
          <t>Opponent -2 more if their gaffe meter is above 0</t>
        </is>
      </c>
    </row>
    <row r="17" ht="16.5" customHeight="1" s="43">
      <c r="A17" s="59" t="inlineStr">
        <is>
          <t>C16</t>
        </is>
      </c>
      <c r="B17" s="59" t="inlineStr">
        <is>
          <t>White Paper</t>
        </is>
      </c>
      <c r="C17" s="63" t="inlineStr">
        <is>
          <t>白書</t>
        </is>
      </c>
      <c r="D17" s="59" t="inlineStr">
        <is>
          <t>Hakusho</t>
        </is>
      </c>
      <c r="E17" s="59" t="inlineStr">
        <is>
          <t>Data Driven</t>
        </is>
      </c>
      <c r="F17" s="58">
        <f>IFERROR(INDEX(Suits!$B$2:$B$7,MATCH(E17,Suits!$A$2:$A$7,0)),"?")</f>
        <v/>
      </c>
      <c r="G17" s="59" t="inlineStr">
        <is>
          <t>Attack</t>
        </is>
      </c>
      <c r="H17" s="59" t="n">
        <v>3</v>
      </c>
      <c r="I17" s="59" t="n">
        <v>3</v>
      </c>
      <c r="J17" s="59" t="n">
        <v>5</v>
      </c>
      <c r="K17" s="59" t="n">
        <v>0</v>
      </c>
      <c r="L17" s="59" t="n">
        <v>0</v>
      </c>
      <c r="M17" s="59" t="n">
        <v>0</v>
      </c>
      <c r="N17" s="59" t="inlineStr">
        <is>
          <t>Bureaucrats</t>
        </is>
      </c>
      <c r="O17" s="59" t="inlineStr">
        <is>
          <t>Gain 3. Opponent −5.</t>
        </is>
      </c>
      <c r="P17" s="59" t="inlineStr">
        <is>
          <t>Cost 2.</t>
        </is>
      </c>
      <c r="Q17" s="59" t="inlineStr">
        <is>
          <t>Tier 2</t>
        </is>
      </c>
      <c r="R17" s="58">
        <f>IFERROR(INDEX(Balance!$B$12:$B$14,MATCH(Q17,Balance!$A$12:$A$14,0)),"")</f>
        <v/>
      </c>
      <c r="S17" s="72">
        <f>I17*Balance!$B$2+J17*Balance!$B$3+K17*Balance!$B$4+L17*Balance!$B$5-M17*Balance!$B$6</f>
        <v/>
      </c>
      <c r="T17" s="73">
        <f>IF(H17=0,"",S17/H17)</f>
        <v/>
      </c>
      <c r="U17" s="58">
        <f>IF(T17="","",IF(T17&gt;$T$27*1.3,"HIGH",IF(T17&lt;$T$27*0.7,"LOW","ok")))</f>
        <v/>
      </c>
    </row>
    <row r="18" ht="16.5" customHeight="1" s="43">
      <c r="A18" s="59" t="inlineStr">
        <is>
          <t>C17</t>
        </is>
      </c>
      <c r="B18" s="59" t="inlineStr">
        <is>
          <t>Labeling</t>
        </is>
      </c>
      <c r="C18" s="63" t="inlineStr">
        <is>
          <t>レッテル貼り</t>
        </is>
      </c>
      <c r="D18" s="59" t="inlineStr">
        <is>
          <t>Retteru-bari</t>
        </is>
      </c>
      <c r="E18" s="59" t="inlineStr">
        <is>
          <t>Divisive</t>
        </is>
      </c>
      <c r="F18" s="58">
        <f>IFERROR(INDEX(Suits!$B$2:$B$7,MATCH(E18,Suits!$A$2:$A$7,0)),"?")</f>
        <v/>
      </c>
      <c r="G18" s="59" t="inlineStr">
        <is>
          <t>Attack</t>
        </is>
      </c>
      <c r="H18" s="59" t="n">
        <v>1</v>
      </c>
      <c r="I18" s="59" t="n">
        <v>0</v>
      </c>
      <c r="J18" s="59" t="n">
        <v>4</v>
      </c>
      <c r="K18" s="59" t="n">
        <v>0</v>
      </c>
      <c r="L18" s="59" t="n">
        <v>0</v>
      </c>
      <c r="M18" s="59" t="n">
        <v>1</v>
      </c>
      <c r="N18" s="59" t="inlineStr">
        <is>
          <t>Any</t>
        </is>
      </c>
      <c r="O18" s="59" t="inlineStr">
        <is>
          <t>Opponent −4. Gaffe +1.</t>
        </is>
      </c>
      <c r="P18" s="59" t="inlineStr">
        <is>
          <t>Opponent −5.</t>
        </is>
      </c>
      <c r="Q18" s="59" t="inlineStr">
        <is>
          <t>Starter</t>
        </is>
      </c>
      <c r="R18" s="58">
        <f>IFERROR(INDEX(Balance!$B$12:$B$14,MATCH(Q18,Balance!$A$12:$A$14,0)),"")</f>
        <v/>
      </c>
      <c r="S18" s="72">
        <f>I18*Balance!$B$2+J18*Balance!$B$3+K18*Balance!$B$4+L18*Balance!$B$5-M18*Balance!$B$6</f>
        <v/>
      </c>
      <c r="T18" s="73">
        <f>IF(H18=0,"",S18/H18)</f>
        <v/>
      </c>
      <c r="U18" s="58">
        <f>IF(T18="","",IF(T18&gt;$T$27*1.3,"HIGH",IF(T18&lt;$T$27*0.7,"LOW","ok")))</f>
        <v/>
      </c>
    </row>
    <row r="19" ht="26.25" customHeight="1" s="43">
      <c r="A19" s="59" t="inlineStr">
        <is>
          <t>C18</t>
        </is>
      </c>
      <c r="B19" s="59" t="inlineStr">
        <is>
          <t>Drawing Battle Lines</t>
        </is>
      </c>
      <c r="C19" s="63" t="inlineStr">
        <is>
          <t>敵味方の線引き</t>
        </is>
      </c>
      <c r="D19" s="59" t="inlineStr">
        <is>
          <t>Tekimikata no Senbiki</t>
        </is>
      </c>
      <c r="E19" s="59" t="inlineStr">
        <is>
          <t>Divisive</t>
        </is>
      </c>
      <c r="F19" s="58">
        <f>IFERROR(INDEX(Suits!$B$2:$B$7,MATCH(E19,Suits!$A$2:$A$7,0)),"?")</f>
        <v/>
      </c>
      <c r="G19" s="59" t="inlineStr">
        <is>
          <t>Attack</t>
        </is>
      </c>
      <c r="H19" s="59" t="n">
        <v>2</v>
      </c>
      <c r="I19" s="59" t="n">
        <v>3</v>
      </c>
      <c r="J19" s="59" t="n">
        <v>3</v>
      </c>
      <c r="K19" s="59" t="n">
        <v>0</v>
      </c>
      <c r="L19" s="59" t="n">
        <v>0</v>
      </c>
      <c r="M19" s="59" t="n">
        <v>1</v>
      </c>
      <c r="N19" s="59" t="inlineStr">
        <is>
          <t>Loyalists</t>
        </is>
      </c>
      <c r="O19" s="59" t="inlineStr">
        <is>
          <t>Gain 3. Opponent −3. Gaffe +1.</t>
        </is>
      </c>
      <c r="P19" s="59" t="inlineStr">
        <is>
          <t>Gain 4. Opp −4.</t>
        </is>
      </c>
      <c r="Q19" s="59" t="inlineStr">
        <is>
          <t>Starter</t>
        </is>
      </c>
      <c r="R19" s="58">
        <f>IFERROR(INDEX(Balance!$B$12:$B$14,MATCH(Q19,Balance!$A$12:$A$14,0)),"")</f>
        <v/>
      </c>
      <c r="S19" s="72">
        <f>I19*Balance!$B$2+J19*Balance!$B$3+K19*Balance!$B$4+L19*Balance!$B$5-M19*Balance!$B$6</f>
        <v/>
      </c>
      <c r="T19" s="73">
        <f>IF(H19=0,"",S19/H19)</f>
        <v/>
      </c>
      <c r="U19" s="58">
        <f>IF(T19="","",IF(T19&gt;$T$27*1.3,"HIGH",IF(T19&lt;$T$27*0.7,"LOW","ok")))</f>
        <v/>
      </c>
    </row>
    <row r="20" ht="16.5" customHeight="1" s="43">
      <c r="A20" s="59" t="inlineStr">
        <is>
          <t>C19</t>
        </is>
      </c>
      <c r="B20" s="59" t="inlineStr">
        <is>
          <t>Agitation</t>
        </is>
      </c>
      <c r="C20" s="63" t="inlineStr">
        <is>
          <t>煽動</t>
        </is>
      </c>
      <c r="D20" s="59" t="inlineStr">
        <is>
          <t>Sendō</t>
        </is>
      </c>
      <c r="E20" s="59" t="inlineStr">
        <is>
          <t>Divisive</t>
        </is>
      </c>
      <c r="F20" s="58">
        <f>IFERROR(INDEX(Suits!$B$2:$B$7,MATCH(E20,Suits!$A$2:$A$7,0)),"?")</f>
        <v/>
      </c>
      <c r="G20" s="59" t="inlineStr">
        <is>
          <t>Gain</t>
        </is>
      </c>
      <c r="H20" s="59" t="n">
        <v>2</v>
      </c>
      <c r="I20" s="59" t="n">
        <v>5</v>
      </c>
      <c r="J20" s="59" t="n">
        <v>2</v>
      </c>
      <c r="K20" s="59" t="n">
        <v>0</v>
      </c>
      <c r="L20" s="59" t="n">
        <v>0</v>
      </c>
      <c r="M20" s="59" t="n">
        <v>2</v>
      </c>
      <c r="N20" s="59" t="inlineStr">
        <is>
          <t>Constituents</t>
        </is>
      </c>
      <c r="O20" s="59" t="inlineStr">
        <is>
          <t>Gain 5. Opponent −2. Gaffe +2.</t>
        </is>
      </c>
      <c r="P20" s="59" t="inlineStr">
        <is>
          <t>Gaffe +1.</t>
        </is>
      </c>
      <c r="Q20" s="59" t="inlineStr">
        <is>
          <t>Tier 1</t>
        </is>
      </c>
      <c r="R20" s="58">
        <f>IFERROR(INDEX(Balance!$B$12:$B$14,MATCH(Q20,Balance!$A$12:$A$14,0)),"")</f>
        <v/>
      </c>
      <c r="S20" s="72">
        <f>I20*Balance!$B$2+J20*Balance!$B$3+K20*Balance!$B$4+L20*Balance!$B$5-M20*Balance!$B$6</f>
        <v/>
      </c>
      <c r="T20" s="73">
        <f>IF(H20=0,"",S20/H20)</f>
        <v/>
      </c>
      <c r="U20" s="58">
        <f>IF(T20="","",IF(T20&gt;$T$27*1.3,"HIGH",IF(T20&lt;$T$27*0.7,"LOW","ok")))</f>
        <v/>
      </c>
    </row>
    <row r="21" ht="16.5" customHeight="1" s="43">
      <c r="A21" s="59" t="inlineStr">
        <is>
          <t>C20</t>
        </is>
      </c>
      <c r="B21" s="59" t="inlineStr">
        <is>
          <t>Loyalty Test</t>
        </is>
      </c>
      <c r="C21" s="63" t="inlineStr">
        <is>
          <t>踏み絵</t>
        </is>
      </c>
      <c r="D21" s="59" t="inlineStr">
        <is>
          <t>Fumie</t>
        </is>
      </c>
      <c r="E21" s="59" t="inlineStr">
        <is>
          <t>Divisive</t>
        </is>
      </c>
      <c r="F21" s="58">
        <f>IFERROR(INDEX(Suits!$B$2:$B$7,MATCH(E21,Suits!$A$2:$A$7,0)),"?")</f>
        <v/>
      </c>
      <c r="G21" s="59" t="inlineStr">
        <is>
          <t>Attack</t>
        </is>
      </c>
      <c r="H21" s="59" t="n">
        <v>3</v>
      </c>
      <c r="I21" s="59" t="n">
        <v>0</v>
      </c>
      <c r="J21" s="59" t="n">
        <v>7</v>
      </c>
      <c r="K21" s="59" t="n">
        <v>0</v>
      </c>
      <c r="L21" s="59" t="n">
        <v>0</v>
      </c>
      <c r="M21" s="59" t="n">
        <v>2</v>
      </c>
      <c r="N21" s="59" t="inlineStr">
        <is>
          <t>Loyalists</t>
        </is>
      </c>
      <c r="O21" s="59" t="inlineStr">
        <is>
          <t>Opponent −7. Gaffe +2.</t>
        </is>
      </c>
      <c r="P21" s="59" t="inlineStr">
        <is>
          <t>Opponent −9.</t>
        </is>
      </c>
      <c r="Q21" s="59" t="inlineStr">
        <is>
          <t>Tier 2</t>
        </is>
      </c>
      <c r="R21" s="58">
        <f>IFERROR(INDEX(Balance!$B$12:$B$14,MATCH(Q21,Balance!$A$12:$A$14,0)),"")</f>
        <v/>
      </c>
      <c r="S21" s="72">
        <f>I21*Balance!$B$2+J21*Balance!$B$3+K21*Balance!$B$4+L21*Balance!$B$5-M21*Balance!$B$6</f>
        <v/>
      </c>
      <c r="T21" s="73">
        <f>IF(H21=0,"",S21/H21)</f>
        <v/>
      </c>
      <c r="U21" s="58">
        <f>IF(T21="","",IF(T21&gt;$T$27*1.3,"HIGH",IF(T21&lt;$T$27*0.7,"LOW","ok")))</f>
        <v/>
      </c>
    </row>
    <row r="22" ht="26.25" customHeight="1" s="43">
      <c r="A22" s="59" t="inlineStr">
        <is>
          <t>C21</t>
        </is>
      </c>
      <c r="B22" s="59" t="inlineStr">
        <is>
          <t>Iridescent Answer</t>
        </is>
      </c>
      <c r="C22" s="63" t="inlineStr">
        <is>
          <t>玉虫色の答弁</t>
        </is>
      </c>
      <c r="D22" s="59" t="inlineStr">
        <is>
          <t>Tamamushi-iro no Tōben</t>
        </is>
      </c>
      <c r="E22" s="59" t="inlineStr">
        <is>
          <t>Duplicitous</t>
        </is>
      </c>
      <c r="F22" s="58">
        <f>IFERROR(INDEX(Suits!$B$2:$B$7,MATCH(E22,Suits!$A$2:$A$7,0)),"?")</f>
        <v/>
      </c>
      <c r="G22" s="59" t="inlineStr">
        <is>
          <t>Defend</t>
        </is>
      </c>
      <c r="H22" s="59" t="n">
        <v>1</v>
      </c>
      <c r="I22" s="59" t="n">
        <v>0</v>
      </c>
      <c r="J22" s="59" t="n">
        <v>0</v>
      </c>
      <c r="K22" s="59" t="n">
        <v>5</v>
      </c>
      <c r="L22" s="59" t="n">
        <v>0</v>
      </c>
      <c r="M22" s="59" t="n">
        <v>1</v>
      </c>
      <c r="N22" s="59" t="inlineStr">
        <is>
          <t>Press</t>
        </is>
      </c>
      <c r="O22" s="59" t="inlineStr">
        <is>
          <t>Guard 5. Gaffe +1.</t>
        </is>
      </c>
      <c r="P22" s="59" t="inlineStr">
        <is>
          <t>Guard 7.</t>
        </is>
      </c>
      <c r="Q22" s="59" t="inlineStr">
        <is>
          <t>Starter</t>
        </is>
      </c>
      <c r="R22" s="58">
        <f>IFERROR(INDEX(Balance!$B$12:$B$14,MATCH(Q22,Balance!$A$12:$A$14,0)),"")</f>
        <v/>
      </c>
      <c r="S22" s="72">
        <f>I22*Balance!$B$2+J22*Balance!$B$3+K22*Balance!$B$4+L22*Balance!$B$5-M22*Balance!$B$6</f>
        <v/>
      </c>
      <c r="T22" s="73">
        <f>IF(H22=0,"",S22/H22)</f>
        <v/>
      </c>
      <c r="U22" s="58">
        <f>IF(T22="","",IF(T22&gt;$T$27*1.3,"HIGH",IF(T22&lt;$T$27*0.7,"LOW","ok")))</f>
        <v/>
      </c>
    </row>
    <row r="23" ht="32.25" customHeight="1" s="43">
      <c r="A23" s="59" t="inlineStr">
        <is>
          <t>C22</t>
        </is>
      </c>
      <c r="B23" s="59" t="inlineStr">
        <is>
          <t>"I Have No Recollection"</t>
        </is>
      </c>
      <c r="C23" s="63" t="inlineStr">
        <is>
          <t>記憶にございません</t>
        </is>
      </c>
      <c r="D23" s="59" t="inlineStr">
        <is>
          <t>Kioku ni Gozaimasen</t>
        </is>
      </c>
      <c r="E23" s="59" t="inlineStr">
        <is>
          <t>Duplicitous</t>
        </is>
      </c>
      <c r="F23" s="58">
        <f>IFERROR(INDEX(Suits!$B$2:$B$7,MATCH(E23,Suits!$A$2:$A$7,0)),"?")</f>
        <v/>
      </c>
      <c r="G23" s="59" t="inlineStr">
        <is>
          <t>Defend</t>
        </is>
      </c>
      <c r="H23" s="59" t="n">
        <v>1</v>
      </c>
      <c r="I23" s="59" t="n">
        <v>0</v>
      </c>
      <c r="J23" s="59" t="n">
        <v>0</v>
      </c>
      <c r="K23" s="59" t="n">
        <v>6</v>
      </c>
      <c r="L23" s="59" t="n">
        <v>0</v>
      </c>
      <c r="M23" s="59" t="n">
        <v>2</v>
      </c>
      <c r="N23" s="59" t="inlineStr">
        <is>
          <t>Press</t>
        </is>
      </c>
      <c r="O23" s="59" t="inlineStr">
        <is>
          <t>Guard 6. Gaffe +2.</t>
        </is>
      </c>
      <c r="P23" s="59" t="inlineStr">
        <is>
          <t>Gaffe +1.</t>
        </is>
      </c>
      <c r="Q23" s="59" t="inlineStr">
        <is>
          <t>Starter</t>
        </is>
      </c>
      <c r="R23" s="58">
        <f>IFERROR(INDEX(Balance!$B$12:$B$14,MATCH(Q23,Balance!$A$12:$A$14,0)),"")</f>
        <v/>
      </c>
      <c r="S23" s="72">
        <f>I23*Balance!$B$2+J23*Balance!$B$3+K23*Balance!$B$4+L23*Balance!$B$5-M23*Balance!$B$6</f>
        <v/>
      </c>
      <c r="T23" s="73">
        <f>IF(H23=0,"",S23/H23)</f>
        <v/>
      </c>
      <c r="U23" s="58">
        <f>IF(T23="","",IF(T23&gt;$T$27*1.3,"HIGH",IF(T23&lt;$T$27*0.7,"LOW","ok")))</f>
        <v/>
      </c>
    </row>
    <row r="24" ht="16.5" customHeight="1" s="43">
      <c r="A24" s="59" t="inlineStr">
        <is>
          <t>C23</t>
        </is>
      </c>
      <c r="B24" s="59" t="inlineStr">
        <is>
          <t>Shifting the Issue</t>
        </is>
      </c>
      <c r="C24" s="63" t="inlineStr">
        <is>
          <t>論点ずらし</t>
        </is>
      </c>
      <c r="D24" s="59" t="inlineStr">
        <is>
          <t>Ronten-zurashi</t>
        </is>
      </c>
      <c r="E24" s="59" t="inlineStr">
        <is>
          <t>Duplicitous</t>
        </is>
      </c>
      <c r="F24" s="58">
        <f>IFERROR(INDEX(Suits!$B$2:$B$7,MATCH(E24,Suits!$A$2:$A$7,0)),"?")</f>
        <v/>
      </c>
      <c r="G24" s="59" t="inlineStr">
        <is>
          <t>Attack</t>
        </is>
      </c>
      <c r="H24" s="59" t="n">
        <v>2</v>
      </c>
      <c r="I24" s="59" t="n">
        <v>2</v>
      </c>
      <c r="J24" s="59" t="n">
        <v>3</v>
      </c>
      <c r="K24" s="59" t="n">
        <v>0</v>
      </c>
      <c r="L24" s="59" t="n">
        <v>0</v>
      </c>
      <c r="M24" s="59" t="n">
        <v>2</v>
      </c>
      <c r="N24" s="59" t="inlineStr">
        <is>
          <t>Any</t>
        </is>
      </c>
      <c r="O24" s="59" t="inlineStr">
        <is>
          <t>Gain 2. Opponent −3. Gaffe +2.</t>
        </is>
      </c>
      <c r="P24" s="59" t="inlineStr">
        <is>
          <t>Gain 3. Opp −4.</t>
        </is>
      </c>
      <c r="Q24" s="59" t="inlineStr">
        <is>
          <t>Tier 1</t>
        </is>
      </c>
      <c r="R24" s="58">
        <f>IFERROR(INDEX(Balance!$B$12:$B$14,MATCH(Q24,Balance!$A$12:$A$14,0)),"")</f>
        <v/>
      </c>
      <c r="S24" s="72">
        <f>I24*Balance!$B$2+J24*Balance!$B$3+K24*Balance!$B$4+L24*Balance!$B$5-M24*Balance!$B$6</f>
        <v/>
      </c>
      <c r="T24" s="73">
        <f>IF(H24=0,"",S24/H24)</f>
        <v/>
      </c>
      <c r="U24" s="58">
        <f>IF(T24="","",IF(T24&gt;$T$27*1.3,"HIGH",IF(T24&lt;$T$27*0.7,"LOW","ok")))</f>
        <v/>
      </c>
    </row>
    <row r="25" ht="16.5" customHeight="1" s="43">
      <c r="A25" s="59" t="inlineStr">
        <is>
          <t>C24</t>
        </is>
      </c>
      <c r="B25" s="59" t="inlineStr">
        <is>
          <t>Secret Pact</t>
        </is>
      </c>
      <c r="C25" s="63" t="inlineStr">
        <is>
          <t>密約</t>
        </is>
      </c>
      <c r="D25" s="59" t="inlineStr">
        <is>
          <t>Mitsuyaku</t>
        </is>
      </c>
      <c r="E25" s="59" t="inlineStr">
        <is>
          <t>Duplicitous</t>
        </is>
      </c>
      <c r="F25" s="58">
        <f>IFERROR(INDEX(Suits!$B$2:$B$7,MATCH(E25,Suits!$A$2:$A$7,0)),"?")</f>
        <v/>
      </c>
      <c r="G25" s="59" t="inlineStr">
        <is>
          <t>Gain</t>
        </is>
      </c>
      <c r="H25" s="59" t="n">
        <v>3</v>
      </c>
      <c r="I25" s="59" t="n">
        <v>7</v>
      </c>
      <c r="J25" s="59" t="n">
        <v>2</v>
      </c>
      <c r="K25" s="59" t="n">
        <v>0</v>
      </c>
      <c r="L25" s="59" t="n">
        <v>0</v>
      </c>
      <c r="M25" s="59" t="n">
        <v>3</v>
      </c>
      <c r="N25" s="59" t="inlineStr">
        <is>
          <t>Donors</t>
        </is>
      </c>
      <c r="O25" s="59" t="inlineStr">
        <is>
          <t>Gain 7. Opponent −2. Gaffe +3.</t>
        </is>
      </c>
      <c r="P25" s="59" t="inlineStr">
        <is>
          <t>Gaffe +2.</t>
        </is>
      </c>
      <c r="Q25" s="59" t="inlineStr">
        <is>
          <t>Tier 2</t>
        </is>
      </c>
      <c r="R25" s="58">
        <f>IFERROR(INDEX(Balance!$B$12:$B$14,MATCH(Q25,Balance!$A$12:$A$14,0)),"")</f>
        <v/>
      </c>
      <c r="S25" s="72">
        <f>I25*Balance!$B$2+J25*Balance!$B$3+K25*Balance!$B$4+L25*Balance!$B$5-M25*Balance!$B$6</f>
        <v/>
      </c>
      <c r="T25" s="73">
        <f>IF(H25=0,"",S25/H25)</f>
        <v/>
      </c>
      <c r="U25" s="58">
        <f>IF(T25="","",IF(T25&gt;$T$27*1.3,"HIGH",IF(T25&lt;$T$27*0.7,"LOW","ok")))</f>
        <v/>
      </c>
    </row>
    <row r="27" ht="39" customHeight="1" s="43">
      <c r="A27" s="61" t="inlineStr">
        <is>
          <t>Avg Power/Cost</t>
        </is>
      </c>
      <c r="T27" s="73">
        <f>AVERAGE(T2:T25)</f>
        <v/>
      </c>
    </row>
    <row r="28" ht="15" customHeight="1" s="43">
      <c r="A28" s="68" t="inlineStr">
        <is>
          <t>Flag if P/C &gt; avg × 1.3 or &lt; avg × 0.7 — candidates to rebalance</t>
        </is>
      </c>
      <c r="B28" s="75" t="n"/>
      <c r="C28" s="75" t="n"/>
      <c r="D28" s="75" t="n"/>
      <c r="E28" s="75" t="n"/>
      <c r="F28" s="75" t="n"/>
      <c r="G28" s="75" t="n"/>
      <c r="H28" s="75" t="n"/>
      <c r="I28" s="75" t="n"/>
      <c r="J28" s="76" t="n"/>
    </row>
  </sheetData>
  <mergeCells count="1">
    <mergeCell ref="A28:J28"/>
  </mergeCells>
  <dataValidations count="4">
    <dataValidation sqref="E2:E200" showDropDown="0" showInputMessage="0" showErrorMessage="0" allowBlank="1" type="list" errorStyle="stop" operator="between">
      <formula1>Lists!$A$2:$A$7</formula1>
      <formula2>0</formula2>
    </dataValidation>
    <dataValidation sqref="G2:G200" showDropDown="0" showInputMessage="0" showErrorMessage="0" allowBlank="1" type="list" errorStyle="stop" operator="between">
      <formula1>Lists!$B$2:$B$6</formula1>
      <formula2>0</formula2>
    </dataValidation>
    <dataValidation sqref="N2:N200" showDropDown="0" showInputMessage="0" showErrorMessage="0" allowBlank="1" type="list" errorStyle="stop" operator="between">
      <formula1>Lists!$C$2:$C$7</formula1>
      <formula2>0</formula2>
    </dataValidation>
    <dataValidation sqref="Q2:Q200" showDropDown="0" showInputMessage="0" showErrorMessage="0" allowBlank="1" type="list" errorStyle="stop" operator="between">
      <formula1>Lists!$D$2:$D$4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26" customWidth="1" style="42" min="2" max="2"/>
    <col width="13" customWidth="1" style="42" min="3" max="3"/>
    <col width="9" customWidth="1" style="42" min="4" max="10"/>
  </cols>
  <sheetData>
    <row r="1" ht="31.5" customHeight="1" s="43">
      <c r="A1" s="57" t="inlineStr">
        <is>
          <t>Card ID</t>
        </is>
      </c>
      <c r="B1" s="57" t="inlineStr">
        <is>
          <t>Name</t>
        </is>
      </c>
      <c r="C1" s="57" t="inlineStr">
        <is>
          <t>Suit</t>
        </is>
      </c>
      <c r="D1" s="57" t="inlineStr">
        <is>
          <t>ST01</t>
        </is>
      </c>
      <c r="E1" s="57" t="inlineStr">
        <is>
          <t>ST02</t>
        </is>
      </c>
      <c r="F1" s="57" t="inlineStr">
        <is>
          <t>ST03</t>
        </is>
      </c>
      <c r="G1" s="57" t="inlineStr">
        <is>
          <t>ST04</t>
        </is>
      </c>
      <c r="H1" s="57" t="inlineStr">
        <is>
          <t>ST05</t>
        </is>
      </c>
      <c r="I1" s="57" t="inlineStr">
        <is>
          <t>ST06</t>
        </is>
      </c>
      <c r="J1" s="57" t="inlineStr">
        <is>
          <t>ST08</t>
        </is>
      </c>
    </row>
    <row r="2" ht="15" customHeight="1" s="43">
      <c r="A2" s="77">
        <f>Cards!A2</f>
        <v/>
      </c>
      <c r="B2" s="77">
        <f>Cards!B2</f>
        <v/>
      </c>
      <c r="C2" s="77">
        <f>Cards!E2</f>
        <v/>
      </c>
      <c r="D2" s="78">
        <f>ROUND(Cards!$S2*INDEX(Affinity!$B$2:$H$7,MATCH($C2,Affinity!$A$2:$A$7,0),MATCH(D$1,Affinity!$B$1:$H$1,0)),1)</f>
        <v/>
      </c>
      <c r="E2" s="78">
        <f>ROUND(Cards!$S2*INDEX(Affinity!$B$2:$H$7,MATCH($C2,Affinity!$A$2:$A$7,0),MATCH(E$1,Affinity!$B$1:$H$1,0)),1)</f>
        <v/>
      </c>
      <c r="F2" s="78">
        <f>ROUND(Cards!$S2*INDEX(Affinity!$B$2:$H$7,MATCH($C2,Affinity!$A$2:$A$7,0),MATCH(F$1,Affinity!$B$1:$H$1,0)),1)</f>
        <v/>
      </c>
      <c r="G2" s="78">
        <f>ROUND(Cards!$S2*INDEX(Affinity!$B$2:$H$7,MATCH($C2,Affinity!$A$2:$A$7,0),MATCH(G$1,Affinity!$B$1:$H$1,0)),1)</f>
        <v/>
      </c>
      <c r="H2" s="78">
        <f>ROUND(Cards!$S2*INDEX(Affinity!$B$2:$H$7,MATCH($C2,Affinity!$A$2:$A$7,0),MATCH(H$1,Affinity!$B$1:$H$1,0)),1)</f>
        <v/>
      </c>
      <c r="I2" s="78">
        <f>ROUND(Cards!$S2*INDEX(Affinity!$B$2:$H$7,MATCH($C2,Affinity!$A$2:$A$7,0),MATCH(I$1,Affinity!$B$1:$H$1,0)),1)</f>
        <v/>
      </c>
      <c r="J2" s="78">
        <f>ROUND(Cards!$S2*INDEX(Affinity!$B$2:$H$7,MATCH($C2,Affinity!$A$2:$A$7,0),MATCH(J$1,Affinity!$B$1:$H$1,0)),1)</f>
        <v/>
      </c>
    </row>
    <row r="3" ht="15" customHeight="1" s="43">
      <c r="A3" s="77">
        <f>Cards!A3</f>
        <v/>
      </c>
      <c r="B3" s="77">
        <f>Cards!B3</f>
        <v/>
      </c>
      <c r="C3" s="77">
        <f>Cards!E3</f>
        <v/>
      </c>
      <c r="D3" s="78">
        <f>ROUND(Cards!$S3*INDEX(Affinity!$B$2:$H$7,MATCH($C3,Affinity!$A$2:$A$7,0),MATCH(D$1,Affinity!$B$1:$H$1,0)),1)</f>
        <v/>
      </c>
      <c r="E3" s="78">
        <f>ROUND(Cards!$S3*INDEX(Affinity!$B$2:$H$7,MATCH($C3,Affinity!$A$2:$A$7,0),MATCH(E$1,Affinity!$B$1:$H$1,0)),1)</f>
        <v/>
      </c>
      <c r="F3" s="78">
        <f>ROUND(Cards!$S3*INDEX(Affinity!$B$2:$H$7,MATCH($C3,Affinity!$A$2:$A$7,0),MATCH(F$1,Affinity!$B$1:$H$1,0)),1)</f>
        <v/>
      </c>
      <c r="G3" s="78">
        <f>ROUND(Cards!$S3*INDEX(Affinity!$B$2:$H$7,MATCH($C3,Affinity!$A$2:$A$7,0),MATCH(G$1,Affinity!$B$1:$H$1,0)),1)</f>
        <v/>
      </c>
      <c r="H3" s="78">
        <f>ROUND(Cards!$S3*INDEX(Affinity!$B$2:$H$7,MATCH($C3,Affinity!$A$2:$A$7,0),MATCH(H$1,Affinity!$B$1:$H$1,0)),1)</f>
        <v/>
      </c>
      <c r="I3" s="78">
        <f>ROUND(Cards!$S3*INDEX(Affinity!$B$2:$H$7,MATCH($C3,Affinity!$A$2:$A$7,0),MATCH(I$1,Affinity!$B$1:$H$1,0)),1)</f>
        <v/>
      </c>
      <c r="J3" s="78">
        <f>ROUND(Cards!$S3*INDEX(Affinity!$B$2:$H$7,MATCH($C3,Affinity!$A$2:$A$7,0),MATCH(J$1,Affinity!$B$1:$H$1,0)),1)</f>
        <v/>
      </c>
    </row>
    <row r="4" ht="15" customHeight="1" s="43">
      <c r="A4" s="77">
        <f>Cards!A4</f>
        <v/>
      </c>
      <c r="B4" s="77">
        <f>Cards!B4</f>
        <v/>
      </c>
      <c r="C4" s="77">
        <f>Cards!E4</f>
        <v/>
      </c>
      <c r="D4" s="78">
        <f>ROUND(Cards!$S4*INDEX(Affinity!$B$2:$H$7,MATCH($C4,Affinity!$A$2:$A$7,0),MATCH(D$1,Affinity!$B$1:$H$1,0)),1)</f>
        <v/>
      </c>
      <c r="E4" s="78">
        <f>ROUND(Cards!$S4*INDEX(Affinity!$B$2:$H$7,MATCH($C4,Affinity!$A$2:$A$7,0),MATCH(E$1,Affinity!$B$1:$H$1,0)),1)</f>
        <v/>
      </c>
      <c r="F4" s="78">
        <f>ROUND(Cards!$S4*INDEX(Affinity!$B$2:$H$7,MATCH($C4,Affinity!$A$2:$A$7,0),MATCH(F$1,Affinity!$B$1:$H$1,0)),1)</f>
        <v/>
      </c>
      <c r="G4" s="78">
        <f>ROUND(Cards!$S4*INDEX(Affinity!$B$2:$H$7,MATCH($C4,Affinity!$A$2:$A$7,0),MATCH(G$1,Affinity!$B$1:$H$1,0)),1)</f>
        <v/>
      </c>
      <c r="H4" s="78">
        <f>ROUND(Cards!$S4*INDEX(Affinity!$B$2:$H$7,MATCH($C4,Affinity!$A$2:$A$7,0),MATCH(H$1,Affinity!$B$1:$H$1,0)),1)</f>
        <v/>
      </c>
      <c r="I4" s="78">
        <f>ROUND(Cards!$S4*INDEX(Affinity!$B$2:$H$7,MATCH($C4,Affinity!$A$2:$A$7,0),MATCH(I$1,Affinity!$B$1:$H$1,0)),1)</f>
        <v/>
      </c>
      <c r="J4" s="78">
        <f>ROUND(Cards!$S4*INDEX(Affinity!$B$2:$H$7,MATCH($C4,Affinity!$A$2:$A$7,0),MATCH(J$1,Affinity!$B$1:$H$1,0)),1)</f>
        <v/>
      </c>
    </row>
    <row r="5" ht="15" customHeight="1" s="43">
      <c r="A5" s="77">
        <f>Cards!A5</f>
        <v/>
      </c>
      <c r="B5" s="77">
        <f>Cards!B5</f>
        <v/>
      </c>
      <c r="C5" s="77">
        <f>Cards!E5</f>
        <v/>
      </c>
      <c r="D5" s="78">
        <f>ROUND(Cards!$S5*INDEX(Affinity!$B$2:$H$7,MATCH($C5,Affinity!$A$2:$A$7,0),MATCH(D$1,Affinity!$B$1:$H$1,0)),1)</f>
        <v/>
      </c>
      <c r="E5" s="78">
        <f>ROUND(Cards!$S5*INDEX(Affinity!$B$2:$H$7,MATCH($C5,Affinity!$A$2:$A$7,0),MATCH(E$1,Affinity!$B$1:$H$1,0)),1)</f>
        <v/>
      </c>
      <c r="F5" s="78">
        <f>ROUND(Cards!$S5*INDEX(Affinity!$B$2:$H$7,MATCH($C5,Affinity!$A$2:$A$7,0),MATCH(F$1,Affinity!$B$1:$H$1,0)),1)</f>
        <v/>
      </c>
      <c r="G5" s="78">
        <f>ROUND(Cards!$S5*INDEX(Affinity!$B$2:$H$7,MATCH($C5,Affinity!$A$2:$A$7,0),MATCH(G$1,Affinity!$B$1:$H$1,0)),1)</f>
        <v/>
      </c>
      <c r="H5" s="78">
        <f>ROUND(Cards!$S5*INDEX(Affinity!$B$2:$H$7,MATCH($C5,Affinity!$A$2:$A$7,0),MATCH(H$1,Affinity!$B$1:$H$1,0)),1)</f>
        <v/>
      </c>
      <c r="I5" s="78">
        <f>ROUND(Cards!$S5*INDEX(Affinity!$B$2:$H$7,MATCH($C5,Affinity!$A$2:$A$7,0),MATCH(I$1,Affinity!$B$1:$H$1,0)),1)</f>
        <v/>
      </c>
      <c r="J5" s="78">
        <f>ROUND(Cards!$S5*INDEX(Affinity!$B$2:$H$7,MATCH($C5,Affinity!$A$2:$A$7,0),MATCH(J$1,Affinity!$B$1:$H$1,0)),1)</f>
        <v/>
      </c>
    </row>
    <row r="6" ht="15" customHeight="1" s="43">
      <c r="A6" s="77">
        <f>Cards!A6</f>
        <v/>
      </c>
      <c r="B6" s="77">
        <f>Cards!B6</f>
        <v/>
      </c>
      <c r="C6" s="77">
        <f>Cards!E6</f>
        <v/>
      </c>
      <c r="D6" s="78">
        <f>ROUND(Cards!$S6*INDEX(Affinity!$B$2:$H$7,MATCH($C6,Affinity!$A$2:$A$7,0),MATCH(D$1,Affinity!$B$1:$H$1,0)),1)</f>
        <v/>
      </c>
      <c r="E6" s="78">
        <f>ROUND(Cards!$S6*INDEX(Affinity!$B$2:$H$7,MATCH($C6,Affinity!$A$2:$A$7,0),MATCH(E$1,Affinity!$B$1:$H$1,0)),1)</f>
        <v/>
      </c>
      <c r="F6" s="78">
        <f>ROUND(Cards!$S6*INDEX(Affinity!$B$2:$H$7,MATCH($C6,Affinity!$A$2:$A$7,0),MATCH(F$1,Affinity!$B$1:$H$1,0)),1)</f>
        <v/>
      </c>
      <c r="G6" s="78">
        <f>ROUND(Cards!$S6*INDEX(Affinity!$B$2:$H$7,MATCH($C6,Affinity!$A$2:$A$7,0),MATCH(G$1,Affinity!$B$1:$H$1,0)),1)</f>
        <v/>
      </c>
      <c r="H6" s="78">
        <f>ROUND(Cards!$S6*INDEX(Affinity!$B$2:$H$7,MATCH($C6,Affinity!$A$2:$A$7,0),MATCH(H$1,Affinity!$B$1:$H$1,0)),1)</f>
        <v/>
      </c>
      <c r="I6" s="78">
        <f>ROUND(Cards!$S6*INDEX(Affinity!$B$2:$H$7,MATCH($C6,Affinity!$A$2:$A$7,0),MATCH(I$1,Affinity!$B$1:$H$1,0)),1)</f>
        <v/>
      </c>
      <c r="J6" s="78">
        <f>ROUND(Cards!$S6*INDEX(Affinity!$B$2:$H$7,MATCH($C6,Affinity!$A$2:$A$7,0),MATCH(J$1,Affinity!$B$1:$H$1,0)),1)</f>
        <v/>
      </c>
    </row>
    <row r="7" ht="15" customHeight="1" s="43">
      <c r="A7" s="77">
        <f>Cards!A7</f>
        <v/>
      </c>
      <c r="B7" s="77">
        <f>Cards!B7</f>
        <v/>
      </c>
      <c r="C7" s="77">
        <f>Cards!E7</f>
        <v/>
      </c>
      <c r="D7" s="78">
        <f>ROUND(Cards!$S7*INDEX(Affinity!$B$2:$H$7,MATCH($C7,Affinity!$A$2:$A$7,0),MATCH(D$1,Affinity!$B$1:$H$1,0)),1)</f>
        <v/>
      </c>
      <c r="E7" s="78">
        <f>ROUND(Cards!$S7*INDEX(Affinity!$B$2:$H$7,MATCH($C7,Affinity!$A$2:$A$7,0),MATCH(E$1,Affinity!$B$1:$H$1,0)),1)</f>
        <v/>
      </c>
      <c r="F7" s="78">
        <f>ROUND(Cards!$S7*INDEX(Affinity!$B$2:$H$7,MATCH($C7,Affinity!$A$2:$A$7,0),MATCH(F$1,Affinity!$B$1:$H$1,0)),1)</f>
        <v/>
      </c>
      <c r="G7" s="78">
        <f>ROUND(Cards!$S7*INDEX(Affinity!$B$2:$H$7,MATCH($C7,Affinity!$A$2:$A$7,0),MATCH(G$1,Affinity!$B$1:$H$1,0)),1)</f>
        <v/>
      </c>
      <c r="H7" s="78">
        <f>ROUND(Cards!$S7*INDEX(Affinity!$B$2:$H$7,MATCH($C7,Affinity!$A$2:$A$7,0),MATCH(H$1,Affinity!$B$1:$H$1,0)),1)</f>
        <v/>
      </c>
      <c r="I7" s="78">
        <f>ROUND(Cards!$S7*INDEX(Affinity!$B$2:$H$7,MATCH($C7,Affinity!$A$2:$A$7,0),MATCH(I$1,Affinity!$B$1:$H$1,0)),1)</f>
        <v/>
      </c>
      <c r="J7" s="78">
        <f>ROUND(Cards!$S7*INDEX(Affinity!$B$2:$H$7,MATCH($C7,Affinity!$A$2:$A$7,0),MATCH(J$1,Affinity!$B$1:$H$1,0)),1)</f>
        <v/>
      </c>
    </row>
    <row r="8" ht="15" customHeight="1" s="43">
      <c r="A8" s="77">
        <f>Cards!A8</f>
        <v/>
      </c>
      <c r="B8" s="77">
        <f>Cards!B8</f>
        <v/>
      </c>
      <c r="C8" s="77">
        <f>Cards!E8</f>
        <v/>
      </c>
      <c r="D8" s="78">
        <f>ROUND(Cards!$S8*INDEX(Affinity!$B$2:$H$7,MATCH($C8,Affinity!$A$2:$A$7,0),MATCH(D$1,Affinity!$B$1:$H$1,0)),1)</f>
        <v/>
      </c>
      <c r="E8" s="78">
        <f>ROUND(Cards!$S8*INDEX(Affinity!$B$2:$H$7,MATCH($C8,Affinity!$A$2:$A$7,0),MATCH(E$1,Affinity!$B$1:$H$1,0)),1)</f>
        <v/>
      </c>
      <c r="F8" s="78">
        <f>ROUND(Cards!$S8*INDEX(Affinity!$B$2:$H$7,MATCH($C8,Affinity!$A$2:$A$7,0),MATCH(F$1,Affinity!$B$1:$H$1,0)),1)</f>
        <v/>
      </c>
      <c r="G8" s="78">
        <f>ROUND(Cards!$S8*INDEX(Affinity!$B$2:$H$7,MATCH($C8,Affinity!$A$2:$A$7,0),MATCH(G$1,Affinity!$B$1:$H$1,0)),1)</f>
        <v/>
      </c>
      <c r="H8" s="78">
        <f>ROUND(Cards!$S8*INDEX(Affinity!$B$2:$H$7,MATCH($C8,Affinity!$A$2:$A$7,0),MATCH(H$1,Affinity!$B$1:$H$1,0)),1)</f>
        <v/>
      </c>
      <c r="I8" s="78">
        <f>ROUND(Cards!$S8*INDEX(Affinity!$B$2:$H$7,MATCH($C8,Affinity!$A$2:$A$7,0),MATCH(I$1,Affinity!$B$1:$H$1,0)),1)</f>
        <v/>
      </c>
      <c r="J8" s="78">
        <f>ROUND(Cards!$S8*INDEX(Affinity!$B$2:$H$7,MATCH($C8,Affinity!$A$2:$A$7,0),MATCH(J$1,Affinity!$B$1:$H$1,0)),1)</f>
        <v/>
      </c>
    </row>
    <row r="9" ht="15" customHeight="1" s="43">
      <c r="A9" s="77">
        <f>Cards!A9</f>
        <v/>
      </c>
      <c r="B9" s="77">
        <f>Cards!B9</f>
        <v/>
      </c>
      <c r="C9" s="77">
        <f>Cards!E9</f>
        <v/>
      </c>
      <c r="D9" s="78">
        <f>ROUND(Cards!$S9*INDEX(Affinity!$B$2:$H$7,MATCH($C9,Affinity!$A$2:$A$7,0),MATCH(D$1,Affinity!$B$1:$H$1,0)),1)</f>
        <v/>
      </c>
      <c r="E9" s="78">
        <f>ROUND(Cards!$S9*INDEX(Affinity!$B$2:$H$7,MATCH($C9,Affinity!$A$2:$A$7,0),MATCH(E$1,Affinity!$B$1:$H$1,0)),1)</f>
        <v/>
      </c>
      <c r="F9" s="78">
        <f>ROUND(Cards!$S9*INDEX(Affinity!$B$2:$H$7,MATCH($C9,Affinity!$A$2:$A$7,0),MATCH(F$1,Affinity!$B$1:$H$1,0)),1)</f>
        <v/>
      </c>
      <c r="G9" s="78">
        <f>ROUND(Cards!$S9*INDEX(Affinity!$B$2:$H$7,MATCH($C9,Affinity!$A$2:$A$7,0),MATCH(G$1,Affinity!$B$1:$H$1,0)),1)</f>
        <v/>
      </c>
      <c r="H9" s="78">
        <f>ROUND(Cards!$S9*INDEX(Affinity!$B$2:$H$7,MATCH($C9,Affinity!$A$2:$A$7,0),MATCH(H$1,Affinity!$B$1:$H$1,0)),1)</f>
        <v/>
      </c>
      <c r="I9" s="78">
        <f>ROUND(Cards!$S9*INDEX(Affinity!$B$2:$H$7,MATCH($C9,Affinity!$A$2:$A$7,0),MATCH(I$1,Affinity!$B$1:$H$1,0)),1)</f>
        <v/>
      </c>
      <c r="J9" s="78">
        <f>ROUND(Cards!$S9*INDEX(Affinity!$B$2:$H$7,MATCH($C9,Affinity!$A$2:$A$7,0),MATCH(J$1,Affinity!$B$1:$H$1,0)),1)</f>
        <v/>
      </c>
    </row>
    <row r="10" ht="15" customHeight="1" s="43">
      <c r="A10" s="77">
        <f>Cards!A10</f>
        <v/>
      </c>
      <c r="B10" s="77">
        <f>Cards!B10</f>
        <v/>
      </c>
      <c r="C10" s="77">
        <f>Cards!E10</f>
        <v/>
      </c>
      <c r="D10" s="78">
        <f>ROUND(Cards!$S10*INDEX(Affinity!$B$2:$H$7,MATCH($C10,Affinity!$A$2:$A$7,0),MATCH(D$1,Affinity!$B$1:$H$1,0)),1)</f>
        <v/>
      </c>
      <c r="E10" s="78">
        <f>ROUND(Cards!$S10*INDEX(Affinity!$B$2:$H$7,MATCH($C10,Affinity!$A$2:$A$7,0),MATCH(E$1,Affinity!$B$1:$H$1,0)),1)</f>
        <v/>
      </c>
      <c r="F10" s="78">
        <f>ROUND(Cards!$S10*INDEX(Affinity!$B$2:$H$7,MATCH($C10,Affinity!$A$2:$A$7,0),MATCH(F$1,Affinity!$B$1:$H$1,0)),1)</f>
        <v/>
      </c>
      <c r="G10" s="78">
        <f>ROUND(Cards!$S10*INDEX(Affinity!$B$2:$H$7,MATCH($C10,Affinity!$A$2:$A$7,0),MATCH(G$1,Affinity!$B$1:$H$1,0)),1)</f>
        <v/>
      </c>
      <c r="H10" s="78">
        <f>ROUND(Cards!$S10*INDEX(Affinity!$B$2:$H$7,MATCH($C10,Affinity!$A$2:$A$7,0),MATCH(H$1,Affinity!$B$1:$H$1,0)),1)</f>
        <v/>
      </c>
      <c r="I10" s="78">
        <f>ROUND(Cards!$S10*INDEX(Affinity!$B$2:$H$7,MATCH($C10,Affinity!$A$2:$A$7,0),MATCH(I$1,Affinity!$B$1:$H$1,0)),1)</f>
        <v/>
      </c>
      <c r="J10" s="78">
        <f>ROUND(Cards!$S10*INDEX(Affinity!$B$2:$H$7,MATCH($C10,Affinity!$A$2:$A$7,0),MATCH(J$1,Affinity!$B$1:$H$1,0)),1)</f>
        <v/>
      </c>
    </row>
    <row r="11" ht="15" customHeight="1" s="43">
      <c r="A11" s="77">
        <f>Cards!A11</f>
        <v/>
      </c>
      <c r="B11" s="77">
        <f>Cards!B11</f>
        <v/>
      </c>
      <c r="C11" s="77">
        <f>Cards!E11</f>
        <v/>
      </c>
      <c r="D11" s="78">
        <f>ROUND(Cards!$S11*INDEX(Affinity!$B$2:$H$7,MATCH($C11,Affinity!$A$2:$A$7,0),MATCH(D$1,Affinity!$B$1:$H$1,0)),1)</f>
        <v/>
      </c>
      <c r="E11" s="78">
        <f>ROUND(Cards!$S11*INDEX(Affinity!$B$2:$H$7,MATCH($C11,Affinity!$A$2:$A$7,0),MATCH(E$1,Affinity!$B$1:$H$1,0)),1)</f>
        <v/>
      </c>
      <c r="F11" s="78">
        <f>ROUND(Cards!$S11*INDEX(Affinity!$B$2:$H$7,MATCH($C11,Affinity!$A$2:$A$7,0),MATCH(F$1,Affinity!$B$1:$H$1,0)),1)</f>
        <v/>
      </c>
      <c r="G11" s="78">
        <f>ROUND(Cards!$S11*INDEX(Affinity!$B$2:$H$7,MATCH($C11,Affinity!$A$2:$A$7,0),MATCH(G$1,Affinity!$B$1:$H$1,0)),1)</f>
        <v/>
      </c>
      <c r="H11" s="78">
        <f>ROUND(Cards!$S11*INDEX(Affinity!$B$2:$H$7,MATCH($C11,Affinity!$A$2:$A$7,0),MATCH(H$1,Affinity!$B$1:$H$1,0)),1)</f>
        <v/>
      </c>
      <c r="I11" s="78">
        <f>ROUND(Cards!$S11*INDEX(Affinity!$B$2:$H$7,MATCH($C11,Affinity!$A$2:$A$7,0),MATCH(I$1,Affinity!$B$1:$H$1,0)),1)</f>
        <v/>
      </c>
      <c r="J11" s="78">
        <f>ROUND(Cards!$S11*INDEX(Affinity!$B$2:$H$7,MATCH($C11,Affinity!$A$2:$A$7,0),MATCH(J$1,Affinity!$B$1:$H$1,0)),1)</f>
        <v/>
      </c>
    </row>
    <row r="12" ht="15" customHeight="1" s="43">
      <c r="A12" s="77">
        <f>Cards!A12</f>
        <v/>
      </c>
      <c r="B12" s="77">
        <f>Cards!B12</f>
        <v/>
      </c>
      <c r="C12" s="77">
        <f>Cards!E12</f>
        <v/>
      </c>
      <c r="D12" s="78">
        <f>ROUND(Cards!$S12*INDEX(Affinity!$B$2:$H$7,MATCH($C12,Affinity!$A$2:$A$7,0),MATCH(D$1,Affinity!$B$1:$H$1,0)),1)</f>
        <v/>
      </c>
      <c r="E12" s="78">
        <f>ROUND(Cards!$S12*INDEX(Affinity!$B$2:$H$7,MATCH($C12,Affinity!$A$2:$A$7,0),MATCH(E$1,Affinity!$B$1:$H$1,0)),1)</f>
        <v/>
      </c>
      <c r="F12" s="78">
        <f>ROUND(Cards!$S12*INDEX(Affinity!$B$2:$H$7,MATCH($C12,Affinity!$A$2:$A$7,0),MATCH(F$1,Affinity!$B$1:$H$1,0)),1)</f>
        <v/>
      </c>
      <c r="G12" s="78">
        <f>ROUND(Cards!$S12*INDEX(Affinity!$B$2:$H$7,MATCH($C12,Affinity!$A$2:$A$7,0),MATCH(G$1,Affinity!$B$1:$H$1,0)),1)</f>
        <v/>
      </c>
      <c r="H12" s="78">
        <f>ROUND(Cards!$S12*INDEX(Affinity!$B$2:$H$7,MATCH($C12,Affinity!$A$2:$A$7,0),MATCH(H$1,Affinity!$B$1:$H$1,0)),1)</f>
        <v/>
      </c>
      <c r="I12" s="78">
        <f>ROUND(Cards!$S12*INDEX(Affinity!$B$2:$H$7,MATCH($C12,Affinity!$A$2:$A$7,0),MATCH(I$1,Affinity!$B$1:$H$1,0)),1)</f>
        <v/>
      </c>
      <c r="J12" s="78">
        <f>ROUND(Cards!$S12*INDEX(Affinity!$B$2:$H$7,MATCH($C12,Affinity!$A$2:$A$7,0),MATCH(J$1,Affinity!$B$1:$H$1,0)),1)</f>
        <v/>
      </c>
    </row>
    <row r="13" ht="15" customHeight="1" s="43">
      <c r="A13" s="77">
        <f>Cards!A13</f>
        <v/>
      </c>
      <c r="B13" s="77">
        <f>Cards!B13</f>
        <v/>
      </c>
      <c r="C13" s="77">
        <f>Cards!E13</f>
        <v/>
      </c>
      <c r="D13" s="78">
        <f>ROUND(Cards!$S13*INDEX(Affinity!$B$2:$H$7,MATCH($C13,Affinity!$A$2:$A$7,0),MATCH(D$1,Affinity!$B$1:$H$1,0)),1)</f>
        <v/>
      </c>
      <c r="E13" s="78">
        <f>ROUND(Cards!$S13*INDEX(Affinity!$B$2:$H$7,MATCH($C13,Affinity!$A$2:$A$7,0),MATCH(E$1,Affinity!$B$1:$H$1,0)),1)</f>
        <v/>
      </c>
      <c r="F13" s="78">
        <f>ROUND(Cards!$S13*INDEX(Affinity!$B$2:$H$7,MATCH($C13,Affinity!$A$2:$A$7,0),MATCH(F$1,Affinity!$B$1:$H$1,0)),1)</f>
        <v/>
      </c>
      <c r="G13" s="78">
        <f>ROUND(Cards!$S13*INDEX(Affinity!$B$2:$H$7,MATCH($C13,Affinity!$A$2:$A$7,0),MATCH(G$1,Affinity!$B$1:$H$1,0)),1)</f>
        <v/>
      </c>
      <c r="H13" s="78">
        <f>ROUND(Cards!$S13*INDEX(Affinity!$B$2:$H$7,MATCH($C13,Affinity!$A$2:$A$7,0),MATCH(H$1,Affinity!$B$1:$H$1,0)),1)</f>
        <v/>
      </c>
      <c r="I13" s="78">
        <f>ROUND(Cards!$S13*INDEX(Affinity!$B$2:$H$7,MATCH($C13,Affinity!$A$2:$A$7,0),MATCH(I$1,Affinity!$B$1:$H$1,0)),1)</f>
        <v/>
      </c>
      <c r="J13" s="78">
        <f>ROUND(Cards!$S13*INDEX(Affinity!$B$2:$H$7,MATCH($C13,Affinity!$A$2:$A$7,0),MATCH(J$1,Affinity!$B$1:$H$1,0)),1)</f>
        <v/>
      </c>
    </row>
    <row r="14" ht="15" customHeight="1" s="43">
      <c r="A14" s="77">
        <f>Cards!A14</f>
        <v/>
      </c>
      <c r="B14" s="77">
        <f>Cards!B14</f>
        <v/>
      </c>
      <c r="C14" s="77">
        <f>Cards!E14</f>
        <v/>
      </c>
      <c r="D14" s="78">
        <f>ROUND(Cards!$S14*INDEX(Affinity!$B$2:$H$7,MATCH($C14,Affinity!$A$2:$A$7,0),MATCH(D$1,Affinity!$B$1:$H$1,0)),1)</f>
        <v/>
      </c>
      <c r="E14" s="78">
        <f>ROUND(Cards!$S14*INDEX(Affinity!$B$2:$H$7,MATCH($C14,Affinity!$A$2:$A$7,0),MATCH(E$1,Affinity!$B$1:$H$1,0)),1)</f>
        <v/>
      </c>
      <c r="F14" s="78">
        <f>ROUND(Cards!$S14*INDEX(Affinity!$B$2:$H$7,MATCH($C14,Affinity!$A$2:$A$7,0),MATCH(F$1,Affinity!$B$1:$H$1,0)),1)</f>
        <v/>
      </c>
      <c r="G14" s="78">
        <f>ROUND(Cards!$S14*INDEX(Affinity!$B$2:$H$7,MATCH($C14,Affinity!$A$2:$A$7,0),MATCH(G$1,Affinity!$B$1:$H$1,0)),1)</f>
        <v/>
      </c>
      <c r="H14" s="78">
        <f>ROUND(Cards!$S14*INDEX(Affinity!$B$2:$H$7,MATCH($C14,Affinity!$A$2:$A$7,0),MATCH(H$1,Affinity!$B$1:$H$1,0)),1)</f>
        <v/>
      </c>
      <c r="I14" s="78">
        <f>ROUND(Cards!$S14*INDEX(Affinity!$B$2:$H$7,MATCH($C14,Affinity!$A$2:$A$7,0),MATCH(I$1,Affinity!$B$1:$H$1,0)),1)</f>
        <v/>
      </c>
      <c r="J14" s="78">
        <f>ROUND(Cards!$S14*INDEX(Affinity!$B$2:$H$7,MATCH($C14,Affinity!$A$2:$A$7,0),MATCH(J$1,Affinity!$B$1:$H$1,0)),1)</f>
        <v/>
      </c>
    </row>
    <row r="15" ht="15" customHeight="1" s="43">
      <c r="A15" s="77">
        <f>Cards!A15</f>
        <v/>
      </c>
      <c r="B15" s="77">
        <f>Cards!B15</f>
        <v/>
      </c>
      <c r="C15" s="77">
        <f>Cards!E15</f>
        <v/>
      </c>
      <c r="D15" s="78">
        <f>ROUND(Cards!$S15*INDEX(Affinity!$B$2:$H$7,MATCH($C15,Affinity!$A$2:$A$7,0),MATCH(D$1,Affinity!$B$1:$H$1,0)),1)</f>
        <v/>
      </c>
      <c r="E15" s="78">
        <f>ROUND(Cards!$S15*INDEX(Affinity!$B$2:$H$7,MATCH($C15,Affinity!$A$2:$A$7,0),MATCH(E$1,Affinity!$B$1:$H$1,0)),1)</f>
        <v/>
      </c>
      <c r="F15" s="78">
        <f>ROUND(Cards!$S15*INDEX(Affinity!$B$2:$H$7,MATCH($C15,Affinity!$A$2:$A$7,0),MATCH(F$1,Affinity!$B$1:$H$1,0)),1)</f>
        <v/>
      </c>
      <c r="G15" s="78">
        <f>ROUND(Cards!$S15*INDEX(Affinity!$B$2:$H$7,MATCH($C15,Affinity!$A$2:$A$7,0),MATCH(G$1,Affinity!$B$1:$H$1,0)),1)</f>
        <v/>
      </c>
      <c r="H15" s="78">
        <f>ROUND(Cards!$S15*INDEX(Affinity!$B$2:$H$7,MATCH($C15,Affinity!$A$2:$A$7,0),MATCH(H$1,Affinity!$B$1:$H$1,0)),1)</f>
        <v/>
      </c>
      <c r="I15" s="78">
        <f>ROUND(Cards!$S15*INDEX(Affinity!$B$2:$H$7,MATCH($C15,Affinity!$A$2:$A$7,0),MATCH(I$1,Affinity!$B$1:$H$1,0)),1)</f>
        <v/>
      </c>
      <c r="J15" s="78">
        <f>ROUND(Cards!$S15*INDEX(Affinity!$B$2:$H$7,MATCH($C15,Affinity!$A$2:$A$7,0),MATCH(J$1,Affinity!$B$1:$H$1,0)),1)</f>
        <v/>
      </c>
    </row>
    <row r="16" ht="15" customHeight="1" s="43">
      <c r="A16" s="77">
        <f>Cards!A16</f>
        <v/>
      </c>
      <c r="B16" s="77">
        <f>Cards!B16</f>
        <v/>
      </c>
      <c r="C16" s="77">
        <f>Cards!E16</f>
        <v/>
      </c>
      <c r="D16" s="78">
        <f>ROUND(Cards!$S16*INDEX(Affinity!$B$2:$H$7,MATCH($C16,Affinity!$A$2:$A$7,0),MATCH(D$1,Affinity!$B$1:$H$1,0)),1)</f>
        <v/>
      </c>
      <c r="E16" s="78">
        <f>ROUND(Cards!$S16*INDEX(Affinity!$B$2:$H$7,MATCH($C16,Affinity!$A$2:$A$7,0),MATCH(E$1,Affinity!$B$1:$H$1,0)),1)</f>
        <v/>
      </c>
      <c r="F16" s="78">
        <f>ROUND(Cards!$S16*INDEX(Affinity!$B$2:$H$7,MATCH($C16,Affinity!$A$2:$A$7,0),MATCH(F$1,Affinity!$B$1:$H$1,0)),1)</f>
        <v/>
      </c>
      <c r="G16" s="78">
        <f>ROUND(Cards!$S16*INDEX(Affinity!$B$2:$H$7,MATCH($C16,Affinity!$A$2:$A$7,0),MATCH(G$1,Affinity!$B$1:$H$1,0)),1)</f>
        <v/>
      </c>
      <c r="H16" s="78">
        <f>ROUND(Cards!$S16*INDEX(Affinity!$B$2:$H$7,MATCH($C16,Affinity!$A$2:$A$7,0),MATCH(H$1,Affinity!$B$1:$H$1,0)),1)</f>
        <v/>
      </c>
      <c r="I16" s="78">
        <f>ROUND(Cards!$S16*INDEX(Affinity!$B$2:$H$7,MATCH($C16,Affinity!$A$2:$A$7,0),MATCH(I$1,Affinity!$B$1:$H$1,0)),1)</f>
        <v/>
      </c>
      <c r="J16" s="78">
        <f>ROUND(Cards!$S16*INDEX(Affinity!$B$2:$H$7,MATCH($C16,Affinity!$A$2:$A$7,0),MATCH(J$1,Affinity!$B$1:$H$1,0)),1)</f>
        <v/>
      </c>
    </row>
    <row r="17" ht="15" customHeight="1" s="43">
      <c r="A17" s="77">
        <f>Cards!A17</f>
        <v/>
      </c>
      <c r="B17" s="77">
        <f>Cards!B17</f>
        <v/>
      </c>
      <c r="C17" s="77">
        <f>Cards!E17</f>
        <v/>
      </c>
      <c r="D17" s="78">
        <f>ROUND(Cards!$S17*INDEX(Affinity!$B$2:$H$7,MATCH($C17,Affinity!$A$2:$A$7,0),MATCH(D$1,Affinity!$B$1:$H$1,0)),1)</f>
        <v/>
      </c>
      <c r="E17" s="78">
        <f>ROUND(Cards!$S17*INDEX(Affinity!$B$2:$H$7,MATCH($C17,Affinity!$A$2:$A$7,0),MATCH(E$1,Affinity!$B$1:$H$1,0)),1)</f>
        <v/>
      </c>
      <c r="F17" s="78">
        <f>ROUND(Cards!$S17*INDEX(Affinity!$B$2:$H$7,MATCH($C17,Affinity!$A$2:$A$7,0),MATCH(F$1,Affinity!$B$1:$H$1,0)),1)</f>
        <v/>
      </c>
      <c r="G17" s="78">
        <f>ROUND(Cards!$S17*INDEX(Affinity!$B$2:$H$7,MATCH($C17,Affinity!$A$2:$A$7,0),MATCH(G$1,Affinity!$B$1:$H$1,0)),1)</f>
        <v/>
      </c>
      <c r="H17" s="78">
        <f>ROUND(Cards!$S17*INDEX(Affinity!$B$2:$H$7,MATCH($C17,Affinity!$A$2:$A$7,0),MATCH(H$1,Affinity!$B$1:$H$1,0)),1)</f>
        <v/>
      </c>
      <c r="I17" s="78">
        <f>ROUND(Cards!$S17*INDEX(Affinity!$B$2:$H$7,MATCH($C17,Affinity!$A$2:$A$7,0),MATCH(I$1,Affinity!$B$1:$H$1,0)),1)</f>
        <v/>
      </c>
      <c r="J17" s="78">
        <f>ROUND(Cards!$S17*INDEX(Affinity!$B$2:$H$7,MATCH($C17,Affinity!$A$2:$A$7,0),MATCH(J$1,Affinity!$B$1:$H$1,0)),1)</f>
        <v/>
      </c>
    </row>
    <row r="18" ht="15" customHeight="1" s="43">
      <c r="A18" s="77">
        <f>Cards!A18</f>
        <v/>
      </c>
      <c r="B18" s="77">
        <f>Cards!B18</f>
        <v/>
      </c>
      <c r="C18" s="77">
        <f>Cards!E18</f>
        <v/>
      </c>
      <c r="D18" s="78">
        <f>ROUND(Cards!$S18*INDEX(Affinity!$B$2:$H$7,MATCH($C18,Affinity!$A$2:$A$7,0),MATCH(D$1,Affinity!$B$1:$H$1,0)),1)</f>
        <v/>
      </c>
      <c r="E18" s="78">
        <f>ROUND(Cards!$S18*INDEX(Affinity!$B$2:$H$7,MATCH($C18,Affinity!$A$2:$A$7,0),MATCH(E$1,Affinity!$B$1:$H$1,0)),1)</f>
        <v/>
      </c>
      <c r="F18" s="78">
        <f>ROUND(Cards!$S18*INDEX(Affinity!$B$2:$H$7,MATCH($C18,Affinity!$A$2:$A$7,0),MATCH(F$1,Affinity!$B$1:$H$1,0)),1)</f>
        <v/>
      </c>
      <c r="G18" s="78">
        <f>ROUND(Cards!$S18*INDEX(Affinity!$B$2:$H$7,MATCH($C18,Affinity!$A$2:$A$7,0),MATCH(G$1,Affinity!$B$1:$H$1,0)),1)</f>
        <v/>
      </c>
      <c r="H18" s="78">
        <f>ROUND(Cards!$S18*INDEX(Affinity!$B$2:$H$7,MATCH($C18,Affinity!$A$2:$A$7,0),MATCH(H$1,Affinity!$B$1:$H$1,0)),1)</f>
        <v/>
      </c>
      <c r="I18" s="78">
        <f>ROUND(Cards!$S18*INDEX(Affinity!$B$2:$H$7,MATCH($C18,Affinity!$A$2:$A$7,0),MATCH(I$1,Affinity!$B$1:$H$1,0)),1)</f>
        <v/>
      </c>
      <c r="J18" s="78">
        <f>ROUND(Cards!$S18*INDEX(Affinity!$B$2:$H$7,MATCH($C18,Affinity!$A$2:$A$7,0),MATCH(J$1,Affinity!$B$1:$H$1,0)),1)</f>
        <v/>
      </c>
    </row>
    <row r="19" ht="15" customHeight="1" s="43">
      <c r="A19" s="77">
        <f>Cards!A19</f>
        <v/>
      </c>
      <c r="B19" s="77">
        <f>Cards!B19</f>
        <v/>
      </c>
      <c r="C19" s="77">
        <f>Cards!E19</f>
        <v/>
      </c>
      <c r="D19" s="78">
        <f>ROUND(Cards!$S19*INDEX(Affinity!$B$2:$H$7,MATCH($C19,Affinity!$A$2:$A$7,0),MATCH(D$1,Affinity!$B$1:$H$1,0)),1)</f>
        <v/>
      </c>
      <c r="E19" s="78">
        <f>ROUND(Cards!$S19*INDEX(Affinity!$B$2:$H$7,MATCH($C19,Affinity!$A$2:$A$7,0),MATCH(E$1,Affinity!$B$1:$H$1,0)),1)</f>
        <v/>
      </c>
      <c r="F19" s="78">
        <f>ROUND(Cards!$S19*INDEX(Affinity!$B$2:$H$7,MATCH($C19,Affinity!$A$2:$A$7,0),MATCH(F$1,Affinity!$B$1:$H$1,0)),1)</f>
        <v/>
      </c>
      <c r="G19" s="78">
        <f>ROUND(Cards!$S19*INDEX(Affinity!$B$2:$H$7,MATCH($C19,Affinity!$A$2:$A$7,0),MATCH(G$1,Affinity!$B$1:$H$1,0)),1)</f>
        <v/>
      </c>
      <c r="H19" s="78">
        <f>ROUND(Cards!$S19*INDEX(Affinity!$B$2:$H$7,MATCH($C19,Affinity!$A$2:$A$7,0),MATCH(H$1,Affinity!$B$1:$H$1,0)),1)</f>
        <v/>
      </c>
      <c r="I19" s="78">
        <f>ROUND(Cards!$S19*INDEX(Affinity!$B$2:$H$7,MATCH($C19,Affinity!$A$2:$A$7,0),MATCH(I$1,Affinity!$B$1:$H$1,0)),1)</f>
        <v/>
      </c>
      <c r="J19" s="78">
        <f>ROUND(Cards!$S19*INDEX(Affinity!$B$2:$H$7,MATCH($C19,Affinity!$A$2:$A$7,0),MATCH(J$1,Affinity!$B$1:$H$1,0)),1)</f>
        <v/>
      </c>
    </row>
    <row r="20" ht="15" customHeight="1" s="43">
      <c r="A20" s="77">
        <f>Cards!A20</f>
        <v/>
      </c>
      <c r="B20" s="77">
        <f>Cards!B20</f>
        <v/>
      </c>
      <c r="C20" s="77">
        <f>Cards!E20</f>
        <v/>
      </c>
      <c r="D20" s="78">
        <f>ROUND(Cards!$S20*INDEX(Affinity!$B$2:$H$7,MATCH($C20,Affinity!$A$2:$A$7,0),MATCH(D$1,Affinity!$B$1:$H$1,0)),1)</f>
        <v/>
      </c>
      <c r="E20" s="78">
        <f>ROUND(Cards!$S20*INDEX(Affinity!$B$2:$H$7,MATCH($C20,Affinity!$A$2:$A$7,0),MATCH(E$1,Affinity!$B$1:$H$1,0)),1)</f>
        <v/>
      </c>
      <c r="F20" s="78">
        <f>ROUND(Cards!$S20*INDEX(Affinity!$B$2:$H$7,MATCH($C20,Affinity!$A$2:$A$7,0),MATCH(F$1,Affinity!$B$1:$H$1,0)),1)</f>
        <v/>
      </c>
      <c r="G20" s="78">
        <f>ROUND(Cards!$S20*INDEX(Affinity!$B$2:$H$7,MATCH($C20,Affinity!$A$2:$A$7,0),MATCH(G$1,Affinity!$B$1:$H$1,0)),1)</f>
        <v/>
      </c>
      <c r="H20" s="78">
        <f>ROUND(Cards!$S20*INDEX(Affinity!$B$2:$H$7,MATCH($C20,Affinity!$A$2:$A$7,0),MATCH(H$1,Affinity!$B$1:$H$1,0)),1)</f>
        <v/>
      </c>
      <c r="I20" s="78">
        <f>ROUND(Cards!$S20*INDEX(Affinity!$B$2:$H$7,MATCH($C20,Affinity!$A$2:$A$7,0),MATCH(I$1,Affinity!$B$1:$H$1,0)),1)</f>
        <v/>
      </c>
      <c r="J20" s="78">
        <f>ROUND(Cards!$S20*INDEX(Affinity!$B$2:$H$7,MATCH($C20,Affinity!$A$2:$A$7,0),MATCH(J$1,Affinity!$B$1:$H$1,0)),1)</f>
        <v/>
      </c>
    </row>
    <row r="21" ht="15" customHeight="1" s="43">
      <c r="A21" s="77">
        <f>Cards!A21</f>
        <v/>
      </c>
      <c r="B21" s="77">
        <f>Cards!B21</f>
        <v/>
      </c>
      <c r="C21" s="77">
        <f>Cards!E21</f>
        <v/>
      </c>
      <c r="D21" s="78">
        <f>ROUND(Cards!$S21*INDEX(Affinity!$B$2:$H$7,MATCH($C21,Affinity!$A$2:$A$7,0),MATCH(D$1,Affinity!$B$1:$H$1,0)),1)</f>
        <v/>
      </c>
      <c r="E21" s="78">
        <f>ROUND(Cards!$S21*INDEX(Affinity!$B$2:$H$7,MATCH($C21,Affinity!$A$2:$A$7,0),MATCH(E$1,Affinity!$B$1:$H$1,0)),1)</f>
        <v/>
      </c>
      <c r="F21" s="78">
        <f>ROUND(Cards!$S21*INDEX(Affinity!$B$2:$H$7,MATCH($C21,Affinity!$A$2:$A$7,0),MATCH(F$1,Affinity!$B$1:$H$1,0)),1)</f>
        <v/>
      </c>
      <c r="G21" s="78">
        <f>ROUND(Cards!$S21*INDEX(Affinity!$B$2:$H$7,MATCH($C21,Affinity!$A$2:$A$7,0),MATCH(G$1,Affinity!$B$1:$H$1,0)),1)</f>
        <v/>
      </c>
      <c r="H21" s="78">
        <f>ROUND(Cards!$S21*INDEX(Affinity!$B$2:$H$7,MATCH($C21,Affinity!$A$2:$A$7,0),MATCH(H$1,Affinity!$B$1:$H$1,0)),1)</f>
        <v/>
      </c>
      <c r="I21" s="78">
        <f>ROUND(Cards!$S21*INDEX(Affinity!$B$2:$H$7,MATCH($C21,Affinity!$A$2:$A$7,0),MATCH(I$1,Affinity!$B$1:$H$1,0)),1)</f>
        <v/>
      </c>
      <c r="J21" s="78">
        <f>ROUND(Cards!$S21*INDEX(Affinity!$B$2:$H$7,MATCH($C21,Affinity!$A$2:$A$7,0),MATCH(J$1,Affinity!$B$1:$H$1,0)),1)</f>
        <v/>
      </c>
    </row>
    <row r="22" ht="15" customHeight="1" s="43">
      <c r="A22" s="77">
        <f>Cards!A22</f>
        <v/>
      </c>
      <c r="B22" s="77">
        <f>Cards!B22</f>
        <v/>
      </c>
      <c r="C22" s="77">
        <f>Cards!E22</f>
        <v/>
      </c>
      <c r="D22" s="78">
        <f>ROUND(Cards!$S22*INDEX(Affinity!$B$2:$H$7,MATCH($C22,Affinity!$A$2:$A$7,0),MATCH(D$1,Affinity!$B$1:$H$1,0)),1)</f>
        <v/>
      </c>
      <c r="E22" s="78">
        <f>ROUND(Cards!$S22*INDEX(Affinity!$B$2:$H$7,MATCH($C22,Affinity!$A$2:$A$7,0),MATCH(E$1,Affinity!$B$1:$H$1,0)),1)</f>
        <v/>
      </c>
      <c r="F22" s="78">
        <f>ROUND(Cards!$S22*INDEX(Affinity!$B$2:$H$7,MATCH($C22,Affinity!$A$2:$A$7,0),MATCH(F$1,Affinity!$B$1:$H$1,0)),1)</f>
        <v/>
      </c>
      <c r="G22" s="78">
        <f>ROUND(Cards!$S22*INDEX(Affinity!$B$2:$H$7,MATCH($C22,Affinity!$A$2:$A$7,0),MATCH(G$1,Affinity!$B$1:$H$1,0)),1)</f>
        <v/>
      </c>
      <c r="H22" s="78">
        <f>ROUND(Cards!$S22*INDEX(Affinity!$B$2:$H$7,MATCH($C22,Affinity!$A$2:$A$7,0),MATCH(H$1,Affinity!$B$1:$H$1,0)),1)</f>
        <v/>
      </c>
      <c r="I22" s="78">
        <f>ROUND(Cards!$S22*INDEX(Affinity!$B$2:$H$7,MATCH($C22,Affinity!$A$2:$A$7,0),MATCH(I$1,Affinity!$B$1:$H$1,0)),1)</f>
        <v/>
      </c>
      <c r="J22" s="78">
        <f>ROUND(Cards!$S22*INDEX(Affinity!$B$2:$H$7,MATCH($C22,Affinity!$A$2:$A$7,0),MATCH(J$1,Affinity!$B$1:$H$1,0)),1)</f>
        <v/>
      </c>
    </row>
    <row r="23" ht="15" customHeight="1" s="43">
      <c r="A23" s="77">
        <f>Cards!A23</f>
        <v/>
      </c>
      <c r="B23" s="77">
        <f>Cards!B23</f>
        <v/>
      </c>
      <c r="C23" s="77">
        <f>Cards!E23</f>
        <v/>
      </c>
      <c r="D23" s="78">
        <f>ROUND(Cards!$S23*INDEX(Affinity!$B$2:$H$7,MATCH($C23,Affinity!$A$2:$A$7,0),MATCH(D$1,Affinity!$B$1:$H$1,0)),1)</f>
        <v/>
      </c>
      <c r="E23" s="78">
        <f>ROUND(Cards!$S23*INDEX(Affinity!$B$2:$H$7,MATCH($C23,Affinity!$A$2:$A$7,0),MATCH(E$1,Affinity!$B$1:$H$1,0)),1)</f>
        <v/>
      </c>
      <c r="F23" s="78">
        <f>ROUND(Cards!$S23*INDEX(Affinity!$B$2:$H$7,MATCH($C23,Affinity!$A$2:$A$7,0),MATCH(F$1,Affinity!$B$1:$H$1,0)),1)</f>
        <v/>
      </c>
      <c r="G23" s="78">
        <f>ROUND(Cards!$S23*INDEX(Affinity!$B$2:$H$7,MATCH($C23,Affinity!$A$2:$A$7,0),MATCH(G$1,Affinity!$B$1:$H$1,0)),1)</f>
        <v/>
      </c>
      <c r="H23" s="78">
        <f>ROUND(Cards!$S23*INDEX(Affinity!$B$2:$H$7,MATCH($C23,Affinity!$A$2:$A$7,0),MATCH(H$1,Affinity!$B$1:$H$1,0)),1)</f>
        <v/>
      </c>
      <c r="I23" s="78">
        <f>ROUND(Cards!$S23*INDEX(Affinity!$B$2:$H$7,MATCH($C23,Affinity!$A$2:$A$7,0),MATCH(I$1,Affinity!$B$1:$H$1,0)),1)</f>
        <v/>
      </c>
      <c r="J23" s="78">
        <f>ROUND(Cards!$S23*INDEX(Affinity!$B$2:$H$7,MATCH($C23,Affinity!$A$2:$A$7,0),MATCH(J$1,Affinity!$B$1:$H$1,0)),1)</f>
        <v/>
      </c>
    </row>
    <row r="24" ht="15" customHeight="1" s="43">
      <c r="A24" s="77">
        <f>Cards!A24</f>
        <v/>
      </c>
      <c r="B24" s="77">
        <f>Cards!B24</f>
        <v/>
      </c>
      <c r="C24" s="77">
        <f>Cards!E24</f>
        <v/>
      </c>
      <c r="D24" s="78">
        <f>ROUND(Cards!$S24*INDEX(Affinity!$B$2:$H$7,MATCH($C24,Affinity!$A$2:$A$7,0),MATCH(D$1,Affinity!$B$1:$H$1,0)),1)</f>
        <v/>
      </c>
      <c r="E24" s="78">
        <f>ROUND(Cards!$S24*INDEX(Affinity!$B$2:$H$7,MATCH($C24,Affinity!$A$2:$A$7,0),MATCH(E$1,Affinity!$B$1:$H$1,0)),1)</f>
        <v/>
      </c>
      <c r="F24" s="78">
        <f>ROUND(Cards!$S24*INDEX(Affinity!$B$2:$H$7,MATCH($C24,Affinity!$A$2:$A$7,0),MATCH(F$1,Affinity!$B$1:$H$1,0)),1)</f>
        <v/>
      </c>
      <c r="G24" s="78">
        <f>ROUND(Cards!$S24*INDEX(Affinity!$B$2:$H$7,MATCH($C24,Affinity!$A$2:$A$7,0),MATCH(G$1,Affinity!$B$1:$H$1,0)),1)</f>
        <v/>
      </c>
      <c r="H24" s="78">
        <f>ROUND(Cards!$S24*INDEX(Affinity!$B$2:$H$7,MATCH($C24,Affinity!$A$2:$A$7,0),MATCH(H$1,Affinity!$B$1:$H$1,0)),1)</f>
        <v/>
      </c>
      <c r="I24" s="78">
        <f>ROUND(Cards!$S24*INDEX(Affinity!$B$2:$H$7,MATCH($C24,Affinity!$A$2:$A$7,0),MATCH(I$1,Affinity!$B$1:$H$1,0)),1)</f>
        <v/>
      </c>
      <c r="J24" s="78">
        <f>ROUND(Cards!$S24*INDEX(Affinity!$B$2:$H$7,MATCH($C24,Affinity!$A$2:$A$7,0),MATCH(J$1,Affinity!$B$1:$H$1,0)),1)</f>
        <v/>
      </c>
    </row>
    <row r="25" ht="15" customHeight="1" s="43">
      <c r="A25" s="77">
        <f>Cards!A25</f>
        <v/>
      </c>
      <c r="B25" s="77">
        <f>Cards!B25</f>
        <v/>
      </c>
      <c r="C25" s="77">
        <f>Cards!E25</f>
        <v/>
      </c>
      <c r="D25" s="78">
        <f>ROUND(Cards!$S25*INDEX(Affinity!$B$2:$H$7,MATCH($C25,Affinity!$A$2:$A$7,0),MATCH(D$1,Affinity!$B$1:$H$1,0)),1)</f>
        <v/>
      </c>
      <c r="E25" s="78">
        <f>ROUND(Cards!$S25*INDEX(Affinity!$B$2:$H$7,MATCH($C25,Affinity!$A$2:$A$7,0),MATCH(E$1,Affinity!$B$1:$H$1,0)),1)</f>
        <v/>
      </c>
      <c r="F25" s="78">
        <f>ROUND(Cards!$S25*INDEX(Affinity!$B$2:$H$7,MATCH($C25,Affinity!$A$2:$A$7,0),MATCH(F$1,Affinity!$B$1:$H$1,0)),1)</f>
        <v/>
      </c>
      <c r="G25" s="78">
        <f>ROUND(Cards!$S25*INDEX(Affinity!$B$2:$H$7,MATCH($C25,Affinity!$A$2:$A$7,0),MATCH(G$1,Affinity!$B$1:$H$1,0)),1)</f>
        <v/>
      </c>
      <c r="H25" s="78">
        <f>ROUND(Cards!$S25*INDEX(Affinity!$B$2:$H$7,MATCH($C25,Affinity!$A$2:$A$7,0),MATCH(H$1,Affinity!$B$1:$H$1,0)),1)</f>
        <v/>
      </c>
      <c r="I25" s="78">
        <f>ROUND(Cards!$S25*INDEX(Affinity!$B$2:$H$7,MATCH($C25,Affinity!$A$2:$A$7,0),MATCH(I$1,Affinity!$B$1:$H$1,0)),1)</f>
        <v/>
      </c>
      <c r="J25" s="78">
        <f>ROUND(Cards!$S25*INDEX(Affinity!$B$2:$H$7,MATCH($C25,Affinity!$A$2:$A$7,0),MATCH(J$1,Affinity!$B$1:$H$1,0)),1)</f>
        <v/>
      </c>
    </row>
    <row r="26" ht="15" customHeight="1" s="43">
      <c r="B26" s="61" t="inlineStr">
        <is>
          <t>Stage average</t>
        </is>
      </c>
      <c r="D26" s="78">
        <f>AVERAGE(D2:D25)</f>
        <v/>
      </c>
      <c r="E26" s="78">
        <f>AVERAGE(E2:E25)</f>
        <v/>
      </c>
      <c r="F26" s="78">
        <f>AVERAGE(F2:F25)</f>
        <v/>
      </c>
      <c r="G26" s="78">
        <f>AVERAGE(G2:G25)</f>
        <v/>
      </c>
      <c r="H26" s="78">
        <f>AVERAGE(H2:H25)</f>
        <v/>
      </c>
      <c r="I26" s="78">
        <f>AVERAGE(I2:I25)</f>
        <v/>
      </c>
      <c r="J26" s="78">
        <f>AVERAGE(J2:J25)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14" customWidth="1" style="42" min="2" max="2"/>
    <col width="10" customWidth="1" style="42" min="3" max="3"/>
    <col width="12" customWidth="1" style="42" min="4" max="4"/>
    <col width="60" customWidth="1" style="42" min="5" max="5"/>
  </cols>
  <sheetData>
    <row r="1" ht="31.5" customHeight="1" s="43">
      <c r="A1" s="57" t="inlineStr">
        <is>
          <t>Segment ID</t>
        </is>
      </c>
      <c r="B1" s="57" t="inlineStr">
        <is>
          <t>Segment (EN)</t>
        </is>
      </c>
      <c r="C1" s="57" t="inlineStr">
        <is>
          <t>Segment (JP)</t>
        </is>
      </c>
      <c r="D1" s="57" t="inlineStr">
        <is>
          <t>Romaji</t>
        </is>
      </c>
      <c r="E1" s="57" t="inlineStr">
        <is>
          <t>Description</t>
        </is>
      </c>
    </row>
    <row r="2" ht="16.5" customHeight="1" s="43">
      <c r="A2" s="59" t="inlineStr">
        <is>
          <t>SG01</t>
        </is>
      </c>
      <c r="B2" s="59" t="inlineStr">
        <is>
          <t>Press</t>
        </is>
      </c>
      <c r="C2" s="63" t="inlineStr">
        <is>
          <t>報道陣</t>
        </is>
      </c>
      <c r="D2" s="59" t="inlineStr">
        <is>
          <t>Hōdōjin</t>
        </is>
      </c>
      <c r="E2" s="59" t="inlineStr">
        <is>
          <t>Reporters, editors, camera crews</t>
        </is>
      </c>
    </row>
    <row r="3" ht="16.5" customHeight="1" s="43">
      <c r="A3" s="59" t="inlineStr">
        <is>
          <t>SG02</t>
        </is>
      </c>
      <c r="B3" s="59" t="inlineStr">
        <is>
          <t>Loyalists</t>
        </is>
      </c>
      <c r="C3" s="63" t="inlineStr">
        <is>
          <t>党員</t>
        </is>
      </c>
      <c r="D3" s="59" t="inlineStr">
        <is>
          <t>Tōin</t>
        </is>
      </c>
      <c r="E3" s="59" t="inlineStr">
        <is>
          <t>Party members and whips</t>
        </is>
      </c>
    </row>
    <row r="4" ht="16.5" customHeight="1" s="43">
      <c r="A4" s="59" t="inlineStr">
        <is>
          <t>SG03</t>
        </is>
      </c>
      <c r="B4" s="59" t="inlineStr">
        <is>
          <t>Constituents</t>
        </is>
      </c>
      <c r="C4" s="63" t="inlineStr">
        <is>
          <t>有権者</t>
        </is>
      </c>
      <c r="D4" s="59" t="inlineStr">
        <is>
          <t>Yūkensha</t>
        </is>
      </c>
      <c r="E4" s="59" t="inlineStr">
        <is>
          <t>Voters of the protagonist's district and the general public</t>
        </is>
      </c>
    </row>
    <row r="5" ht="16.5" customHeight="1" s="43">
      <c r="A5" s="59" t="inlineStr">
        <is>
          <t>SG04</t>
        </is>
      </c>
      <c r="B5" s="59" t="inlineStr">
        <is>
          <t>Donors</t>
        </is>
      </c>
      <c r="C5" s="63" t="inlineStr">
        <is>
          <t>支援者</t>
        </is>
      </c>
      <c r="D5" s="59" t="inlineStr">
        <is>
          <t>Shiensha</t>
        </is>
      </c>
      <c r="E5" s="59" t="inlineStr">
        <is>
          <t>Backers, business associations, Kōenkai members</t>
        </is>
      </c>
    </row>
    <row r="6" ht="16.5" customHeight="1" s="43">
      <c r="A6" s="59" t="inlineStr">
        <is>
          <t>SG05</t>
        </is>
      </c>
      <c r="B6" s="59" t="inlineStr">
        <is>
          <t>Bureaucrats</t>
        </is>
      </c>
      <c r="C6" s="63" t="inlineStr">
        <is>
          <t>官僚</t>
        </is>
      </c>
      <c r="D6" s="59" t="inlineStr">
        <is>
          <t>Kanryō</t>
        </is>
      </c>
      <c r="E6" s="59" t="inlineStr">
        <is>
          <t>Ministry officials and committee staff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12" customWidth="1" style="42" min="2" max="2"/>
    <col width="10" customWidth="1" style="42" min="3" max="3"/>
    <col width="26" customWidth="1" style="42" min="4" max="4"/>
    <col width="16" customWidth="1" style="42" min="5" max="5"/>
    <col width="22" customWidth="1" style="42" min="6" max="6"/>
    <col width="13" customWidth="1" style="42" min="7" max="7"/>
    <col width="9" customWidth="1" style="42" min="8" max="8"/>
    <col width="45" customWidth="1" style="42" min="9" max="9"/>
    <col width="9" customWidth="1" style="42" min="10" max="11"/>
    <col width="11" customWidth="1" style="42" min="12" max="12"/>
    <col width="12" customWidth="1" style="42" min="13" max="13"/>
  </cols>
  <sheetData>
    <row r="1" ht="31.5" customHeight="1" s="43">
      <c r="A1" s="57" t="inlineStr">
        <is>
          <t>Mod ID</t>
        </is>
      </c>
      <c r="B1" s="57" t="inlineStr">
        <is>
          <t>Category</t>
        </is>
      </c>
      <c r="C1" s="57" t="inlineStr">
        <is>
          <t>Category (JP)</t>
        </is>
      </c>
      <c r="D1" s="57" t="inlineStr">
        <is>
          <t>Name (EN)</t>
        </is>
      </c>
      <c r="E1" s="57" t="inlineStr">
        <is>
          <t>Name (JP)</t>
        </is>
      </c>
      <c r="F1" s="57" t="inlineStr">
        <is>
          <t>Romaji</t>
        </is>
      </c>
      <c r="G1" s="57" t="inlineStr">
        <is>
          <t>Trigger segment</t>
        </is>
      </c>
      <c r="H1" s="57" t="inlineStr">
        <is>
          <t>Trigger min %</t>
        </is>
      </c>
      <c r="I1" s="57" t="inlineStr">
        <is>
          <t>Effect</t>
        </is>
      </c>
      <c r="J1" s="57" t="inlineStr">
        <is>
          <t>Magnitude</t>
        </is>
      </c>
      <c r="K1" s="57" t="inlineStr">
        <is>
          <t>Kaban cost</t>
        </is>
      </c>
      <c r="L1" s="57" t="inlineStr">
        <is>
          <t>Available to</t>
        </is>
      </c>
      <c r="M1" s="79" t="inlineStr">
        <is>
          <t>Source booster</t>
        </is>
      </c>
    </row>
    <row r="2" ht="16.5" customHeight="1" s="43">
      <c r="A2" s="59" t="inlineStr">
        <is>
          <t>M01</t>
        </is>
      </c>
      <c r="B2" s="59" t="inlineStr">
        <is>
          <t>Kōenkai</t>
        </is>
      </c>
      <c r="C2" s="63" t="inlineStr">
        <is>
          <t>後援会</t>
        </is>
      </c>
      <c r="D2" s="59" t="inlineStr">
        <is>
          <t>Local Support Association</t>
        </is>
      </c>
      <c r="E2" s="63" t="inlineStr">
        <is>
          <t>地元後援会</t>
        </is>
      </c>
      <c r="F2" s="59" t="inlineStr">
        <is>
          <t>Jimoto Kōenkai</t>
        </is>
      </c>
      <c r="G2" s="59" t="inlineStr">
        <is>
          <t>Constituents</t>
        </is>
      </c>
      <c r="H2" s="60" t="n">
        <v>0.3</v>
      </c>
      <c r="I2" s="59" t="inlineStr">
        <is>
          <t>+Magnitude player start support</t>
        </is>
      </c>
      <c r="J2" s="59" t="n">
        <v>3</v>
      </c>
      <c r="K2" s="59" t="n">
        <v>20</v>
      </c>
      <c r="L2" s="59" t="inlineStr">
        <is>
          <t>Both</t>
        </is>
      </c>
      <c r="M2" s="59" t="inlineStr">
        <is>
          <t>BO03</t>
        </is>
      </c>
    </row>
    <row r="3" ht="16.5" customHeight="1" s="43">
      <c r="A3" s="59" t="inlineStr">
        <is>
          <t>M02</t>
        </is>
      </c>
      <c r="B3" s="59" t="inlineStr">
        <is>
          <t>Kōenkai</t>
        </is>
      </c>
      <c r="C3" s="63" t="inlineStr">
        <is>
          <t>後援会</t>
        </is>
      </c>
      <c r="D3" s="59" t="inlineStr">
        <is>
          <t>Business Backers' Circle</t>
        </is>
      </c>
      <c r="E3" s="63" t="inlineStr">
        <is>
          <t>経済人の会</t>
        </is>
      </c>
      <c r="F3" s="59" t="inlineStr">
        <is>
          <t>Keizaijin no Kai</t>
        </is>
      </c>
      <c r="G3" s="59" t="inlineStr">
        <is>
          <t>Donors</t>
        </is>
      </c>
      <c r="H3" s="60" t="n">
        <v>0.1</v>
      </c>
      <c r="I3" s="59" t="inlineStr">
        <is>
          <t>+Magnitude Kaban after each stage win</t>
        </is>
      </c>
      <c r="J3" s="59" t="n">
        <v>5</v>
      </c>
      <c r="K3" s="59" t="n">
        <v>30</v>
      </c>
      <c r="L3" s="59" t="inlineStr">
        <is>
          <t>Both</t>
        </is>
      </c>
      <c r="M3" s="59" t="inlineStr">
        <is>
          <t>BO05</t>
        </is>
      </c>
    </row>
    <row r="4" ht="16.5" customHeight="1" s="43">
      <c r="A4" s="59" t="inlineStr">
        <is>
          <t>M03</t>
        </is>
      </c>
      <c r="B4" s="59" t="inlineStr">
        <is>
          <t>Bankisha</t>
        </is>
      </c>
      <c r="C4" s="63" t="inlineStr">
        <is>
          <t>番記者</t>
        </is>
      </c>
      <c r="D4" s="59" t="inlineStr">
        <is>
          <t>Friendly Beat Reporter</t>
        </is>
      </c>
      <c r="E4" s="63" t="inlineStr">
        <is>
          <t>好意的な番記者</t>
        </is>
      </c>
      <c r="F4" s="59" t="inlineStr">
        <is>
          <t>Kōiteki na Bankisha</t>
        </is>
      </c>
      <c r="G4" s="59" t="inlineStr">
        <is>
          <t>Press</t>
        </is>
      </c>
      <c r="H4" s="60" t="n">
        <v>0.2</v>
      </c>
      <c r="I4" s="59" t="inlineStr">
        <is>
          <t>−Magnitude starting gaffe meter</t>
        </is>
      </c>
      <c r="J4" s="59" t="n">
        <v>1</v>
      </c>
      <c r="K4" s="59" t="n">
        <v>20</v>
      </c>
      <c r="L4" s="59" t="inlineStr">
        <is>
          <t>Both</t>
        </is>
      </c>
      <c r="M4" s="59" t="inlineStr">
        <is>
          <t>BO08</t>
        </is>
      </c>
    </row>
    <row r="5" ht="16.5" customHeight="1" s="43">
      <c r="A5" s="59" t="inlineStr">
        <is>
          <t>M04</t>
        </is>
      </c>
      <c r="B5" s="59" t="inlineStr">
        <is>
          <t>Bankisha</t>
        </is>
      </c>
      <c r="C5" s="63" t="inlineStr">
        <is>
          <t>番記者</t>
        </is>
      </c>
      <c r="D5" s="59" t="inlineStr">
        <is>
          <t>Editorial Board Backing</t>
        </is>
      </c>
      <c r="E5" s="63" t="inlineStr">
        <is>
          <t>論説委員の支持</t>
        </is>
      </c>
      <c r="F5" s="59" t="inlineStr">
        <is>
          <t>Ronsetsu Iin no Shiji</t>
        </is>
      </c>
      <c r="G5" s="59" t="inlineStr">
        <is>
          <t>Press</t>
        </is>
      </c>
      <c r="H5" s="60" t="n">
        <v>0.2</v>
      </c>
      <c r="I5" s="59" t="inlineStr">
        <is>
          <t>+Magnitude player start support</t>
        </is>
      </c>
      <c r="J5" s="59" t="n">
        <v>3</v>
      </c>
      <c r="K5" s="59" t="n">
        <v>40</v>
      </c>
      <c r="L5" s="59" t="inlineStr">
        <is>
          <t>Both</t>
        </is>
      </c>
      <c r="M5" s="59" t="inlineStr">
        <is>
          <t>BO08</t>
        </is>
      </c>
    </row>
    <row r="6" ht="26.25" customHeight="1" s="43">
      <c r="A6" s="59" t="inlineStr">
        <is>
          <t>M05</t>
        </is>
      </c>
      <c r="B6" s="59" t="inlineStr">
        <is>
          <t>Dantai</t>
        </is>
      </c>
      <c r="C6" s="63" t="inlineStr">
        <is>
          <t>団体</t>
        </is>
      </c>
      <c r="D6" s="59" t="inlineStr">
        <is>
          <t>Agricultural Cooperatives</t>
        </is>
      </c>
      <c r="E6" s="63" t="inlineStr">
        <is>
          <t>農協</t>
        </is>
      </c>
      <c r="F6" s="59" t="inlineStr">
        <is>
          <t>Nōkyō</t>
        </is>
      </c>
      <c r="G6" s="59" t="inlineStr">
        <is>
          <t>Constituents</t>
        </is>
      </c>
      <c r="H6" s="60" t="n">
        <v>0.3</v>
      </c>
      <c r="I6" s="59" t="inlineStr">
        <is>
          <t>−Magnitude opp start support on bills tagged Rural Focus</t>
        </is>
      </c>
      <c r="J6" s="59" t="n">
        <v>5</v>
      </c>
      <c r="K6" s="59" t="n">
        <v>30</v>
      </c>
      <c r="L6" s="59" t="inlineStr">
        <is>
          <t>Both</t>
        </is>
      </c>
      <c r="M6" s="59" t="inlineStr">
        <is>
          <t>BO10</t>
        </is>
      </c>
    </row>
    <row r="7" ht="26.25" customHeight="1" s="43">
      <c r="A7" s="59" t="inlineStr">
        <is>
          <t>M06</t>
        </is>
      </c>
      <c r="B7" s="59" t="inlineStr">
        <is>
          <t>Dantai</t>
        </is>
      </c>
      <c r="C7" s="63" t="inlineStr">
        <is>
          <t>団体</t>
        </is>
      </c>
      <c r="D7" s="59" t="inlineStr">
        <is>
          <t>Labor Federation</t>
        </is>
      </c>
      <c r="E7" s="63" t="inlineStr">
        <is>
          <t>労働組合連合</t>
        </is>
      </c>
      <c r="F7" s="59" t="inlineStr">
        <is>
          <t>Rōdō Kumiai Rengō</t>
        </is>
      </c>
      <c r="G7" s="59" t="inlineStr">
        <is>
          <t>Loyalists</t>
        </is>
      </c>
      <c r="H7" s="60" t="n">
        <v>0.3</v>
      </c>
      <c r="I7" s="59" t="inlineStr">
        <is>
          <t>+Magnitude player start support in Caucus/Floor</t>
        </is>
      </c>
      <c r="J7" s="59" t="n">
        <v>4</v>
      </c>
      <c r="K7" s="59" t="n">
        <v>30</v>
      </c>
      <c r="L7" s="59" t="inlineStr">
        <is>
          <t>Both</t>
        </is>
      </c>
      <c r="M7" s="59" t="inlineStr">
        <is>
          <t>BO09</t>
        </is>
      </c>
    </row>
    <row r="8" ht="32.25" customHeight="1" s="43">
      <c r="A8" s="59" t="inlineStr">
        <is>
          <t>M07</t>
        </is>
      </c>
      <c r="B8" s="59" t="inlineStr">
        <is>
          <t>Debuff</t>
        </is>
      </c>
      <c r="C8" s="63" t="inlineStr">
        <is>
          <t>逆風</t>
        </is>
      </c>
      <c r="D8" s="59" t="inlineStr">
        <is>
          <t>Scandal Coverage</t>
        </is>
      </c>
      <c r="E8" s="63" t="inlineStr">
        <is>
          <t>スキャンダル報道</t>
        </is>
      </c>
      <c r="F8" s="59" t="inlineStr">
        <is>
          <t>Sukyandaru Hōdō</t>
        </is>
      </c>
      <c r="G8" s="59" t="inlineStr">
        <is>
          <t>Press</t>
        </is>
      </c>
      <c r="H8" s="60" t="n">
        <v>0.1</v>
      </c>
      <c r="I8" s="59" t="inlineStr">
        <is>
          <t>+Magnitude target's starting gaffe meter</t>
        </is>
      </c>
      <c r="J8" s="59" t="n">
        <v>2</v>
      </c>
      <c r="K8" s="59" t="n"/>
      <c r="L8" s="59" t="inlineStr">
        <is>
          <t>Opponent</t>
        </is>
      </c>
      <c r="M8" s="59" t="inlineStr">
        <is>
          <t>—</t>
        </is>
      </c>
    </row>
    <row r="9" ht="16.5" customHeight="1" s="43">
      <c r="A9" s="59" t="inlineStr">
        <is>
          <t>M08</t>
        </is>
      </c>
      <c r="B9" s="59" t="inlineStr">
        <is>
          <t>Debuff</t>
        </is>
      </c>
      <c r="C9" s="63" t="inlineStr">
        <is>
          <t>逆風</t>
        </is>
      </c>
      <c r="D9" s="59" t="inlineStr">
        <is>
          <t>Faction Rebellion</t>
        </is>
      </c>
      <c r="E9" s="63" t="inlineStr">
        <is>
          <t>造反</t>
        </is>
      </c>
      <c r="F9" s="59" t="inlineStr">
        <is>
          <t>Zōhan</t>
        </is>
      </c>
      <c r="G9" s="59" t="inlineStr">
        <is>
          <t>Loyalists</t>
        </is>
      </c>
      <c r="H9" s="60" t="n">
        <v>0.3</v>
      </c>
      <c r="I9" s="59" t="inlineStr">
        <is>
          <t>−Magnitude target's start support</t>
        </is>
      </c>
      <c r="J9" s="59" t="n">
        <v>4</v>
      </c>
      <c r="K9" s="59" t="n"/>
      <c r="L9" s="59" t="inlineStr">
        <is>
          <t>Opponent</t>
        </is>
      </c>
      <c r="M9" s="59" t="inlineStr">
        <is>
          <t>—</t>
        </is>
      </c>
    </row>
    <row r="10" ht="26.25" customHeight="1" s="43">
      <c r="A10" s="59" t="inlineStr">
        <is>
          <t>M09</t>
        </is>
      </c>
      <c r="B10" s="59" t="inlineStr">
        <is>
          <t>Party</t>
        </is>
      </c>
      <c r="C10" s="63" t="inlineStr">
        <is>
          <t>党</t>
        </is>
      </c>
      <c r="D10" s="59" t="inlineStr">
        <is>
          <t>Party Backing</t>
        </is>
      </c>
      <c r="E10" s="63" t="inlineStr">
        <is>
          <t>党の後押し</t>
        </is>
      </c>
      <c r="F10" s="59" t="inlineStr">
        <is>
          <t>Tō no Atooshi</t>
        </is>
      </c>
      <c r="G10" s="59" t="inlineStr">
        <is>
          <t>Loyalists</t>
        </is>
      </c>
      <c r="H10" s="59" t="n"/>
      <c r="I10" s="59" t="inlineStr">
        <is>
          <t>While Party support &gt; 75: +Magnitude start support in Caucus &amp; Floor</t>
        </is>
      </c>
      <c r="J10" s="59" t="n">
        <v>3</v>
      </c>
      <c r="K10" s="59" t="n"/>
      <c r="L10" s="59" t="inlineStr">
        <is>
          <t>Both</t>
        </is>
      </c>
      <c r="M10" s="59" t="inlineStr">
        <is>
          <t>Party support (meta)</t>
        </is>
      </c>
    </row>
    <row r="11" ht="39" customHeight="1" s="43">
      <c r="A11" s="59" t="inlineStr">
        <is>
          <t>M10</t>
        </is>
      </c>
      <c r="B11" s="59" t="inlineStr">
        <is>
          <t>Party</t>
        </is>
      </c>
      <c r="C11" s="63" t="inlineStr">
        <is>
          <t>党</t>
        </is>
      </c>
      <c r="D11" s="59" t="inlineStr">
        <is>
          <t>Cold Shoulder</t>
        </is>
      </c>
      <c r="E11" s="63" t="inlineStr">
        <is>
          <t>党内の冷遇</t>
        </is>
      </c>
      <c r="F11" s="59" t="inlineStr">
        <is>
          <t>Tōnai no Reigū</t>
        </is>
      </c>
      <c r="G11" s="59" t="inlineStr">
        <is>
          <t>Loyalists</t>
        </is>
      </c>
      <c r="H11" s="59" t="n"/>
      <c r="I11" s="59" t="inlineStr">
        <is>
          <t>While Party support &lt; 50: −Magnitude start support in Caucus &amp; Floor; −1 hand size on Floor</t>
        </is>
      </c>
      <c r="J11" s="59" t="n">
        <v>3</v>
      </c>
      <c r="K11" s="59" t="n"/>
      <c r="L11" s="59" t="inlineStr">
        <is>
          <t>Both</t>
        </is>
      </c>
      <c r="M11" s="59" t="inlineStr">
        <is>
          <t>Party support (meta)</t>
        </is>
      </c>
    </row>
    <row r="12" ht="26.85" customHeight="1" s="43">
      <c r="A12" s="59" t="inlineStr">
        <is>
          <t>M11</t>
        </is>
      </c>
      <c r="B12" s="59" t="inlineStr">
        <is>
          <t>Party</t>
        </is>
      </c>
      <c r="C12" s="80" t="inlineStr">
        <is>
          <t>党</t>
        </is>
      </c>
      <c r="D12" s="59" t="inlineStr">
        <is>
          <t>Official Endorsement</t>
        </is>
      </c>
      <c r="E12" s="80" t="inlineStr">
        <is>
          <t>党公認</t>
        </is>
      </c>
      <c r="F12" s="59" t="inlineStr">
        <is>
          <t>Tō Kōnin</t>
        </is>
      </c>
      <c r="G12" s="59" t="inlineStr">
        <is>
          <t>Loyalists</t>
        </is>
      </c>
      <c r="H12" s="65" t="n"/>
      <c r="I12" s="59" t="inlineStr">
        <is>
          <t>Negates Cold Shoulder (M10); +Magnitude Kaban per module</t>
        </is>
      </c>
      <c r="J12" s="59" t="n">
        <v>5</v>
      </c>
      <c r="K12" s="59" t="n">
        <v>40</v>
      </c>
      <c r="L12" s="59" t="inlineStr">
        <is>
          <t>Both</t>
        </is>
      </c>
      <c r="M12" s="59" t="inlineStr">
        <is>
          <t>BO01</t>
        </is>
      </c>
    </row>
    <row r="13" ht="26.85" customHeight="1" s="43">
      <c r="A13" s="59" t="inlineStr">
        <is>
          <t>M12</t>
        </is>
      </c>
      <c r="B13" s="59" t="inlineStr">
        <is>
          <t>Party</t>
        </is>
      </c>
      <c r="C13" s="80" t="inlineStr">
        <is>
          <t>党</t>
        </is>
      </c>
      <c r="D13" s="59" t="inlineStr">
        <is>
          <t>Faction Patronage</t>
        </is>
      </c>
      <c r="E13" s="80" t="inlineStr">
        <is>
          <t>派閥の庇護</t>
        </is>
      </c>
      <c r="F13" s="59" t="inlineStr">
        <is>
          <t>Habatsu no Higo</t>
        </is>
      </c>
      <c r="G13" s="59" t="inlineStr">
        <is>
          <t>Loyalists</t>
        </is>
      </c>
      <c r="H13" s="65" t="n"/>
      <c r="I13" s="59" t="inlineStr">
        <is>
          <t>+Magnitude Party support per module; Party Backing triggers 5 points sooner</t>
        </is>
      </c>
      <c r="J13" s="59" t="n">
        <v>3</v>
      </c>
      <c r="K13" s="59" t="n">
        <v>30</v>
      </c>
      <c r="L13" s="59" t="inlineStr">
        <is>
          <t>Both</t>
        </is>
      </c>
      <c r="M13" s="59" t="inlineStr">
        <is>
          <t>BO02</t>
        </is>
      </c>
    </row>
    <row r="14" ht="26.85" customHeight="1" s="43">
      <c r="A14" s="59" t="inlineStr">
        <is>
          <t>M13</t>
        </is>
      </c>
      <c r="B14" s="59" t="inlineStr">
        <is>
          <t>Local</t>
        </is>
      </c>
      <c r="C14" s="80" t="inlineStr">
        <is>
          <t>地元</t>
        </is>
      </c>
      <c r="D14" s="59" t="inlineStr">
        <is>
          <t>Mayors' Endorsement</t>
        </is>
      </c>
      <c r="E14" s="80" t="inlineStr">
        <is>
          <t>首長の推薦</t>
        </is>
      </c>
      <c r="F14" s="59" t="inlineStr">
        <is>
          <t>Shuchō no Suisen</t>
        </is>
      </c>
      <c r="G14" s="59" t="inlineStr">
        <is>
          <t>Constituents</t>
        </is>
      </c>
      <c r="H14" s="60" t="n">
        <v>0.3</v>
      </c>
      <c r="I14" s="59" t="inlineStr">
        <is>
          <t>+Magnitude Jiban per module win; +1 start member lean in committee on local bills</t>
        </is>
      </c>
      <c r="J14" s="59" t="n">
        <v>3</v>
      </c>
      <c r="K14" s="59" t="n">
        <v>30</v>
      </c>
      <c r="L14" s="59" t="inlineStr">
        <is>
          <t>Both</t>
        </is>
      </c>
      <c r="M14" s="59" t="inlineStr">
        <is>
          <t>BO04</t>
        </is>
      </c>
    </row>
    <row r="15" ht="26.85" customHeight="1" s="43">
      <c r="A15" s="59" t="inlineStr">
        <is>
          <t>M14</t>
        </is>
      </c>
      <c r="B15" s="59" t="inlineStr">
        <is>
          <t>Local</t>
        </is>
      </c>
      <c r="C15" s="80" t="inlineStr">
        <is>
          <t>地元</t>
        </is>
      </c>
      <c r="D15" s="59" t="inlineStr">
        <is>
          <t>Community Canvass</t>
        </is>
      </c>
      <c r="E15" s="80" t="inlineStr">
        <is>
          <t>町内会の支援</t>
        </is>
      </c>
      <c r="F15" s="59" t="inlineStr">
        <is>
          <t>Chōnaikai no Shien</t>
        </is>
      </c>
      <c r="G15" s="59" t="inlineStr">
        <is>
          <t>Constituents</t>
        </is>
      </c>
      <c r="H15" s="60" t="n">
        <v>0.5</v>
      </c>
      <c r="I15" s="59" t="inlineStr">
        <is>
          <t>+Magnitude start support in Town Hall; Jiban losses halved</t>
        </is>
      </c>
      <c r="J15" s="59" t="n">
        <v>4</v>
      </c>
      <c r="K15" s="59" t="n">
        <v>20</v>
      </c>
      <c r="L15" s="59" t="inlineStr">
        <is>
          <t>Both</t>
        </is>
      </c>
      <c r="M15" s="59" t="inlineStr">
        <is>
          <t>BO06</t>
        </is>
      </c>
    </row>
    <row r="16" ht="26.85" customHeight="1" s="43">
      <c r="A16" s="59" t="inlineStr">
        <is>
          <t>M15</t>
        </is>
      </c>
      <c r="B16" s="59" t="inlineStr">
        <is>
          <t>Dantai</t>
        </is>
      </c>
      <c r="C16" s="80" t="inlineStr">
        <is>
          <t>団体</t>
        </is>
      </c>
      <c r="D16" s="59" t="inlineStr">
        <is>
          <t>Fishing Fleet Support</t>
        </is>
      </c>
      <c r="E16" s="80" t="inlineStr">
        <is>
          <t>漁協の支援</t>
        </is>
      </c>
      <c r="F16" s="59" t="inlineStr">
        <is>
          <t>Gyokyō no Shien</t>
        </is>
      </c>
      <c r="G16" s="59" t="inlineStr">
        <is>
          <t>Constituents</t>
        </is>
      </c>
      <c r="H16" s="60" t="n">
        <v>0.3</v>
      </c>
      <c r="I16" s="59" t="inlineStr">
        <is>
          <t>−Magnitude opp start support on Environment-tagged bills (fisheries topic TBD)</t>
        </is>
      </c>
      <c r="J16" s="59" t="n">
        <v>5</v>
      </c>
      <c r="K16" s="59" t="n">
        <v>30</v>
      </c>
      <c r="L16" s="59" t="inlineStr">
        <is>
          <t>Both</t>
        </is>
      </c>
      <c r="M16" s="59" t="inlineStr">
        <is>
          <t>BO07</t>
        </is>
      </c>
    </row>
  </sheetData>
  <dataValidations count="2">
    <dataValidation sqref="G2:G100" showDropDown="0" showInputMessage="0" showErrorMessage="0" allowBlank="1" type="list" errorStyle="stop" operator="between">
      <formula1>Lists!$C$2:$C$7</formula1>
      <formula2>0</formula2>
    </dataValidation>
    <dataValidation sqref="B2:B100" showDropDown="0" showInputMessage="0" showErrorMessage="0" allowBlank="1" type="list" errorStyle="stop" operator="between">
      <formula1>Lists!$F$2:$F$7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6" customWidth="1" style="42" min="2" max="2"/>
    <col width="16" customWidth="1" style="42" min="3" max="3"/>
    <col width="22" customWidth="1" style="42" min="4" max="4"/>
    <col width="13" customWidth="1" style="42" min="5" max="5"/>
    <col width="46" customWidth="1" style="42" min="6" max="6"/>
    <col width="14" customWidth="1" style="42" min="7" max="7"/>
    <col width="10" customWidth="1" style="42" min="8" max="8"/>
  </cols>
  <sheetData>
    <row r="1" ht="31.5" customHeight="1" s="43">
      <c r="A1" s="57" t="inlineStr">
        <is>
          <t>Booster ID</t>
        </is>
      </c>
      <c r="B1" s="57" t="inlineStr">
        <is>
          <t>Organization (EN)</t>
        </is>
      </c>
      <c r="C1" s="57" t="inlineStr">
        <is>
          <t>Organization (JP)</t>
        </is>
      </c>
      <c r="D1" s="57" t="inlineStr">
        <is>
          <t>Romaji</t>
        </is>
      </c>
      <c r="E1" s="57" t="inlineStr">
        <is>
          <t>Tier</t>
        </is>
      </c>
      <c r="F1" s="57" t="inlineStr">
        <is>
          <t>Boosts</t>
        </is>
      </c>
      <c r="G1" s="57" t="inlineStr">
        <is>
          <t>Linked modifiers</t>
        </is>
      </c>
      <c r="H1" s="57" t="inlineStr">
        <is>
          <t>Modifier count</t>
        </is>
      </c>
    </row>
    <row r="2" ht="26.85" customHeight="1" s="43">
      <c r="A2" s="59" t="inlineStr">
        <is>
          <t>BO01</t>
        </is>
      </c>
      <c r="B2" s="59" t="inlineStr">
        <is>
          <t>Party Headquarters</t>
        </is>
      </c>
      <c r="C2" s="80" t="inlineStr">
        <is>
          <t>党本部</t>
        </is>
      </c>
      <c r="D2" s="59" t="inlineStr">
        <is>
          <t>Tōhonbu</t>
        </is>
      </c>
      <c r="E2" s="59" t="inlineStr">
        <is>
          <t>Party</t>
        </is>
      </c>
      <c r="F2" s="59" t="inlineStr">
        <is>
          <t>Endorsement, funds; protection from Cold Shoulder (M10)</t>
        </is>
      </c>
      <c r="G2" s="59" t="inlineStr">
        <is>
          <t>M11</t>
        </is>
      </c>
      <c r="H2" s="58">
        <f>COUNTIF(Modifiers!$M$2:$M$100,A2)</f>
        <v/>
      </c>
    </row>
    <row r="3" ht="17.15" customHeight="1" s="43">
      <c r="A3" s="59" t="inlineStr">
        <is>
          <t>BO02</t>
        </is>
      </c>
      <c r="B3" s="81" t="inlineStr">
        <is>
          <t>Party Faction</t>
        </is>
      </c>
      <c r="C3" s="80" t="inlineStr">
        <is>
          <t>派閥</t>
        </is>
      </c>
      <c r="D3" s="59" t="inlineStr">
        <is>
          <t>Habatsu</t>
        </is>
      </c>
      <c r="E3" s="59" t="inlineStr">
        <is>
          <t>Party</t>
        </is>
      </c>
      <c r="F3" s="59" t="inlineStr">
        <is>
          <t>Party support, patronage, small funds</t>
        </is>
      </c>
      <c r="G3" s="59" t="inlineStr">
        <is>
          <t>M12</t>
        </is>
      </c>
      <c r="H3" s="58">
        <f>COUNTIF(Modifiers!$M$2:$M$100,A3)</f>
        <v/>
      </c>
    </row>
    <row r="4" ht="26.85" customHeight="1" s="43">
      <c r="A4" s="59" t="inlineStr">
        <is>
          <t>BO03</t>
        </is>
      </c>
      <c r="B4" s="59" t="inlineStr">
        <is>
          <t>Local Kōenkai</t>
        </is>
      </c>
      <c r="C4" s="80" t="inlineStr">
        <is>
          <t>後援会</t>
        </is>
      </c>
      <c r="D4" s="59" t="inlineStr">
        <is>
          <t>Kōenkai</t>
        </is>
      </c>
      <c r="E4" s="59" t="inlineStr">
        <is>
          <t>Constituency</t>
        </is>
      </c>
      <c r="F4" s="59" t="inlineStr">
        <is>
          <t>Start support when constituents present; donations</t>
        </is>
      </c>
      <c r="G4" s="59" t="inlineStr">
        <is>
          <t>M01</t>
        </is>
      </c>
      <c r="H4" s="58">
        <f>COUNTIF(Modifiers!$M$2:$M$100,A4)</f>
        <v/>
      </c>
    </row>
    <row r="5" ht="17.15" customHeight="1" s="43">
      <c r="A5" s="59" t="inlineStr">
        <is>
          <t>BO04</t>
        </is>
      </c>
      <c r="B5" s="59" t="inlineStr">
        <is>
          <t>Mayors' Network</t>
        </is>
      </c>
      <c r="C5" s="80" t="inlineStr">
        <is>
          <t>市町村長会</t>
        </is>
      </c>
      <c r="D5" s="59" t="inlineStr">
        <is>
          <t>Shichōsonchō-kai</t>
        </is>
      </c>
      <c r="E5" s="59" t="inlineStr">
        <is>
          <t>Constituency</t>
        </is>
      </c>
      <c r="F5" s="59" t="inlineStr">
        <is>
          <t>Jiban gains; standing on local bills</t>
        </is>
      </c>
      <c r="G5" s="59" t="inlineStr">
        <is>
          <t>M13</t>
        </is>
      </c>
      <c r="H5" s="58">
        <f>COUNTIF(Modifiers!$M$2:$M$100,A5)</f>
        <v/>
      </c>
    </row>
    <row r="6" ht="17.15" customHeight="1" s="43">
      <c r="A6" s="59" t="inlineStr">
        <is>
          <t>BO05</t>
        </is>
      </c>
      <c r="B6" s="59" t="inlineStr">
        <is>
          <t>Chamber of Commerce</t>
        </is>
      </c>
      <c r="C6" s="80" t="inlineStr">
        <is>
          <t>商工会議所</t>
        </is>
      </c>
      <c r="D6" s="59" t="inlineStr">
        <is>
          <t>Shōkō Kaigisho</t>
        </is>
      </c>
      <c r="E6" s="59" t="inlineStr">
        <is>
          <t>National</t>
        </is>
      </c>
      <c r="F6" s="59" t="inlineStr">
        <is>
          <t>Funds; donor-audience bonus</t>
        </is>
      </c>
      <c r="G6" s="59" t="inlineStr">
        <is>
          <t>M02</t>
        </is>
      </c>
      <c r="H6" s="58">
        <f>COUNTIF(Modifiers!$M$2:$M$100,A6)</f>
        <v/>
      </c>
    </row>
    <row r="7" ht="17.15" customHeight="1" s="43">
      <c r="A7" s="59" t="inlineStr">
        <is>
          <t>BO06</t>
        </is>
      </c>
      <c r="B7" s="59" t="inlineStr">
        <is>
          <t>Neighborhood Associations</t>
        </is>
      </c>
      <c r="C7" s="80" t="inlineStr">
        <is>
          <t>町内会</t>
        </is>
      </c>
      <c r="D7" s="59" t="inlineStr">
        <is>
          <t>Chōnaikai</t>
        </is>
      </c>
      <c r="E7" s="59" t="inlineStr">
        <is>
          <t>Constituency</t>
        </is>
      </c>
      <c r="F7" s="59" t="inlineStr">
        <is>
          <t>Town hall bonus; slows Jiban loss</t>
        </is>
      </c>
      <c r="G7" s="59" t="inlineStr">
        <is>
          <t>M14</t>
        </is>
      </c>
      <c r="H7" s="58">
        <f>COUNTIF(Modifiers!$M$2:$M$100,A7)</f>
        <v/>
      </c>
    </row>
    <row r="8" ht="17.15" customHeight="1" s="43">
      <c r="A8" s="59" t="inlineStr">
        <is>
          <t>BO07</t>
        </is>
      </c>
      <c r="B8" s="59" t="inlineStr">
        <is>
          <t>Fisheries Cooperative</t>
        </is>
      </c>
      <c r="C8" s="80" t="inlineStr">
        <is>
          <t>漁協</t>
        </is>
      </c>
      <c r="D8" s="59" t="inlineStr">
        <is>
          <t>Gyokyō</t>
        </is>
      </c>
      <c r="E8" s="59" t="inlineStr">
        <is>
          <t>Constituency</t>
        </is>
      </c>
      <c r="F8" s="59" t="inlineStr">
        <is>
          <t>Fisheries, environment, and Kuril bills</t>
        </is>
      </c>
      <c r="G8" s="59" t="inlineStr">
        <is>
          <t>M15</t>
        </is>
      </c>
      <c r="H8" s="58">
        <f>COUNTIF(Modifiers!$M$2:$M$100,A8)</f>
        <v/>
      </c>
    </row>
    <row r="9" ht="17.15" customHeight="1" s="43">
      <c r="A9" s="59" t="inlineStr">
        <is>
          <t>BO08</t>
        </is>
      </c>
      <c r="B9" s="59" t="inlineStr">
        <is>
          <t>National Media</t>
        </is>
      </c>
      <c r="C9" s="80" t="inlineStr">
        <is>
          <t>全国紙</t>
        </is>
      </c>
      <c r="D9" s="59" t="inlineStr">
        <is>
          <t>Zenkokushi</t>
        </is>
      </c>
      <c r="E9" s="59" t="inlineStr">
        <is>
          <t>National</t>
        </is>
      </c>
      <c r="F9" s="59" t="inlineStr">
        <is>
          <t>Press tone; Kanban</t>
        </is>
      </c>
      <c r="G9" s="59" t="inlineStr">
        <is>
          <t>M03, M04</t>
        </is>
      </c>
      <c r="H9" s="58">
        <f>COUNTIF(Modifiers!$M$2:$M$100,A9)</f>
        <v/>
      </c>
    </row>
    <row r="10" ht="17.15" customHeight="1" s="43">
      <c r="A10" s="59" t="inlineStr">
        <is>
          <t>BO09</t>
        </is>
      </c>
      <c r="B10" s="59" t="inlineStr">
        <is>
          <t>Labor Federation</t>
        </is>
      </c>
      <c r="C10" s="80" t="inlineStr">
        <is>
          <t>労働組合連合</t>
        </is>
      </c>
      <c r="D10" s="59" t="inlineStr">
        <is>
          <t>Rōdō Kumiai Rengō</t>
        </is>
      </c>
      <c r="E10" s="59" t="inlineStr">
        <is>
          <t>National</t>
        </is>
      </c>
      <c r="F10" s="59" t="inlineStr">
        <is>
          <t>Loyalists; caucus and floor stages</t>
        </is>
      </c>
      <c r="G10" s="59" t="inlineStr">
        <is>
          <t>M06</t>
        </is>
      </c>
      <c r="H10" s="58">
        <f>COUNTIF(Modifiers!$M$2:$M$100,A10)</f>
        <v/>
      </c>
    </row>
    <row r="11" ht="17.15" customHeight="1" s="43">
      <c r="A11" s="59" t="inlineStr">
        <is>
          <t>BO10</t>
        </is>
      </c>
      <c r="B11" s="59" t="inlineStr">
        <is>
          <t>Agricultural Cooperatives</t>
        </is>
      </c>
      <c r="C11" s="80" t="inlineStr">
        <is>
          <t>農協</t>
        </is>
      </c>
      <c r="D11" s="59" t="inlineStr">
        <is>
          <t>Nōkyō</t>
        </is>
      </c>
      <c r="E11" s="59" t="inlineStr">
        <is>
          <t>National</t>
        </is>
      </c>
      <c r="F11" s="59" t="inlineStr">
        <is>
          <t>Rural Focus bills</t>
        </is>
      </c>
      <c r="G11" s="59" t="inlineStr">
        <is>
          <t>M05</t>
        </is>
      </c>
      <c r="H11" s="58">
        <f>COUNTIF(Modifiers!$M$2:$M$100,A11)</f>
        <v/>
      </c>
    </row>
    <row r="13" ht="15" customHeight="1" s="43">
      <c r="D13" s="82" t="inlineStr">
        <is>
          <t>Tier balance</t>
        </is>
      </c>
    </row>
    <row r="14" ht="15" customHeight="1" s="43">
      <c r="D14" s="58" t="inlineStr">
        <is>
          <t>Party</t>
        </is>
      </c>
      <c r="E14" s="58">
        <f>COUNTIF($E$2:$E$11,D14)</f>
        <v/>
      </c>
    </row>
    <row r="15" ht="15" customHeight="1" s="43">
      <c r="D15" s="58" t="inlineStr">
        <is>
          <t>Constituency</t>
        </is>
      </c>
      <c r="E15" s="58">
        <f>COUNTIF($E$2:$E$11,D15)</f>
        <v/>
      </c>
    </row>
    <row r="16" ht="15" customHeight="1" s="43">
      <c r="D16" s="58" t="inlineStr">
        <is>
          <t>National</t>
        </is>
      </c>
      <c r="E16" s="58">
        <f>COUNTIF($E$2:$E$11,D16)</f>
        <v/>
      </c>
    </row>
  </sheetData>
  <dataValidations count="1">
    <dataValidation sqref="E2:E100" showDropDown="0" showInputMessage="0" showErrorMessage="0" allowBlank="1" type="list" errorStyle="stop" operator="between">
      <formula1>Lists!$H$2:$H$4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R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20" customWidth="1" style="42" min="2" max="2"/>
    <col width="22" customWidth="1" style="42" min="3" max="3"/>
    <col width="20" customWidth="1" style="42" min="4" max="4"/>
    <col width="14" customWidth="1" style="42" min="5" max="5"/>
    <col width="12" customWidth="1" style="42" min="6" max="7"/>
    <col width="9" customWidth="1" style="42" min="8" max="9"/>
    <col width="8" customWidth="1" style="42" min="10" max="10"/>
    <col width="9" customWidth="1" style="42" min="11" max="13"/>
    <col width="40" customWidth="1" style="42" min="14" max="14"/>
    <col width="11" customWidth="1" style="42" min="15" max="15"/>
    <col width="34" customWidth="1" style="42" min="16" max="16"/>
  </cols>
  <sheetData>
    <row r="1" ht="31.5" customHeight="1" s="43">
      <c r="A1" s="57" t="inlineStr">
        <is>
          <t>Opp ID</t>
        </is>
      </c>
      <c r="B1" s="57" t="inlineStr">
        <is>
          <t>Name</t>
        </is>
      </c>
      <c r="C1" s="57" t="inlineStr">
        <is>
          <t>Party</t>
        </is>
      </c>
      <c r="D1" s="57" t="inlineStr">
        <is>
          <t>Committee</t>
        </is>
      </c>
      <c r="E1" s="57" t="inlineStr">
        <is>
          <t>Positioning</t>
        </is>
      </c>
      <c r="F1" s="57" t="inlineStr">
        <is>
          <t>Element 1</t>
        </is>
      </c>
      <c r="G1" s="57" t="inlineStr">
        <is>
          <t>Element 2</t>
        </is>
      </c>
      <c r="H1" s="57" t="inlineStr">
        <is>
          <t>Primary suit</t>
        </is>
      </c>
      <c r="I1" s="57" t="inlineStr">
        <is>
          <t>Secondary suit</t>
        </is>
      </c>
      <c r="J1" s="57" t="inlineStr">
        <is>
          <t>Deck size</t>
        </is>
      </c>
      <c r="K1" s="57" t="inlineStr">
        <is>
          <t>Primary cards</t>
        </is>
      </c>
      <c r="L1" s="57" t="inlineStr">
        <is>
          <t>Secondary cards</t>
        </is>
      </c>
      <c r="M1" s="57" t="inlineStr">
        <is>
          <t>Other cards</t>
        </is>
      </c>
      <c r="N1" s="57" t="inlineStr">
        <is>
          <t>AI style [proposed]</t>
        </is>
      </c>
      <c r="O1" s="57" t="inlineStr">
        <is>
          <t>Loadout mods</t>
        </is>
      </c>
      <c r="P1" s="57" t="inlineStr">
        <is>
          <t>Source</t>
        </is>
      </c>
      <c r="Q1" s="71" t="inlineStr">
        <is>
          <t>Intent pattern</t>
        </is>
      </c>
      <c r="R1" s="71" t="inlineStr">
        <is>
          <t>Intent note [PROPOSED]</t>
        </is>
      </c>
    </row>
    <row r="2" ht="39" customHeight="1" s="43">
      <c r="A2" s="59" t="inlineStr">
        <is>
          <t>OP01</t>
        </is>
      </c>
      <c r="B2" s="59" t="inlineStr">
        <is>
          <t>Barclay Brigham</t>
        </is>
      </c>
      <c r="C2" s="59" t="inlineStr">
        <is>
          <t>Keizaijiyuutou</t>
        </is>
      </c>
      <c r="D2" s="59" t="inlineStr">
        <is>
          <t>National Assembly</t>
        </is>
      </c>
      <c r="E2" s="59" t="inlineStr">
        <is>
          <t>Technocratic</t>
        </is>
      </c>
      <c r="F2" s="59" t="inlineStr">
        <is>
          <t>Earnest</t>
        </is>
      </c>
      <c r="G2" s="59" t="inlineStr">
        <is>
          <t>Data Driven</t>
        </is>
      </c>
      <c r="H2" s="58">
        <f>IFERROR(INDEX(Suits!$B$2:$B$7,MATCH(F2,Suits!$A$2:$A$7,0)),"?")</f>
        <v/>
      </c>
      <c r="I2" s="58">
        <f>IFERROR(INDEX(Suits!$B$2:$B$7,MATCH(G2,Suits!$A$2:$A$7,0)),"?")</f>
        <v/>
      </c>
      <c r="J2" s="77">
        <f>Balance!$B$8</f>
        <v/>
      </c>
      <c r="K2" s="58">
        <f>ROUND(J2*Balance!$B$9,0)</f>
        <v/>
      </c>
      <c r="L2" s="58">
        <f>ROUND(J2*Balance!$B$10,0)</f>
        <v/>
      </c>
      <c r="M2" s="58">
        <f>J2-K2-L2</f>
        <v/>
      </c>
      <c r="N2" s="59" t="inlineStr">
        <is>
          <t>Methodical: builds guard, then refutes with evidence.</t>
        </is>
      </c>
      <c r="O2" s="59" t="inlineStr">
        <is>
          <t>M04</t>
        </is>
      </c>
      <c r="P2" s="58" t="inlineStr">
        <is>
          <t>Canon: Lore Databook, October_2018_Politicians (cols B–G)</t>
        </is>
      </c>
      <c r="Q2" s="74" t="inlineStr">
        <is>
          <t>[["block",5],["attack",5],["gain",3],["attack",6]]</t>
        </is>
      </c>
      <c r="R2" s="74" t="inlineStr">
        <is>
          <t>Earnest + Data Driven, 'methodical': guards first, then refutes.</t>
        </is>
      </c>
    </row>
    <row r="3" ht="39" customHeight="1" s="43">
      <c r="A3" s="59" t="inlineStr">
        <is>
          <t>OP02</t>
        </is>
      </c>
      <c r="B3" s="59" t="inlineStr">
        <is>
          <t>Yuriko Mayeda</t>
        </is>
      </c>
      <c r="C3" s="59" t="inlineStr">
        <is>
          <t>Frontier Party</t>
        </is>
      </c>
      <c r="D3" s="59" t="inlineStr">
        <is>
          <t>Construction and Development</t>
        </is>
      </c>
      <c r="E3" s="59" t="inlineStr">
        <is>
          <t>Populist</t>
        </is>
      </c>
      <c r="F3" s="59" t="inlineStr">
        <is>
          <t>Emotional</t>
        </is>
      </c>
      <c r="G3" s="59" t="inlineStr">
        <is>
          <t>Divisive</t>
        </is>
      </c>
      <c r="H3" s="58">
        <f>IFERROR(INDEX(Suits!$B$2:$B$7,MATCH(F3,Suits!$A$2:$A$7,0)),"?")</f>
        <v/>
      </c>
      <c r="I3" s="58">
        <f>IFERROR(INDEX(Suits!$B$2:$B$7,MATCH(G3,Suits!$A$2:$A$7,0)),"?")</f>
        <v/>
      </c>
      <c r="J3" s="77">
        <f>Balance!$B$8</f>
        <v/>
      </c>
      <c r="K3" s="58">
        <f>ROUND(J3*Balance!$B$9,0)</f>
        <v/>
      </c>
      <c r="L3" s="58">
        <f>ROUND(J3*Balance!$B$10,0)</f>
        <v/>
      </c>
      <c r="M3" s="58">
        <f>J3-K3-L3</f>
        <v/>
      </c>
      <c r="N3" s="59" t="inlineStr">
        <is>
          <t>Aggressive bursts; accepts gaffe risk.</t>
        </is>
      </c>
      <c r="O3" s="59" t="inlineStr">
        <is>
          <t>M01</t>
        </is>
      </c>
      <c r="P3" s="58" t="inlineStr">
        <is>
          <t>Canon: Lore Databook, October_2018_Politicians (cols B–G)</t>
        </is>
      </c>
      <c r="Q3" s="74" t="inlineStr">
        <is>
          <t>[["gain",6],["attack",6],["attack",7]]</t>
        </is>
      </c>
      <c r="R3" s="74" t="inlineStr">
        <is>
          <t>Emotional + Divisive, 'aggressive bursts': no defence at all.</t>
        </is>
      </c>
    </row>
    <row r="4" ht="39" customHeight="1" s="43">
      <c r="A4" s="59" t="inlineStr">
        <is>
          <t>OP03</t>
        </is>
      </c>
      <c r="B4" s="59" t="inlineStr">
        <is>
          <t>Masato Maruyama</t>
        </is>
      </c>
      <c r="C4" s="59" t="inlineStr">
        <is>
          <t>Country Initiative</t>
        </is>
      </c>
      <c r="D4" s="59" t="inlineStr">
        <is>
          <t>National Assembly</t>
        </is>
      </c>
      <c r="E4" s="59" t="inlineStr">
        <is>
          <t>Identity</t>
        </is>
      </c>
      <c r="F4" s="59" t="inlineStr">
        <is>
          <t>Duplicitous</t>
        </is>
      </c>
      <c r="G4" s="59" t="inlineStr">
        <is>
          <t>Divisive</t>
        </is>
      </c>
      <c r="H4" s="58">
        <f>IFERROR(INDEX(Suits!$B$2:$B$7,MATCH(F4,Suits!$A$2:$A$7,0)),"?")</f>
        <v/>
      </c>
      <c r="I4" s="58">
        <f>IFERROR(INDEX(Suits!$B$2:$B$7,MATCH(G4,Suits!$A$2:$A$7,0)),"?")</f>
        <v/>
      </c>
      <c r="J4" s="77">
        <f>Balance!$B$8</f>
        <v/>
      </c>
      <c r="K4" s="58">
        <f>ROUND(J4*Balance!$B$9,0)</f>
        <v/>
      </c>
      <c r="L4" s="58">
        <f>ROUND(J4*Balance!$B$10,0)</f>
        <v/>
      </c>
      <c r="M4" s="58">
        <f>J4-K4-L4</f>
        <v/>
      </c>
      <c r="N4" s="59" t="inlineStr">
        <is>
          <t>Evasive guards, then polarizing strikes.</t>
        </is>
      </c>
      <c r="O4" s="59" t="inlineStr">
        <is>
          <t>M08</t>
        </is>
      </c>
      <c r="P4" s="58" t="inlineStr">
        <is>
          <t>Canon: Lore Databook, October_2018_Politicians (cols B–G)</t>
        </is>
      </c>
      <c r="Q4" s="74" t="inlineStr">
        <is>
          <t>[["block",6],["attack",7],["block",5],["attack",5]]</t>
        </is>
      </c>
      <c r="R4" s="74" t="inlineStr">
        <is>
          <t>Duplicitous + Divisive, 'evasive then polarizing': alternates.</t>
        </is>
      </c>
    </row>
    <row r="5" ht="39" customHeight="1" s="43">
      <c r="A5" s="59" t="inlineStr">
        <is>
          <t>OP04</t>
        </is>
      </c>
      <c r="B5" s="59" t="inlineStr">
        <is>
          <t>Kitahime Haibi</t>
        </is>
      </c>
      <c r="C5" s="59" t="inlineStr">
        <is>
          <t>Five Point Independents</t>
        </is>
      </c>
      <c r="D5" s="59" t="inlineStr">
        <is>
          <t>Finance</t>
        </is>
      </c>
      <c r="E5" s="59" t="inlineStr">
        <is>
          <t>Free Markets</t>
        </is>
      </c>
      <c r="F5" s="59" t="inlineStr">
        <is>
          <t>Data Driven</t>
        </is>
      </c>
      <c r="G5" s="59" t="inlineStr">
        <is>
          <t>Appeal</t>
        </is>
      </c>
      <c r="H5" s="58">
        <f>IFERROR(INDEX(Suits!$B$2:$B$7,MATCH(F5,Suits!$A$2:$A$7,0)),"?")</f>
        <v/>
      </c>
      <c r="I5" s="58">
        <f>IFERROR(INDEX(Suits!$B$2:$B$7,MATCH(G5,Suits!$A$2:$A$7,0)),"?")</f>
        <v/>
      </c>
      <c r="J5" s="77">
        <f>Balance!$B$8</f>
        <v/>
      </c>
      <c r="K5" s="58">
        <f>ROUND(J5*Balance!$B$9,0)</f>
        <v/>
      </c>
      <c r="L5" s="58">
        <f>ROUND(J5*Balance!$B$10,0)</f>
        <v/>
      </c>
      <c r="M5" s="58">
        <f>J5-K5-L5</f>
        <v/>
      </c>
      <c r="N5" s="59" t="inlineStr">
        <is>
          <t>Precise, segment-targeted; low gaffe.</t>
        </is>
      </c>
      <c r="O5" s="59" t="inlineStr">
        <is>
          <t>M02</t>
        </is>
      </c>
      <c r="P5" s="58" t="inlineStr">
        <is>
          <t>Canon: Lore Databook, October_2018_Politicians (cols B–G)</t>
        </is>
      </c>
      <c r="Q5" s="74" t="inlineStr">
        <is>
          <t>[["attack",5],["gain",4],["attack",4],["block",4]]</t>
        </is>
      </c>
      <c r="R5" s="74" t="inlineStr">
        <is>
          <t>Data Driven + Appeal, 'precise, low gaffe': steady, no spikes.</t>
        </is>
      </c>
    </row>
    <row r="6" ht="39" customHeight="1" s="43">
      <c r="A6" s="59" t="inlineStr">
        <is>
          <t>OP05</t>
        </is>
      </c>
      <c r="B6" s="59" t="inlineStr">
        <is>
          <t>Shizutake Matsumae</t>
        </is>
      </c>
      <c r="C6" s="59" t="inlineStr">
        <is>
          <t>Country Initiative</t>
        </is>
      </c>
      <c r="D6" s="59" t="inlineStr">
        <is>
          <t>Construction and Development</t>
        </is>
      </c>
      <c r="E6" s="59" t="inlineStr">
        <is>
          <t>Nationalist</t>
        </is>
      </c>
      <c r="F6" s="59" t="inlineStr">
        <is>
          <t>Appeal</t>
        </is>
      </c>
      <c r="G6" s="59" t="inlineStr">
        <is>
          <t>Divisive</t>
        </is>
      </c>
      <c r="H6" s="58">
        <f>IFERROR(INDEX(Suits!$B$2:$B$7,MATCH(F6,Suits!$A$2:$A$7,0)),"?")</f>
        <v/>
      </c>
      <c r="I6" s="58">
        <f>IFERROR(INDEX(Suits!$B$2:$B$7,MATCH(G6,Suits!$A$2:$A$7,0)),"?")</f>
        <v/>
      </c>
      <c r="J6" s="77">
        <f>Balance!$B$8</f>
        <v/>
      </c>
      <c r="K6" s="58">
        <f>ROUND(J6*Balance!$B$9,0)</f>
        <v/>
      </c>
      <c r="L6" s="58">
        <f>ROUND(J6*Balance!$B$10,0)</f>
        <v/>
      </c>
      <c r="M6" s="58">
        <f>J6-K6-L6</f>
        <v/>
      </c>
      <c r="N6" s="59" t="inlineStr">
        <is>
          <t>Rallies loyalists, then draws battle lines.</t>
        </is>
      </c>
      <c r="O6" s="59" t="inlineStr">
        <is>
          <t>M06</t>
        </is>
      </c>
      <c r="P6" s="58" t="inlineStr">
        <is>
          <t>Canon: Lore Databook, October_2018_Politicians (cols B–G)</t>
        </is>
      </c>
      <c r="Q6" s="74" t="inlineStr">
        <is>
          <t>[["gain",5],["gain",4],["attack",6]]</t>
        </is>
      </c>
      <c r="R6" s="74" t="inlineStr">
        <is>
          <t>Appeal + Divisive, 'rallies then draws battle lines'.</t>
        </is>
      </c>
    </row>
    <row r="7" ht="39" customHeight="1" s="43">
      <c r="A7" s="59" t="inlineStr">
        <is>
          <t>OP06</t>
        </is>
      </c>
      <c r="B7" s="59" t="inlineStr">
        <is>
          <t>Mao Saeki</t>
        </is>
      </c>
      <c r="C7" s="59" t="inlineStr">
        <is>
          <t>Butsutou</t>
        </is>
      </c>
      <c r="D7" s="59" t="inlineStr">
        <is>
          <t>Foreign Affairs</t>
        </is>
      </c>
      <c r="E7" s="59" t="inlineStr">
        <is>
          <t>Globalist</t>
        </is>
      </c>
      <c r="F7" s="59" t="inlineStr">
        <is>
          <t>Earnest</t>
        </is>
      </c>
      <c r="G7" s="59" t="inlineStr">
        <is>
          <t>Data Driven</t>
        </is>
      </c>
      <c r="H7" s="58">
        <f>IFERROR(INDEX(Suits!$B$2:$B$7,MATCH(F7,Suits!$A$2:$A$7,0)),"?")</f>
        <v/>
      </c>
      <c r="I7" s="58">
        <f>IFERROR(INDEX(Suits!$B$2:$B$7,MATCH(G7,Suits!$A$2:$A$7,0)),"?")</f>
        <v/>
      </c>
      <c r="J7" s="77">
        <f>Balance!$B$8</f>
        <v/>
      </c>
      <c r="K7" s="58">
        <f>ROUND(J7*Balance!$B$9,0)</f>
        <v/>
      </c>
      <c r="L7" s="58">
        <f>ROUND(J7*Balance!$B$10,0)</f>
        <v/>
      </c>
      <c r="M7" s="58">
        <f>J7-K7-L7</f>
        <v/>
      </c>
      <c r="N7" s="59" t="inlineStr">
        <is>
          <t>Patient, clean; wins long debates.</t>
        </is>
      </c>
      <c r="O7" s="59" t="inlineStr">
        <is>
          <t>M03</t>
        </is>
      </c>
      <c r="P7" s="58" t="inlineStr">
        <is>
          <t>Canon: Lore Databook, October_2018_Politicians (cols B–G)</t>
        </is>
      </c>
      <c r="Q7" s="74" t="inlineStr">
        <is>
          <t>[["gain",4],["block",4],["attack",5],["gain",4]]</t>
        </is>
      </c>
      <c r="R7" s="74" t="inlineStr">
        <is>
          <t>Earnest + Data Driven, 'patient, wins long debates'.</t>
        </is>
      </c>
    </row>
    <row r="8" ht="39" customHeight="1" s="43">
      <c r="A8" s="59" t="inlineStr">
        <is>
          <t>OP07</t>
        </is>
      </c>
      <c r="B8" s="59" t="inlineStr">
        <is>
          <t>Tobira Hideyoshi</t>
        </is>
      </c>
      <c r="C8" s="59" t="inlineStr">
        <is>
          <t>Five Point Independents</t>
        </is>
      </c>
      <c r="D8" s="59" t="inlineStr">
        <is>
          <t>Ethics and Prosecution</t>
        </is>
      </c>
      <c r="E8" s="59" t="inlineStr">
        <is>
          <t>Liberal</t>
        </is>
      </c>
      <c r="F8" s="59" t="inlineStr">
        <is>
          <t>Duplicitous</t>
        </is>
      </c>
      <c r="G8" s="59" t="inlineStr">
        <is>
          <t>Divisive</t>
        </is>
      </c>
      <c r="H8" s="58">
        <f>IFERROR(INDEX(Suits!$B$2:$B$7,MATCH(F8,Suits!$A$2:$A$7,0)),"?")</f>
        <v/>
      </c>
      <c r="I8" s="58">
        <f>IFERROR(INDEX(Suits!$B$2:$B$7,MATCH(G8,Suits!$A$2:$A$7,0)),"?")</f>
        <v/>
      </c>
      <c r="J8" s="77">
        <f>Balance!$B$8</f>
        <v/>
      </c>
      <c r="K8" s="58">
        <f>ROUND(J8*Balance!$B$9,0)</f>
        <v/>
      </c>
      <c r="L8" s="58">
        <f>ROUND(J8*Balance!$B$10,0)</f>
        <v/>
      </c>
      <c r="M8" s="58">
        <f>J8-K8-L8</f>
        <v/>
      </c>
      <c r="N8" s="59" t="inlineStr">
        <is>
          <t>High-variance trickster.</t>
        </is>
      </c>
      <c r="O8" s="59" t="inlineStr">
        <is>
          <t>M07</t>
        </is>
      </c>
      <c r="P8" s="58" t="inlineStr">
        <is>
          <t>Canon: Lore Databook, October_2018_Politicians (cols B–G)</t>
        </is>
      </c>
      <c r="Q8" s="74" t="inlineStr">
        <is>
          <t>[["attack",8],["block",7],["gain",2],["attack",4]]</t>
        </is>
      </c>
      <c r="R8" s="74" t="inlineStr">
        <is>
          <t>Duplicitous + Divisive, 'high-variance trickster': swingy.</t>
        </is>
      </c>
    </row>
    <row r="9" ht="39" customHeight="1" s="43">
      <c r="A9" s="59" t="inlineStr">
        <is>
          <t>OP08</t>
        </is>
      </c>
      <c r="B9" s="59" t="inlineStr">
        <is>
          <t>Aki Rono</t>
        </is>
      </c>
      <c r="C9" s="59" t="inlineStr">
        <is>
          <t>Yezo Heritage Party</t>
        </is>
      </c>
      <c r="D9" s="59" t="inlineStr">
        <is>
          <t>Prime Minister</t>
        </is>
      </c>
      <c r="E9" s="59" t="inlineStr">
        <is>
          <t>Identity</t>
        </is>
      </c>
      <c r="F9" s="59" t="inlineStr">
        <is>
          <t>Earnest</t>
        </is>
      </c>
      <c r="G9" s="59" t="inlineStr">
        <is>
          <t>Emotional</t>
        </is>
      </c>
      <c r="H9" s="58">
        <f>IFERROR(INDEX(Suits!$B$2:$B$7,MATCH(F9,Suits!$A$2:$A$7,0)),"?")</f>
        <v/>
      </c>
      <c r="I9" s="58">
        <f>IFERROR(INDEX(Suits!$B$2:$B$7,MATCH(G9,Suits!$A$2:$A$7,0)),"?")</f>
        <v/>
      </c>
      <c r="J9" s="77">
        <f>Balance!$B$8</f>
        <v/>
      </c>
      <c r="K9" s="58">
        <f>ROUND(J9*Balance!$B$9,0)</f>
        <v/>
      </c>
      <c r="L9" s="58">
        <f>ROUND(J9*Balance!$B$10,0)</f>
        <v/>
      </c>
      <c r="M9" s="58">
        <f>J9-K9-L9</f>
        <v/>
      </c>
      <c r="N9" s="59" t="inlineStr">
        <is>
          <t>Boss: sincere resilience plus passionate bursts.</t>
        </is>
      </c>
      <c r="O9" s="59" t="inlineStr">
        <is>
          <t>M01, M04</t>
        </is>
      </c>
      <c r="P9" s="58" t="inlineStr">
        <is>
          <t>Canon: Lore Databook, October_2018_Politicians (cols B–G)</t>
        </is>
      </c>
      <c r="Q9" s="74" t="inlineStr">
        <is>
          <t>[["gain",5],["block",5],["attack",7],["gain",6],["attack",8]]</t>
        </is>
      </c>
      <c r="R9" s="74" t="inlineStr">
        <is>
          <t>Earnest + Emotional BOSS: longest pattern, escalates.</t>
        </is>
      </c>
    </row>
    <row r="10" ht="39.55" customHeight="1" s="43">
      <c r="A10" s="59" t="inlineStr">
        <is>
          <t>OP09</t>
        </is>
      </c>
      <c r="B10" s="59" t="inlineStr">
        <is>
          <t>Walter Peard</t>
        </is>
      </c>
      <c r="C10" s="59" t="inlineStr">
        <is>
          <t>Keizaijiyuutou</t>
        </is>
      </c>
      <c r="D10" s="59" t="inlineStr">
        <is>
          <t>Environment</t>
        </is>
      </c>
      <c r="E10" s="59" t="inlineStr">
        <is>
          <t>Ecologist</t>
        </is>
      </c>
      <c r="F10" s="59" t="inlineStr">
        <is>
          <t>Emotional</t>
        </is>
      </c>
      <c r="G10" s="59" t="inlineStr">
        <is>
          <t>Duplicitous</t>
        </is>
      </c>
      <c r="H10" s="58">
        <f>IFERROR(INDEX(Suits!$B$2:$B$7,MATCH(F10,Suits!$A$2:$A$7,0)),"?")</f>
        <v/>
      </c>
      <c r="I10" s="58">
        <f>IFERROR(INDEX(Suits!$B$2:$B$7,MATCH(G10,Suits!$A$2:$A$7,0)),"?")</f>
        <v/>
      </c>
      <c r="J10" s="77">
        <f>Balance!$B$8</f>
        <v/>
      </c>
      <c r="K10" s="58">
        <f>ROUND(J10*Balance!$B$9,0)</f>
        <v/>
      </c>
      <c r="L10" s="58">
        <f>ROUND(J10*Balance!$B$10,0)</f>
        <v/>
      </c>
      <c r="M10" s="58">
        <f>J10-K10-L10</f>
        <v/>
      </c>
      <c r="N10" s="59" t="inlineStr">
        <is>
          <t>Committee chair: emotional pressure on undecided members, evasive guards.</t>
        </is>
      </c>
      <c r="O10" s="59" t="inlineStr">
        <is>
          <t>M02</t>
        </is>
      </c>
      <c r="P10" s="58" t="inlineStr">
        <is>
          <t>Canon: Lore Databook, October_2018_Politicians (cols B–G)</t>
        </is>
      </c>
      <c r="Q10" s="74" t="inlineStr">
        <is>
          <t>[["lean_down",8],["block",5],["lean_down",10]]</t>
        </is>
      </c>
      <c r="R10" s="74" t="inlineStr">
        <is>
          <t>Committee chair. Uses lean_down, not attack: a chair pushes a member away from For rather than hitting a support bar.</t>
        </is>
      </c>
    </row>
  </sheetData>
  <dataValidations count="1">
    <dataValidation sqref="F2:G100" showDropDown="0" showInputMessage="0" showErrorMessage="0" allowBlank="1" type="list" errorStyle="stop" operator="between">
      <formula1>Lists!$A$2:$A$7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42" min="1" max="1"/>
    <col width="24" customWidth="1" style="42" min="2" max="2"/>
    <col width="12" customWidth="1" style="42" min="3" max="3"/>
    <col width="16" customWidth="1" style="42" min="4" max="4"/>
    <col width="11" customWidth="1" style="42" min="5" max="5"/>
    <col width="50" customWidth="1" style="42" min="6" max="6"/>
  </cols>
  <sheetData>
    <row r="1" ht="31.5" customHeight="1" s="43">
      <c r="A1" s="57" t="inlineStr">
        <is>
          <t>Topic ID</t>
        </is>
      </c>
      <c r="B1" s="57" t="inlineStr">
        <is>
          <t>Topic (databook dimension)</t>
        </is>
      </c>
      <c r="C1" s="57" t="inlineStr">
        <is>
          <t>Topic (JP)</t>
        </is>
      </c>
      <c r="D1" s="57" t="inlineStr">
        <is>
          <t>Romaji</t>
        </is>
      </c>
      <c r="E1" s="57" t="inlineStr">
        <is>
          <t>Start value (0–100)</t>
        </is>
      </c>
      <c r="F1" s="57" t="inlineStr">
        <is>
          <t>Note</t>
        </is>
      </c>
    </row>
    <row r="2" ht="26.25" customHeight="1" s="43">
      <c r="A2" s="59" t="inlineStr">
        <is>
          <t>Y01</t>
        </is>
      </c>
      <c r="B2" s="59" t="inlineStr">
        <is>
          <t>Taxation</t>
        </is>
      </c>
      <c r="C2" s="63" t="inlineStr">
        <is>
          <t>税制</t>
        </is>
      </c>
      <c r="D2" s="59" t="inlineStr">
        <is>
          <t>Zeisei</t>
        </is>
      </c>
      <c r="E2" s="66" t="n">
        <v>50</v>
      </c>
      <c r="F2" s="58" t="inlineStr">
        <is>
          <t>Placeholder. Value = public support for MORE of this topic. Seeding decision pending (README #3).</t>
        </is>
      </c>
    </row>
    <row r="3" ht="26.25" customHeight="1" s="43">
      <c r="A3" s="59" t="inlineStr">
        <is>
          <t>Y02</t>
        </is>
      </c>
      <c r="B3" s="59" t="inlineStr">
        <is>
          <t>Federal Spending</t>
        </is>
      </c>
      <c r="C3" s="63" t="inlineStr">
        <is>
          <t>財政支出</t>
        </is>
      </c>
      <c r="D3" s="59" t="inlineStr">
        <is>
          <t>Zaisei Shishutsu</t>
        </is>
      </c>
      <c r="E3" s="66" t="n">
        <v>50</v>
      </c>
      <c r="F3" s="58" t="inlineStr">
        <is>
          <t>Placeholder. Value = public support for MORE of this topic. Seeding decision pending (README #3).</t>
        </is>
      </c>
    </row>
    <row r="4" ht="26.25" customHeight="1" s="43">
      <c r="A4" s="59" t="inlineStr">
        <is>
          <t>Y03</t>
        </is>
      </c>
      <c r="B4" s="59" t="inlineStr">
        <is>
          <t>Environmentalism</t>
        </is>
      </c>
      <c r="C4" s="63" t="inlineStr">
        <is>
          <t>環境</t>
        </is>
      </c>
      <c r="D4" s="59" t="inlineStr">
        <is>
          <t>Kankyō</t>
        </is>
      </c>
      <c r="E4" s="66" t="n">
        <v>50</v>
      </c>
      <c r="F4" s="58" t="inlineStr">
        <is>
          <t>Placeholder. Value = public support for MORE of this topic. Seeding decision pending (README #3).</t>
        </is>
      </c>
    </row>
    <row r="5" ht="26.25" customHeight="1" s="43">
      <c r="A5" s="59" t="inlineStr">
        <is>
          <t>Y04</t>
        </is>
      </c>
      <c r="B5" s="59" t="inlineStr">
        <is>
          <t>Ainu Enhancement</t>
        </is>
      </c>
      <c r="C5" s="63" t="inlineStr">
        <is>
          <t>アイヌ施策</t>
        </is>
      </c>
      <c r="D5" s="59" t="inlineStr">
        <is>
          <t>Ainu Shisaku</t>
        </is>
      </c>
      <c r="E5" s="66" t="n">
        <v>50</v>
      </c>
      <c r="F5" s="58" t="inlineStr">
        <is>
          <t>Placeholder. Value = public support for MORE of this topic. Seeding decision pending (README #3).</t>
        </is>
      </c>
    </row>
    <row r="6" ht="26.25" customHeight="1" s="43">
      <c r="A6" s="59" t="inlineStr">
        <is>
          <t>Y05</t>
        </is>
      </c>
      <c r="B6" s="59" t="inlineStr">
        <is>
          <t>Immigration</t>
        </is>
      </c>
      <c r="C6" s="63" t="inlineStr">
        <is>
          <t>移民</t>
        </is>
      </c>
      <c r="D6" s="59" t="inlineStr">
        <is>
          <t>Imin</t>
        </is>
      </c>
      <c r="E6" s="66" t="n">
        <v>50</v>
      </c>
      <c r="F6" s="58" t="inlineStr">
        <is>
          <t>Placeholder. Value = public support for MORE of this topic. Seeding decision pending (README #3).</t>
        </is>
      </c>
    </row>
    <row r="7" ht="26.25" customHeight="1" s="43">
      <c r="A7" s="59" t="inlineStr">
        <is>
          <t>Y06</t>
        </is>
      </c>
      <c r="B7" s="59" t="inlineStr">
        <is>
          <t>Militarism</t>
        </is>
      </c>
      <c r="C7" s="63" t="inlineStr">
        <is>
          <t>防衛</t>
        </is>
      </c>
      <c r="D7" s="59" t="inlineStr">
        <is>
          <t>Bōei</t>
        </is>
      </c>
      <c r="E7" s="66" t="n">
        <v>50</v>
      </c>
      <c r="F7" s="58" t="inlineStr">
        <is>
          <t>Placeholder. Value = public support for MORE of this topic. Seeding decision pending (README #3).</t>
        </is>
      </c>
    </row>
    <row r="8" ht="26.25" customHeight="1" s="43">
      <c r="A8" s="59" t="inlineStr">
        <is>
          <t>Y07</t>
        </is>
      </c>
      <c r="B8" s="59" t="inlineStr">
        <is>
          <t>Regulation</t>
        </is>
      </c>
      <c r="C8" s="63" t="inlineStr">
        <is>
          <t>規制</t>
        </is>
      </c>
      <c r="D8" s="59" t="inlineStr">
        <is>
          <t>Kisei</t>
        </is>
      </c>
      <c r="E8" s="66" t="n">
        <v>50</v>
      </c>
      <c r="F8" s="58" t="inlineStr">
        <is>
          <t>Placeholder. Value = public support for MORE of this topic. Seeding decision pending (README #3).</t>
        </is>
      </c>
    </row>
    <row r="9" ht="26.25" customHeight="1" s="43">
      <c r="A9" s="59" t="inlineStr">
        <is>
          <t>Y08</t>
        </is>
      </c>
      <c r="B9" s="59" t="inlineStr">
        <is>
          <t>Rural Focus</t>
        </is>
      </c>
      <c r="C9" s="63" t="inlineStr">
        <is>
          <t>農村振興</t>
        </is>
      </c>
      <c r="D9" s="59" t="inlineStr">
        <is>
          <t>Nōson Shinkō</t>
        </is>
      </c>
      <c r="E9" s="66" t="n">
        <v>50</v>
      </c>
      <c r="F9" s="58" t="inlineStr">
        <is>
          <t>Placeholder. Value = public support for MORE of this topic. Seeding decision pending (README #3).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34" customWidth="1" style="42" min="2" max="2"/>
    <col width="9" customWidth="1" style="42" min="3" max="3"/>
    <col width="18" customWidth="1" style="42" min="4" max="4"/>
    <col width="12" customWidth="1" style="42" min="5" max="5"/>
    <col width="9" customWidth="1" style="42" min="6" max="7"/>
    <col width="12" customWidth="1" style="42" min="8" max="8"/>
    <col width="40" customWidth="1" style="42" min="9" max="9"/>
  </cols>
  <sheetData>
    <row r="1" ht="31.5" customHeight="1" s="43">
      <c r="A1" s="57" t="inlineStr">
        <is>
          <t>Bill ID</t>
        </is>
      </c>
      <c r="B1" s="57" t="inlineStr">
        <is>
          <t>Title [placeholder]</t>
        </is>
      </c>
      <c r="C1" s="57" t="inlineStr">
        <is>
          <t>Topic ID</t>
        </is>
      </c>
      <c r="D1" s="57" t="inlineStr">
        <is>
          <t>Topic</t>
        </is>
      </c>
      <c r="E1" s="57" t="inlineStr">
        <is>
          <t>Direction (+1 more / −1 less)</t>
        </is>
      </c>
      <c r="F1" s="57" t="inlineStr">
        <is>
          <t>Yoron value</t>
        </is>
      </c>
      <c r="G1" s="57" t="inlineStr">
        <is>
          <t>Alignment</t>
        </is>
      </c>
      <c r="H1" s="57" t="inlineStr">
        <is>
          <t>Difficulty mod (opp start +)</t>
        </is>
      </c>
      <c r="I1" s="57" t="inlineStr">
        <is>
          <t>Note</t>
        </is>
      </c>
    </row>
    <row r="2" ht="26.25" customHeight="1" s="43">
      <c r="A2" s="59" t="inlineStr">
        <is>
          <t>B01</t>
        </is>
      </c>
      <c r="B2" s="59" t="inlineStr">
        <is>
          <t>Example: Coastal Resilience Act</t>
        </is>
      </c>
      <c r="C2" s="59" t="inlineStr">
        <is>
          <t>Y03</t>
        </is>
      </c>
      <c r="D2" s="58">
        <f>IFERROR(INDEX(Yoron!$B$2:$B$9,MATCH(C2,Yoron!$A$2:$A$9,0)),"?")</f>
        <v/>
      </c>
      <c r="E2" s="59" t="n">
        <v>1</v>
      </c>
      <c r="F2" s="58">
        <f>IFERROR(INDEX(Yoron!$E$2:$E$9,MATCH(C2,Yoron!$A$2:$A$9,0)),"")</f>
        <v/>
      </c>
      <c r="G2" s="58">
        <f>IF(E2=1,F2,100-F2)</f>
        <v/>
      </c>
      <c r="H2" s="58">
        <f>ROUND((Balance!$B$17-G2)*Balance!$B$16,0)</f>
        <v/>
      </c>
      <c r="I2" s="58" t="inlineStr">
        <is>
          <t>Titles are illustrative only — replace with canon bills.</t>
        </is>
      </c>
    </row>
    <row r="3" ht="26.25" customHeight="1" s="43">
      <c r="A3" s="59" t="inlineStr">
        <is>
          <t>B02</t>
        </is>
      </c>
      <c r="B3" s="59" t="inlineStr">
        <is>
          <t>Example: Consumption Tax Reduction</t>
        </is>
      </c>
      <c r="C3" s="59" t="inlineStr">
        <is>
          <t>Y01</t>
        </is>
      </c>
      <c r="D3" s="58">
        <f>IFERROR(INDEX(Yoron!$B$2:$B$9,MATCH(C3,Yoron!$A$2:$A$9,0)),"?")</f>
        <v/>
      </c>
      <c r="E3" s="59" t="n">
        <v>-1</v>
      </c>
      <c r="F3" s="58">
        <f>IFERROR(INDEX(Yoron!$E$2:$E$9,MATCH(C3,Yoron!$A$2:$A$9,0)),"")</f>
        <v/>
      </c>
      <c r="G3" s="58">
        <f>IF(E3=1,F3,100-F3)</f>
        <v/>
      </c>
      <c r="H3" s="58">
        <f>ROUND((Balance!$B$17-G3)*Balance!$B$16,0)</f>
        <v/>
      </c>
      <c r="I3" s="58" t="inlineStr">
        <is>
          <t>Titles are illustrative only — replace with canon bills.</t>
        </is>
      </c>
    </row>
    <row r="4" ht="26.25" customHeight="1" s="43">
      <c r="A4" s="59" t="inlineStr">
        <is>
          <t>B03</t>
        </is>
      </c>
      <c r="B4" s="59" t="inlineStr">
        <is>
          <t>Example: Ainu Language Education Act</t>
        </is>
      </c>
      <c r="C4" s="59" t="inlineStr">
        <is>
          <t>Y04</t>
        </is>
      </c>
      <c r="D4" s="58">
        <f>IFERROR(INDEX(Yoron!$B$2:$B$9,MATCH(C4,Yoron!$A$2:$A$9,0)),"?")</f>
        <v/>
      </c>
      <c r="E4" s="59" t="n">
        <v>1</v>
      </c>
      <c r="F4" s="58">
        <f>IFERROR(INDEX(Yoron!$E$2:$E$9,MATCH(C4,Yoron!$A$2:$A$9,0)),"")</f>
        <v/>
      </c>
      <c r="G4" s="58">
        <f>IF(E4=1,F4,100-F4)</f>
        <v/>
      </c>
      <c r="H4" s="58">
        <f>ROUND((Balance!$B$17-G4)*Balance!$B$16,0)</f>
        <v/>
      </c>
      <c r="I4" s="58" t="inlineStr">
        <is>
          <t>Titles are illustrative only — replace with canon bills.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42" min="1" max="1"/>
    <col width="5" customWidth="1" style="42" min="2" max="2"/>
    <col width="18" customWidth="1" style="42" min="3" max="4"/>
    <col width="12" customWidth="1" style="42" min="5" max="8"/>
    <col width="9" customWidth="1" style="42" min="9" max="9"/>
    <col width="34" customWidth="1" style="42" min="10" max="10"/>
  </cols>
  <sheetData>
    <row r="1" ht="31.5" customHeight="1" s="43">
      <c r="A1" s="57" t="inlineStr">
        <is>
          <t>Module</t>
        </is>
      </c>
      <c r="B1" s="57" t="inlineStr">
        <is>
          <t>Seq</t>
        </is>
      </c>
      <c r="C1" s="57" t="inlineStr">
        <is>
          <t>Member</t>
        </is>
      </c>
      <c r="D1" s="57" t="inlineStr">
        <is>
          <t>Party</t>
        </is>
      </c>
      <c r="E1" s="57" t="inlineStr">
        <is>
          <t>Positioning</t>
        </is>
      </c>
      <c r="F1" s="57" t="inlineStr">
        <is>
          <t>Element 1</t>
        </is>
      </c>
      <c r="G1" s="57" t="inlineStr">
        <is>
          <t>Element 2</t>
        </is>
      </c>
      <c r="H1" s="57" t="inlineStr">
        <is>
          <t>Starting stance [proposed]</t>
        </is>
      </c>
      <c r="I1" s="57" t="inlineStr">
        <is>
          <t>Primary suit</t>
        </is>
      </c>
      <c r="J1" s="57" t="inlineStr">
        <is>
          <t>Source</t>
        </is>
      </c>
    </row>
    <row r="2" ht="26.85" customHeight="1" s="43">
      <c r="A2" s="59" t="inlineStr">
        <is>
          <t>MOD01</t>
        </is>
      </c>
      <c r="B2" s="59" t="n">
        <v>2</v>
      </c>
      <c r="C2" s="59" t="inlineStr">
        <is>
          <t>Noah Kain</t>
        </is>
      </c>
      <c r="D2" s="59" t="inlineStr">
        <is>
          <t>Frontier Party</t>
        </is>
      </c>
      <c r="E2" s="59" t="inlineStr">
        <is>
          <t>Ecologist</t>
        </is>
      </c>
      <c r="F2" s="59" t="inlineStr">
        <is>
          <t>Earnest</t>
        </is>
      </c>
      <c r="G2" s="59" t="inlineStr">
        <is>
          <t>Data Driven</t>
        </is>
      </c>
      <c r="H2" s="59" t="inlineStr">
        <is>
          <t>Undecided</t>
        </is>
      </c>
      <c r="I2" s="58">
        <f>IFERROR(INDEX(Suits!$B$2:$B$7,MATCH(F2,Suits!$A$2:$A$7,0)),"?")</f>
        <v/>
      </c>
      <c r="J2" s="58" t="inlineStr">
        <is>
          <t>Canon: Lore Databook, Environment committee (2018)</t>
        </is>
      </c>
    </row>
    <row r="3" ht="26.85" customHeight="1" s="43">
      <c r="A3" s="59" t="inlineStr">
        <is>
          <t>MOD01</t>
        </is>
      </c>
      <c r="B3" s="59" t="n">
        <v>2</v>
      </c>
      <c r="C3" s="59" t="inlineStr">
        <is>
          <t>Ran Sachiko</t>
        </is>
      </c>
      <c r="D3" s="59" t="inlineStr">
        <is>
          <t>Butsutou</t>
        </is>
      </c>
      <c r="E3" s="59" t="inlineStr">
        <is>
          <t>Ecologist</t>
        </is>
      </c>
      <c r="F3" s="59" t="inlineStr">
        <is>
          <t>Earnest</t>
        </is>
      </c>
      <c r="G3" s="59" t="inlineStr">
        <is>
          <t>Emotional</t>
        </is>
      </c>
      <c r="H3" s="59" t="inlineStr">
        <is>
          <t>Undecided</t>
        </is>
      </c>
      <c r="I3" s="58">
        <f>IFERROR(INDEX(Suits!$B$2:$B$7,MATCH(F3,Suits!$A$2:$A$7,0)),"?")</f>
        <v/>
      </c>
      <c r="J3" s="58" t="inlineStr">
        <is>
          <t>Canon: Lore Databook, Environment committee (2018)</t>
        </is>
      </c>
    </row>
    <row r="4" ht="26.85" customHeight="1" s="43">
      <c r="A4" s="59" t="inlineStr">
        <is>
          <t>MOD01</t>
        </is>
      </c>
      <c r="B4" s="59" t="n">
        <v>2</v>
      </c>
      <c r="C4" s="59" t="inlineStr">
        <is>
          <t>Kotake Kasumu</t>
        </is>
      </c>
      <c r="D4" s="59" t="inlineStr">
        <is>
          <t>Butsutou</t>
        </is>
      </c>
      <c r="E4" s="59" t="inlineStr">
        <is>
          <t>Ecologist</t>
        </is>
      </c>
      <c r="F4" s="59" t="inlineStr">
        <is>
          <t>Appeal</t>
        </is>
      </c>
      <c r="G4" s="59" t="inlineStr">
        <is>
          <t>Emotional</t>
        </is>
      </c>
      <c r="H4" s="59" t="inlineStr">
        <is>
          <t>Undecided</t>
        </is>
      </c>
      <c r="I4" s="58">
        <f>IFERROR(INDEX(Suits!$B$2:$B$7,MATCH(F4,Suits!$A$2:$A$7,0)),"?")</f>
        <v/>
      </c>
      <c r="J4" s="58" t="inlineStr">
        <is>
          <t>Canon: Lore Databook, Environment committee (2018)</t>
        </is>
      </c>
    </row>
    <row r="5" ht="26.85" customHeight="1" s="43">
      <c r="A5" s="59" t="inlineStr">
        <is>
          <t>MOD01</t>
        </is>
      </c>
      <c r="B5" s="59" t="n">
        <v>2</v>
      </c>
      <c r="C5" s="59" t="inlineStr">
        <is>
          <t>Isoroku Adams</t>
        </is>
      </c>
      <c r="D5" s="59" t="inlineStr">
        <is>
          <t>Keizaijiyuutou</t>
        </is>
      </c>
      <c r="E5" s="59" t="inlineStr">
        <is>
          <t>Ecologist</t>
        </is>
      </c>
      <c r="F5" s="59" t="inlineStr">
        <is>
          <t>Appeal</t>
        </is>
      </c>
      <c r="G5" s="59" t="inlineStr">
        <is>
          <t>Divisive</t>
        </is>
      </c>
      <c r="H5" s="59" t="inlineStr">
        <is>
          <t>Against</t>
        </is>
      </c>
      <c r="I5" s="58">
        <f>IFERROR(INDEX(Suits!$B$2:$B$7,MATCH(F5,Suits!$A$2:$A$7,0)),"?")</f>
        <v/>
      </c>
      <c r="J5" s="58" t="inlineStr">
        <is>
          <t>Canon: Lore Databook, Environment committee (2018)</t>
        </is>
      </c>
    </row>
  </sheetData>
  <dataValidations count="1">
    <dataValidation sqref="H2:H100" showDropDown="0" showInputMessage="0" showErrorMessage="0" allowBlank="1" type="list" errorStyle="stop" operator="between">
      <formula1>Lists!$J$2:$J$4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O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42" min="1" max="1"/>
    <col width="5" customWidth="1" style="42" min="2" max="2"/>
    <col width="8" customWidth="1" style="42" min="3" max="3"/>
    <col width="20" customWidth="1" style="42" min="4" max="4"/>
    <col width="11" customWidth="1" style="42" min="5" max="5"/>
    <col width="8" customWidth="1" style="42" min="6" max="6"/>
    <col width="20" customWidth="1" style="42" min="7" max="7"/>
    <col width="8" customWidth="1" style="42" min="8" max="8"/>
    <col width="11" customWidth="1" style="42" min="9" max="9"/>
    <col width="10" customWidth="1" style="42" min="10" max="10"/>
    <col width="9" customWidth="1" style="42" min="11" max="11"/>
    <col width="45" customWidth="1" style="42" min="12" max="12"/>
    <col width="10" customWidth="1" style="42" min="13" max="15"/>
  </cols>
  <sheetData>
    <row r="1" ht="31.5" customHeight="1" s="43">
      <c r="A1" s="57" t="inlineStr">
        <is>
          <t>Module</t>
        </is>
      </c>
      <c r="B1" s="57" t="inlineStr">
        <is>
          <t>Seq</t>
        </is>
      </c>
      <c r="C1" s="57" t="inlineStr">
        <is>
          <t>Stage ID</t>
        </is>
      </c>
      <c r="D1" s="57" t="inlineStr">
        <is>
          <t>Stage</t>
        </is>
      </c>
      <c r="E1" s="57" t="inlineStr">
        <is>
          <t>Mode</t>
        </is>
      </c>
      <c r="F1" s="57" t="inlineStr">
        <is>
          <t>Opp ID</t>
        </is>
      </c>
      <c r="G1" s="57" t="inlineStr">
        <is>
          <t>Opponent</t>
        </is>
      </c>
      <c r="H1" s="57" t="inlineStr">
        <is>
          <t>Bill ID</t>
        </is>
      </c>
      <c r="I1" s="57" t="inlineStr">
        <is>
          <t>Opp start support</t>
        </is>
      </c>
      <c r="J1" s="57" t="inlineStr">
        <is>
          <t>Win threshold</t>
        </is>
      </c>
      <c r="K1" s="57" t="inlineStr">
        <is>
          <t>XP reward</t>
        </is>
      </c>
      <c r="L1" s="57" t="inlineStr">
        <is>
          <t>Note</t>
        </is>
      </c>
      <c r="M1" s="57" t="inlineStr">
        <is>
          <t>Difficulty</t>
        </is>
      </c>
      <c r="N1" s="57" t="inlineStr">
        <is>
          <t>Committee size</t>
        </is>
      </c>
      <c r="O1" s="57" t="inlineStr">
        <is>
          <t>Size in band?</t>
        </is>
      </c>
    </row>
    <row r="2" ht="26.25" customHeight="1" s="43">
      <c r="A2" s="59" t="inlineStr">
        <is>
          <t>MOD01</t>
        </is>
      </c>
      <c r="B2" s="59" t="n">
        <v>1</v>
      </c>
      <c r="C2" s="59" t="inlineStr">
        <is>
          <t>ST07</t>
        </is>
      </c>
      <c r="D2" s="58">
        <f>IFERROR(INDEX(Stages!$B$2:$B$9,MATCH(C2,Stages!$A$2:$A$9,0)),"?")</f>
        <v/>
      </c>
      <c r="E2" s="58">
        <f>IFERROR(INDEX(Stages!$E$2:$E$9,MATCH(C2,Stages!$A$2:$A$9,0)),"?")</f>
        <v/>
      </c>
      <c r="F2" s="58" t="n"/>
      <c r="G2" s="58">
        <f>IF(F2="","—",IFERROR(INDEX(Opponents!$B$2:$B$10,MATCH(F2,Opponents!$A$2:$A$10,0)),"?"))</f>
        <v/>
      </c>
      <c r="H2" s="59" t="inlineStr">
        <is>
          <t>B01</t>
        </is>
      </c>
      <c r="I2" s="58">
        <f>IF(E2&lt;&gt;"Combat","—",IF(C2="ST01",ROUND(N2*Balance!$B$23,0),INDEX(Stages!$O$2:$O$9,MATCH(C2,Stages!$A$2:$A$9,0))+IFERROR(INDEX(Bills!$H$2:$H$4,MATCH(H2,Bills!$A$2:$A$4,0)),0)))</f>
        <v/>
      </c>
      <c r="J2" s="58">
        <f>IF(E2&lt;&gt;"Combat","—",IF(C2="ST01",INT(N2/2)+1,INDEX(Stages!$H$2:$H$9,MATCH(C2,Stages!$A$2:$A$9,0))))</f>
        <v/>
      </c>
      <c r="K2" s="58">
        <f>INDEX(Stages!$Z$2:$Z$9,MATCH(C2,Stages!$A$2:$A$9,0))</f>
        <v/>
      </c>
      <c r="L2" s="58" t="inlineStr">
        <is>
          <t>Pre-module office hours: sets Jiban/Kaban going in.</t>
        </is>
      </c>
      <c r="M2" s="58" t="n"/>
      <c r="N2" s="58" t="n"/>
      <c r="O2" s="58">
        <f>IF(C2&lt;&gt;"ST01","",IF(AND(N2&gt;=INDEX(Balance!$B$20:$B$22,MATCH(M2,Balance!$A$20:$A$22,0)),N2&lt;=INDEX(Balance!$C$20:$C$22,MATCH(M2,Balance!$A$20:$A$22,0))),"ok","OUT OF BAND"))</f>
        <v/>
      </c>
    </row>
    <row r="3" ht="15" customHeight="1" s="43">
      <c r="A3" s="59" t="inlineStr">
        <is>
          <t>MOD01</t>
        </is>
      </c>
      <c r="B3" s="59" t="n">
        <v>2</v>
      </c>
      <c r="C3" s="59" t="inlineStr">
        <is>
          <t>ST01</t>
        </is>
      </c>
      <c r="D3" s="58">
        <f>IFERROR(INDEX(Stages!$B$2:$B$9,MATCH(C3,Stages!$A$2:$A$9,0)),"?")</f>
        <v/>
      </c>
      <c r="E3" s="58">
        <f>IFERROR(INDEX(Stages!$E$2:$E$9,MATCH(C3,Stages!$A$2:$A$9,0)),"?")</f>
        <v/>
      </c>
      <c r="F3" s="59" t="inlineStr">
        <is>
          <t>OP09</t>
        </is>
      </c>
      <c r="G3" s="58">
        <f>IF(F3="","—",IFERROR(INDEX(Opponents!$B$2:$B$10,MATCH(F3,Opponents!$A$2:$A$10,0)),"?"))</f>
        <v/>
      </c>
      <c r="H3" s="59" t="inlineStr">
        <is>
          <t>B01</t>
        </is>
      </c>
      <c r="I3" s="58">
        <f>IF(E3&lt;&gt;"Combat","—",IF(N3&gt;0,COUNTIFS(Committee!$A$2:$A$100,A3,Committee!$B$2:$B$100,B3,Committee!$H$2:$H$100,"Against"),ROUND(N3*Balance!$B$23,0)))</f>
        <v/>
      </c>
      <c r="J3" s="58">
        <f>IF(E3&lt;&gt;"Combat","—",IF(C3="ST01",INT(N3/2)+1,INDEX(Stages!$H$2:$H$9,MATCH(C3,Stages!$A$2:$A$9,0))))</f>
        <v/>
      </c>
      <c r="K3" s="58">
        <f>INDEX(Stages!$Z$2:$Z$9,MATCH(C3,Stages!$A$2:$A$9,0))</f>
        <v/>
      </c>
      <c r="L3" s="58" t="inlineStr">
        <is>
          <t>Environment committee review of B01. Chair: Walter Peard (canon Environment member). Members listed in Committee tab.</t>
        </is>
      </c>
      <c r="M3" s="59" t="inlineStr">
        <is>
          <t>Easy</t>
        </is>
      </c>
      <c r="N3" s="58">
        <f>COUNTIFS(Committee!$A$2:$A$100,A3,Committee!$B$2:$B$100,B3)</f>
        <v/>
      </c>
      <c r="O3" s="58">
        <f>IF(C3&lt;&gt;"ST01","",IF(AND(N3&gt;=INDEX(Balance!$B$20:$B$22,MATCH(M3,Balance!$A$20:$A$22,0)),N3&lt;=INDEX(Balance!$C$20:$C$22,MATCH(M3,Balance!$A$20:$A$22,0))),"ok","OUT OF BAND"))</f>
        <v/>
      </c>
    </row>
    <row r="4" ht="39" customHeight="1" s="43">
      <c r="A4" s="59" t="inlineStr">
        <is>
          <t>MOD01</t>
        </is>
      </c>
      <c r="B4" s="59" t="n">
        <v>3</v>
      </c>
      <c r="C4" s="59" t="inlineStr">
        <is>
          <t>ST03</t>
        </is>
      </c>
      <c r="D4" s="58">
        <f>IFERROR(INDEX(Stages!$B$2:$B$9,MATCH(C4,Stages!$A$2:$A$9,0)),"?")</f>
        <v/>
      </c>
      <c r="E4" s="58">
        <f>IFERROR(INDEX(Stages!$E$2:$E$9,MATCH(C4,Stages!$A$2:$A$9,0)),"?")</f>
        <v/>
      </c>
      <c r="F4" s="81" t="inlineStr">
        <is>
          <t>OP02</t>
        </is>
      </c>
      <c r="G4" s="58">
        <f>IF(F4="","—",IFERROR(INDEX(Opponents!$B$2:$B$10,MATCH(F4,Opponents!$A$2:$A$10,0)),"?"))</f>
        <v/>
      </c>
      <c r="H4" s="59" t="inlineStr">
        <is>
          <t>B01</t>
        </is>
      </c>
      <c r="I4" s="58">
        <f>IF(E4&lt;&gt;"Combat","—",IF(C4="ST01",ROUND(N4*Balance!$B$23,0),INDEX(Stages!$O$2:$O$9,MATCH(C4,Stages!$A$2:$A$9,0))+IFERROR(INDEX(Bills!$H$2:$H$4,MATCH(H4,Bills!$A$2:$A$4,0)),0)))</f>
        <v/>
      </c>
      <c r="J4" s="58">
        <f>IF(E4&lt;&gt;"Combat","—",IF(C4="ST01",INT(N4/2)+1,INDEX(Stages!$H$2:$H$9,MATCH(C4,Stages!$A$2:$A$9,0))))</f>
        <v/>
      </c>
      <c r="K4" s="58">
        <f>INDEX(Stages!$Z$2:$Z$9,MATCH(C4,Stages!$A$2:$A$9,0))</f>
        <v/>
      </c>
      <c r="L4" s="58" t="inlineStr">
        <is>
          <t>Caucus rival — replace with same-party opponent once protagonist's party is set (README #2).</t>
        </is>
      </c>
      <c r="M4" s="58" t="n"/>
      <c r="N4" s="58" t="n"/>
      <c r="O4" s="58">
        <f>IF(C4&lt;&gt;"ST01","",IF(AND(N4&gt;=INDEX(Balance!$B$20:$B$22,MATCH(M4,Balance!$A$20:$A$22,0)),N4&lt;=INDEX(Balance!$C$20:$C$22,MATCH(M4,Balance!$A$20:$A$22,0))),"ok","OUT OF BAND"))</f>
        <v/>
      </c>
    </row>
    <row r="5" ht="15" customHeight="1" s="43">
      <c r="A5" s="59" t="inlineStr">
        <is>
          <t>MOD01</t>
        </is>
      </c>
      <c r="B5" s="59" t="n">
        <v>4</v>
      </c>
      <c r="C5" s="59" t="inlineStr">
        <is>
          <t>ST02</t>
        </is>
      </c>
      <c r="D5" s="58">
        <f>IFERROR(INDEX(Stages!$B$2:$B$9,MATCH(C5,Stages!$A$2:$A$9,0)),"?")</f>
        <v/>
      </c>
      <c r="E5" s="58">
        <f>IFERROR(INDEX(Stages!$E$2:$E$9,MATCH(C5,Stages!$A$2:$A$9,0)),"?")</f>
        <v/>
      </c>
      <c r="F5" s="59" t="inlineStr">
        <is>
          <t>OP03</t>
        </is>
      </c>
      <c r="G5" s="58">
        <f>IF(F5="","—",IFERROR(INDEX(Opponents!$B$2:$B$10,MATCH(F5,Opponents!$A$2:$A$10,0)),"?"))</f>
        <v/>
      </c>
      <c r="H5" s="59" t="inlineStr">
        <is>
          <t>B01</t>
        </is>
      </c>
      <c r="I5" s="58">
        <f>IF(E5&lt;&gt;"Combat","—",IF(C5="ST01",ROUND(N5*Balance!$B$23,0),INDEX(Stages!$O$2:$O$9,MATCH(C5,Stages!$A$2:$A$9,0))+IFERROR(INDEX(Bills!$H$2:$H$4,MATCH(H5,Bills!$A$2:$A$4,0)),0)))</f>
        <v/>
      </c>
      <c r="J5" s="58">
        <f>IF(E5&lt;&gt;"Combat","—",IF(C5="ST01",INT(N5/2)+1,INDEX(Stages!$H$2:$H$9,MATCH(C5,Stages!$A$2:$A$9,0))))</f>
        <v/>
      </c>
      <c r="K5" s="58">
        <f>INDEX(Stages!$Z$2:$Z$9,MATCH(C5,Stages!$A$2:$A$9,0))</f>
        <v/>
      </c>
      <c r="L5" s="58" t="inlineStr">
        <is>
          <t>Floor vote: 51 of 101 seats.</t>
        </is>
      </c>
      <c r="M5" s="58" t="n"/>
      <c r="N5" s="58" t="n"/>
      <c r="O5" s="58">
        <f>IF(C5&lt;&gt;"ST01","",IF(AND(N5&gt;=INDEX(Balance!$B$20:$B$22,MATCH(M5,Balance!$A$20:$A$22,0)),N5&lt;=INDEX(Balance!$C$20:$C$22,MATCH(M5,Balance!$A$20:$A$22,0))),"ok","OUT OF BAND"))</f>
        <v/>
      </c>
    </row>
    <row r="6" ht="26.25" customHeight="1" s="43">
      <c r="J6" s="61" t="inlineStr">
        <is>
          <t>Module XP</t>
        </is>
      </c>
      <c r="K6" s="58">
        <f>SUM(K2:K5)</f>
        <v/>
      </c>
    </row>
  </sheetData>
  <dataValidations count="1">
    <dataValidation sqref="M2:M100" showDropDown="0" showInputMessage="0" showErrorMessage="0" allowBlank="1" type="list" errorStyle="stop" operator="between">
      <formula1>Lists!$G$2:$G$4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42" min="1" max="1"/>
    <col width="6" customWidth="1" style="42" min="2" max="2"/>
    <col width="9" customWidth="1" style="42" min="3" max="3"/>
    <col width="7" customWidth="1" style="42" min="4" max="4"/>
    <col width="6" customWidth="1" style="42" min="5" max="6"/>
    <col width="9" customWidth="1" style="42" min="7" max="7"/>
    <col width="40" customWidth="1" style="42" min="8" max="8"/>
    <col width="9" customWidth="1" style="42" min="9" max="9"/>
    <col width="36" customWidth="1" style="42" min="10" max="10"/>
    <col width="34" customWidth="1" style="42" min="11" max="11"/>
    <col width="10" customWidth="1" style="42" min="12" max="12"/>
    <col width="40" customWidth="1" style="42" min="13" max="13"/>
  </cols>
  <sheetData>
    <row r="1" ht="31.5" customHeight="1" s="43">
      <c r="A1" s="57" t="inlineStr">
        <is>
          <t>Variable</t>
        </is>
      </c>
      <c r="B1" s="57" t="inlineStr">
        <is>
          <t>JP</t>
        </is>
      </c>
      <c r="C1" s="57" t="inlineStr">
        <is>
          <t>Romaji</t>
        </is>
      </c>
      <c r="D1" s="57" t="inlineStr">
        <is>
          <t>Start</t>
        </is>
      </c>
      <c r="E1" s="57" t="inlineStr">
        <is>
          <t>Min</t>
        </is>
      </c>
      <c r="F1" s="57" t="inlineStr">
        <is>
          <t>Max</t>
        </is>
      </c>
      <c r="G1" s="57" t="inlineStr">
        <is>
          <t>Low threshold</t>
        </is>
      </c>
      <c r="H1" s="57" t="inlineStr">
        <is>
          <t>Low consequence</t>
        </is>
      </c>
      <c r="I1" s="57" t="inlineStr">
        <is>
          <t>High threshold</t>
        </is>
      </c>
      <c r="J1" s="57" t="inlineStr">
        <is>
          <t>High consequence</t>
        </is>
      </c>
      <c r="K1" s="57" t="inlineStr">
        <is>
          <t>Fed by</t>
        </is>
      </c>
      <c r="L1" s="57" t="inlineStr">
        <is>
          <t>Critical threshold</t>
        </is>
      </c>
      <c r="M1" s="57" t="inlineStr">
        <is>
          <t>Critical consequence</t>
        </is>
      </c>
    </row>
    <row r="2" ht="42" customHeight="1" s="43">
      <c r="A2" s="59" t="inlineStr">
        <is>
          <t>Constituency support</t>
        </is>
      </c>
      <c r="B2" s="63" t="inlineStr">
        <is>
          <t>地盤</t>
        </is>
      </c>
      <c r="C2" s="59" t="inlineStr">
        <is>
          <t>Jiban</t>
        </is>
      </c>
      <c r="D2" s="59" t="n">
        <v>50</v>
      </c>
      <c r="E2" s="59" t="n">
        <v>0</v>
      </c>
      <c r="F2" s="59" t="n">
        <v>100</v>
      </c>
      <c r="G2" s="77">
        <f>Balance!$B$25</f>
        <v/>
      </c>
      <c r="H2" s="59" t="inlineStr">
        <is>
          <t>Triggers Town Hall event (ST05); winning it restores Jiban.</t>
        </is>
      </c>
      <c r="I2" s="59" t="n">
        <v>80</v>
      </c>
      <c r="J2" s="81" t="inlineStr">
        <is>
          <t>Election victory; party post eligibility (titles TBD)</t>
        </is>
      </c>
      <c r="K2" s="59" t="inlineStr">
        <is>
          <t>Office hours, Town Hall wins</t>
        </is>
      </c>
      <c r="L2" s="77">
        <f>Balance!$B$26</f>
        <v/>
      </c>
      <c r="M2" s="59" t="inlineStr">
        <is>
          <t>All funding frozen (Kaban income = 0) until Jiban rises above 0.</t>
        </is>
      </c>
    </row>
    <row r="3" ht="16.5" customHeight="1" s="43">
      <c r="A3" s="59" t="inlineStr">
        <is>
          <t>Reputation</t>
        </is>
      </c>
      <c r="B3" s="63" t="inlineStr">
        <is>
          <t>看板</t>
        </is>
      </c>
      <c r="C3" s="59" t="inlineStr">
        <is>
          <t>Kanban</t>
        </is>
      </c>
      <c r="D3" s="59" t="n">
        <v>50</v>
      </c>
      <c r="E3" s="59" t="n">
        <v>0</v>
      </c>
      <c r="F3" s="59" t="n">
        <v>100</v>
      </c>
      <c r="G3" s="59" t="n">
        <v>20</v>
      </c>
      <c r="H3" s="59" t="inlineStr">
        <is>
          <t>Press stages start at −5 support</t>
        </is>
      </c>
      <c r="I3" s="59" t="n">
        <v>80</v>
      </c>
      <c r="J3" s="59" t="inlineStr">
        <is>
          <t>Press stages start at +5 support</t>
        </is>
      </c>
      <c r="K3" s="59" t="inlineStr">
        <is>
          <t>Press Conference, TV Debate</t>
        </is>
      </c>
      <c r="L3" s="58" t="n"/>
      <c r="M3" s="58" t="n"/>
    </row>
    <row r="4" ht="16.5" customHeight="1" s="43">
      <c r="A4" s="59" t="inlineStr">
        <is>
          <t>Funds</t>
        </is>
      </c>
      <c r="B4" s="63" t="inlineStr">
        <is>
          <t>鞄</t>
        </is>
      </c>
      <c r="C4" s="59" t="inlineStr">
        <is>
          <t>Kaban</t>
        </is>
      </c>
      <c r="D4" s="59" t="n">
        <v>30</v>
      </c>
      <c r="E4" s="59" t="n">
        <v>0</v>
      </c>
      <c r="F4" s="59" t="n">
        <v>999</v>
      </c>
      <c r="G4" s="59" t="n">
        <v>0</v>
      </c>
      <c r="H4" s="59" t="inlineStr">
        <is>
          <t>Cannot buy modifiers or hire staff</t>
        </is>
      </c>
      <c r="I4" s="59" t="n">
        <v>100</v>
      </c>
      <c r="J4" s="59" t="inlineStr">
        <is>
          <t>Unlock premium modifiers</t>
        </is>
      </c>
      <c r="K4" s="59" t="inlineStr">
        <is>
          <t>Donor visits, M02</t>
        </is>
      </c>
      <c r="L4" s="58" t="n"/>
      <c r="M4" s="58" t="n"/>
    </row>
    <row r="5" ht="32.25" customHeight="1" s="43">
      <c r="A5" s="59" t="inlineStr">
        <is>
          <t>Party support</t>
        </is>
      </c>
      <c r="B5" s="63" t="inlineStr">
        <is>
          <t>党内支持</t>
        </is>
      </c>
      <c r="C5" s="59" t="inlineStr">
        <is>
          <t>Tōnai Shiji</t>
        </is>
      </c>
      <c r="D5" s="59" t="n">
        <v>50</v>
      </c>
      <c r="E5" s="59" t="n">
        <v>0</v>
      </c>
      <c r="F5" s="59" t="n">
        <v>100</v>
      </c>
      <c r="G5" s="77">
        <f>Balance!$B$28</f>
        <v/>
      </c>
      <c r="H5" s="59" t="inlineStr">
        <is>
          <t>Debuff M10 (Cold Shoulder) active</t>
        </is>
      </c>
      <c r="I5" s="77">
        <f>Balance!$B$27</f>
        <v/>
      </c>
      <c r="J5" s="59" t="inlineStr">
        <is>
          <t>Allied buff M09 (Party Backing) active</t>
        </is>
      </c>
      <c r="K5" s="59" t="inlineStr">
        <is>
          <t>Caucus results (Stages col AB), party-line votes</t>
        </is>
      </c>
      <c r="L5" s="77">
        <f>Balance!$B$29</f>
        <v/>
      </c>
      <c r="M5" s="59" t="inlineStr">
        <is>
          <t>Party Steering Committee stage (ST08) triggered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2" min="1" max="6"/>
    <col width="14" customWidth="1" style="42" min="8" max="11"/>
  </cols>
  <sheetData>
    <row r="1" ht="15" customHeight="1" s="43">
      <c r="A1" s="83" t="inlineStr">
        <is>
          <t>Suits</t>
        </is>
      </c>
      <c r="B1" s="83" t="inlineStr">
        <is>
          <t>Types</t>
        </is>
      </c>
      <c r="C1" s="83" t="inlineStr">
        <is>
          <t>Segments</t>
        </is>
      </c>
      <c r="D1" s="83" t="inlineStr">
        <is>
          <t>Tiers</t>
        </is>
      </c>
      <c r="E1" s="83" t="inlineStr">
        <is>
          <t>Modes</t>
        </is>
      </c>
      <c r="F1" s="83" t="inlineStr">
        <is>
          <t>ModCategory</t>
        </is>
      </c>
      <c r="G1" s="83" t="inlineStr">
        <is>
          <t>Difficulty</t>
        </is>
      </c>
      <c r="H1" s="83" t="inlineStr">
        <is>
          <t>Tier</t>
        </is>
      </c>
      <c r="I1" s="83" t="inlineStr">
        <is>
          <t>Status</t>
        </is>
      </c>
      <c r="J1" s="83" t="inlineStr">
        <is>
          <t>Stance</t>
        </is>
      </c>
      <c r="K1" s="83" t="inlineStr">
        <is>
          <t>AssetSource</t>
        </is>
      </c>
    </row>
    <row r="2" ht="15" customHeight="1" s="43">
      <c r="A2" s="55" t="inlineStr">
        <is>
          <t>Earnest</t>
        </is>
      </c>
      <c r="B2" s="55" t="inlineStr">
        <is>
          <t>Gain</t>
        </is>
      </c>
      <c r="C2" s="55" t="inlineStr">
        <is>
          <t>Any</t>
        </is>
      </c>
      <c r="D2" s="55" t="inlineStr">
        <is>
          <t>Starter</t>
        </is>
      </c>
      <c r="E2" s="55" t="inlineStr">
        <is>
          <t>Combat</t>
        </is>
      </c>
      <c r="F2" s="55" t="inlineStr">
        <is>
          <t>Kōenkai</t>
        </is>
      </c>
      <c r="G2" s="55" t="inlineStr">
        <is>
          <t>Easy</t>
        </is>
      </c>
      <c r="H2" s="55" t="inlineStr">
        <is>
          <t>Party</t>
        </is>
      </c>
      <c r="I2" s="55" t="inlineStr">
        <is>
          <t>Not started</t>
        </is>
      </c>
      <c r="J2" s="55" t="inlineStr">
        <is>
          <t>For</t>
        </is>
      </c>
      <c r="K2" s="55" t="inlineStr">
        <is>
          <t>ComiPo!</t>
        </is>
      </c>
    </row>
    <row r="3" ht="15" customHeight="1" s="43">
      <c r="A3" s="55" t="inlineStr">
        <is>
          <t>Emotional</t>
        </is>
      </c>
      <c r="B3" s="55" t="inlineStr">
        <is>
          <t>Attack</t>
        </is>
      </c>
      <c r="C3" s="55" t="inlineStr">
        <is>
          <t>Press</t>
        </is>
      </c>
      <c r="D3" s="55" t="inlineStr">
        <is>
          <t>Tier 1</t>
        </is>
      </c>
      <c r="E3" s="55" t="inlineStr">
        <is>
          <t>Non-combat</t>
        </is>
      </c>
      <c r="F3" s="55" t="inlineStr">
        <is>
          <t>Bankisha</t>
        </is>
      </c>
      <c r="G3" s="55" t="inlineStr">
        <is>
          <t>Normal</t>
        </is>
      </c>
      <c r="H3" s="55" t="inlineStr">
        <is>
          <t>Constituency</t>
        </is>
      </c>
      <c r="I3" s="55" t="inlineStr">
        <is>
          <t>Rendered</t>
        </is>
      </c>
      <c r="J3" s="55" t="inlineStr">
        <is>
          <t>Undecided</t>
        </is>
      </c>
      <c r="K3" s="55" t="inlineStr">
        <is>
          <t>Midjourney</t>
        </is>
      </c>
    </row>
    <row r="4" ht="15" customHeight="1" s="43">
      <c r="A4" s="55" t="inlineStr">
        <is>
          <t>Appeal</t>
        </is>
      </c>
      <c r="B4" s="55" t="inlineStr">
        <is>
          <t>Defend</t>
        </is>
      </c>
      <c r="C4" s="55" t="inlineStr">
        <is>
          <t>Loyalists</t>
        </is>
      </c>
      <c r="D4" s="55" t="inlineStr">
        <is>
          <t>Tier 2</t>
        </is>
      </c>
      <c r="F4" s="55" t="inlineStr">
        <is>
          <t>Dantai</t>
        </is>
      </c>
      <c r="G4" s="55" t="inlineStr">
        <is>
          <t>Hard</t>
        </is>
      </c>
      <c r="H4" s="55" t="inlineStr">
        <is>
          <t>National</t>
        </is>
      </c>
      <c r="I4" s="55" t="inlineStr">
        <is>
          <t>Edited</t>
        </is>
      </c>
      <c r="J4" s="55" t="inlineStr">
        <is>
          <t>Against</t>
        </is>
      </c>
      <c r="K4" s="55" t="inlineStr">
        <is>
          <t>ComiPo! + Midjourney</t>
        </is>
      </c>
    </row>
    <row r="5" ht="15" customHeight="1" s="43">
      <c r="A5" s="55" t="inlineStr">
        <is>
          <t>Data Driven</t>
        </is>
      </c>
      <c r="B5" s="55" t="inlineStr">
        <is>
          <t>Buff</t>
        </is>
      </c>
      <c r="C5" s="55" t="inlineStr">
        <is>
          <t>Constituents</t>
        </is>
      </c>
      <c r="F5" s="55" t="inlineStr">
        <is>
          <t>Debuff</t>
        </is>
      </c>
      <c r="I5" s="55" t="inlineStr">
        <is>
          <t>In engine</t>
        </is>
      </c>
      <c r="K5" s="55" t="inlineStr">
        <is>
          <t>Manual</t>
        </is>
      </c>
    </row>
    <row r="6" ht="15" customHeight="1" s="43">
      <c r="A6" s="55" t="inlineStr">
        <is>
          <t>Divisive</t>
        </is>
      </c>
      <c r="B6" s="55" t="inlineStr">
        <is>
          <t>Utility</t>
        </is>
      </c>
      <c r="C6" s="55" t="inlineStr">
        <is>
          <t>Donors</t>
        </is>
      </c>
      <c r="F6" s="55" t="inlineStr">
        <is>
          <t>Party</t>
        </is>
      </c>
      <c r="K6" s="55" t="inlineStr">
        <is>
          <t>Engine/UI</t>
        </is>
      </c>
    </row>
    <row r="7" ht="15" customHeight="1" s="43">
      <c r="A7" s="55" t="inlineStr">
        <is>
          <t>Duplicitous</t>
        </is>
      </c>
      <c r="C7" s="55" t="inlineStr">
        <is>
          <t>Bureaucrats</t>
        </is>
      </c>
      <c r="F7" s="55" t="inlineStr">
        <is>
          <t>Local</t>
        </is>
      </c>
      <c r="K7" s="55" t="inlineStr">
        <is>
          <t>Library</t>
        </is>
      </c>
    </row>
    <row r="8" ht="15" customHeight="1" s="43">
      <c r="K8" s="55" t="inlineStr">
        <is>
          <t>Writing</t>
        </is>
      </c>
    </row>
    <row r="9" ht="15" customHeight="1" s="43">
      <c r="K9" s="55" t="inlineStr">
        <is>
          <t>Export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P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42" min="1" max="1"/>
    <col width="12" customWidth="1" style="42" min="2" max="2"/>
    <col width="26" customWidth="1" style="42" min="3" max="3"/>
    <col width="40" customWidth="1" style="42" min="4" max="4"/>
    <col width="10" customWidth="1" style="42" min="5" max="5"/>
    <col width="9" customWidth="1" style="42" min="6" max="6"/>
    <col width="10" customWidth="1" style="42" min="7" max="7"/>
    <col width="18" customWidth="1" style="42" min="8" max="8"/>
    <col width="12" customWidth="1" style="42" min="9" max="9"/>
    <col width="34" customWidth="1" style="42" min="10" max="10"/>
    <col width="14" customWidth="1" style="42" min="12" max="12"/>
    <col width="10" customWidth="1" style="42" min="13" max="15"/>
    <col width="9" customWidth="1" style="42" min="16" max="16"/>
  </cols>
  <sheetData>
    <row r="1" ht="31.5" customHeight="1" s="43">
      <c r="A1" s="57" t="inlineStr">
        <is>
          <t>Asset ID</t>
        </is>
      </c>
      <c r="B1" s="57" t="inlineStr">
        <is>
          <t>Category</t>
        </is>
      </c>
      <c r="C1" s="57" t="inlineStr">
        <is>
          <t>Asset</t>
        </is>
      </c>
      <c r="D1" s="57" t="inlineStr">
        <is>
          <t>Detail</t>
        </is>
      </c>
      <c r="E1" s="57" t="inlineStr">
        <is>
          <t>Linked ID</t>
        </is>
      </c>
      <c r="F1" s="57" t="inlineStr">
        <is>
          <t>Full count</t>
        </is>
      </c>
      <c r="G1" s="57" t="inlineStr">
        <is>
          <t>Module 01 count</t>
        </is>
      </c>
      <c r="H1" s="57" t="inlineStr">
        <is>
          <t>Source</t>
        </is>
      </c>
      <c r="I1" s="57" t="inlineStr">
        <is>
          <t>Status</t>
        </is>
      </c>
      <c r="J1" s="57" t="inlineStr">
        <is>
          <t>Notes</t>
        </is>
      </c>
      <c r="L1" s="79" t="inlineStr">
        <is>
          <t>Category</t>
        </is>
      </c>
      <c r="M1" s="79" t="inlineStr">
        <is>
          <t>Full count</t>
        </is>
      </c>
      <c r="N1" s="79" t="inlineStr">
        <is>
          <t>Module 01</t>
        </is>
      </c>
      <c r="O1" s="79" t="inlineStr">
        <is>
          <t>In engine</t>
        </is>
      </c>
      <c r="P1" s="79" t="inlineStr">
        <is>
          <t>% done</t>
        </is>
      </c>
    </row>
    <row r="2" ht="26.85" customHeight="1" s="43">
      <c r="A2" s="59" t="inlineStr">
        <is>
          <t>CH01</t>
        </is>
      </c>
      <c r="B2" s="59" t="inlineStr">
        <is>
          <t>Characters</t>
        </is>
      </c>
      <c r="C2" s="59" t="inlineStr">
        <is>
          <t>Protagonist</t>
        </is>
      </c>
      <c r="D2" s="59" t="inlineStr">
        <is>
          <t>Bust portrait: neutral, confident, attacking, flustered, victory, defeat</t>
        </is>
      </c>
      <c r="E2" s="59" t="inlineStr">
        <is>
          <t>—</t>
        </is>
      </c>
      <c r="F2" s="59" t="n">
        <v>6</v>
      </c>
      <c r="G2" s="59" t="n">
        <v>6</v>
      </c>
      <c r="H2" s="59" t="inlineStr">
        <is>
          <t>ComiPo! + Midjourney</t>
        </is>
      </c>
      <c r="I2" s="59" t="inlineStr">
        <is>
          <t>Not started</t>
        </is>
      </c>
      <c r="J2" s="59" t="inlineStr">
        <is>
          <t>Build all from one base pose</t>
        </is>
      </c>
      <c r="L2" s="58" t="inlineStr">
        <is>
          <t>Characters</t>
        </is>
      </c>
      <c r="M2" s="58">
        <f>SUMIF($B$2:$B$101,L2,$F$2:$F$101)</f>
        <v/>
      </c>
      <c r="N2" s="58">
        <f>SUMIF($B$2:$B$101,L2,$G$2:$G$101)</f>
        <v/>
      </c>
      <c r="O2" s="58">
        <f>SUMIFS($F$2:$F$101,$B$2:$B$101,L2,$I$2:$I$101,"In engine")</f>
        <v/>
      </c>
      <c r="P2" s="65">
        <f>IF(M2=0,"",O2/M2)</f>
        <v/>
      </c>
    </row>
    <row r="3" ht="26.85" customHeight="1" s="43">
      <c r="A3" s="59" t="inlineStr">
        <is>
          <t>CH02</t>
        </is>
      </c>
      <c r="B3" s="59" t="inlineStr">
        <is>
          <t>Characters</t>
        </is>
      </c>
      <c r="C3" s="77">
        <f>Opponents!B2</f>
        <v/>
      </c>
      <c r="D3" s="59" t="inlineStr">
        <is>
          <t>5 expressions: neutral, attacking, confident, flustered, defeated</t>
        </is>
      </c>
      <c r="E3" s="59" t="inlineStr">
        <is>
          <t>OP01</t>
        </is>
      </c>
      <c r="F3" s="59" t="n">
        <v>5</v>
      </c>
      <c r="G3" s="59" t="n">
        <v>0</v>
      </c>
      <c r="H3" s="59" t="inlineStr">
        <is>
          <t>ComiPo! + Midjourney</t>
        </is>
      </c>
      <c r="I3" s="59" t="inlineStr">
        <is>
          <t>Not started</t>
        </is>
      </c>
      <c r="J3" s="59" t="n"/>
      <c r="L3" s="58" t="inlineStr">
        <is>
          <t>Cards</t>
        </is>
      </c>
      <c r="M3" s="58">
        <f>SUMIF($B$2:$B$101,L3,$F$2:$F$101)</f>
        <v/>
      </c>
      <c r="N3" s="58">
        <f>SUMIF($B$2:$B$101,L3,$G$2:$G$101)</f>
        <v/>
      </c>
      <c r="O3" s="58">
        <f>SUMIFS($F$2:$F$101,$B$2:$B$101,L3,$I$2:$I$101,"In engine")</f>
        <v/>
      </c>
      <c r="P3" s="65">
        <f>IF(M3=0,"",O3/M3)</f>
        <v/>
      </c>
    </row>
    <row r="4" ht="26.85" customHeight="1" s="43">
      <c r="A4" s="59" t="inlineStr">
        <is>
          <t>CH03</t>
        </is>
      </c>
      <c r="B4" s="59" t="inlineStr">
        <is>
          <t>Characters</t>
        </is>
      </c>
      <c r="C4" s="77">
        <f>Opponents!B3</f>
        <v/>
      </c>
      <c r="D4" s="59" t="inlineStr">
        <is>
          <t>5 expressions: neutral, attacking, confident, flustered, defeated</t>
        </is>
      </c>
      <c r="E4" s="59" t="inlineStr">
        <is>
          <t>OP02</t>
        </is>
      </c>
      <c r="F4" s="59" t="n">
        <v>5</v>
      </c>
      <c r="G4" s="59" t="n">
        <v>5</v>
      </c>
      <c r="H4" s="59" t="inlineStr">
        <is>
          <t>ComiPo! + Midjourney</t>
        </is>
      </c>
      <c r="I4" s="59" t="inlineStr">
        <is>
          <t>Not started</t>
        </is>
      </c>
      <c r="J4" s="59" t="n"/>
      <c r="L4" s="58" t="inlineStr">
        <is>
          <t>Backgrounds</t>
        </is>
      </c>
      <c r="M4" s="58">
        <f>SUMIF($B$2:$B$101,L4,$F$2:$F$101)</f>
        <v/>
      </c>
      <c r="N4" s="58">
        <f>SUMIF($B$2:$B$101,L4,$G$2:$G$101)</f>
        <v/>
      </c>
      <c r="O4" s="58">
        <f>SUMIFS($F$2:$F$101,$B$2:$B$101,L4,$I$2:$I$101,"In engine")</f>
        <v/>
      </c>
      <c r="P4" s="65">
        <f>IF(M4=0,"",O4/M4)</f>
        <v/>
      </c>
    </row>
    <row r="5" ht="26.85" customHeight="1" s="43">
      <c r="A5" s="59" t="inlineStr">
        <is>
          <t>CH04</t>
        </is>
      </c>
      <c r="B5" s="59" t="inlineStr">
        <is>
          <t>Characters</t>
        </is>
      </c>
      <c r="C5" s="77">
        <f>Opponents!B4</f>
        <v/>
      </c>
      <c r="D5" s="59" t="inlineStr">
        <is>
          <t>5 expressions: neutral, attacking, confident, flustered, defeated</t>
        </is>
      </c>
      <c r="E5" s="59" t="inlineStr">
        <is>
          <t>OP03</t>
        </is>
      </c>
      <c r="F5" s="59" t="n">
        <v>5</v>
      </c>
      <c r="G5" s="59" t="n">
        <v>5</v>
      </c>
      <c r="H5" s="59" t="inlineStr">
        <is>
          <t>ComiPo! + Midjourney</t>
        </is>
      </c>
      <c r="I5" s="59" t="inlineStr">
        <is>
          <t>Not started</t>
        </is>
      </c>
      <c r="J5" s="59" t="n"/>
      <c r="L5" s="58" t="inlineStr">
        <is>
          <t>Icons</t>
        </is>
      </c>
      <c r="M5" s="58">
        <f>SUMIF($B$2:$B$101,L5,$F$2:$F$101)</f>
        <v/>
      </c>
      <c r="N5" s="58">
        <f>SUMIF($B$2:$B$101,L5,$G$2:$G$101)</f>
        <v/>
      </c>
      <c r="O5" s="58">
        <f>SUMIFS($F$2:$F$101,$B$2:$B$101,L5,$I$2:$I$101,"In engine")</f>
        <v/>
      </c>
      <c r="P5" s="65">
        <f>IF(M5=0,"",O5/M5)</f>
        <v/>
      </c>
    </row>
    <row r="6" ht="26.85" customHeight="1" s="43">
      <c r="A6" s="59" t="inlineStr">
        <is>
          <t>CH05</t>
        </is>
      </c>
      <c r="B6" s="59" t="inlineStr">
        <is>
          <t>Characters</t>
        </is>
      </c>
      <c r="C6" s="77">
        <f>Opponents!B5</f>
        <v/>
      </c>
      <c r="D6" s="59" t="inlineStr">
        <is>
          <t>5 expressions: neutral, attacking, confident, flustered, defeated</t>
        </is>
      </c>
      <c r="E6" s="59" t="inlineStr">
        <is>
          <t>OP04</t>
        </is>
      </c>
      <c r="F6" s="59" t="n">
        <v>5</v>
      </c>
      <c r="G6" s="59" t="n">
        <v>0</v>
      </c>
      <c r="H6" s="59" t="inlineStr">
        <is>
          <t>ComiPo! + Midjourney</t>
        </is>
      </c>
      <c r="I6" s="59" t="inlineStr">
        <is>
          <t>Not started</t>
        </is>
      </c>
      <c r="J6" s="59" t="n"/>
      <c r="L6" s="58" t="inlineStr">
        <is>
          <t>Screens</t>
        </is>
      </c>
      <c r="M6" s="58">
        <f>SUMIF($B$2:$B$101,L6,$F$2:$F$101)</f>
        <v/>
      </c>
      <c r="N6" s="58">
        <f>SUMIF($B$2:$B$101,L6,$G$2:$G$101)</f>
        <v/>
      </c>
      <c r="O6" s="58">
        <f>SUMIFS($F$2:$F$101,$B$2:$B$101,L6,$I$2:$I$101,"In engine")</f>
        <v/>
      </c>
      <c r="P6" s="65">
        <f>IF(M6=0,"",O6/M6)</f>
        <v/>
      </c>
    </row>
    <row r="7" ht="26.85" customHeight="1" s="43">
      <c r="A7" s="59" t="inlineStr">
        <is>
          <t>CH06</t>
        </is>
      </c>
      <c r="B7" s="59" t="inlineStr">
        <is>
          <t>Characters</t>
        </is>
      </c>
      <c r="C7" s="77">
        <f>Opponents!B6</f>
        <v/>
      </c>
      <c r="D7" s="59" t="inlineStr">
        <is>
          <t>5 expressions: neutral, attacking, confident, flustered, defeated</t>
        </is>
      </c>
      <c r="E7" s="59" t="inlineStr">
        <is>
          <t>OP05</t>
        </is>
      </c>
      <c r="F7" s="59" t="n">
        <v>5</v>
      </c>
      <c r="G7" s="59" t="n">
        <v>0</v>
      </c>
      <c r="H7" s="59" t="inlineStr">
        <is>
          <t>ComiPo! + Midjourney</t>
        </is>
      </c>
      <c r="I7" s="59" t="inlineStr">
        <is>
          <t>Not started</t>
        </is>
      </c>
      <c r="J7" s="59" t="n"/>
      <c r="L7" s="58" t="inlineStr">
        <is>
          <t>Branding</t>
        </is>
      </c>
      <c r="M7" s="58">
        <f>SUMIF($B$2:$B$101,L7,$F$2:$F$101)</f>
        <v/>
      </c>
      <c r="N7" s="58">
        <f>SUMIF($B$2:$B$101,L7,$G$2:$G$101)</f>
        <v/>
      </c>
      <c r="O7" s="58">
        <f>SUMIFS($F$2:$F$101,$B$2:$B$101,L7,$I$2:$I$101,"In engine")</f>
        <v/>
      </c>
      <c r="P7" s="65">
        <f>IF(M7=0,"",O7/M7)</f>
        <v/>
      </c>
    </row>
    <row r="8" ht="26.85" customHeight="1" s="43">
      <c r="A8" s="59" t="inlineStr">
        <is>
          <t>CH07</t>
        </is>
      </c>
      <c r="B8" s="59" t="inlineStr">
        <is>
          <t>Characters</t>
        </is>
      </c>
      <c r="C8" s="77">
        <f>Opponents!B7</f>
        <v/>
      </c>
      <c r="D8" s="59" t="inlineStr">
        <is>
          <t>5 expressions: neutral, attacking, confident, flustered, defeated</t>
        </is>
      </c>
      <c r="E8" s="59" t="inlineStr">
        <is>
          <t>OP06</t>
        </is>
      </c>
      <c r="F8" s="59" t="n">
        <v>5</v>
      </c>
      <c r="G8" s="59" t="n">
        <v>0</v>
      </c>
      <c r="H8" s="59" t="inlineStr">
        <is>
          <t>ComiPo! + Midjourney</t>
        </is>
      </c>
      <c r="I8" s="59" t="inlineStr">
        <is>
          <t>Not started</t>
        </is>
      </c>
      <c r="J8" s="59" t="n"/>
      <c r="L8" s="58" t="inlineStr">
        <is>
          <t>Audio</t>
        </is>
      </c>
      <c r="M8" s="58">
        <f>SUMIF($B$2:$B$101,L8,$F$2:$F$101)</f>
        <v/>
      </c>
      <c r="N8" s="58">
        <f>SUMIF($B$2:$B$101,L8,$G$2:$G$101)</f>
        <v/>
      </c>
      <c r="O8" s="58">
        <f>SUMIFS($F$2:$F$101,$B$2:$B$101,L8,$I$2:$I$101,"In engine")</f>
        <v/>
      </c>
      <c r="P8" s="65">
        <f>IF(M8=0,"",O8/M8)</f>
        <v/>
      </c>
    </row>
    <row r="9" ht="26.85" customHeight="1" s="43">
      <c r="A9" s="59" t="inlineStr">
        <is>
          <t>CH08</t>
        </is>
      </c>
      <c r="B9" s="59" t="inlineStr">
        <is>
          <t>Characters</t>
        </is>
      </c>
      <c r="C9" s="77">
        <f>Opponents!B8</f>
        <v/>
      </c>
      <c r="D9" s="59" t="inlineStr">
        <is>
          <t>5 expressions: neutral, attacking, confident, flustered, defeated</t>
        </is>
      </c>
      <c r="E9" s="59" t="inlineStr">
        <is>
          <t>OP07</t>
        </is>
      </c>
      <c r="F9" s="59" t="n">
        <v>5</v>
      </c>
      <c r="G9" s="59" t="n">
        <v>0</v>
      </c>
      <c r="H9" s="59" t="inlineStr">
        <is>
          <t>ComiPo! + Midjourney</t>
        </is>
      </c>
      <c r="I9" s="59" t="inlineStr">
        <is>
          <t>Not started</t>
        </is>
      </c>
      <c r="J9" s="59" t="n"/>
      <c r="L9" s="58" t="inlineStr">
        <is>
          <t>Text</t>
        </is>
      </c>
      <c r="M9" s="58">
        <f>SUMIF($B$2:$B$101,L9,$F$2:$F$101)</f>
        <v/>
      </c>
      <c r="N9" s="58">
        <f>SUMIF($B$2:$B$101,L9,$G$2:$G$101)</f>
        <v/>
      </c>
      <c r="O9" s="58">
        <f>SUMIFS($F$2:$F$101,$B$2:$B$101,L9,$I$2:$I$101,"In engine")</f>
        <v/>
      </c>
      <c r="P9" s="65">
        <f>IF(M9=0,"",O9/M9)</f>
        <v/>
      </c>
    </row>
    <row r="10" ht="26.85" customHeight="1" s="43">
      <c r="A10" s="59" t="inlineStr">
        <is>
          <t>CH09</t>
        </is>
      </c>
      <c r="B10" s="59" t="inlineStr">
        <is>
          <t>Characters</t>
        </is>
      </c>
      <c r="C10" s="77">
        <f>Opponents!B9</f>
        <v/>
      </c>
      <c r="D10" s="59" t="inlineStr">
        <is>
          <t>5 expressions: neutral, attacking, confident, flustered, defeated</t>
        </is>
      </c>
      <c r="E10" s="59" t="inlineStr">
        <is>
          <t>OP08</t>
        </is>
      </c>
      <c r="F10" s="59" t="n">
        <v>5</v>
      </c>
      <c r="G10" s="59" t="n">
        <v>0</v>
      </c>
      <c r="H10" s="59" t="inlineStr">
        <is>
          <t>ComiPo! + Midjourney</t>
        </is>
      </c>
      <c r="I10" s="59" t="inlineStr">
        <is>
          <t>Not started</t>
        </is>
      </c>
      <c r="J10" s="59" t="n"/>
      <c r="L10" s="58" t="inlineStr">
        <is>
          <t>Data</t>
        </is>
      </c>
      <c r="M10" s="58">
        <f>SUMIF($B$2:$B$101,L10,$F$2:$F$101)</f>
        <v/>
      </c>
      <c r="N10" s="58">
        <f>SUMIF($B$2:$B$101,L10,$G$2:$G$101)</f>
        <v/>
      </c>
      <c r="O10" s="58">
        <f>SUMIFS($F$2:$F$101,$B$2:$B$101,L10,$I$2:$I$101,"In engine")</f>
        <v/>
      </c>
      <c r="P10" s="65">
        <f>IF(M10=0,"",O10/M10)</f>
        <v/>
      </c>
    </row>
    <row r="11" ht="26.85" customHeight="1" s="43">
      <c r="A11" s="59" t="inlineStr">
        <is>
          <t>CH10</t>
        </is>
      </c>
      <c r="B11" s="59" t="inlineStr">
        <is>
          <t>Characters</t>
        </is>
      </c>
      <c r="C11" s="77">
        <f>Opponents!B10</f>
        <v/>
      </c>
      <c r="D11" s="59" t="inlineStr">
        <is>
          <t>5 expressions: neutral, attacking, confident, flustered, defeated</t>
        </is>
      </c>
      <c r="E11" s="59" t="inlineStr">
        <is>
          <t>OP09</t>
        </is>
      </c>
      <c r="F11" s="59" t="n">
        <v>5</v>
      </c>
      <c r="G11" s="59" t="n">
        <v>5</v>
      </c>
      <c r="H11" s="59" t="inlineStr">
        <is>
          <t>ComiPo! + Midjourney</t>
        </is>
      </c>
      <c r="I11" s="59" t="inlineStr">
        <is>
          <t>Not started</t>
        </is>
      </c>
      <c r="J11" s="59" t="n"/>
      <c r="L11" s="61" t="inlineStr">
        <is>
          <t>Visual total</t>
        </is>
      </c>
      <c r="M11" s="58">
        <f>SUM(M2:M7)</f>
        <v/>
      </c>
      <c r="N11" s="58">
        <f>SUM(N2:N7)</f>
        <v/>
      </c>
      <c r="O11" s="58">
        <f>SUM(O2:O7)</f>
        <v/>
      </c>
      <c r="P11" s="65">
        <f>IF(M11=0,"",O11/M11)</f>
        <v/>
      </c>
    </row>
    <row r="12" ht="26.85" customHeight="1" s="43">
      <c r="A12" s="59" t="inlineStr">
        <is>
          <t>CH11</t>
        </is>
      </c>
      <c r="B12" s="59" t="inlineStr">
        <is>
          <t>Characters</t>
        </is>
      </c>
      <c r="C12" s="77">
        <f>Committee!C2</f>
        <v/>
      </c>
      <c r="D12" s="59" t="inlineStr">
        <is>
          <t>Committee tile portrait (For/Against overlays applied in engine)</t>
        </is>
      </c>
      <c r="E12" s="59" t="inlineStr">
        <is>
          <t>MOD01</t>
        </is>
      </c>
      <c r="F12" s="59" t="n">
        <v>1</v>
      </c>
      <c r="G12" s="59" t="n">
        <v>1</v>
      </c>
      <c r="H12" s="59" t="inlineStr">
        <is>
          <t>ComiPo!</t>
        </is>
      </c>
      <c r="I12" s="59" t="inlineStr">
        <is>
          <t>Not started</t>
        </is>
      </c>
      <c r="J12" s="59" t="n"/>
      <c r="L12" s="61" t="inlineStr">
        <is>
          <t>Grand total</t>
        </is>
      </c>
      <c r="M12" s="58">
        <f>SUM(M2:M10)</f>
        <v/>
      </c>
      <c r="N12" s="58">
        <f>SUM(N2:N10)</f>
        <v/>
      </c>
      <c r="O12" s="58">
        <f>SUM(O2:O10)</f>
        <v/>
      </c>
      <c r="P12" s="65">
        <f>IF(M12=0,"",O12/M12)</f>
        <v/>
      </c>
    </row>
    <row r="13" ht="26.85" customHeight="1" s="43">
      <c r="A13" s="59" t="inlineStr">
        <is>
          <t>CH12</t>
        </is>
      </c>
      <c r="B13" s="59" t="inlineStr">
        <is>
          <t>Characters</t>
        </is>
      </c>
      <c r="C13" s="77">
        <f>Committee!C3</f>
        <v/>
      </c>
      <c r="D13" s="59" t="inlineStr">
        <is>
          <t>Committee tile portrait (For/Against overlays applied in engine)</t>
        </is>
      </c>
      <c r="E13" s="59" t="inlineStr">
        <is>
          <t>MOD01</t>
        </is>
      </c>
      <c r="F13" s="59" t="n">
        <v>1</v>
      </c>
      <c r="G13" s="59" t="n">
        <v>1</v>
      </c>
      <c r="H13" s="59" t="inlineStr">
        <is>
          <t>ComiPo!</t>
        </is>
      </c>
      <c r="I13" s="59" t="inlineStr">
        <is>
          <t>Not started</t>
        </is>
      </c>
      <c r="J13" s="59" t="n"/>
    </row>
    <row r="14" ht="26.85" customHeight="1" s="43">
      <c r="A14" s="59" t="inlineStr">
        <is>
          <t>CH13</t>
        </is>
      </c>
      <c r="B14" s="59" t="inlineStr">
        <is>
          <t>Characters</t>
        </is>
      </c>
      <c r="C14" s="77">
        <f>Committee!C4</f>
        <v/>
      </c>
      <c r="D14" s="59" t="inlineStr">
        <is>
          <t>Committee tile portrait (For/Against overlays applied in engine)</t>
        </is>
      </c>
      <c r="E14" s="59" t="inlineStr">
        <is>
          <t>MOD01</t>
        </is>
      </c>
      <c r="F14" s="59" t="n">
        <v>1</v>
      </c>
      <c r="G14" s="59" t="n">
        <v>1</v>
      </c>
      <c r="H14" s="59" t="inlineStr">
        <is>
          <t>ComiPo!</t>
        </is>
      </c>
      <c r="I14" s="59" t="inlineStr">
        <is>
          <t>Not started</t>
        </is>
      </c>
      <c r="J14" s="59" t="n"/>
    </row>
    <row r="15" ht="26.85" customHeight="1" s="43">
      <c r="A15" s="59" t="inlineStr">
        <is>
          <t>CH14</t>
        </is>
      </c>
      <c r="B15" s="59" t="inlineStr">
        <is>
          <t>Characters</t>
        </is>
      </c>
      <c r="C15" s="77">
        <f>Committee!C5</f>
        <v/>
      </c>
      <c r="D15" s="59" t="inlineStr">
        <is>
          <t>Committee tile portrait (For/Against overlays applied in engine)</t>
        </is>
      </c>
      <c r="E15" s="59" t="inlineStr">
        <is>
          <t>MOD01</t>
        </is>
      </c>
      <c r="F15" s="59" t="n">
        <v>1</v>
      </c>
      <c r="G15" s="59" t="n">
        <v>1</v>
      </c>
      <c r="H15" s="59" t="inlineStr">
        <is>
          <t>ComiPo!</t>
        </is>
      </c>
      <c r="I15" s="59" t="inlineStr">
        <is>
          <t>Not started</t>
        </is>
      </c>
      <c r="J15" s="59" t="n"/>
    </row>
    <row r="16" ht="26.85" customHeight="1" s="43">
      <c r="A16" s="59" t="inlineStr">
        <is>
          <t>CH15</t>
        </is>
      </c>
      <c r="B16" s="59" t="inlineStr">
        <is>
          <t>Characters</t>
        </is>
      </c>
      <c r="C16" s="59" t="inlineStr">
        <is>
          <t>Committee member pool</t>
        </is>
      </c>
      <c r="D16" s="59" t="inlineStr">
        <is>
          <t>Additional canon members for later committees</t>
        </is>
      </c>
      <c r="E16" s="59" t="inlineStr">
        <is>
          <t>—</t>
        </is>
      </c>
      <c r="F16" s="59" t="n">
        <v>6</v>
      </c>
      <c r="G16" s="59" t="n">
        <v>0</v>
      </c>
      <c r="H16" s="59" t="inlineStr">
        <is>
          <t>ComiPo!</t>
        </is>
      </c>
      <c r="I16" s="59" t="inlineStr">
        <is>
          <t>Not started</t>
        </is>
      </c>
      <c r="J16" s="59" t="n"/>
    </row>
    <row r="17" ht="15" customHeight="1" s="43">
      <c r="A17" s="59" t="inlineStr">
        <is>
          <t>CH16</t>
        </is>
      </c>
      <c r="B17" s="59" t="inlineStr">
        <is>
          <t>Characters</t>
        </is>
      </c>
      <c r="C17" s="59" t="inlineStr">
        <is>
          <t>Reporters</t>
        </is>
      </c>
      <c r="D17" s="59" t="inlineStr">
        <is>
          <t>Press-stage question askers</t>
        </is>
      </c>
      <c r="E17" s="59" t="inlineStr">
        <is>
          <t>—</t>
        </is>
      </c>
      <c r="F17" s="59" t="n">
        <v>4</v>
      </c>
      <c r="G17" s="59" t="n">
        <v>0</v>
      </c>
      <c r="H17" s="59" t="inlineStr">
        <is>
          <t>ComiPo!</t>
        </is>
      </c>
      <c r="I17" s="59" t="inlineStr">
        <is>
          <t>Not started</t>
        </is>
      </c>
      <c r="J17" s="59" t="n"/>
    </row>
    <row r="18" ht="26.85" customHeight="1" s="43">
      <c r="A18" s="59" t="inlineStr">
        <is>
          <t>CH17</t>
        </is>
      </c>
      <c r="B18" s="59" t="inlineStr">
        <is>
          <t>Characters</t>
        </is>
      </c>
      <c r="C18" s="59" t="inlineStr">
        <is>
          <t>Office-hours visitors</t>
        </is>
      </c>
      <c r="D18" s="59" t="inlineStr">
        <is>
          <t>Constituent, donor, lobbyist, journalist, mayor, fisher</t>
        </is>
      </c>
      <c r="E18" s="59" t="inlineStr">
        <is>
          <t>—</t>
        </is>
      </c>
      <c r="F18" s="59" t="n">
        <v>6</v>
      </c>
      <c r="G18" s="59" t="n">
        <v>6</v>
      </c>
      <c r="H18" s="59" t="inlineStr">
        <is>
          <t>ComiPo!</t>
        </is>
      </c>
      <c r="I18" s="59" t="inlineStr">
        <is>
          <t>Not started</t>
        </is>
      </c>
      <c r="J18" s="59" t="n"/>
    </row>
    <row r="19" ht="15" customHeight="1" s="43">
      <c r="A19" s="59" t="inlineStr">
        <is>
          <t>CH18</t>
        </is>
      </c>
      <c r="B19" s="59" t="inlineStr">
        <is>
          <t>Characters</t>
        </is>
      </c>
      <c r="C19" s="59" t="inlineStr">
        <is>
          <t>Staff (deferred)</t>
        </is>
      </c>
      <c r="D19" s="59" t="inlineStr">
        <is>
          <t>Secretary types</t>
        </is>
      </c>
      <c r="E19" s="59" t="inlineStr">
        <is>
          <t>—</t>
        </is>
      </c>
      <c r="F19" s="59" t="n">
        <v>3</v>
      </c>
      <c r="G19" s="59" t="n">
        <v>0</v>
      </c>
      <c r="H19" s="59" t="inlineStr">
        <is>
          <t>ComiPo!</t>
        </is>
      </c>
      <c r="I19" s="59" t="inlineStr">
        <is>
          <t>Not started</t>
        </is>
      </c>
      <c r="J19" s="59" t="inlineStr">
        <is>
          <t>Low priority</t>
        </is>
      </c>
    </row>
    <row r="20" ht="15" customHeight="1" s="43">
      <c r="A20" s="59" t="inlineStr">
        <is>
          <t>CA01</t>
        </is>
      </c>
      <c r="B20" s="59" t="inlineStr">
        <is>
          <t>Cards</t>
        </is>
      </c>
      <c r="C20" s="77">
        <f>Cards!B2</f>
        <v/>
      </c>
      <c r="D20" s="59" t="inlineStr">
        <is>
          <t>Card illustration</t>
        </is>
      </c>
      <c r="E20" s="77">
        <f>Cards!A2</f>
        <v/>
      </c>
      <c r="F20" s="59" t="n">
        <v>1</v>
      </c>
      <c r="G20" s="58">
        <f>IF(Cards!Q2="Starter",1,0)</f>
        <v/>
      </c>
      <c r="H20" s="59" t="inlineStr">
        <is>
          <t>Midjourney</t>
        </is>
      </c>
      <c r="I20" s="59" t="inlineStr">
        <is>
          <t>Not started</t>
        </is>
      </c>
      <c r="J20" s="59" t="n"/>
    </row>
    <row r="21" ht="15" customHeight="1" s="43">
      <c r="A21" s="59" t="inlineStr">
        <is>
          <t>CA02</t>
        </is>
      </c>
      <c r="B21" s="59" t="inlineStr">
        <is>
          <t>Cards</t>
        </is>
      </c>
      <c r="C21" s="77">
        <f>Cards!B3</f>
        <v/>
      </c>
      <c r="D21" s="59" t="inlineStr">
        <is>
          <t>Card illustration</t>
        </is>
      </c>
      <c r="E21" s="77">
        <f>Cards!A3</f>
        <v/>
      </c>
      <c r="F21" s="59" t="n">
        <v>1</v>
      </c>
      <c r="G21" s="58">
        <f>IF(Cards!Q3="Starter",1,0)</f>
        <v/>
      </c>
      <c r="H21" s="59" t="inlineStr">
        <is>
          <t>Midjourney</t>
        </is>
      </c>
      <c r="I21" s="59" t="inlineStr">
        <is>
          <t>Not started</t>
        </is>
      </c>
      <c r="J21" s="59" t="n"/>
    </row>
    <row r="22" ht="15" customHeight="1" s="43">
      <c r="A22" s="59" t="inlineStr">
        <is>
          <t>CA03</t>
        </is>
      </c>
      <c r="B22" s="59" t="inlineStr">
        <is>
          <t>Cards</t>
        </is>
      </c>
      <c r="C22" s="77">
        <f>Cards!B4</f>
        <v/>
      </c>
      <c r="D22" s="59" t="inlineStr">
        <is>
          <t>Card illustration</t>
        </is>
      </c>
      <c r="E22" s="77">
        <f>Cards!A4</f>
        <v/>
      </c>
      <c r="F22" s="59" t="n">
        <v>1</v>
      </c>
      <c r="G22" s="58">
        <f>IF(Cards!Q4="Starter",1,0)</f>
        <v/>
      </c>
      <c r="H22" s="59" t="inlineStr">
        <is>
          <t>Midjourney</t>
        </is>
      </c>
      <c r="I22" s="59" t="inlineStr">
        <is>
          <t>Not started</t>
        </is>
      </c>
      <c r="J22" s="59" t="n"/>
    </row>
    <row r="23" ht="15" customHeight="1" s="43">
      <c r="A23" s="59" t="inlineStr">
        <is>
          <t>CA04</t>
        </is>
      </c>
      <c r="B23" s="59" t="inlineStr">
        <is>
          <t>Cards</t>
        </is>
      </c>
      <c r="C23" s="77">
        <f>Cards!B5</f>
        <v/>
      </c>
      <c r="D23" s="59" t="inlineStr">
        <is>
          <t>Card illustration</t>
        </is>
      </c>
      <c r="E23" s="77">
        <f>Cards!A5</f>
        <v/>
      </c>
      <c r="F23" s="59" t="n">
        <v>1</v>
      </c>
      <c r="G23" s="58">
        <f>IF(Cards!Q5="Starter",1,0)</f>
        <v/>
      </c>
      <c r="H23" s="59" t="inlineStr">
        <is>
          <t>Midjourney</t>
        </is>
      </c>
      <c r="I23" s="59" t="inlineStr">
        <is>
          <t>Not started</t>
        </is>
      </c>
      <c r="J23" s="59" t="n"/>
    </row>
    <row r="24" ht="15" customHeight="1" s="43">
      <c r="A24" s="59" t="inlineStr">
        <is>
          <t>CA05</t>
        </is>
      </c>
      <c r="B24" s="59" t="inlineStr">
        <is>
          <t>Cards</t>
        </is>
      </c>
      <c r="C24" s="77">
        <f>Cards!B6</f>
        <v/>
      </c>
      <c r="D24" s="59" t="inlineStr">
        <is>
          <t>Card illustration</t>
        </is>
      </c>
      <c r="E24" s="77">
        <f>Cards!A6</f>
        <v/>
      </c>
      <c r="F24" s="59" t="n">
        <v>1</v>
      </c>
      <c r="G24" s="58">
        <f>IF(Cards!Q6="Starter",1,0)</f>
        <v/>
      </c>
      <c r="H24" s="59" t="inlineStr">
        <is>
          <t>Midjourney</t>
        </is>
      </c>
      <c r="I24" s="59" t="inlineStr">
        <is>
          <t>Not started</t>
        </is>
      </c>
      <c r="J24" s="59" t="n"/>
    </row>
    <row r="25" ht="15" customHeight="1" s="43">
      <c r="A25" s="59" t="inlineStr">
        <is>
          <t>CA06</t>
        </is>
      </c>
      <c r="B25" s="59" t="inlineStr">
        <is>
          <t>Cards</t>
        </is>
      </c>
      <c r="C25" s="77">
        <f>Cards!B7</f>
        <v/>
      </c>
      <c r="D25" s="59" t="inlineStr">
        <is>
          <t>Card illustration</t>
        </is>
      </c>
      <c r="E25" s="77">
        <f>Cards!A7</f>
        <v/>
      </c>
      <c r="F25" s="59" t="n">
        <v>1</v>
      </c>
      <c r="G25" s="58">
        <f>IF(Cards!Q7="Starter",1,0)</f>
        <v/>
      </c>
      <c r="H25" s="59" t="inlineStr">
        <is>
          <t>Midjourney</t>
        </is>
      </c>
      <c r="I25" s="59" t="inlineStr">
        <is>
          <t>Not started</t>
        </is>
      </c>
      <c r="J25" s="59" t="n"/>
    </row>
    <row r="26" ht="15" customHeight="1" s="43">
      <c r="A26" s="59" t="inlineStr">
        <is>
          <t>CA07</t>
        </is>
      </c>
      <c r="B26" s="59" t="inlineStr">
        <is>
          <t>Cards</t>
        </is>
      </c>
      <c r="C26" s="77">
        <f>Cards!B8</f>
        <v/>
      </c>
      <c r="D26" s="59" t="inlineStr">
        <is>
          <t>Card illustration</t>
        </is>
      </c>
      <c r="E26" s="77">
        <f>Cards!A8</f>
        <v/>
      </c>
      <c r="F26" s="59" t="n">
        <v>1</v>
      </c>
      <c r="G26" s="58">
        <f>IF(Cards!Q8="Starter",1,0)</f>
        <v/>
      </c>
      <c r="H26" s="59" t="inlineStr">
        <is>
          <t>Midjourney</t>
        </is>
      </c>
      <c r="I26" s="59" t="inlineStr">
        <is>
          <t>Not started</t>
        </is>
      </c>
      <c r="J26" s="59" t="n"/>
    </row>
    <row r="27" ht="15" customHeight="1" s="43">
      <c r="A27" s="59" t="inlineStr">
        <is>
          <t>CA08</t>
        </is>
      </c>
      <c r="B27" s="59" t="inlineStr">
        <is>
          <t>Cards</t>
        </is>
      </c>
      <c r="C27" s="77">
        <f>Cards!B9</f>
        <v/>
      </c>
      <c r="D27" s="59" t="inlineStr">
        <is>
          <t>Card illustration</t>
        </is>
      </c>
      <c r="E27" s="77">
        <f>Cards!A9</f>
        <v/>
      </c>
      <c r="F27" s="59" t="n">
        <v>1</v>
      </c>
      <c r="G27" s="58">
        <f>IF(Cards!Q9="Starter",1,0)</f>
        <v/>
      </c>
      <c r="H27" s="59" t="inlineStr">
        <is>
          <t>Midjourney</t>
        </is>
      </c>
      <c r="I27" s="59" t="inlineStr">
        <is>
          <t>Not started</t>
        </is>
      </c>
      <c r="J27" s="59" t="n"/>
    </row>
    <row r="28" ht="15" customHeight="1" s="43">
      <c r="A28" s="59" t="inlineStr">
        <is>
          <t>CA09</t>
        </is>
      </c>
      <c r="B28" s="59" t="inlineStr">
        <is>
          <t>Cards</t>
        </is>
      </c>
      <c r="C28" s="77">
        <f>Cards!B10</f>
        <v/>
      </c>
      <c r="D28" s="59" t="inlineStr">
        <is>
          <t>Card illustration</t>
        </is>
      </c>
      <c r="E28" s="77">
        <f>Cards!A10</f>
        <v/>
      </c>
      <c r="F28" s="59" t="n">
        <v>1</v>
      </c>
      <c r="G28" s="58">
        <f>IF(Cards!Q10="Starter",1,0)</f>
        <v/>
      </c>
      <c r="H28" s="59" t="inlineStr">
        <is>
          <t>Midjourney</t>
        </is>
      </c>
      <c r="I28" s="59" t="inlineStr">
        <is>
          <t>Not started</t>
        </is>
      </c>
      <c r="J28" s="59" t="n"/>
    </row>
    <row r="29" ht="15" customHeight="1" s="43">
      <c r="A29" s="59" t="inlineStr">
        <is>
          <t>CA10</t>
        </is>
      </c>
      <c r="B29" s="59" t="inlineStr">
        <is>
          <t>Cards</t>
        </is>
      </c>
      <c r="C29" s="77">
        <f>Cards!B11</f>
        <v/>
      </c>
      <c r="D29" s="59" t="inlineStr">
        <is>
          <t>Card illustration</t>
        </is>
      </c>
      <c r="E29" s="77">
        <f>Cards!A11</f>
        <v/>
      </c>
      <c r="F29" s="59" t="n">
        <v>1</v>
      </c>
      <c r="G29" s="58">
        <f>IF(Cards!Q11="Starter",1,0)</f>
        <v/>
      </c>
      <c r="H29" s="59" t="inlineStr">
        <is>
          <t>Midjourney</t>
        </is>
      </c>
      <c r="I29" s="59" t="inlineStr">
        <is>
          <t>Not started</t>
        </is>
      </c>
      <c r="J29" s="59" t="n"/>
    </row>
    <row r="30" ht="15" customHeight="1" s="43">
      <c r="A30" s="59" t="inlineStr">
        <is>
          <t>CA11</t>
        </is>
      </c>
      <c r="B30" s="59" t="inlineStr">
        <is>
          <t>Cards</t>
        </is>
      </c>
      <c r="C30" s="77">
        <f>Cards!B12</f>
        <v/>
      </c>
      <c r="D30" s="59" t="inlineStr">
        <is>
          <t>Card illustration</t>
        </is>
      </c>
      <c r="E30" s="77">
        <f>Cards!A12</f>
        <v/>
      </c>
      <c r="F30" s="59" t="n">
        <v>1</v>
      </c>
      <c r="G30" s="58">
        <f>IF(Cards!Q12="Starter",1,0)</f>
        <v/>
      </c>
      <c r="H30" s="59" t="inlineStr">
        <is>
          <t>Midjourney</t>
        </is>
      </c>
      <c r="I30" s="59" t="inlineStr">
        <is>
          <t>Not started</t>
        </is>
      </c>
      <c r="J30" s="59" t="n"/>
    </row>
    <row r="31" ht="15" customHeight="1" s="43">
      <c r="A31" s="59" t="inlineStr">
        <is>
          <t>CA12</t>
        </is>
      </c>
      <c r="B31" s="59" t="inlineStr">
        <is>
          <t>Cards</t>
        </is>
      </c>
      <c r="C31" s="77">
        <f>Cards!B13</f>
        <v/>
      </c>
      <c r="D31" s="59" t="inlineStr">
        <is>
          <t>Card illustration</t>
        </is>
      </c>
      <c r="E31" s="77">
        <f>Cards!A13</f>
        <v/>
      </c>
      <c r="F31" s="59" t="n">
        <v>1</v>
      </c>
      <c r="G31" s="58">
        <f>IF(Cards!Q13="Starter",1,0)</f>
        <v/>
      </c>
      <c r="H31" s="59" t="inlineStr">
        <is>
          <t>Midjourney</t>
        </is>
      </c>
      <c r="I31" s="59" t="inlineStr">
        <is>
          <t>Not started</t>
        </is>
      </c>
      <c r="J31" s="59" t="n"/>
    </row>
    <row r="32" ht="15" customHeight="1" s="43">
      <c r="A32" s="59" t="inlineStr">
        <is>
          <t>CA13</t>
        </is>
      </c>
      <c r="B32" s="59" t="inlineStr">
        <is>
          <t>Cards</t>
        </is>
      </c>
      <c r="C32" s="77">
        <f>Cards!B14</f>
        <v/>
      </c>
      <c r="D32" s="59" t="inlineStr">
        <is>
          <t>Card illustration</t>
        </is>
      </c>
      <c r="E32" s="77">
        <f>Cards!A14</f>
        <v/>
      </c>
      <c r="F32" s="59" t="n">
        <v>1</v>
      </c>
      <c r="G32" s="58">
        <f>IF(Cards!Q14="Starter",1,0)</f>
        <v/>
      </c>
      <c r="H32" s="59" t="inlineStr">
        <is>
          <t>Midjourney</t>
        </is>
      </c>
      <c r="I32" s="59" t="inlineStr">
        <is>
          <t>Not started</t>
        </is>
      </c>
      <c r="J32" s="59" t="n"/>
    </row>
    <row r="33" ht="15" customHeight="1" s="43">
      <c r="A33" s="59" t="inlineStr">
        <is>
          <t>CA14</t>
        </is>
      </c>
      <c r="B33" s="59" t="inlineStr">
        <is>
          <t>Cards</t>
        </is>
      </c>
      <c r="C33" s="77">
        <f>Cards!B15</f>
        <v/>
      </c>
      <c r="D33" s="59" t="inlineStr">
        <is>
          <t>Card illustration</t>
        </is>
      </c>
      <c r="E33" s="77">
        <f>Cards!A15</f>
        <v/>
      </c>
      <c r="F33" s="59" t="n">
        <v>1</v>
      </c>
      <c r="G33" s="58">
        <f>IF(Cards!Q15="Starter",1,0)</f>
        <v/>
      </c>
      <c r="H33" s="59" t="inlineStr">
        <is>
          <t>Midjourney</t>
        </is>
      </c>
      <c r="I33" s="59" t="inlineStr">
        <is>
          <t>Not started</t>
        </is>
      </c>
      <c r="J33" s="59" t="n"/>
    </row>
    <row r="34" ht="15" customHeight="1" s="43">
      <c r="A34" s="59" t="inlineStr">
        <is>
          <t>CA15</t>
        </is>
      </c>
      <c r="B34" s="59" t="inlineStr">
        <is>
          <t>Cards</t>
        </is>
      </c>
      <c r="C34" s="77">
        <f>Cards!B16</f>
        <v/>
      </c>
      <c r="D34" s="59" t="inlineStr">
        <is>
          <t>Card illustration</t>
        </is>
      </c>
      <c r="E34" s="77">
        <f>Cards!A16</f>
        <v/>
      </c>
      <c r="F34" s="59" t="n">
        <v>1</v>
      </c>
      <c r="G34" s="58">
        <f>IF(Cards!Q16="Starter",1,0)</f>
        <v/>
      </c>
      <c r="H34" s="59" t="inlineStr">
        <is>
          <t>Midjourney</t>
        </is>
      </c>
      <c r="I34" s="59" t="inlineStr">
        <is>
          <t>Not started</t>
        </is>
      </c>
      <c r="J34" s="59" t="n"/>
    </row>
    <row r="35" ht="15" customHeight="1" s="43">
      <c r="A35" s="59" t="inlineStr">
        <is>
          <t>CA16</t>
        </is>
      </c>
      <c r="B35" s="59" t="inlineStr">
        <is>
          <t>Cards</t>
        </is>
      </c>
      <c r="C35" s="77">
        <f>Cards!B17</f>
        <v/>
      </c>
      <c r="D35" s="59" t="inlineStr">
        <is>
          <t>Card illustration</t>
        </is>
      </c>
      <c r="E35" s="77">
        <f>Cards!A17</f>
        <v/>
      </c>
      <c r="F35" s="59" t="n">
        <v>1</v>
      </c>
      <c r="G35" s="58">
        <f>IF(Cards!Q17="Starter",1,0)</f>
        <v/>
      </c>
      <c r="H35" s="59" t="inlineStr">
        <is>
          <t>Midjourney</t>
        </is>
      </c>
      <c r="I35" s="59" t="inlineStr">
        <is>
          <t>Not started</t>
        </is>
      </c>
      <c r="J35" s="59" t="n"/>
    </row>
    <row r="36" ht="15" customHeight="1" s="43">
      <c r="A36" s="59" t="inlineStr">
        <is>
          <t>CA17</t>
        </is>
      </c>
      <c r="B36" s="59" t="inlineStr">
        <is>
          <t>Cards</t>
        </is>
      </c>
      <c r="C36" s="77">
        <f>Cards!B18</f>
        <v/>
      </c>
      <c r="D36" s="59" t="inlineStr">
        <is>
          <t>Card illustration</t>
        </is>
      </c>
      <c r="E36" s="77">
        <f>Cards!A18</f>
        <v/>
      </c>
      <c r="F36" s="59" t="n">
        <v>1</v>
      </c>
      <c r="G36" s="58">
        <f>IF(Cards!Q18="Starter",1,0)</f>
        <v/>
      </c>
      <c r="H36" s="59" t="inlineStr">
        <is>
          <t>Midjourney</t>
        </is>
      </c>
      <c r="I36" s="59" t="inlineStr">
        <is>
          <t>Not started</t>
        </is>
      </c>
      <c r="J36" s="59" t="n"/>
    </row>
    <row r="37" ht="15" customHeight="1" s="43">
      <c r="A37" s="59" t="inlineStr">
        <is>
          <t>CA18</t>
        </is>
      </c>
      <c r="B37" s="59" t="inlineStr">
        <is>
          <t>Cards</t>
        </is>
      </c>
      <c r="C37" s="77">
        <f>Cards!B19</f>
        <v/>
      </c>
      <c r="D37" s="59" t="inlineStr">
        <is>
          <t>Card illustration</t>
        </is>
      </c>
      <c r="E37" s="77">
        <f>Cards!A19</f>
        <v/>
      </c>
      <c r="F37" s="59" t="n">
        <v>1</v>
      </c>
      <c r="G37" s="58">
        <f>IF(Cards!Q19="Starter",1,0)</f>
        <v/>
      </c>
      <c r="H37" s="59" t="inlineStr">
        <is>
          <t>Midjourney</t>
        </is>
      </c>
      <c r="I37" s="59" t="inlineStr">
        <is>
          <t>Not started</t>
        </is>
      </c>
      <c r="J37" s="59" t="n"/>
    </row>
    <row r="38" ht="15" customHeight="1" s="43">
      <c r="A38" s="59" t="inlineStr">
        <is>
          <t>CA19</t>
        </is>
      </c>
      <c r="B38" s="59" t="inlineStr">
        <is>
          <t>Cards</t>
        </is>
      </c>
      <c r="C38" s="77">
        <f>Cards!B20</f>
        <v/>
      </c>
      <c r="D38" s="59" t="inlineStr">
        <is>
          <t>Card illustration</t>
        </is>
      </c>
      <c r="E38" s="77">
        <f>Cards!A20</f>
        <v/>
      </c>
      <c r="F38" s="59" t="n">
        <v>1</v>
      </c>
      <c r="G38" s="58">
        <f>IF(Cards!Q20="Starter",1,0)</f>
        <v/>
      </c>
      <c r="H38" s="59" t="inlineStr">
        <is>
          <t>Midjourney</t>
        </is>
      </c>
      <c r="I38" s="59" t="inlineStr">
        <is>
          <t>Not started</t>
        </is>
      </c>
      <c r="J38" s="59" t="n"/>
    </row>
    <row r="39" ht="15" customHeight="1" s="43">
      <c r="A39" s="59" t="inlineStr">
        <is>
          <t>CA20</t>
        </is>
      </c>
      <c r="B39" s="59" t="inlineStr">
        <is>
          <t>Cards</t>
        </is>
      </c>
      <c r="C39" s="77">
        <f>Cards!B21</f>
        <v/>
      </c>
      <c r="D39" s="59" t="inlineStr">
        <is>
          <t>Card illustration</t>
        </is>
      </c>
      <c r="E39" s="77">
        <f>Cards!A21</f>
        <v/>
      </c>
      <c r="F39" s="59" t="n">
        <v>1</v>
      </c>
      <c r="G39" s="58">
        <f>IF(Cards!Q21="Starter",1,0)</f>
        <v/>
      </c>
      <c r="H39" s="59" t="inlineStr">
        <is>
          <t>Midjourney</t>
        </is>
      </c>
      <c r="I39" s="59" t="inlineStr">
        <is>
          <t>Not started</t>
        </is>
      </c>
      <c r="J39" s="59" t="n"/>
    </row>
    <row r="40" ht="15" customHeight="1" s="43">
      <c r="A40" s="59" t="inlineStr">
        <is>
          <t>CA21</t>
        </is>
      </c>
      <c r="B40" s="59" t="inlineStr">
        <is>
          <t>Cards</t>
        </is>
      </c>
      <c r="C40" s="77">
        <f>Cards!B22</f>
        <v/>
      </c>
      <c r="D40" s="59" t="inlineStr">
        <is>
          <t>Card illustration</t>
        </is>
      </c>
      <c r="E40" s="77">
        <f>Cards!A22</f>
        <v/>
      </c>
      <c r="F40" s="59" t="n">
        <v>1</v>
      </c>
      <c r="G40" s="58">
        <f>IF(Cards!Q22="Starter",1,0)</f>
        <v/>
      </c>
      <c r="H40" s="59" t="inlineStr">
        <is>
          <t>Midjourney</t>
        </is>
      </c>
      <c r="I40" s="59" t="inlineStr">
        <is>
          <t>Not started</t>
        </is>
      </c>
      <c r="J40" s="59" t="n"/>
    </row>
    <row r="41" ht="15" customHeight="1" s="43">
      <c r="A41" s="59" t="inlineStr">
        <is>
          <t>CA22</t>
        </is>
      </c>
      <c r="B41" s="59" t="inlineStr">
        <is>
          <t>Cards</t>
        </is>
      </c>
      <c r="C41" s="77">
        <f>Cards!B23</f>
        <v/>
      </c>
      <c r="D41" s="59" t="inlineStr">
        <is>
          <t>Card illustration</t>
        </is>
      </c>
      <c r="E41" s="77">
        <f>Cards!A23</f>
        <v/>
      </c>
      <c r="F41" s="59" t="n">
        <v>1</v>
      </c>
      <c r="G41" s="58">
        <f>IF(Cards!Q23="Starter",1,0)</f>
        <v/>
      </c>
      <c r="H41" s="59" t="inlineStr">
        <is>
          <t>Midjourney</t>
        </is>
      </c>
      <c r="I41" s="59" t="inlineStr">
        <is>
          <t>Not started</t>
        </is>
      </c>
      <c r="J41" s="59" t="n"/>
    </row>
    <row r="42" ht="15" customHeight="1" s="43">
      <c r="A42" s="59" t="inlineStr">
        <is>
          <t>CA23</t>
        </is>
      </c>
      <c r="B42" s="59" t="inlineStr">
        <is>
          <t>Cards</t>
        </is>
      </c>
      <c r="C42" s="77">
        <f>Cards!B24</f>
        <v/>
      </c>
      <c r="D42" s="59" t="inlineStr">
        <is>
          <t>Card illustration</t>
        </is>
      </c>
      <c r="E42" s="77">
        <f>Cards!A24</f>
        <v/>
      </c>
      <c r="F42" s="59" t="n">
        <v>1</v>
      </c>
      <c r="G42" s="58">
        <f>IF(Cards!Q24="Starter",1,0)</f>
        <v/>
      </c>
      <c r="H42" s="59" t="inlineStr">
        <is>
          <t>Midjourney</t>
        </is>
      </c>
      <c r="I42" s="59" t="inlineStr">
        <is>
          <t>Not started</t>
        </is>
      </c>
      <c r="J42" s="59" t="n"/>
    </row>
    <row r="43" ht="15" customHeight="1" s="43">
      <c r="A43" s="59" t="inlineStr">
        <is>
          <t>CA24</t>
        </is>
      </c>
      <c r="B43" s="59" t="inlineStr">
        <is>
          <t>Cards</t>
        </is>
      </c>
      <c r="C43" s="77">
        <f>Cards!B25</f>
        <v/>
      </c>
      <c r="D43" s="59" t="inlineStr">
        <is>
          <t>Card illustration</t>
        </is>
      </c>
      <c r="E43" s="77">
        <f>Cards!A25</f>
        <v/>
      </c>
      <c r="F43" s="59" t="n">
        <v>1</v>
      </c>
      <c r="G43" s="58">
        <f>IF(Cards!Q25="Starter",1,0)</f>
        <v/>
      </c>
      <c r="H43" s="59" t="inlineStr">
        <is>
          <t>Midjourney</t>
        </is>
      </c>
      <c r="I43" s="59" t="inlineStr">
        <is>
          <t>Not started</t>
        </is>
      </c>
      <c r="J43" s="59" t="n"/>
    </row>
    <row r="44" ht="15" customHeight="1" s="43">
      <c r="A44" s="59" t="inlineStr">
        <is>
          <t>CA25</t>
        </is>
      </c>
      <c r="B44" s="59" t="inlineStr">
        <is>
          <t>Cards</t>
        </is>
      </c>
      <c r="C44" s="59" t="inlineStr">
        <is>
          <t>Card frames</t>
        </is>
      </c>
      <c r="D44" s="59" t="inlineStr">
        <is>
          <t>One per suit</t>
        </is>
      </c>
      <c r="E44" s="59" t="inlineStr">
        <is>
          <t>Suits</t>
        </is>
      </c>
      <c r="F44" s="59" t="n">
        <v>6</v>
      </c>
      <c r="G44" s="59" t="n">
        <v>6</v>
      </c>
      <c r="H44" s="59" t="inlineStr">
        <is>
          <t>Manual</t>
        </is>
      </c>
      <c r="I44" s="59" t="inlineStr">
        <is>
          <t>Not started</t>
        </is>
      </c>
      <c r="J44" s="59" t="n"/>
    </row>
    <row r="45" ht="15" customHeight="1" s="43">
      <c r="A45" s="59" t="inlineStr">
        <is>
          <t>CA26</t>
        </is>
      </c>
      <c r="B45" s="59" t="inlineStr">
        <is>
          <t>Cards</t>
        </is>
      </c>
      <c r="C45" s="59" t="inlineStr">
        <is>
          <t>Upgraded-card overlay</t>
        </is>
      </c>
      <c r="D45" s="59" t="inlineStr">
        <is>
          <t>Border/badge for upgraded cards</t>
        </is>
      </c>
      <c r="E45" s="59" t="inlineStr">
        <is>
          <t>—</t>
        </is>
      </c>
      <c r="F45" s="59" t="n">
        <v>1</v>
      </c>
      <c r="G45" s="59" t="n">
        <v>0</v>
      </c>
      <c r="H45" s="59" t="inlineStr">
        <is>
          <t>Manual</t>
        </is>
      </c>
      <c r="I45" s="59" t="inlineStr">
        <is>
          <t>Not started</t>
        </is>
      </c>
      <c r="J45" s="59" t="n"/>
    </row>
    <row r="46" ht="15" customHeight="1" s="43">
      <c r="A46" s="59" t="inlineStr">
        <is>
          <t>CA27</t>
        </is>
      </c>
      <c r="B46" s="59" t="inlineStr">
        <is>
          <t>Cards</t>
        </is>
      </c>
      <c r="C46" s="59" t="inlineStr">
        <is>
          <t>Card back</t>
        </is>
      </c>
      <c r="D46" s="59" t="inlineStr">
        <is>
          <t>Deck and discard</t>
        </is>
      </c>
      <c r="E46" s="59" t="inlineStr">
        <is>
          <t>—</t>
        </is>
      </c>
      <c r="F46" s="59" t="n">
        <v>1</v>
      </c>
      <c r="G46" s="59" t="n">
        <v>1</v>
      </c>
      <c r="H46" s="59" t="inlineStr">
        <is>
          <t>Manual</t>
        </is>
      </c>
      <c r="I46" s="59" t="inlineStr">
        <is>
          <t>Not started</t>
        </is>
      </c>
      <c r="J46" s="59" t="n"/>
    </row>
    <row r="47" ht="15" customHeight="1" s="43">
      <c r="A47" s="59" t="inlineStr">
        <is>
          <t>CA28</t>
        </is>
      </c>
      <c r="B47" s="59" t="inlineStr">
        <is>
          <t>Cards</t>
        </is>
      </c>
      <c r="C47" s="59" t="inlineStr">
        <is>
          <t>Cost badge + tier marker</t>
        </is>
      </c>
      <c r="D47" s="59" t="inlineStr">
        <is>
          <t>Shared templates</t>
        </is>
      </c>
      <c r="E47" s="59" t="inlineStr">
        <is>
          <t>—</t>
        </is>
      </c>
      <c r="F47" s="59" t="n">
        <v>2</v>
      </c>
      <c r="G47" s="59" t="n">
        <v>2</v>
      </c>
      <c r="H47" s="59" t="inlineStr">
        <is>
          <t>Manual</t>
        </is>
      </c>
      <c r="I47" s="59" t="inlineStr">
        <is>
          <t>Not started</t>
        </is>
      </c>
      <c r="J47" s="59" t="n"/>
    </row>
    <row r="48" ht="15" customHeight="1" s="43">
      <c r="A48" s="59" t="inlineStr">
        <is>
          <t>CA29</t>
        </is>
      </c>
      <c r="B48" s="59" t="inlineStr">
        <is>
          <t>Cards</t>
        </is>
      </c>
      <c r="C48" s="59" t="inlineStr">
        <is>
          <t>Tap-to-zoom layout</t>
        </is>
      </c>
      <c r="D48" s="59" t="inlineStr">
        <is>
          <t>Full text, suit, art</t>
        </is>
      </c>
      <c r="E48" s="59" t="inlineStr">
        <is>
          <t>—</t>
        </is>
      </c>
      <c r="F48" s="59" t="n">
        <v>1</v>
      </c>
      <c r="G48" s="59" t="n">
        <v>1</v>
      </c>
      <c r="H48" s="59" t="inlineStr">
        <is>
          <t>Engine/UI</t>
        </is>
      </c>
      <c r="I48" s="59" t="inlineStr">
        <is>
          <t>Not started</t>
        </is>
      </c>
      <c r="J48" s="59" t="n"/>
    </row>
    <row r="49" ht="26.85" customHeight="1" s="43">
      <c r="A49" s="59" t="inlineStr">
        <is>
          <t>BG01</t>
        </is>
      </c>
      <c r="B49" s="59" t="inlineStr">
        <is>
          <t>Backgrounds</t>
        </is>
      </c>
      <c r="C49" s="77">
        <f>Stages!B2</f>
        <v/>
      </c>
      <c r="D49" s="59" t="inlineStr">
        <is>
          <t>Portrait 9:19.5 stage background</t>
        </is>
      </c>
      <c r="E49" s="59" t="inlineStr">
        <is>
          <t>ST01</t>
        </is>
      </c>
      <c r="F49" s="59" t="n">
        <v>1</v>
      </c>
      <c r="G49" s="59" t="n">
        <v>1</v>
      </c>
      <c r="H49" s="59" t="inlineStr">
        <is>
          <t>Midjourney</t>
        </is>
      </c>
      <c r="I49" s="59" t="inlineStr">
        <is>
          <t>Not started</t>
        </is>
      </c>
      <c r="J49" s="59" t="inlineStr">
        <is>
          <t>Manual cleanup for UI safe zones</t>
        </is>
      </c>
    </row>
    <row r="50" ht="26.85" customHeight="1" s="43">
      <c r="A50" s="59" t="inlineStr">
        <is>
          <t>BG02</t>
        </is>
      </c>
      <c r="B50" s="59" t="inlineStr">
        <is>
          <t>Backgrounds</t>
        </is>
      </c>
      <c r="C50" s="77">
        <f>Stages!B3</f>
        <v/>
      </c>
      <c r="D50" s="59" t="inlineStr">
        <is>
          <t>Portrait 9:19.5 stage background</t>
        </is>
      </c>
      <c r="E50" s="59" t="inlineStr">
        <is>
          <t>ST02</t>
        </is>
      </c>
      <c r="F50" s="59" t="n">
        <v>1</v>
      </c>
      <c r="G50" s="59" t="n">
        <v>1</v>
      </c>
      <c r="H50" s="59" t="inlineStr">
        <is>
          <t>Midjourney</t>
        </is>
      </c>
      <c r="I50" s="59" t="inlineStr">
        <is>
          <t>Not started</t>
        </is>
      </c>
      <c r="J50" s="59" t="inlineStr">
        <is>
          <t>Manual cleanup for UI safe zones</t>
        </is>
      </c>
    </row>
    <row r="51" ht="26.85" customHeight="1" s="43">
      <c r="A51" s="59" t="inlineStr">
        <is>
          <t>BG03</t>
        </is>
      </c>
      <c r="B51" s="59" t="inlineStr">
        <is>
          <t>Backgrounds</t>
        </is>
      </c>
      <c r="C51" s="77">
        <f>Stages!B4</f>
        <v/>
      </c>
      <c r="D51" s="59" t="inlineStr">
        <is>
          <t>Portrait 9:19.5 stage background</t>
        </is>
      </c>
      <c r="E51" s="59" t="inlineStr">
        <is>
          <t>ST03</t>
        </is>
      </c>
      <c r="F51" s="59" t="n">
        <v>1</v>
      </c>
      <c r="G51" s="59" t="n">
        <v>1</v>
      </c>
      <c r="H51" s="59" t="inlineStr">
        <is>
          <t>Midjourney</t>
        </is>
      </c>
      <c r="I51" s="59" t="inlineStr">
        <is>
          <t>Not started</t>
        </is>
      </c>
      <c r="J51" s="59" t="inlineStr">
        <is>
          <t>Manual cleanup for UI safe zones</t>
        </is>
      </c>
    </row>
    <row r="52" ht="26.85" customHeight="1" s="43">
      <c r="A52" s="59" t="inlineStr">
        <is>
          <t>BG04</t>
        </is>
      </c>
      <c r="B52" s="59" t="inlineStr">
        <is>
          <t>Backgrounds</t>
        </is>
      </c>
      <c r="C52" s="77">
        <f>Stages!B5</f>
        <v/>
      </c>
      <c r="D52" s="59" t="inlineStr">
        <is>
          <t>Portrait 9:19.5 stage background</t>
        </is>
      </c>
      <c r="E52" s="59" t="inlineStr">
        <is>
          <t>ST04</t>
        </is>
      </c>
      <c r="F52" s="59" t="n">
        <v>1</v>
      </c>
      <c r="G52" s="59" t="n">
        <v>0</v>
      </c>
      <c r="H52" s="59" t="inlineStr">
        <is>
          <t>Midjourney</t>
        </is>
      </c>
      <c r="I52" s="59" t="inlineStr">
        <is>
          <t>Not started</t>
        </is>
      </c>
      <c r="J52" s="59" t="inlineStr">
        <is>
          <t>Manual cleanup for UI safe zones</t>
        </is>
      </c>
    </row>
    <row r="53" ht="26.85" customHeight="1" s="43">
      <c r="A53" s="59" t="inlineStr">
        <is>
          <t>BG05</t>
        </is>
      </c>
      <c r="B53" s="59" t="inlineStr">
        <is>
          <t>Backgrounds</t>
        </is>
      </c>
      <c r="C53" s="77">
        <f>Stages!B6</f>
        <v/>
      </c>
      <c r="D53" s="59" t="inlineStr">
        <is>
          <t>Portrait 9:19.5 stage background</t>
        </is>
      </c>
      <c r="E53" s="59" t="inlineStr">
        <is>
          <t>ST05</t>
        </is>
      </c>
      <c r="F53" s="59" t="n">
        <v>1</v>
      </c>
      <c r="G53" s="59" t="n">
        <v>0</v>
      </c>
      <c r="H53" s="59" t="inlineStr">
        <is>
          <t>Midjourney</t>
        </is>
      </c>
      <c r="I53" s="59" t="inlineStr">
        <is>
          <t>Not started</t>
        </is>
      </c>
      <c r="J53" s="59" t="inlineStr">
        <is>
          <t>Manual cleanup for UI safe zones</t>
        </is>
      </c>
    </row>
    <row r="54" ht="26.85" customHeight="1" s="43">
      <c r="A54" s="59" t="inlineStr">
        <is>
          <t>BG06</t>
        </is>
      </c>
      <c r="B54" s="59" t="inlineStr">
        <is>
          <t>Backgrounds</t>
        </is>
      </c>
      <c r="C54" s="77">
        <f>Stages!B7</f>
        <v/>
      </c>
      <c r="D54" s="59" t="inlineStr">
        <is>
          <t>Portrait 9:19.5 stage background</t>
        </is>
      </c>
      <c r="E54" s="59" t="inlineStr">
        <is>
          <t>ST06</t>
        </is>
      </c>
      <c r="F54" s="59" t="n">
        <v>1</v>
      </c>
      <c r="G54" s="59" t="n">
        <v>0</v>
      </c>
      <c r="H54" s="59" t="inlineStr">
        <is>
          <t>Midjourney</t>
        </is>
      </c>
      <c r="I54" s="59" t="inlineStr">
        <is>
          <t>Not started</t>
        </is>
      </c>
      <c r="J54" s="59" t="inlineStr">
        <is>
          <t>Manual cleanup for UI safe zones</t>
        </is>
      </c>
    </row>
    <row r="55" ht="26.85" customHeight="1" s="43">
      <c r="A55" s="59" t="inlineStr">
        <is>
          <t>BG07</t>
        </is>
      </c>
      <c r="B55" s="59" t="inlineStr">
        <is>
          <t>Backgrounds</t>
        </is>
      </c>
      <c r="C55" s="77">
        <f>Stages!B8</f>
        <v/>
      </c>
      <c r="D55" s="59" t="inlineStr">
        <is>
          <t>Portrait 9:19.5 stage background</t>
        </is>
      </c>
      <c r="E55" s="59" t="inlineStr">
        <is>
          <t>ST07</t>
        </is>
      </c>
      <c r="F55" s="59" t="n">
        <v>1</v>
      </c>
      <c r="G55" s="59" t="n">
        <v>1</v>
      </c>
      <c r="H55" s="59" t="inlineStr">
        <is>
          <t>Midjourney</t>
        </is>
      </c>
      <c r="I55" s="59" t="inlineStr">
        <is>
          <t>Not started</t>
        </is>
      </c>
      <c r="J55" s="59" t="inlineStr">
        <is>
          <t>Manual cleanup for UI safe zones</t>
        </is>
      </c>
    </row>
    <row r="56" ht="26.85" customHeight="1" s="43">
      <c r="A56" s="59" t="inlineStr">
        <is>
          <t>BG08</t>
        </is>
      </c>
      <c r="B56" s="59" t="inlineStr">
        <is>
          <t>Backgrounds</t>
        </is>
      </c>
      <c r="C56" s="77">
        <f>Stages!B9</f>
        <v/>
      </c>
      <c r="D56" s="59" t="inlineStr">
        <is>
          <t>Portrait 9:19.5 stage background</t>
        </is>
      </c>
      <c r="E56" s="59" t="inlineStr">
        <is>
          <t>ST08</t>
        </is>
      </c>
      <c r="F56" s="59" t="n">
        <v>1</v>
      </c>
      <c r="G56" s="59" t="n">
        <v>0</v>
      </c>
      <c r="H56" s="59" t="inlineStr">
        <is>
          <t>Midjourney</t>
        </is>
      </c>
      <c r="I56" s="59" t="inlineStr">
        <is>
          <t>Not started</t>
        </is>
      </c>
      <c r="J56" s="59" t="inlineStr">
        <is>
          <t>Manual cleanup for UI safe zones</t>
        </is>
      </c>
    </row>
    <row r="57" ht="15" customHeight="1" s="43">
      <c r="A57" s="59" t="inlineStr">
        <is>
          <t>IC01</t>
        </is>
      </c>
      <c r="B57" s="59" t="inlineStr">
        <is>
          <t>Icons</t>
        </is>
      </c>
      <c r="C57" s="59" t="inlineStr">
        <is>
          <t>Suit icons</t>
        </is>
      </c>
      <c r="D57" s="59" t="inlineStr">
        <is>
          <t>Six rhetorical suits</t>
        </is>
      </c>
      <c r="E57" s="59" t="inlineStr">
        <is>
          <t>Suits</t>
        </is>
      </c>
      <c r="F57" s="59" t="n">
        <v>6</v>
      </c>
      <c r="G57" s="59" t="n">
        <v>6</v>
      </c>
      <c r="H57" s="59" t="inlineStr">
        <is>
          <t>Manual</t>
        </is>
      </c>
      <c r="I57" s="59" t="inlineStr">
        <is>
          <t>Not started</t>
        </is>
      </c>
      <c r="J57" s="59" t="n"/>
    </row>
    <row r="58" ht="26.85" customHeight="1" s="43">
      <c r="A58" s="59" t="inlineStr">
        <is>
          <t>IC02</t>
        </is>
      </c>
      <c r="B58" s="59" t="inlineStr">
        <is>
          <t>Icons</t>
        </is>
      </c>
      <c r="C58" s="59" t="inlineStr">
        <is>
          <t>Intent icons</t>
        </is>
      </c>
      <c r="D58" s="59" t="inlineStr">
        <is>
          <t>Attack, gain, block, pressure, question, special</t>
        </is>
      </c>
      <c r="E58" s="59" t="inlineStr">
        <is>
          <t>—</t>
        </is>
      </c>
      <c r="F58" s="59" t="n">
        <v>6</v>
      </c>
      <c r="G58" s="59" t="n">
        <v>6</v>
      </c>
      <c r="H58" s="59" t="inlineStr">
        <is>
          <t>Manual</t>
        </is>
      </c>
      <c r="I58" s="59" t="inlineStr">
        <is>
          <t>Not started</t>
        </is>
      </c>
      <c r="J58" s="59" t="n"/>
    </row>
    <row r="59" ht="26.85" customHeight="1" s="43">
      <c r="A59" s="59" t="inlineStr">
        <is>
          <t>IC03</t>
        </is>
      </c>
      <c r="B59" s="59" t="inlineStr">
        <is>
          <t>Icons</t>
        </is>
      </c>
      <c r="C59" s="59" t="inlineStr">
        <is>
          <t>Segment icons</t>
        </is>
      </c>
      <c r="D59" s="59" t="inlineStr">
        <is>
          <t>Press, loyalists, constituents, donors, bureaucrats</t>
        </is>
      </c>
      <c r="E59" s="59" t="inlineStr">
        <is>
          <t>Segments</t>
        </is>
      </c>
      <c r="F59" s="59" t="n">
        <v>5</v>
      </c>
      <c r="G59" s="59" t="n">
        <v>5</v>
      </c>
      <c r="H59" s="59" t="inlineStr">
        <is>
          <t>Manual</t>
        </is>
      </c>
      <c r="I59" s="59" t="inlineStr">
        <is>
          <t>Not started</t>
        </is>
      </c>
      <c r="J59" s="59" t="n"/>
    </row>
    <row r="60" ht="15" customHeight="1" s="43">
      <c r="A60" s="59" t="inlineStr">
        <is>
          <t>IC04</t>
        </is>
      </c>
      <c r="B60" s="59" t="inlineStr">
        <is>
          <t>Icons</t>
        </is>
      </c>
      <c r="C60" s="59" t="inlineStr">
        <is>
          <t>Meta stat icons</t>
        </is>
      </c>
      <c r="D60" s="59" t="inlineStr">
        <is>
          <t>Jiban, Kanban, Kaban, Party support</t>
        </is>
      </c>
      <c r="E60" s="59" t="inlineStr">
        <is>
          <t>Sanban</t>
        </is>
      </c>
      <c r="F60" s="59" t="n">
        <v>4</v>
      </c>
      <c r="G60" s="59" t="n">
        <v>4</v>
      </c>
      <c r="H60" s="59" t="inlineStr">
        <is>
          <t>Manual</t>
        </is>
      </c>
      <c r="I60" s="59" t="inlineStr">
        <is>
          <t>Not started</t>
        </is>
      </c>
      <c r="J60" s="59" t="n"/>
    </row>
    <row r="61" ht="15" customHeight="1" s="43">
      <c r="A61" s="59" t="inlineStr">
        <is>
          <t>IC05</t>
        </is>
      </c>
      <c r="B61" s="59" t="inlineStr">
        <is>
          <t>Icons</t>
        </is>
      </c>
      <c r="C61" s="59" t="inlineStr">
        <is>
          <t>Opinion topic icons</t>
        </is>
      </c>
      <c r="D61" s="59" t="inlineStr">
        <is>
          <t>One per Yoron topic</t>
        </is>
      </c>
      <c r="E61" s="59" t="inlineStr">
        <is>
          <t>Yoron</t>
        </is>
      </c>
      <c r="F61" s="59" t="n">
        <v>8</v>
      </c>
      <c r="G61" s="59" t="n">
        <v>1</v>
      </c>
      <c r="H61" s="59" t="inlineStr">
        <is>
          <t>Manual</t>
        </is>
      </c>
      <c r="I61" s="59" t="inlineStr">
        <is>
          <t>Not started</t>
        </is>
      </c>
      <c r="J61" s="59" t="n"/>
    </row>
    <row r="62" ht="26.85" customHeight="1" s="43">
      <c r="A62" s="59" t="inlineStr">
        <is>
          <t>IC06</t>
        </is>
      </c>
      <c r="B62" s="59" t="inlineStr">
        <is>
          <t>Icons</t>
        </is>
      </c>
      <c r="C62" s="59" t="inlineStr">
        <is>
          <t>Status icons</t>
        </is>
      </c>
      <c r="D62" s="59" t="inlineStr">
        <is>
          <t>Buff, debuff, locked, block, gaffe, frozen funds</t>
        </is>
      </c>
      <c r="E62" s="59" t="inlineStr">
        <is>
          <t>—</t>
        </is>
      </c>
      <c r="F62" s="59" t="n">
        <v>6</v>
      </c>
      <c r="G62" s="59" t="n">
        <v>6</v>
      </c>
      <c r="H62" s="59" t="inlineStr">
        <is>
          <t>Manual</t>
        </is>
      </c>
      <c r="I62" s="59" t="inlineStr">
        <is>
          <t>Not started</t>
        </is>
      </c>
      <c r="J62" s="59" t="n"/>
    </row>
    <row r="63" ht="26.85" customHeight="1" s="43">
      <c r="A63" s="59" t="inlineStr">
        <is>
          <t>IC07</t>
        </is>
      </c>
      <c r="B63" s="59" t="inlineStr">
        <is>
          <t>Icons</t>
        </is>
      </c>
      <c r="C63" s="59" t="inlineStr">
        <is>
          <t>General UI icons</t>
        </is>
      </c>
      <c r="D63" s="59" t="inlineStr">
        <is>
          <t>Deck, discard, turn, energy, settings, back, details, XP</t>
        </is>
      </c>
      <c r="E63" s="59" t="inlineStr">
        <is>
          <t>—</t>
        </is>
      </c>
      <c r="F63" s="59" t="n">
        <v>8</v>
      </c>
      <c r="G63" s="59" t="n">
        <v>8</v>
      </c>
      <c r="H63" s="59" t="inlineStr">
        <is>
          <t>Manual</t>
        </is>
      </c>
      <c r="I63" s="59" t="inlineStr">
        <is>
          <t>Not started</t>
        </is>
      </c>
      <c r="J63" s="59" t="n"/>
    </row>
    <row r="64" ht="15" customHeight="1" s="43">
      <c r="A64" s="59" t="inlineStr">
        <is>
          <t>IC08</t>
        </is>
      </c>
      <c r="B64" s="59" t="inlineStr">
        <is>
          <t>Icons</t>
        </is>
      </c>
      <c r="C64" s="77">
        <f>Boosters!B2</f>
        <v/>
      </c>
      <c r="D64" s="59" t="inlineStr">
        <is>
          <t>Booster emblem</t>
        </is>
      </c>
      <c r="E64" s="77">
        <f>Boosters!A2</f>
        <v/>
      </c>
      <c r="F64" s="59" t="n">
        <v>1</v>
      </c>
      <c r="G64" s="59" t="n">
        <v>0</v>
      </c>
      <c r="H64" s="59" t="inlineStr">
        <is>
          <t>Manual</t>
        </is>
      </c>
      <c r="I64" s="59" t="inlineStr">
        <is>
          <t>Not started</t>
        </is>
      </c>
      <c r="J64" s="59" t="n"/>
    </row>
    <row r="65" ht="15" customHeight="1" s="43">
      <c r="A65" s="59" t="inlineStr">
        <is>
          <t>IC09</t>
        </is>
      </c>
      <c r="B65" s="59" t="inlineStr">
        <is>
          <t>Icons</t>
        </is>
      </c>
      <c r="C65" s="77">
        <f>Boosters!B3</f>
        <v/>
      </c>
      <c r="D65" s="59" t="inlineStr">
        <is>
          <t>Booster emblem</t>
        </is>
      </c>
      <c r="E65" s="77">
        <f>Boosters!A3</f>
        <v/>
      </c>
      <c r="F65" s="59" t="n">
        <v>1</v>
      </c>
      <c r="G65" s="59" t="n">
        <v>0</v>
      </c>
      <c r="H65" s="59" t="inlineStr">
        <is>
          <t>Manual</t>
        </is>
      </c>
      <c r="I65" s="59" t="inlineStr">
        <is>
          <t>Not started</t>
        </is>
      </c>
      <c r="J65" s="59" t="n"/>
    </row>
    <row r="66" ht="15" customHeight="1" s="43">
      <c r="A66" s="59" t="inlineStr">
        <is>
          <t>IC10</t>
        </is>
      </c>
      <c r="B66" s="59" t="inlineStr">
        <is>
          <t>Icons</t>
        </is>
      </c>
      <c r="C66" s="77">
        <f>Boosters!B4</f>
        <v/>
      </c>
      <c r="D66" s="59" t="inlineStr">
        <is>
          <t>Booster emblem</t>
        </is>
      </c>
      <c r="E66" s="77">
        <f>Boosters!A4</f>
        <v/>
      </c>
      <c r="F66" s="59" t="n">
        <v>1</v>
      </c>
      <c r="G66" s="59" t="n">
        <v>1</v>
      </c>
      <c r="H66" s="59" t="inlineStr">
        <is>
          <t>Manual</t>
        </is>
      </c>
      <c r="I66" s="59" t="inlineStr">
        <is>
          <t>Not started</t>
        </is>
      </c>
      <c r="J66" s="59" t="n"/>
    </row>
    <row r="67" ht="15" customHeight="1" s="43">
      <c r="A67" s="59" t="inlineStr">
        <is>
          <t>IC11</t>
        </is>
      </c>
      <c r="B67" s="59" t="inlineStr">
        <is>
          <t>Icons</t>
        </is>
      </c>
      <c r="C67" s="77">
        <f>Boosters!B5</f>
        <v/>
      </c>
      <c r="D67" s="59" t="inlineStr">
        <is>
          <t>Booster emblem</t>
        </is>
      </c>
      <c r="E67" s="77">
        <f>Boosters!A5</f>
        <v/>
      </c>
      <c r="F67" s="59" t="n">
        <v>1</v>
      </c>
      <c r="G67" s="59" t="n">
        <v>0</v>
      </c>
      <c r="H67" s="59" t="inlineStr">
        <is>
          <t>Manual</t>
        </is>
      </c>
      <c r="I67" s="59" t="inlineStr">
        <is>
          <t>Not started</t>
        </is>
      </c>
      <c r="J67" s="59" t="n"/>
    </row>
    <row r="68" ht="15" customHeight="1" s="43">
      <c r="A68" s="59" t="inlineStr">
        <is>
          <t>IC12</t>
        </is>
      </c>
      <c r="B68" s="59" t="inlineStr">
        <is>
          <t>Icons</t>
        </is>
      </c>
      <c r="C68" s="77">
        <f>Boosters!B6</f>
        <v/>
      </c>
      <c r="D68" s="59" t="inlineStr">
        <is>
          <t>Booster emblem</t>
        </is>
      </c>
      <c r="E68" s="77">
        <f>Boosters!A6</f>
        <v/>
      </c>
      <c r="F68" s="59" t="n">
        <v>1</v>
      </c>
      <c r="G68" s="59" t="n">
        <v>0</v>
      </c>
      <c r="H68" s="59" t="inlineStr">
        <is>
          <t>Manual</t>
        </is>
      </c>
      <c r="I68" s="59" t="inlineStr">
        <is>
          <t>Not started</t>
        </is>
      </c>
      <c r="J68" s="59" t="n"/>
    </row>
    <row r="69" ht="15" customHeight="1" s="43">
      <c r="A69" s="59" t="inlineStr">
        <is>
          <t>IC13</t>
        </is>
      </c>
      <c r="B69" s="59" t="inlineStr">
        <is>
          <t>Icons</t>
        </is>
      </c>
      <c r="C69" s="77">
        <f>Boosters!B7</f>
        <v/>
      </c>
      <c r="D69" s="59" t="inlineStr">
        <is>
          <t>Booster emblem</t>
        </is>
      </c>
      <c r="E69" s="77">
        <f>Boosters!A7</f>
        <v/>
      </c>
      <c r="F69" s="59" t="n">
        <v>1</v>
      </c>
      <c r="G69" s="59" t="n">
        <v>0</v>
      </c>
      <c r="H69" s="59" t="inlineStr">
        <is>
          <t>Manual</t>
        </is>
      </c>
      <c r="I69" s="59" t="inlineStr">
        <is>
          <t>Not started</t>
        </is>
      </c>
      <c r="J69" s="59" t="n"/>
    </row>
    <row r="70" ht="15" customHeight="1" s="43">
      <c r="A70" s="59" t="inlineStr">
        <is>
          <t>IC14</t>
        </is>
      </c>
      <c r="B70" s="59" t="inlineStr">
        <is>
          <t>Icons</t>
        </is>
      </c>
      <c r="C70" s="77">
        <f>Boosters!B8</f>
        <v/>
      </c>
      <c r="D70" s="59" t="inlineStr">
        <is>
          <t>Booster emblem</t>
        </is>
      </c>
      <c r="E70" s="77">
        <f>Boosters!A8</f>
        <v/>
      </c>
      <c r="F70" s="59" t="n">
        <v>1</v>
      </c>
      <c r="G70" s="59" t="n">
        <v>0</v>
      </c>
      <c r="H70" s="59" t="inlineStr">
        <is>
          <t>Manual</t>
        </is>
      </c>
      <c r="I70" s="59" t="inlineStr">
        <is>
          <t>Not started</t>
        </is>
      </c>
      <c r="J70" s="59" t="n"/>
    </row>
    <row r="71" ht="15" customHeight="1" s="43">
      <c r="A71" s="59" t="inlineStr">
        <is>
          <t>IC15</t>
        </is>
      </c>
      <c r="B71" s="59" t="inlineStr">
        <is>
          <t>Icons</t>
        </is>
      </c>
      <c r="C71" s="77">
        <f>Boosters!B9</f>
        <v/>
      </c>
      <c r="D71" s="59" t="inlineStr">
        <is>
          <t>Booster emblem</t>
        </is>
      </c>
      <c r="E71" s="77">
        <f>Boosters!A9</f>
        <v/>
      </c>
      <c r="F71" s="59" t="n">
        <v>1</v>
      </c>
      <c r="G71" s="59" t="n">
        <v>1</v>
      </c>
      <c r="H71" s="59" t="inlineStr">
        <is>
          <t>Manual</t>
        </is>
      </c>
      <c r="I71" s="59" t="inlineStr">
        <is>
          <t>Not started</t>
        </is>
      </c>
      <c r="J71" s="59" t="n"/>
    </row>
    <row r="72" ht="15" customHeight="1" s="43">
      <c r="A72" s="59" t="inlineStr">
        <is>
          <t>IC16</t>
        </is>
      </c>
      <c r="B72" s="59" t="inlineStr">
        <is>
          <t>Icons</t>
        </is>
      </c>
      <c r="C72" s="77">
        <f>Boosters!B10</f>
        <v/>
      </c>
      <c r="D72" s="59" t="inlineStr">
        <is>
          <t>Booster emblem</t>
        </is>
      </c>
      <c r="E72" s="77">
        <f>Boosters!A10</f>
        <v/>
      </c>
      <c r="F72" s="59" t="n">
        <v>1</v>
      </c>
      <c r="G72" s="59" t="n">
        <v>0</v>
      </c>
      <c r="H72" s="59" t="inlineStr">
        <is>
          <t>Manual</t>
        </is>
      </c>
      <c r="I72" s="59" t="inlineStr">
        <is>
          <t>Not started</t>
        </is>
      </c>
      <c r="J72" s="59" t="n"/>
    </row>
    <row r="73" ht="15" customHeight="1" s="43">
      <c r="A73" s="59" t="inlineStr">
        <is>
          <t>IC17</t>
        </is>
      </c>
      <c r="B73" s="59" t="inlineStr">
        <is>
          <t>Icons</t>
        </is>
      </c>
      <c r="C73" s="77">
        <f>Boosters!B11</f>
        <v/>
      </c>
      <c r="D73" s="59" t="inlineStr">
        <is>
          <t>Booster emblem</t>
        </is>
      </c>
      <c r="E73" s="77">
        <f>Boosters!A11</f>
        <v/>
      </c>
      <c r="F73" s="59" t="n">
        <v>1</v>
      </c>
      <c r="G73" s="59" t="n">
        <v>0</v>
      </c>
      <c r="H73" s="59" t="inlineStr">
        <is>
          <t>Manual</t>
        </is>
      </c>
      <c r="I73" s="59" t="inlineStr">
        <is>
          <t>Not started</t>
        </is>
      </c>
      <c r="J73" s="59" t="n"/>
    </row>
    <row r="74" ht="26.85" customHeight="1" s="43">
      <c r="A74" s="59" t="inlineStr">
        <is>
          <t>SC01</t>
        </is>
      </c>
      <c r="B74" s="59" t="inlineStr">
        <is>
          <t>Screens</t>
        </is>
      </c>
      <c r="C74" s="59" t="inlineStr">
        <is>
          <t>Battle HUD</t>
        </is>
      </c>
      <c r="D74" s="59" t="inlineStr">
        <is>
          <t>Bars, win line, turn, energy, gaffes, member tiles, End turn</t>
        </is>
      </c>
      <c r="E74" s="59" t="inlineStr">
        <is>
          <t>—</t>
        </is>
      </c>
      <c r="F74" s="59" t="n">
        <v>1</v>
      </c>
      <c r="G74" s="59" t="n">
        <v>1</v>
      </c>
      <c r="H74" s="59" t="inlineStr">
        <is>
          <t>Engine/UI</t>
        </is>
      </c>
      <c r="I74" s="59" t="inlineStr">
        <is>
          <t>Not started</t>
        </is>
      </c>
      <c r="J74" s="59" t="n"/>
    </row>
    <row r="75" ht="15" customHeight="1" s="43">
      <c r="A75" s="59" t="inlineStr">
        <is>
          <t>SC02</t>
        </is>
      </c>
      <c r="B75" s="59" t="inlineStr">
        <is>
          <t>Screens</t>
        </is>
      </c>
      <c r="C75" s="59" t="inlineStr">
        <is>
          <t>Details panel</t>
        </is>
      </c>
      <c r="D75" s="59" t="inlineStr">
        <is>
          <t>Deck/discard, modifiers, opinion chip</t>
        </is>
      </c>
      <c r="E75" s="59" t="inlineStr">
        <is>
          <t>—</t>
        </is>
      </c>
      <c r="F75" s="59" t="n">
        <v>1</v>
      </c>
      <c r="G75" s="59" t="n">
        <v>1</v>
      </c>
      <c r="H75" s="59" t="inlineStr">
        <is>
          <t>Engine/UI</t>
        </is>
      </c>
      <c r="I75" s="59" t="inlineStr">
        <is>
          <t>Not started</t>
        </is>
      </c>
      <c r="J75" s="59" t="n"/>
    </row>
    <row r="76" ht="15" customHeight="1" s="43">
      <c r="A76" s="59" t="inlineStr">
        <is>
          <t>SC03</t>
        </is>
      </c>
      <c r="B76" s="59" t="inlineStr">
        <is>
          <t>Screens</t>
        </is>
      </c>
      <c r="C76" s="59" t="inlineStr">
        <is>
          <t>Results screen</t>
        </is>
      </c>
      <c r="D76" s="59" t="inlineStr">
        <is>
          <t>Win/loss variants; XP and meta changes</t>
        </is>
      </c>
      <c r="E76" s="59" t="inlineStr">
        <is>
          <t>—</t>
        </is>
      </c>
      <c r="F76" s="59" t="n">
        <v>1</v>
      </c>
      <c r="G76" s="59" t="n">
        <v>1</v>
      </c>
      <c r="H76" s="59" t="inlineStr">
        <is>
          <t>Engine/UI</t>
        </is>
      </c>
      <c r="I76" s="59" t="inlineStr">
        <is>
          <t>Not started</t>
        </is>
      </c>
      <c r="J76" s="59" t="n"/>
    </row>
    <row r="77" ht="15" customHeight="1" s="43">
      <c r="A77" s="59" t="inlineStr">
        <is>
          <t>SC04</t>
        </is>
      </c>
      <c r="B77" s="59" t="inlineStr">
        <is>
          <t>Screens</t>
        </is>
      </c>
      <c r="C77" s="59" t="inlineStr">
        <is>
          <t>Checkpoint shop</t>
        </is>
      </c>
      <c r="D77" s="59" t="inlineStr">
        <is>
          <t>Spend XP on unlocks and upgrades</t>
        </is>
      </c>
      <c r="E77" s="59" t="inlineStr">
        <is>
          <t>—</t>
        </is>
      </c>
      <c r="F77" s="59" t="n">
        <v>1</v>
      </c>
      <c r="G77" s="59" t="n">
        <v>1</v>
      </c>
      <c r="H77" s="59" t="inlineStr">
        <is>
          <t>Engine/UI</t>
        </is>
      </c>
      <c r="I77" s="59" t="inlineStr">
        <is>
          <t>Not started</t>
        </is>
      </c>
      <c r="J77" s="59" t="n"/>
    </row>
    <row r="78" ht="15" customHeight="1" s="43">
      <c r="A78" s="59" t="inlineStr">
        <is>
          <t>SC05</t>
        </is>
      </c>
      <c r="B78" s="59" t="inlineStr">
        <is>
          <t>Screens</t>
        </is>
      </c>
      <c r="C78" s="59" t="inlineStr">
        <is>
          <t>Module map</t>
        </is>
      </c>
      <c r="D78" s="59" t="inlineStr">
        <is>
          <t>Stage ladder and progress</t>
        </is>
      </c>
      <c r="E78" s="59" t="inlineStr">
        <is>
          <t>—</t>
        </is>
      </c>
      <c r="F78" s="59" t="n">
        <v>1</v>
      </c>
      <c r="G78" s="59" t="n">
        <v>1</v>
      </c>
      <c r="H78" s="59" t="inlineStr">
        <is>
          <t>Engine/UI</t>
        </is>
      </c>
      <c r="I78" s="59" t="inlineStr">
        <is>
          <t>Not started</t>
        </is>
      </c>
      <c r="J78" s="59" t="n"/>
    </row>
    <row r="79" ht="15" customHeight="1" s="43">
      <c r="A79" s="59" t="inlineStr">
        <is>
          <t>SC06</t>
        </is>
      </c>
      <c r="B79" s="59" t="inlineStr">
        <is>
          <t>Screens</t>
        </is>
      </c>
      <c r="C79" s="59" t="inlineStr">
        <is>
          <t>Office hours screen</t>
        </is>
      </c>
      <c r="D79" s="59" t="inlineStr">
        <is>
          <t>Visitor queue and time slots</t>
        </is>
      </c>
      <c r="E79" s="59" t="inlineStr">
        <is>
          <t>—</t>
        </is>
      </c>
      <c r="F79" s="59" t="n">
        <v>1</v>
      </c>
      <c r="G79" s="59" t="n">
        <v>1</v>
      </c>
      <c r="H79" s="59" t="inlineStr">
        <is>
          <t>Engine/UI</t>
        </is>
      </c>
      <c r="I79" s="59" t="inlineStr">
        <is>
          <t>Not started</t>
        </is>
      </c>
      <c r="J79" s="59" t="n"/>
    </row>
    <row r="80" ht="26.85" customHeight="1" s="43">
      <c r="A80" s="59" t="inlineStr">
        <is>
          <t>SC07</t>
        </is>
      </c>
      <c r="B80" s="59" t="inlineStr">
        <is>
          <t>Screens</t>
        </is>
      </c>
      <c r="C80" s="59" t="inlineStr">
        <is>
          <t>Meta dashboard</t>
        </is>
      </c>
      <c r="D80" s="59" t="inlineStr">
        <is>
          <t>Jiban, Kanban, Kaban, Party support, boosters</t>
        </is>
      </c>
      <c r="E80" s="59" t="inlineStr">
        <is>
          <t>—</t>
        </is>
      </c>
      <c r="F80" s="59" t="n">
        <v>1</v>
      </c>
      <c r="G80" s="59" t="n">
        <v>0</v>
      </c>
      <c r="H80" s="59" t="inlineStr">
        <is>
          <t>Engine/UI</t>
        </is>
      </c>
      <c r="I80" s="59" t="inlineStr">
        <is>
          <t>Not started</t>
        </is>
      </c>
      <c r="J80" s="59" t="n"/>
    </row>
    <row r="81" ht="15" customHeight="1" s="43">
      <c r="A81" s="59" t="inlineStr">
        <is>
          <t>SC08</t>
        </is>
      </c>
      <c r="B81" s="59" t="inlineStr">
        <is>
          <t>Screens</t>
        </is>
      </c>
      <c r="C81" s="59" t="inlineStr">
        <is>
          <t>Deck viewer</t>
        </is>
      </c>
      <c r="D81" s="59" t="inlineStr">
        <is>
          <t>Card list and filters</t>
        </is>
      </c>
      <c r="E81" s="59" t="inlineStr">
        <is>
          <t>—</t>
        </is>
      </c>
      <c r="F81" s="59" t="n">
        <v>1</v>
      </c>
      <c r="G81" s="59" t="n">
        <v>0</v>
      </c>
      <c r="H81" s="59" t="inlineStr">
        <is>
          <t>Engine/UI</t>
        </is>
      </c>
      <c r="I81" s="59" t="inlineStr">
        <is>
          <t>Not started</t>
        </is>
      </c>
      <c r="J81" s="59" t="n"/>
    </row>
    <row r="82" ht="15" customHeight="1" s="43">
      <c r="A82" s="59" t="inlineStr">
        <is>
          <t>SC09</t>
        </is>
      </c>
      <c r="B82" s="59" t="inlineStr">
        <is>
          <t>Screens</t>
        </is>
      </c>
      <c r="C82" s="59" t="inlineStr">
        <is>
          <t>Main menu, settings, save</t>
        </is>
      </c>
      <c r="D82" s="59" t="inlineStr">
        <is>
          <t>Standard screens</t>
        </is>
      </c>
      <c r="E82" s="59" t="inlineStr">
        <is>
          <t>—</t>
        </is>
      </c>
      <c r="F82" s="59" t="n">
        <v>1</v>
      </c>
      <c r="G82" s="59" t="n">
        <v>1</v>
      </c>
      <c r="H82" s="59" t="inlineStr">
        <is>
          <t>Engine/UI</t>
        </is>
      </c>
      <c r="I82" s="59" t="inlineStr">
        <is>
          <t>Not started</t>
        </is>
      </c>
      <c r="J82" s="59" t="n"/>
    </row>
    <row r="83" ht="15" customHeight="1" s="43">
      <c r="A83" s="59" t="inlineStr">
        <is>
          <t>SC10</t>
        </is>
      </c>
      <c r="B83" s="59" t="inlineStr">
        <is>
          <t>Screens</t>
        </is>
      </c>
      <c r="C83" s="59" t="inlineStr">
        <is>
          <t>Tutorial overlays</t>
        </is>
      </c>
      <c r="D83" s="59" t="inlineStr">
        <is>
          <t>Callouts</t>
        </is>
      </c>
      <c r="E83" s="59" t="inlineStr">
        <is>
          <t>—</t>
        </is>
      </c>
      <c r="F83" s="59" t="n">
        <v>5</v>
      </c>
      <c r="G83" s="59" t="n">
        <v>5</v>
      </c>
      <c r="H83" s="59" t="inlineStr">
        <is>
          <t>Engine/UI</t>
        </is>
      </c>
      <c r="I83" s="59" t="inlineStr">
        <is>
          <t>Not started</t>
        </is>
      </c>
      <c r="J83" s="59" t="n"/>
    </row>
    <row r="84" ht="15" customHeight="1" s="43">
      <c r="A84" s="59" t="inlineStr">
        <is>
          <t>BR01</t>
        </is>
      </c>
      <c r="B84" s="59" t="inlineStr">
        <is>
          <t>Branding</t>
        </is>
      </c>
      <c r="C84" s="59" t="inlineStr">
        <is>
          <t>Game logo</t>
        </is>
      </c>
      <c r="D84" s="59" t="inlineStr">
        <is>
          <t>English title with Japanese accent</t>
        </is>
      </c>
      <c r="E84" s="59" t="inlineStr">
        <is>
          <t>—</t>
        </is>
      </c>
      <c r="F84" s="59" t="n">
        <v>1</v>
      </c>
      <c r="G84" s="59" t="n">
        <v>1</v>
      </c>
      <c r="H84" s="59" t="inlineStr">
        <is>
          <t>Manual</t>
        </is>
      </c>
      <c r="I84" s="59" t="inlineStr">
        <is>
          <t>Not started</t>
        </is>
      </c>
      <c r="J84" s="59" t="n"/>
    </row>
    <row r="85" ht="15" customHeight="1" s="43">
      <c r="A85" s="59" t="inlineStr">
        <is>
          <t>BR02</t>
        </is>
      </c>
      <c r="B85" s="59" t="inlineStr">
        <is>
          <t>Branding</t>
        </is>
      </c>
      <c r="C85" s="59" t="inlineStr">
        <is>
          <t>App icon</t>
        </is>
      </c>
      <c r="D85" s="59" t="inlineStr">
        <is>
          <t>Master; export all required sizes</t>
        </is>
      </c>
      <c r="E85" s="59" t="inlineStr">
        <is>
          <t>—</t>
        </is>
      </c>
      <c r="F85" s="59" t="n">
        <v>1</v>
      </c>
      <c r="G85" s="59" t="n">
        <v>1</v>
      </c>
      <c r="H85" s="59" t="inlineStr">
        <is>
          <t>Manual</t>
        </is>
      </c>
      <c r="I85" s="59" t="inlineStr">
        <is>
          <t>Not started</t>
        </is>
      </c>
      <c r="J85" s="59" t="n"/>
    </row>
    <row r="86" ht="15" customHeight="1" s="43">
      <c r="A86" s="59" t="inlineStr">
        <is>
          <t>BR03</t>
        </is>
      </c>
      <c r="B86" s="59" t="inlineStr">
        <is>
          <t>Branding</t>
        </is>
      </c>
      <c r="C86" s="59" t="inlineStr">
        <is>
          <t>Splash screen</t>
        </is>
      </c>
      <c r="D86" s="59" t="n"/>
      <c r="E86" s="59" t="inlineStr">
        <is>
          <t>—</t>
        </is>
      </c>
      <c r="F86" s="59" t="n">
        <v>1</v>
      </c>
      <c r="G86" s="59" t="n">
        <v>0</v>
      </c>
      <c r="H86" s="59" t="inlineStr">
        <is>
          <t>Manual</t>
        </is>
      </c>
      <c r="I86" s="59" t="inlineStr">
        <is>
          <t>Not started</t>
        </is>
      </c>
      <c r="J86" s="59" t="n"/>
    </row>
    <row r="87" ht="15" customHeight="1" s="43">
      <c r="A87" s="59" t="inlineStr">
        <is>
          <t>BR04</t>
        </is>
      </c>
      <c r="B87" s="59" t="inlineStr">
        <is>
          <t>Branding</t>
        </is>
      </c>
      <c r="C87" s="59" t="inlineStr">
        <is>
          <t>Store screenshots</t>
        </is>
      </c>
      <c r="D87" s="59" t="inlineStr">
        <is>
          <t>Portrait</t>
        </is>
      </c>
      <c r="E87" s="59" t="inlineStr">
        <is>
          <t>—</t>
        </is>
      </c>
      <c r="F87" s="59" t="n">
        <v>6</v>
      </c>
      <c r="G87" s="59" t="n">
        <v>0</v>
      </c>
      <c r="H87" s="59" t="inlineStr">
        <is>
          <t>Engine/UI</t>
        </is>
      </c>
      <c r="I87" s="59" t="inlineStr">
        <is>
          <t>Not started</t>
        </is>
      </c>
      <c r="J87" s="59" t="n"/>
    </row>
    <row r="88" ht="15" customHeight="1" s="43">
      <c r="A88" s="59" t="inlineStr">
        <is>
          <t>BR05</t>
        </is>
      </c>
      <c r="B88" s="59" t="inlineStr">
        <is>
          <t>Branding</t>
        </is>
      </c>
      <c r="C88" s="59" t="inlineStr">
        <is>
          <t>Play Store feature graphic</t>
        </is>
      </c>
      <c r="D88" s="59" t="n"/>
      <c r="E88" s="59" t="inlineStr">
        <is>
          <t>—</t>
        </is>
      </c>
      <c r="F88" s="59" t="n">
        <v>1</v>
      </c>
      <c r="G88" s="59" t="n">
        <v>0</v>
      </c>
      <c r="H88" s="59" t="inlineStr">
        <is>
          <t>Manual</t>
        </is>
      </c>
      <c r="I88" s="59" t="inlineStr">
        <is>
          <t>Not started</t>
        </is>
      </c>
      <c r="J88" s="59" t="n"/>
    </row>
    <row r="89" ht="15" customHeight="1" s="43">
      <c r="A89" s="59" t="inlineStr">
        <is>
          <t>BR06</t>
        </is>
      </c>
      <c r="B89" s="59" t="inlineStr">
        <is>
          <t>Branding</t>
        </is>
      </c>
      <c r="C89" s="59" t="inlineStr">
        <is>
          <t>Trailer (optional)</t>
        </is>
      </c>
      <c r="D89" s="59" t="n"/>
      <c r="E89" s="59" t="inlineStr">
        <is>
          <t>—</t>
        </is>
      </c>
      <c r="F89" s="59" t="n">
        <v>1</v>
      </c>
      <c r="G89" s="59" t="n">
        <v>0</v>
      </c>
      <c r="H89" s="59" t="inlineStr">
        <is>
          <t>Engine/UI</t>
        </is>
      </c>
      <c r="I89" s="59" t="inlineStr">
        <is>
          <t>Not started</t>
        </is>
      </c>
      <c r="J89" s="59" t="inlineStr">
        <is>
          <t>Optional</t>
        </is>
      </c>
    </row>
    <row r="90" ht="15" customHeight="1" s="43">
      <c r="A90" s="59" t="inlineStr">
        <is>
          <t>AU01</t>
        </is>
      </c>
      <c r="B90" s="59" t="inlineStr">
        <is>
          <t>Audio</t>
        </is>
      </c>
      <c r="C90" s="59" t="inlineStr">
        <is>
          <t>Music</t>
        </is>
      </c>
      <c r="D90" s="59" t="inlineStr">
        <is>
          <t>Menu, stage moods, victory, defeat</t>
        </is>
      </c>
      <c r="E90" s="59" t="inlineStr">
        <is>
          <t>—</t>
        </is>
      </c>
      <c r="F90" s="59" t="n">
        <v>8</v>
      </c>
      <c r="G90" s="59" t="n">
        <v>3</v>
      </c>
      <c r="H90" s="59" t="inlineStr">
        <is>
          <t>Library</t>
        </is>
      </c>
      <c r="I90" s="59" t="inlineStr">
        <is>
          <t>Not started</t>
        </is>
      </c>
      <c r="J90" s="59" t="inlineStr">
        <is>
          <t>Audio not yet designed</t>
        </is>
      </c>
    </row>
    <row r="91" ht="26.85" customHeight="1" s="43">
      <c r="A91" s="59" t="inlineStr">
        <is>
          <t>AU02</t>
        </is>
      </c>
      <c r="B91" s="59" t="inlineStr">
        <is>
          <t>Audio</t>
        </is>
      </c>
      <c r="C91" s="59" t="inlineStr">
        <is>
          <t>Sound effects</t>
        </is>
      </c>
      <c r="D91" s="59" t="inlineStr">
        <is>
          <t>Card play, draw, shuffle, bar move, gaffe, lock, turn end, win, lose, tap</t>
        </is>
      </c>
      <c r="E91" s="59" t="inlineStr">
        <is>
          <t>—</t>
        </is>
      </c>
      <c r="F91" s="59" t="n">
        <v>15</v>
      </c>
      <c r="G91" s="59" t="n">
        <v>10</v>
      </c>
      <c r="H91" s="59" t="inlineStr">
        <is>
          <t>Library</t>
        </is>
      </c>
      <c r="I91" s="59" t="inlineStr">
        <is>
          <t>Not started</t>
        </is>
      </c>
      <c r="J91" s="59" t="n"/>
    </row>
    <row r="92" ht="15" customHeight="1" s="43">
      <c r="A92" s="59" t="inlineStr">
        <is>
          <t>AU03</t>
        </is>
      </c>
      <c r="B92" s="59" t="inlineStr">
        <is>
          <t>Audio</t>
        </is>
      </c>
      <c r="C92" s="59" t="inlineStr">
        <is>
          <t>Ambience</t>
        </is>
      </c>
      <c r="D92" s="59" t="inlineStr">
        <is>
          <t>Chamber murmur, camera shutters, crowd</t>
        </is>
      </c>
      <c r="E92" s="59" t="inlineStr">
        <is>
          <t>—</t>
        </is>
      </c>
      <c r="F92" s="59" t="n">
        <v>3</v>
      </c>
      <c r="G92" s="59" t="n">
        <v>1</v>
      </c>
      <c r="H92" s="59" t="inlineStr">
        <is>
          <t>Library</t>
        </is>
      </c>
      <c r="I92" s="59" t="inlineStr">
        <is>
          <t>Not started</t>
        </is>
      </c>
      <c r="J92" s="59" t="n"/>
    </row>
    <row r="93" ht="15" customHeight="1" s="43">
      <c r="A93" s="59" t="inlineStr">
        <is>
          <t>TX01</t>
        </is>
      </c>
      <c r="B93" s="59" t="inlineStr">
        <is>
          <t>Text</t>
        </is>
      </c>
      <c r="C93" s="59" t="inlineStr">
        <is>
          <t>Card text</t>
        </is>
      </c>
      <c r="D93" s="59" t="inlineStr">
        <is>
          <t>Base + upgraded, per card</t>
        </is>
      </c>
      <c r="E93" s="59" t="inlineStr">
        <is>
          <t>Cards</t>
        </is>
      </c>
      <c r="F93" s="58">
        <f>2*COUNTA(Cards!$A$2:$A$25)</f>
        <v/>
      </c>
      <c r="G93" s="58">
        <f>2*COUNTIF(Cards!$Q$2:$Q$25,"Starter")</f>
        <v/>
      </c>
      <c r="H93" s="59" t="inlineStr">
        <is>
          <t>Writing</t>
        </is>
      </c>
      <c r="I93" s="59" t="inlineStr">
        <is>
          <t>Not started</t>
        </is>
      </c>
      <c r="J93" s="59" t="n"/>
    </row>
    <row r="94" ht="26.85" customHeight="1" s="43">
      <c r="A94" s="59" t="inlineStr">
        <is>
          <t>TX02</t>
        </is>
      </c>
      <c r="B94" s="59" t="inlineStr">
        <is>
          <t>Text</t>
        </is>
      </c>
      <c r="C94" s="59" t="inlineStr">
        <is>
          <t>Opponent barks</t>
        </is>
      </c>
      <c r="D94" s="59" t="inlineStr">
        <is>
          <t>5 lines per opponent</t>
        </is>
      </c>
      <c r="E94" s="59" t="inlineStr">
        <is>
          <t>Opponents</t>
        </is>
      </c>
      <c r="F94" s="58">
        <f>5*COUNTA(Opponents!$A$2:$A$20)</f>
        <v/>
      </c>
      <c r="G94" s="59" t="n">
        <v>15</v>
      </c>
      <c r="H94" s="59" t="inlineStr">
        <is>
          <t>Writing</t>
        </is>
      </c>
      <c r="I94" s="59" t="inlineStr">
        <is>
          <t>Not started</t>
        </is>
      </c>
      <c r="J94" s="59" t="n"/>
    </row>
    <row r="95" ht="15" customHeight="1" s="43">
      <c r="A95" s="59" t="inlineStr">
        <is>
          <t>TX03</t>
        </is>
      </c>
      <c r="B95" s="59" t="inlineStr">
        <is>
          <t>Text</t>
        </is>
      </c>
      <c r="C95" s="59" t="inlineStr">
        <is>
          <t>Press question pool</t>
        </is>
      </c>
      <c r="D95" s="59" t="n"/>
      <c r="E95" s="59" t="inlineStr">
        <is>
          <t>—</t>
        </is>
      </c>
      <c r="F95" s="59" t="n">
        <v>20</v>
      </c>
      <c r="G95" s="59" t="n">
        <v>0</v>
      </c>
      <c r="H95" s="59" t="inlineStr">
        <is>
          <t>Writing</t>
        </is>
      </c>
      <c r="I95" s="59" t="inlineStr">
        <is>
          <t>Not started</t>
        </is>
      </c>
      <c r="J95" s="59" t="n"/>
    </row>
    <row r="96" ht="15" customHeight="1" s="43">
      <c r="A96" s="59" t="inlineStr">
        <is>
          <t>TX04</t>
        </is>
      </c>
      <c r="B96" s="59" t="inlineStr">
        <is>
          <t>Text</t>
        </is>
      </c>
      <c r="C96" s="59" t="inlineStr">
        <is>
          <t>Office-hours visitor events</t>
        </is>
      </c>
      <c r="D96" s="59" t="n"/>
      <c r="E96" s="59" t="inlineStr">
        <is>
          <t>—</t>
        </is>
      </c>
      <c r="F96" s="59" t="n">
        <v>15</v>
      </c>
      <c r="G96" s="59" t="n">
        <v>5</v>
      </c>
      <c r="H96" s="59" t="inlineStr">
        <is>
          <t>Writing</t>
        </is>
      </c>
      <c r="I96" s="59" t="inlineStr">
        <is>
          <t>Not started</t>
        </is>
      </c>
      <c r="J96" s="59" t="n"/>
    </row>
    <row r="97" ht="15" customHeight="1" s="43">
      <c r="A97" s="59" t="inlineStr">
        <is>
          <t>TX05</t>
        </is>
      </c>
      <c r="B97" s="59" t="inlineStr">
        <is>
          <t>Text</t>
        </is>
      </c>
      <c r="C97" s="59" t="inlineStr">
        <is>
          <t>Bill descriptions</t>
        </is>
      </c>
      <c r="D97" s="59" t="inlineStr">
        <is>
          <t>One per bill</t>
        </is>
      </c>
      <c r="E97" s="59" t="inlineStr">
        <is>
          <t>Bills</t>
        </is>
      </c>
      <c r="F97" s="58">
        <f>COUNTA(Bills!$A$2:$A$50)</f>
        <v/>
      </c>
      <c r="G97" s="59" t="n">
        <v>1</v>
      </c>
      <c r="H97" s="59" t="inlineStr">
        <is>
          <t>Writing</t>
        </is>
      </c>
      <c r="I97" s="59" t="inlineStr">
        <is>
          <t>Not started</t>
        </is>
      </c>
      <c r="J97" s="59" t="n"/>
    </row>
    <row r="98" ht="15" customHeight="1" s="43">
      <c r="A98" s="59" t="inlineStr">
        <is>
          <t>TX06</t>
        </is>
      </c>
      <c r="B98" s="59" t="inlineStr">
        <is>
          <t>Text</t>
        </is>
      </c>
      <c r="C98" s="59" t="inlineStr">
        <is>
          <t>Stage intros + tutorial copy</t>
        </is>
      </c>
      <c r="D98" s="59" t="n"/>
      <c r="E98" s="59" t="inlineStr">
        <is>
          <t>—</t>
        </is>
      </c>
      <c r="F98" s="59" t="n">
        <v>15</v>
      </c>
      <c r="G98" s="59" t="n">
        <v>8</v>
      </c>
      <c r="H98" s="59" t="inlineStr">
        <is>
          <t>Writing</t>
        </is>
      </c>
      <c r="I98" s="59" t="inlineStr">
        <is>
          <t>Not started</t>
        </is>
      </c>
      <c r="J98" s="59" t="n"/>
    </row>
    <row r="99" ht="26.85" customHeight="1" s="43">
      <c r="A99" s="59" t="inlineStr">
        <is>
          <t>TX07</t>
        </is>
      </c>
      <c r="B99" s="59" t="inlineStr">
        <is>
          <t>Text</t>
        </is>
      </c>
      <c r="C99" s="59" t="inlineStr">
        <is>
          <t>Glossary (EN with JP accent)</t>
        </is>
      </c>
      <c r="D99" s="59" t="n"/>
      <c r="E99" s="59" t="inlineStr">
        <is>
          <t>—</t>
        </is>
      </c>
      <c r="F99" s="59" t="n">
        <v>40</v>
      </c>
      <c r="G99" s="59" t="n">
        <v>20</v>
      </c>
      <c r="H99" s="59" t="inlineStr">
        <is>
          <t>Writing</t>
        </is>
      </c>
      <c r="I99" s="59" t="inlineStr">
        <is>
          <t>Not started</t>
        </is>
      </c>
      <c r="J99" s="59" t="n"/>
    </row>
    <row r="100" ht="15" customHeight="1" s="43">
      <c r="A100" s="59" t="inlineStr">
        <is>
          <t>TX08</t>
        </is>
      </c>
      <c r="B100" s="59" t="inlineStr">
        <is>
          <t>Data</t>
        </is>
      </c>
      <c r="C100" s="59" t="inlineStr">
        <is>
          <t>JSON exports</t>
        </is>
      </c>
      <c r="D100" s="59" t="inlineStr">
        <is>
          <t>One per data tab</t>
        </is>
      </c>
      <c r="E100" s="59" t="inlineStr">
        <is>
          <t>—</t>
        </is>
      </c>
      <c r="F100" s="59" t="n">
        <v>16</v>
      </c>
      <c r="G100" s="59" t="n">
        <v>16</v>
      </c>
      <c r="H100" s="59" t="inlineStr">
        <is>
          <t>Export</t>
        </is>
      </c>
      <c r="I100" s="59" t="inlineStr">
        <is>
          <t>Not started</t>
        </is>
      </c>
      <c r="J100" s="59" t="inlineStr">
        <is>
          <t>Balance through Assets</t>
        </is>
      </c>
    </row>
    <row r="101" ht="15" customHeight="1" s="43">
      <c r="A101" s="59" t="inlineStr">
        <is>
          <t>TX09</t>
        </is>
      </c>
      <c r="B101" s="59" t="inlineStr">
        <is>
          <t>Data</t>
        </is>
      </c>
      <c r="C101" s="59" t="inlineStr">
        <is>
          <t>Fonts</t>
        </is>
      </c>
      <c r="D101" s="59" t="inlineStr">
        <is>
          <t>Noto Sans JP + optional display font</t>
        </is>
      </c>
      <c r="E101" s="59" t="inlineStr">
        <is>
          <t>—</t>
        </is>
      </c>
      <c r="F101" s="59" t="n">
        <v>2</v>
      </c>
      <c r="G101" s="59" t="n">
        <v>1</v>
      </c>
      <c r="H101" s="59" t="inlineStr">
        <is>
          <t>Library</t>
        </is>
      </c>
      <c r="I101" s="59" t="inlineStr">
        <is>
          <t>Not started</t>
        </is>
      </c>
      <c r="J101" s="59" t="n"/>
    </row>
  </sheetData>
  <dataValidations count="2">
    <dataValidation sqref="I2:I151" showDropDown="0" showInputMessage="0" showErrorMessage="0" allowBlank="1" type="list" errorStyle="stop" operator="between">
      <formula1>Lists!$I$2:$I$5</formula1>
      <formula2>0</formula2>
    </dataValidation>
    <dataValidation sqref="H2:H151" showDropDown="0" showInputMessage="0" showErrorMessage="0" allowBlank="1" type="list" errorStyle="stop" operator="between">
      <formula1>Lists!$K$2:$K$9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43" min="1" max="1"/>
    <col width="9" customWidth="1" style="43" min="2" max="2"/>
    <col width="9" customWidth="1" style="43" min="3" max="3"/>
    <col width="30" customWidth="1" style="43" min="4" max="4"/>
    <col width="18" customWidth="1" style="43" min="5" max="5"/>
    <col width="22" customWidth="1" style="43" min="6" max="6"/>
    <col width="14" customWidth="1" style="43" min="7" max="7"/>
    <col width="60" customWidth="1" style="43" min="8" max="8"/>
    <col width="26" customWidth="1" style="43" min="9" max="9"/>
    <col width="26" customWidth="1" style="43" min="15" max="15"/>
    <col width="55" customWidth="1" style="43" min="21" max="21"/>
  </cols>
  <sheetData>
    <row r="1">
      <c r="A1" s="84" t="inlineStr">
        <is>
          <t>Visitor ID</t>
        </is>
      </c>
      <c r="B1" s="84" t="inlineStr">
        <is>
          <t>Module</t>
        </is>
      </c>
      <c r="C1" s="84" t="inlineStr">
        <is>
          <t>Slot cost</t>
        </is>
      </c>
      <c r="D1" s="84" t="inlineStr">
        <is>
          <t>Visitor (EN)</t>
        </is>
      </c>
      <c r="E1" s="84" t="inlineStr">
        <is>
          <t>Visitor (JP)</t>
        </is>
      </c>
      <c r="F1" s="84" t="inlineStr">
        <is>
          <t>Romaji</t>
        </is>
      </c>
      <c r="G1" s="84" t="inlineStr">
        <is>
          <t>Segment</t>
        </is>
      </c>
      <c r="H1" s="84" t="inlineStr">
        <is>
          <t>Situation text</t>
        </is>
      </c>
      <c r="I1" s="84" t="inlineStr">
        <is>
          <t>Choice A</t>
        </is>
      </c>
      <c r="J1" s="84" t="inlineStr">
        <is>
          <t>A ΔJiban</t>
        </is>
      </c>
      <c r="K1" s="84" t="inlineStr">
        <is>
          <t>A ΔKaban</t>
        </is>
      </c>
      <c r="L1" s="84" t="inlineStr">
        <is>
          <t>A ΔParty support</t>
        </is>
      </c>
      <c r="M1" s="84" t="inlineStr">
        <is>
          <t>A Yoron topic</t>
        </is>
      </c>
      <c r="N1" s="84" t="inlineStr">
        <is>
          <t>A ΔYoron</t>
        </is>
      </c>
      <c r="O1" s="84" t="inlineStr">
        <is>
          <t>Choice B</t>
        </is>
      </c>
      <c r="P1" s="84" t="inlineStr">
        <is>
          <t>B ΔJiban</t>
        </is>
      </c>
      <c r="Q1" s="84" t="inlineStr">
        <is>
          <t>B ΔKaban</t>
        </is>
      </c>
      <c r="R1" s="84" t="inlineStr">
        <is>
          <t>B ΔParty support</t>
        </is>
      </c>
      <c r="S1" s="84" t="inlineStr">
        <is>
          <t>B Yoron topic</t>
        </is>
      </c>
      <c r="T1" s="84" t="inlineStr">
        <is>
          <t>B ΔYoron</t>
        </is>
      </c>
      <c r="U1" s="84" t="inlineStr">
        <is>
          <t>Note</t>
        </is>
      </c>
    </row>
    <row r="2">
      <c r="A2" t="inlineStr">
        <is>
          <t>V01</t>
        </is>
      </c>
      <c r="B2" t="inlineStr">
        <is>
          <t>Any</t>
        </is>
      </c>
      <c r="C2" t="n">
        <v>1</v>
      </c>
      <c r="D2" t="inlineStr">
        <is>
          <t>Neighbourhood Association Chair</t>
        </is>
      </c>
      <c r="E2" t="inlineStr">
        <is>
          <t>町内会長</t>
        </is>
      </c>
      <c r="F2" t="inlineStr">
        <is>
          <t>Chōnaikai-chō</t>
        </is>
      </c>
      <c r="G2" t="inlineStr">
        <is>
          <t>Constituents</t>
        </is>
      </c>
      <c r="H2" t="inlineStr">
        <is>
          <t>The local association wants you at their summer festival. It is the same afternoon as a fundraising lunch.</t>
        </is>
      </c>
      <c r="I2" t="inlineStr">
        <is>
          <t>Attend the festival</t>
        </is>
      </c>
      <c r="J2" t="n">
        <v>4</v>
      </c>
      <c r="K2" t="n">
        <v>-2</v>
      </c>
      <c r="L2" t="n">
        <v>0</v>
      </c>
      <c r="M2" t="inlineStr"/>
      <c r="N2" t="inlineStr"/>
      <c r="O2" t="inlineStr">
        <is>
          <t>Go to the lunch</t>
        </is>
      </c>
      <c r="P2" t="n">
        <v>-2</v>
      </c>
      <c r="Q2" t="n">
        <v>8</v>
      </c>
      <c r="R2" t="n">
        <v>0</v>
      </c>
      <c r="S2" t="inlineStr"/>
      <c r="T2" t="inlineStr"/>
      <c r="U2" t="inlineStr">
        <is>
          <t>PLACEHOLDER. Trades local goodwill against money.</t>
        </is>
      </c>
    </row>
    <row r="3">
      <c r="A3" t="inlineStr">
        <is>
          <t>V02</t>
        </is>
      </c>
      <c r="B3" t="inlineStr">
        <is>
          <t>Any</t>
        </is>
      </c>
      <c r="C3" t="n">
        <v>1</v>
      </c>
      <c r="D3" t="inlineStr">
        <is>
          <t>Small Business Owner</t>
        </is>
      </c>
      <c r="E3" t="inlineStr">
        <is>
          <t>商店主</t>
        </is>
      </c>
      <c r="F3" t="inlineStr">
        <is>
          <t>Shōtenshu</t>
        </is>
      </c>
      <c r="G3" t="inlineStr">
        <is>
          <t>Donors</t>
        </is>
      </c>
      <c r="H3" t="inlineStr">
        <is>
          <t>A shopkeeper asks you to raise a licensing delay with the ministry. It would cost you a favour.</t>
        </is>
      </c>
      <c r="I3" t="inlineStr">
        <is>
          <t>Make the call</t>
        </is>
      </c>
      <c r="J3" t="n">
        <v>2</v>
      </c>
      <c r="K3" t="n">
        <v>3</v>
      </c>
      <c r="L3" t="n">
        <v>-2</v>
      </c>
      <c r="M3" t="inlineStr">
        <is>
          <t>Y07</t>
        </is>
      </c>
      <c r="N3" t="n">
        <v>-3</v>
      </c>
      <c r="O3" t="inlineStr">
        <is>
          <t>Explain you cannot</t>
        </is>
      </c>
      <c r="P3" t="n">
        <v>-2</v>
      </c>
      <c r="Q3" t="n">
        <v>0</v>
      </c>
      <c r="R3" t="n">
        <v>1</v>
      </c>
      <c r="S3" t="inlineStr"/>
      <c r="T3" t="inlineStr"/>
      <c r="U3" t="inlineStr">
        <is>
          <t>PLACEHOLDER. Spends party standing for local credit.</t>
        </is>
      </c>
    </row>
    <row r="4">
      <c r="A4" t="inlineStr">
        <is>
          <t>V03</t>
        </is>
      </c>
      <c r="B4" t="inlineStr">
        <is>
          <t>Any</t>
        </is>
      </c>
      <c r="C4" t="n">
        <v>2</v>
      </c>
      <c r="D4" t="inlineStr">
        <is>
          <t>Ministry Official</t>
        </is>
      </c>
      <c r="E4" t="inlineStr">
        <is>
          <t>官僚</t>
        </is>
      </c>
      <c r="F4" t="inlineStr">
        <is>
          <t>Kanryō</t>
        </is>
      </c>
      <c r="G4" t="inlineStr">
        <is>
          <t>Bureaucrats</t>
        </is>
      </c>
      <c r="H4" t="inlineStr">
        <is>
          <t>An official offers an early look at a draft report, off the record.</t>
        </is>
      </c>
      <c r="I4" t="inlineStr">
        <is>
          <t>Accept the briefing</t>
        </is>
      </c>
      <c r="J4" t="n">
        <v>0</v>
      </c>
      <c r="K4" t="n">
        <v>0</v>
      </c>
      <c r="L4" t="n">
        <v>-3</v>
      </c>
      <c r="M4" t="inlineStr"/>
      <c r="N4" t="inlineStr"/>
      <c r="O4" t="inlineStr">
        <is>
          <t>Decline politely</t>
        </is>
      </c>
      <c r="P4" t="n">
        <v>0</v>
      </c>
      <c r="Q4" t="n">
        <v>0</v>
      </c>
      <c r="R4" t="n">
        <v>2</v>
      </c>
      <c r="S4" t="inlineStr"/>
      <c r="T4" t="inlineStr"/>
      <c r="U4" t="inlineStr">
        <is>
          <t>PLACEHOLDER. Information against propriety. Could later unlock a card.</t>
        </is>
      </c>
    </row>
    <row r="5">
      <c r="A5" t="inlineStr">
        <is>
          <t>V04</t>
        </is>
      </c>
      <c r="B5" t="inlineStr">
        <is>
          <t>Any</t>
        </is>
      </c>
      <c r="C5" t="n">
        <v>1</v>
      </c>
      <c r="D5" t="inlineStr">
        <is>
          <t>Beat Reporter</t>
        </is>
      </c>
      <c r="E5" t="inlineStr">
        <is>
          <t>番記者</t>
        </is>
      </c>
      <c r="F5" t="inlineStr">
        <is>
          <t>Bankisha</t>
        </is>
      </c>
      <c r="G5" t="inlineStr">
        <is>
          <t>Press</t>
        </is>
      </c>
      <c r="H5" t="inlineStr">
        <is>
          <t>A reporter who covers you daily asks for a comment on the bill before the committee sits.</t>
        </is>
      </c>
      <c r="I5" t="inlineStr">
        <is>
          <t>Give a frank comment</t>
        </is>
      </c>
      <c r="J5" t="n">
        <v>1</v>
      </c>
      <c r="K5" t="n">
        <v>0</v>
      </c>
      <c r="L5" t="n">
        <v>-2</v>
      </c>
      <c r="M5" t="inlineStr">
        <is>
          <t>Y03</t>
        </is>
      </c>
      <c r="N5" t="n">
        <v>4</v>
      </c>
      <c r="O5" t="inlineStr">
        <is>
          <t>Stay on message</t>
        </is>
      </c>
      <c r="P5" t="n">
        <v>0</v>
      </c>
      <c r="Q5" t="n">
        <v>0</v>
      </c>
      <c r="R5" t="n">
        <v>2</v>
      </c>
      <c r="S5" t="inlineStr"/>
      <c r="T5" t="inlineStr"/>
      <c r="U5" t="inlineStr">
        <is>
          <t>PLACEHOLDER. Candour moves opinion but irritates the party.</t>
        </is>
      </c>
    </row>
    <row r="6">
      <c r="A6" t="inlineStr">
        <is>
          <t>V05</t>
        </is>
      </c>
      <c r="B6" t="inlineStr">
        <is>
          <t>Any</t>
        </is>
      </c>
      <c r="C6" t="n">
        <v>1</v>
      </c>
      <c r="D6" t="inlineStr">
        <is>
          <t>Party Whip's Aide</t>
        </is>
      </c>
      <c r="E6" t="inlineStr">
        <is>
          <t>党幹事長室の秘書</t>
        </is>
      </c>
      <c r="F6" t="inlineStr">
        <is>
          <t>Tō Kanjichō-shitsu no Hisho</t>
        </is>
      </c>
      <c r="G6" t="inlineStr">
        <is>
          <t>Loyalists</t>
        </is>
      </c>
      <c r="H6" t="inlineStr">
        <is>
          <t>The whip's office asks you to speak second in the floor debate, backing the party line.</t>
        </is>
      </c>
      <c r="I6" t="inlineStr">
        <is>
          <t>Agree to speak</t>
        </is>
      </c>
      <c r="J6" t="n">
        <v>0</v>
      </c>
      <c r="K6" t="n">
        <v>0</v>
      </c>
      <c r="L6" t="n">
        <v>5</v>
      </c>
      <c r="M6" t="inlineStr"/>
      <c r="N6" t="inlineStr"/>
      <c r="O6" t="inlineStr">
        <is>
          <t>Ask to be excused</t>
        </is>
      </c>
      <c r="P6" t="n">
        <v>1</v>
      </c>
      <c r="Q6" t="n">
        <v>0</v>
      </c>
      <c r="R6" t="n">
        <v>-4</v>
      </c>
      <c r="S6" t="inlineStr"/>
      <c r="T6" t="inlineStr"/>
      <c r="U6" t="inlineStr">
        <is>
          <t>PLACEHOLDER. The clearest party-support lever in office hours.</t>
        </is>
      </c>
    </row>
    <row r="7">
      <c r="A7" t="inlineStr">
        <is>
          <t>V06</t>
        </is>
      </c>
      <c r="B7" t="inlineStr">
        <is>
          <t>Any</t>
        </is>
      </c>
      <c r="C7" t="n">
        <v>2</v>
      </c>
      <c r="D7" t="inlineStr">
        <is>
          <t>Fisheries Co-op Delegate</t>
        </is>
      </c>
      <c r="E7" t="inlineStr">
        <is>
          <t>漁協の代表</t>
        </is>
      </c>
      <c r="F7" t="inlineStr">
        <is>
          <t>Gyokyō no Daihyō</t>
        </is>
      </c>
      <c r="G7" t="inlineStr">
        <is>
          <t>Constituents</t>
        </is>
      </c>
      <c r="H7" t="inlineStr">
        <is>
          <t>A co-op delegation wants the coastal provisions strengthened. It would slow the bill.</t>
        </is>
      </c>
      <c r="I7" t="inlineStr">
        <is>
          <t>Back the amendment</t>
        </is>
      </c>
      <c r="J7" t="n">
        <v>5</v>
      </c>
      <c r="K7" t="n">
        <v>0</v>
      </c>
      <c r="L7" t="n">
        <v>-3</v>
      </c>
      <c r="M7" t="inlineStr">
        <is>
          <t>Y03</t>
        </is>
      </c>
      <c r="N7" t="n">
        <v>3</v>
      </c>
      <c r="O7" t="inlineStr">
        <is>
          <t>Keep the bill moving</t>
        </is>
      </c>
      <c r="P7" t="n">
        <v>-3</v>
      </c>
      <c r="Q7" t="n">
        <v>2</v>
      </c>
      <c r="R7" t="n">
        <v>2</v>
      </c>
      <c r="S7" t="inlineStr">
        <is>
          <t>Y03</t>
        </is>
      </c>
      <c r="T7" t="n">
        <v>-2</v>
      </c>
      <c r="U7" t="inlineStr">
        <is>
          <t>PLACEHOLDER. Uses Environmentalism (Y03) until a Fisheries topic exists — README open decision #12.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2026-09-18T14:33:20Z</dcterms:created>
  <dcterms:modified xsi:type="dcterms:W3CDTF">2026-09-19T06:59:23Z</dcterms:modified>
  <cp:revision>0</cp:revision>
</cp:coreProperties>
</file>