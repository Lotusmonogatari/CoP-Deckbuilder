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mgof\Downloads\"/>
    </mc:Choice>
  </mc:AlternateContent>
  <xr:revisionPtr revIDLastSave="0" documentId="13_ncr:1_{65BEE313-6738-49A3-B16E-7D68753ADC79}" xr6:coauthVersionLast="47" xr6:coauthVersionMax="47" xr10:uidLastSave="{00000000-0000-0000-0000-000000000000}"/>
  <bookViews>
    <workbookView xWindow="-120" yWindow="-120" windowWidth="29040" windowHeight="15720" tabRatio="666" firstSheet="11" activeTab="16" xr2:uid="{00000000-000D-0000-FFFF-FFFF00000000}"/>
  </bookViews>
  <sheets>
    <sheet name="README" sheetId="1" r:id="rId1"/>
    <sheet name="Balance" sheetId="2" r:id="rId2"/>
    <sheet name="Player" sheetId="3" r:id="rId3"/>
    <sheet name="Office Notices" sheetId="4" r:id="rId4"/>
    <sheet name="Suits" sheetId="5" r:id="rId5"/>
    <sheet name="Stages" sheetId="6" r:id="rId6"/>
    <sheet name="Levels" sheetId="7" r:id="rId7"/>
    <sheet name="Affinity" sheetId="8" r:id="rId8"/>
    <sheet name="Cards" sheetId="9" r:id="rId9"/>
    <sheet name="Segments" sheetId="10" r:id="rId10"/>
    <sheet name="Modifiers" sheetId="11" r:id="rId11"/>
    <sheet name="Boosters" sheetId="12" r:id="rId12"/>
    <sheet name="Shop" sheetId="13" r:id="rId13"/>
    <sheet name="Staff" sheetId="14" r:id="rId14"/>
    <sheet name="Opponents" sheetId="15" r:id="rId15"/>
    <sheet name="Sanban" sheetId="16" r:id="rId16"/>
    <sheet name="Text" sheetId="17" r:id="rId17"/>
    <sheet name="Flavor Text" sheetId="18" r:id="rId18"/>
    <sheet name="Tone Guide" sheetId="19" r:id="rId19"/>
    <sheet name="Press Questions" sheetId="20" r:id="rId20"/>
    <sheet name="Town Hall Questions" sheetId="21" r:id="rId21"/>
    <sheet name="Lobbyist Questions" sheetId="22" r:id="rId22"/>
    <sheet name="Study Session Questions" sheetId="23" r:id="rId23"/>
    <sheet name="Media Ambush Questions" sheetId="24" r:id="rId24"/>
    <sheet name="Question Themes" sheetId="43" r:id="rId25"/>
    <sheet name="Visitors" sheetId="26" r:id="rId26"/>
    <sheet name="Visitor Questions" sheetId="27" r:id="rId27"/>
    <sheet name="Opponent Cues" sheetId="28" r:id="rId28"/>
    <sheet name="Assets" sheetId="29" r:id="rId29"/>
    <sheet name="Parties" sheetId="30" r:id="rId30"/>
    <sheet name="Floor Vote Bills" sheetId="31" r:id="rId31"/>
    <sheet name="Floor Vote Party Positions" sheetId="32" r:id="rId32"/>
    <sheet name="Vote Tally &amp; Swing" sheetId="33" r:id="rId33"/>
    <sheet name="Level Intro Cues" sheetId="34" r:id="rId34"/>
    <sheet name="Office Ticker" sheetId="35" r:id="rId35"/>
    <sheet name="Vote Influence Triggers" sheetId="36" r:id="rId36"/>
    <sheet name="Vote Influence Cues" sheetId="37" r:id="rId37"/>
    <sheet name="Cosmetic Packages" sheetId="38" r:id="rId38"/>
    <sheet name="Level Intro Thoughts" sheetId="39" r:id="rId39"/>
    <sheet name="Transition Cast" sheetId="40" r:id="rId40"/>
    <sheet name="Transition Backgrounds" sheetId="41" r:id="rId41"/>
    <sheet name="Transition Dialogue" sheetId="42" r:id="rId42"/>
    <sheet name="How To Play" sheetId="44" r:id="rId43"/>
    <sheet name="Party Standing" sheetId="45" r:id="rId49"/>
    <sheet name="Player Cues" sheetId="46" r:id="rId50"/>
    <sheet name="Stage Questions" sheetId="47" r:id="rId51"/>
    <sheet name="Law Effects" sheetId="48" r:id="rId52"/>
  </sheets>
  <definedNames>
    <definedName name="_xlnm._FilterDatabase" localSheetId="8" hidden="1">Cards!$A$1:$T$55</definedName>
    <definedName name="_xlnm._FilterDatabase" localSheetId="17" hidden="1">'Flavor Text'!$A$1:$N$55</definedName>
    <definedName name="_xlnm._FilterDatabase" localSheetId="14" hidden="1">Opponents!$A$1:$T$1000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3" l="1"/>
  <c r="J2" i="33" s="1"/>
  <c r="C5" i="33"/>
  <c r="J5" i="33" s="1"/>
  <c r="C31" i="33"/>
  <c r="J31" i="33" s="1"/>
  <c r="C3" i="33"/>
  <c r="J3" i="33" s="1"/>
  <c r="D3" i="33"/>
  <c r="E3" i="33"/>
  <c r="C4" i="33"/>
  <c r="J4" i="33" s="1"/>
  <c r="D4" i="33"/>
  <c r="E4" i="33"/>
  <c r="D5" i="33"/>
  <c r="E5" i="33"/>
  <c r="C6" i="33"/>
  <c r="J6" i="33" s="1"/>
  <c r="D6" i="33"/>
  <c r="E6" i="33"/>
  <c r="C7" i="33"/>
  <c r="J7" i="33" s="1"/>
  <c r="D7" i="33"/>
  <c r="E7" i="33"/>
  <c r="C8" i="33"/>
  <c r="J8" i="33" s="1"/>
  <c r="D8" i="33"/>
  <c r="E8" i="33"/>
  <c r="C9" i="33"/>
  <c r="J9" i="33" s="1"/>
  <c r="D9" i="33"/>
  <c r="E9" i="33"/>
  <c r="C10" i="33"/>
  <c r="J10" i="33" s="1"/>
  <c r="D10" i="33"/>
  <c r="E10" i="33"/>
  <c r="C11" i="33"/>
  <c r="J11" i="33" s="1"/>
  <c r="D11" i="33"/>
  <c r="E11" i="33"/>
  <c r="C12" i="33"/>
  <c r="J12" i="33" s="1"/>
  <c r="D12" i="33"/>
  <c r="E12" i="33"/>
  <c r="C13" i="33"/>
  <c r="J13" i="33" s="1"/>
  <c r="D13" i="33"/>
  <c r="E13" i="33"/>
  <c r="C14" i="33"/>
  <c r="J14" i="33" s="1"/>
  <c r="D14" i="33"/>
  <c r="E14" i="33"/>
  <c r="C15" i="33"/>
  <c r="J15" i="33" s="1"/>
  <c r="D15" i="33"/>
  <c r="E15" i="33"/>
  <c r="C16" i="33"/>
  <c r="J16" i="33" s="1"/>
  <c r="D16" i="33"/>
  <c r="E16" i="33"/>
  <c r="C17" i="33"/>
  <c r="J17" i="33" s="1"/>
  <c r="D17" i="33"/>
  <c r="E17" i="33"/>
  <c r="C18" i="33"/>
  <c r="J18" i="33" s="1"/>
  <c r="D18" i="33"/>
  <c r="E18" i="33"/>
  <c r="C19" i="33"/>
  <c r="J19" i="33" s="1"/>
  <c r="D19" i="33"/>
  <c r="E19" i="33"/>
  <c r="C20" i="33"/>
  <c r="J20" i="33" s="1"/>
  <c r="D20" i="33"/>
  <c r="E20" i="33"/>
  <c r="C21" i="33"/>
  <c r="J21" i="33" s="1"/>
  <c r="D21" i="33"/>
  <c r="E21" i="33"/>
  <c r="C22" i="33"/>
  <c r="J22" i="33" s="1"/>
  <c r="D22" i="33"/>
  <c r="E22" i="33"/>
  <c r="C23" i="33"/>
  <c r="J23" i="33" s="1"/>
  <c r="D23" i="33"/>
  <c r="E23" i="33"/>
  <c r="C24" i="33"/>
  <c r="J24" i="33" s="1"/>
  <c r="D24" i="33"/>
  <c r="E24" i="33"/>
  <c r="C25" i="33"/>
  <c r="J25" i="33" s="1"/>
  <c r="D25" i="33"/>
  <c r="E25" i="33"/>
  <c r="C26" i="33"/>
  <c r="J26" i="33" s="1"/>
  <c r="D26" i="33"/>
  <c r="E26" i="33"/>
  <c r="C27" i="33"/>
  <c r="J27" i="33" s="1"/>
  <c r="D27" i="33"/>
  <c r="E27" i="33"/>
  <c r="C28" i="33"/>
  <c r="J28" i="33" s="1"/>
  <c r="D28" i="33"/>
  <c r="E28" i="33"/>
  <c r="C29" i="33"/>
  <c r="J29" i="33" s="1"/>
  <c r="D29" i="33"/>
  <c r="E29" i="33"/>
  <c r="C30" i="33"/>
  <c r="J30" i="33" s="1"/>
  <c r="D30" i="33"/>
  <c r="E30" i="33"/>
  <c r="D31" i="33"/>
  <c r="E31" i="33"/>
  <c r="E2" i="33"/>
  <c r="D2" i="33"/>
  <c r="I22" i="24"/>
  <c r="H22" i="24"/>
  <c r="G22" i="24"/>
  <c r="F22" i="24"/>
  <c r="E22" i="24"/>
  <c r="D22" i="24"/>
  <c r="I22" i="23"/>
  <c r="H22" i="23"/>
  <c r="G22" i="23"/>
  <c r="F22" i="23"/>
  <c r="E22" i="23"/>
  <c r="D22" i="23"/>
  <c r="I22" i="20"/>
  <c r="H22" i="20"/>
  <c r="G22" i="20"/>
  <c r="F22" i="20"/>
  <c r="E22" i="20"/>
  <c r="D22" i="20"/>
  <c r="D5" i="16"/>
  <c r="D3" i="16"/>
  <c r="D2" i="16"/>
  <c r="V10" i="8"/>
  <c r="U10" i="8"/>
  <c r="T10" i="8"/>
  <c r="S10" i="8"/>
  <c r="R10" i="8"/>
  <c r="Q10" i="8"/>
  <c r="P10" i="8"/>
  <c r="O10" i="8"/>
  <c r="N10" i="8"/>
  <c r="M10" i="8"/>
  <c r="L10" i="8"/>
  <c r="K10" i="8"/>
  <c r="J10" i="8"/>
  <c r="I10" i="8"/>
  <c r="H10" i="8"/>
  <c r="G10" i="8"/>
  <c r="F10" i="8"/>
  <c r="E10" i="8"/>
  <c r="D10" i="8"/>
  <c r="C10" i="8"/>
  <c r="B10" i="8"/>
  <c r="V9" i="8"/>
  <c r="U9" i="8"/>
  <c r="T9" i="8"/>
  <c r="S9" i="8"/>
  <c r="R9" i="8"/>
  <c r="Q9" i="8"/>
  <c r="P9" i="8"/>
  <c r="O9" i="8"/>
  <c r="N9" i="8"/>
  <c r="M9" i="8"/>
  <c r="L9" i="8"/>
  <c r="K9" i="8"/>
  <c r="J9" i="8"/>
  <c r="I9" i="8"/>
  <c r="H9" i="8"/>
  <c r="G9" i="8"/>
  <c r="F9" i="8"/>
  <c r="E9" i="8"/>
  <c r="D9" i="8"/>
  <c r="C9" i="8"/>
  <c r="B9" i="8"/>
  <c r="X22" i="6"/>
  <c r="W22" i="6"/>
  <c r="J22" i="6"/>
  <c r="X21" i="6"/>
  <c r="W21" i="6"/>
  <c r="J21" i="6"/>
  <c r="X20" i="6"/>
  <c r="W20" i="6"/>
  <c r="J20" i="6"/>
  <c r="X19" i="6"/>
  <c r="W19" i="6"/>
  <c r="J19" i="6"/>
  <c r="X18" i="6"/>
  <c r="W18" i="6"/>
  <c r="J18" i="6"/>
  <c r="X17" i="6"/>
  <c r="W17" i="6"/>
  <c r="J17" i="6"/>
  <c r="X16" i="6"/>
  <c r="W16" i="6"/>
  <c r="J16" i="6"/>
  <c r="X15" i="6"/>
  <c r="W15" i="6"/>
  <c r="J15" i="6"/>
  <c r="X14" i="6"/>
  <c r="W14" i="6"/>
  <c r="J14" i="6"/>
  <c r="X13" i="6"/>
  <c r="W13" i="6"/>
  <c r="J13" i="6"/>
  <c r="X12" i="6"/>
  <c r="W12" i="6"/>
  <c r="J12" i="6"/>
  <c r="X11" i="6"/>
  <c r="W11" i="6"/>
  <c r="J11" i="6"/>
  <c r="X10" i="6"/>
  <c r="W10" i="6"/>
  <c r="J10" i="6"/>
  <c r="X9" i="6"/>
  <c r="W9" i="6"/>
  <c r="J9" i="6"/>
  <c r="X8" i="6"/>
  <c r="W8" i="6"/>
  <c r="J8" i="6"/>
  <c r="X7" i="6"/>
  <c r="W7" i="6"/>
  <c r="J7" i="6"/>
  <c r="X6" i="6"/>
  <c r="W6" i="6"/>
  <c r="J6" i="6"/>
  <c r="X5" i="6"/>
  <c r="W5" i="6"/>
  <c r="J5" i="6"/>
  <c r="X4" i="6"/>
  <c r="W4" i="6"/>
  <c r="J4" i="6"/>
  <c r="X3" i="6"/>
  <c r="W3" i="6"/>
  <c r="J3" i="6"/>
  <c r="X2" i="6"/>
  <c r="W2" i="6"/>
  <c r="J2" i="6"/>
  <c r="M55" i="18"/>
  <c r="L55" i="18"/>
  <c r="K55" i="18"/>
  <c r="J55" i="18"/>
  <c r="I55" i="18"/>
  <c r="N55" i="18" s="1"/>
  <c r="M54" i="18"/>
  <c r="L54" i="18"/>
  <c r="N54" i="18" s="1"/>
  <c r="K54" i="18"/>
  <c r="J54" i="18"/>
  <c r="I54" i="18"/>
  <c r="M53" i="18"/>
  <c r="L53" i="18"/>
  <c r="K53" i="18"/>
  <c r="J53" i="18"/>
  <c r="I53" i="18"/>
  <c r="N53" i="18" s="1"/>
  <c r="M52" i="18"/>
  <c r="L52" i="18"/>
  <c r="K52" i="18"/>
  <c r="J52" i="18"/>
  <c r="I52" i="18"/>
  <c r="N52" i="18" s="1"/>
  <c r="M51" i="18"/>
  <c r="L51" i="18"/>
  <c r="K51" i="18"/>
  <c r="J51" i="18"/>
  <c r="I51" i="18"/>
  <c r="N51" i="18" s="1"/>
  <c r="M25" i="18"/>
  <c r="L25" i="18"/>
  <c r="K25" i="18"/>
  <c r="J25" i="18"/>
  <c r="I25" i="18"/>
  <c r="N25" i="18" s="1"/>
  <c r="M24" i="18"/>
  <c r="L24" i="18"/>
  <c r="K24" i="18"/>
  <c r="J24" i="18"/>
  <c r="I24" i="18"/>
  <c r="M23" i="18"/>
  <c r="L23" i="18"/>
  <c r="K23" i="18"/>
  <c r="J23" i="18"/>
  <c r="I23" i="18"/>
  <c r="N23" i="18" s="1"/>
  <c r="M22" i="18"/>
  <c r="L22" i="18"/>
  <c r="K22" i="18"/>
  <c r="J22" i="18"/>
  <c r="I22" i="18"/>
  <c r="N22" i="18" s="1"/>
  <c r="M50" i="18"/>
  <c r="L50" i="18"/>
  <c r="K50" i="18"/>
  <c r="J50" i="18"/>
  <c r="I50" i="18"/>
  <c r="N50" i="18" s="1"/>
  <c r="M49" i="18"/>
  <c r="L49" i="18"/>
  <c r="K49" i="18"/>
  <c r="J49" i="18"/>
  <c r="I49" i="18"/>
  <c r="M48" i="18"/>
  <c r="L48" i="18"/>
  <c r="K48" i="18"/>
  <c r="J48" i="18"/>
  <c r="I48" i="18"/>
  <c r="N48" i="18" s="1"/>
  <c r="M47" i="18"/>
  <c r="L47" i="18"/>
  <c r="K47" i="18"/>
  <c r="J47" i="18"/>
  <c r="I47" i="18"/>
  <c r="M46" i="18"/>
  <c r="L46" i="18"/>
  <c r="K46" i="18"/>
  <c r="J46" i="18"/>
  <c r="I46" i="18"/>
  <c r="N46" i="18" s="1"/>
  <c r="M21" i="18"/>
  <c r="L21" i="18"/>
  <c r="K21" i="18"/>
  <c r="J21" i="18"/>
  <c r="I21" i="18"/>
  <c r="N21" i="18" s="1"/>
  <c r="M20" i="18"/>
  <c r="L20" i="18"/>
  <c r="K20" i="18"/>
  <c r="J20" i="18"/>
  <c r="I20" i="18"/>
  <c r="M19" i="18"/>
  <c r="L19" i="18"/>
  <c r="K19" i="18"/>
  <c r="J19" i="18"/>
  <c r="I19" i="18"/>
  <c r="N19" i="18" s="1"/>
  <c r="M18" i="18"/>
  <c r="L18" i="18"/>
  <c r="K18" i="18"/>
  <c r="J18" i="18"/>
  <c r="I18" i="18"/>
  <c r="M45" i="18"/>
  <c r="L45" i="18"/>
  <c r="K45" i="18"/>
  <c r="J45" i="18"/>
  <c r="I45" i="18"/>
  <c r="M44" i="18"/>
  <c r="L44" i="18"/>
  <c r="K44" i="18"/>
  <c r="J44" i="18"/>
  <c r="I44" i="18"/>
  <c r="N44" i="18" s="1"/>
  <c r="M43" i="18"/>
  <c r="L43" i="18"/>
  <c r="N43" i="18" s="1"/>
  <c r="K43" i="18"/>
  <c r="J43" i="18"/>
  <c r="I43" i="18"/>
  <c r="M42" i="18"/>
  <c r="L42" i="18"/>
  <c r="K42" i="18"/>
  <c r="J42" i="18"/>
  <c r="I42" i="18"/>
  <c r="M41" i="18"/>
  <c r="L41" i="18"/>
  <c r="K41" i="18"/>
  <c r="J41" i="18"/>
  <c r="I41" i="18"/>
  <c r="N41" i="18" s="1"/>
  <c r="M17" i="18"/>
  <c r="L17" i="18"/>
  <c r="K17" i="18"/>
  <c r="J17" i="18"/>
  <c r="I17" i="18"/>
  <c r="N17" i="18" s="1"/>
  <c r="M16" i="18"/>
  <c r="L16" i="18"/>
  <c r="K16" i="18"/>
  <c r="J16" i="18"/>
  <c r="I16" i="18"/>
  <c r="M15" i="18"/>
  <c r="L15" i="18"/>
  <c r="K15" i="18"/>
  <c r="J15" i="18"/>
  <c r="I15" i="18"/>
  <c r="M14" i="18"/>
  <c r="L14" i="18"/>
  <c r="K14" i="18"/>
  <c r="J14" i="18"/>
  <c r="I14" i="18"/>
  <c r="M40" i="18"/>
  <c r="L40" i="18"/>
  <c r="K40" i="18"/>
  <c r="J40" i="18"/>
  <c r="I40" i="18"/>
  <c r="M39" i="18"/>
  <c r="L39" i="18"/>
  <c r="K39" i="18"/>
  <c r="J39" i="18"/>
  <c r="I39" i="18"/>
  <c r="M38" i="18"/>
  <c r="L38" i="18"/>
  <c r="K38" i="18"/>
  <c r="J38" i="18"/>
  <c r="I38" i="18"/>
  <c r="M37" i="18"/>
  <c r="L37" i="18"/>
  <c r="K37" i="18"/>
  <c r="J37" i="18"/>
  <c r="I37" i="18"/>
  <c r="M36" i="18"/>
  <c r="L36" i="18"/>
  <c r="K36" i="18"/>
  <c r="J36" i="18"/>
  <c r="I36" i="18"/>
  <c r="N36" i="18" s="1"/>
  <c r="M13" i="18"/>
  <c r="L13" i="18"/>
  <c r="K13" i="18"/>
  <c r="J13" i="18"/>
  <c r="I13" i="18"/>
  <c r="N13" i="18" s="1"/>
  <c r="M12" i="18"/>
  <c r="L12" i="18"/>
  <c r="K12" i="18"/>
  <c r="J12" i="18"/>
  <c r="I12" i="18"/>
  <c r="N12" i="18" s="1"/>
  <c r="M11" i="18"/>
  <c r="L11" i="18"/>
  <c r="K11" i="18"/>
  <c r="J11" i="18"/>
  <c r="I11" i="18"/>
  <c r="N11" i="18" s="1"/>
  <c r="M10" i="18"/>
  <c r="L10" i="18"/>
  <c r="K10" i="18"/>
  <c r="J10" i="18"/>
  <c r="I10" i="18"/>
  <c r="M35" i="18"/>
  <c r="L35" i="18"/>
  <c r="K35" i="18"/>
  <c r="J35" i="18"/>
  <c r="I35" i="18"/>
  <c r="N35" i="18" s="1"/>
  <c r="M34" i="18"/>
  <c r="L34" i="18"/>
  <c r="K34" i="18"/>
  <c r="J34" i="18"/>
  <c r="I34" i="18"/>
  <c r="N34" i="18" s="1"/>
  <c r="M33" i="18"/>
  <c r="L33" i="18"/>
  <c r="K33" i="18"/>
  <c r="J33" i="18"/>
  <c r="I33" i="18"/>
  <c r="N33" i="18" s="1"/>
  <c r="M32" i="18"/>
  <c r="L32" i="18"/>
  <c r="K32" i="18"/>
  <c r="J32" i="18"/>
  <c r="I32" i="18"/>
  <c r="M31" i="18"/>
  <c r="L31" i="18"/>
  <c r="K31" i="18"/>
  <c r="J31" i="18"/>
  <c r="I31" i="18"/>
  <c r="N31" i="18" s="1"/>
  <c r="M9" i="18"/>
  <c r="L9" i="18"/>
  <c r="K9" i="18"/>
  <c r="J9" i="18"/>
  <c r="I9" i="18"/>
  <c r="M8" i="18"/>
  <c r="L8" i="18"/>
  <c r="K8" i="18"/>
  <c r="J8" i="18"/>
  <c r="I8" i="18"/>
  <c r="N8" i="18" s="1"/>
  <c r="M7" i="18"/>
  <c r="L7" i="18"/>
  <c r="K7" i="18"/>
  <c r="J7" i="18"/>
  <c r="I7" i="18"/>
  <c r="N7" i="18" s="1"/>
  <c r="M6" i="18"/>
  <c r="L6" i="18"/>
  <c r="K6" i="18"/>
  <c r="J6" i="18"/>
  <c r="I6" i="18"/>
  <c r="M30" i="18"/>
  <c r="L30" i="18"/>
  <c r="K30" i="18"/>
  <c r="J30" i="18"/>
  <c r="I30" i="18"/>
  <c r="M29" i="18"/>
  <c r="L29" i="18"/>
  <c r="K29" i="18"/>
  <c r="J29" i="18"/>
  <c r="I29" i="18"/>
  <c r="N29" i="18" s="1"/>
  <c r="M28" i="18"/>
  <c r="L28" i="18"/>
  <c r="K28" i="18"/>
  <c r="J28" i="18"/>
  <c r="I28" i="18"/>
  <c r="N28" i="18" s="1"/>
  <c r="M27" i="18"/>
  <c r="L27" i="18"/>
  <c r="K27" i="18"/>
  <c r="J27" i="18"/>
  <c r="I27" i="18"/>
  <c r="N27" i="18" s="1"/>
  <c r="M26" i="18"/>
  <c r="L26" i="18"/>
  <c r="K26" i="18"/>
  <c r="J26" i="18"/>
  <c r="I26" i="18"/>
  <c r="M5" i="18"/>
  <c r="L5" i="18"/>
  <c r="K5" i="18"/>
  <c r="J5" i="18"/>
  <c r="I5" i="18"/>
  <c r="N5" i="18" s="1"/>
  <c r="M4" i="18"/>
  <c r="L4" i="18"/>
  <c r="K4" i="18"/>
  <c r="J4" i="18"/>
  <c r="I4" i="18"/>
  <c r="M3" i="18"/>
  <c r="L3" i="18"/>
  <c r="K3" i="18"/>
  <c r="J3" i="18"/>
  <c r="I3" i="18"/>
  <c r="N3" i="18" s="1"/>
  <c r="M2" i="18"/>
  <c r="L2" i="18"/>
  <c r="K2" i="18"/>
  <c r="J2" i="18"/>
  <c r="I2" i="18"/>
  <c r="N37" i="18" l="1"/>
  <c r="N24" i="18"/>
  <c r="N49" i="18"/>
  <c r="N42" i="18"/>
  <c r="N40" i="18"/>
  <c r="N18" i="18"/>
  <c r="N39" i="18"/>
  <c r="N9" i="18"/>
  <c r="N20" i="18"/>
  <c r="N32" i="18"/>
  <c r="N6" i="18"/>
  <c r="N47" i="18"/>
  <c r="N45" i="18"/>
  <c r="N14" i="18"/>
  <c r="N16" i="18"/>
  <c r="N15" i="18"/>
  <c r="N38" i="18"/>
  <c r="N10" i="18"/>
  <c r="N4" i="18"/>
  <c r="N30" i="18"/>
  <c r="N26" i="18"/>
  <c r="J33" i="33" a="1"/>
  <c r="F13" i="33"/>
  <c r="I13" i="33"/>
  <c r="G13" i="33"/>
  <c r="H13" i="33"/>
  <c r="G22" i="33"/>
  <c r="H22" i="33"/>
  <c r="I22" i="33"/>
  <c r="F22" i="33"/>
  <c r="F3" i="33"/>
  <c r="G3" i="33"/>
  <c r="H3" i="33"/>
  <c r="I3" i="33"/>
  <c r="H4" i="33"/>
  <c r="F4" i="33"/>
  <c r="I4" i="33"/>
  <c r="G4" i="33"/>
  <c r="G5" i="33"/>
  <c r="H5" i="33"/>
  <c r="I5" i="33"/>
  <c r="F5" i="33"/>
  <c r="H6" i="33"/>
  <c r="I6" i="33"/>
  <c r="G6" i="33"/>
  <c r="F6" i="33"/>
  <c r="F7" i="33"/>
  <c r="I7" i="33"/>
  <c r="G7" i="33"/>
  <c r="H7" i="33"/>
  <c r="F8" i="33"/>
  <c r="G8" i="33"/>
  <c r="H8" i="33"/>
  <c r="I8" i="33"/>
  <c r="I9" i="33"/>
  <c r="F9" i="33"/>
  <c r="H9" i="33"/>
  <c r="G9" i="33"/>
  <c r="I10" i="33"/>
  <c r="F10" i="33"/>
  <c r="G10" i="33"/>
  <c r="H10" i="33"/>
  <c r="G11" i="33"/>
  <c r="I11" i="33"/>
  <c r="F11" i="33"/>
  <c r="H11" i="33"/>
  <c r="G12" i="33"/>
  <c r="H12" i="33"/>
  <c r="I12" i="33"/>
  <c r="F12" i="33"/>
  <c r="G14" i="33"/>
  <c r="F14" i="33"/>
  <c r="H14" i="33"/>
  <c r="I14" i="33"/>
  <c r="F15" i="33"/>
  <c r="H15" i="33"/>
  <c r="I15" i="33"/>
  <c r="G15" i="33"/>
  <c r="G16" i="33"/>
  <c r="H16" i="33"/>
  <c r="I16" i="33"/>
  <c r="F16" i="33"/>
  <c r="I17" i="33"/>
  <c r="F17" i="33"/>
  <c r="G17" i="33"/>
  <c r="H17" i="33"/>
  <c r="G18" i="33"/>
  <c r="H18" i="33"/>
  <c r="I18" i="33"/>
  <c r="F18" i="33"/>
  <c r="I19" i="33"/>
  <c r="H19" i="33"/>
  <c r="G19" i="33"/>
  <c r="F19" i="33"/>
  <c r="G20" i="33"/>
  <c r="H20" i="33"/>
  <c r="I20" i="33"/>
  <c r="F20" i="33"/>
  <c r="H21" i="33"/>
  <c r="G21" i="33"/>
  <c r="I21" i="33"/>
  <c r="F21" i="33"/>
  <c r="H23" i="33"/>
  <c r="I23" i="33"/>
  <c r="F23" i="33"/>
  <c r="G23" i="33"/>
  <c r="H24" i="33"/>
  <c r="G24" i="33"/>
  <c r="I24" i="33"/>
  <c r="F24" i="33"/>
  <c r="H25" i="33"/>
  <c r="I25" i="33"/>
  <c r="F25" i="33"/>
  <c r="G25" i="33"/>
  <c r="H26" i="33"/>
  <c r="G26" i="33"/>
  <c r="F26" i="33"/>
  <c r="I26" i="33"/>
  <c r="G27" i="33"/>
  <c r="H27" i="33"/>
  <c r="F27" i="33"/>
  <c r="I27" i="33"/>
  <c r="I28" i="33"/>
  <c r="H28" i="33"/>
  <c r="F28" i="33"/>
  <c r="G28" i="33"/>
  <c r="I29" i="33"/>
  <c r="F29" i="33"/>
  <c r="G29" i="33"/>
  <c r="H29" i="33"/>
  <c r="G30" i="33"/>
  <c r="F30" i="33"/>
  <c r="H30" i="33"/>
  <c r="I30" i="33"/>
  <c r="H31" i="33"/>
  <c r="F31" i="33"/>
  <c r="G31" i="33"/>
  <c r="I31" i="33"/>
  <c r="I2" i="33"/>
  <c r="H2" i="33"/>
  <c r="G2" i="33"/>
  <c r="F2" i="33"/>
  <c r="N2" i="18"/>
  <c r="F33" i="33" l="1"/>
</calcChain>
</file>

<file path=xl/comments1.xml><?xml version="1.0" encoding="utf-8"?>
<comments xmlns="http://schemas.openxmlformats.org/spreadsheetml/2006/main">
  <authors>
    <author>Claude</author>
  </authors>
  <commentList>
    <comment ref="A1" authorId="0">
      <text>
        <r>
          <rPr>
            <sz val="10"/>
            <color theme="1"/>
            <rFont val="Calibri"/>
            <family val="2"/>
          </rPr>
          <t xml:space="preserve">Unique ID for this notice, ON01, ON02 and so on. Row order matters: within a slot, the first row (top to bottom) whose condition holds is the one shown.</t>
        </r>
      </text>
    </comment>
    <comment ref="B1" authorId="0">
      <text>
        <r>
          <rPr>
            <sz val="10"/>
            <color theme="1"/>
            <rFont val="Calibri"/>
            <family val="2"/>
          </rPr>
          <t xml:space="preserve">The subject this line is about, e.g. staff_greeting or press. Free text; rows sharing a slot compete and only one per slot shows at a time, so the Office never shows two lines about the same thing.</t>
        </r>
      </text>
    </comment>
    <comment ref="C1" authorId="0">
      <text>
        <r>
          <rPr>
            <sz val="10"/>
            <color theme="1"/>
            <rFont val="Calibri"/>
            <family val="2"/>
          </rPr>
          <t xml:space="preserve">What decides whether the line shows: staff_role (a staff role hired or not), meta (a Sanban value against a number), law (a bill passed or failed) or always (shows unconditionally). Any other word means the line never shows.
Permutations: staff_role / meta / always</t>
        </r>
      </text>
    </comment>
    <comment ref="D1" authorId="0">
      <text>
        <r>
          <rPr>
            <sz val="10"/>
            <color theme="1"/>
            <rFont val="Calibri"/>
            <family val="2"/>
          </rPr>
          <t xml:space="preserve">What the condition looks at: for staff_role, the role name exactly as on the Staff tab; for meta, a Sanban name (Constituency support, Reputation, Funds, Party support); for law, a bill ID (BIxx). Blank for always.</t>
        </r>
      </text>
    </comment>
    <comment ref="E1" authorId="0">
      <text>
        <r>
          <rPr>
            <sz val="10"/>
            <color theme="1"/>
            <rFont val="Calibri"/>
            <family val="2"/>
          </rPr>
          <t xml:space="preserve">The test: for staff_role, hired or not_hired; for meta, one of &lt; &lt;= &gt; &gt;= =; for law, passed or failed. Blank for always.
Permutations depend on condition_type: staff_role -&gt; hired / not_hired. meta -&gt; &lt; / &lt;= / &gt; / &gt;= / =</t>
        </r>
      </text>
    </comment>
    <comment ref="F1" authorId="0">
      <text>
        <r>
          <rPr>
            <sz val="10"/>
            <color theme="1"/>
            <rFont val="Calibri"/>
            <family val="2"/>
          </rPr>
          <t xml:space="preserve">The number a meta condition compares against, e.g. 30 with &lt; means shows while below 30. Only used for meta rows; leave blank otherwise (a meta row with this blank never shows).</t>
        </r>
      </text>
    </comment>
    <comment ref="G1" authorId="0">
      <text>
        <r>
          <rPr>
            <sz val="10"/>
            <color theme="1"/>
            <rFont val="Calibri"/>
            <family val="2"/>
          </rPr>
          <t xml:space="preserve">The line shown on the Office screen. In a staff_role row, {staff} is replaced by the hired staff member's name; elsewhere use plain text.</t>
        </r>
      </text>
    </comment>
  </commentList>
</comments>
</file>

<file path=xl/comments2.xml><?xml version="1.0" encoding="utf-8"?>
<comments xmlns="http://schemas.openxmlformats.org/spreadsheetml/2006/main">
  <authors>
    <author>Claude</author>
  </authors>
  <commentList>
    <comment ref="A1" authorId="0">
      <text>
        <r>
          <rPr>
            <sz val="10"/>
            <color theme="1"/>
            <rFont val="Calibri"/>
            <family val="2"/>
          </rPr>
          <t xml:space="preserve">Unique ID for the room, STxx (ST01, ST02...). Levels, Affinity, Opponents and questions all refer to stages by this ID, so never rename one. Rows whose first cell is not an STxx are skipped.</t>
        </r>
      </text>
    </comment>
    <comment ref="B1" authorId="0">
      <text>
        <r>
          <rPr>
            <sz val="10"/>
            <color theme="1"/>
            <rFont val="Calibri"/>
            <family val="2"/>
          </rPr>
          <t xml:space="preserve">The room's English name, shown in the battle header, the level briefing and the Details panel.</t>
        </r>
      </text>
    </comment>
    <comment ref="C1" authorId="0">
      <text>
        <r>
          <rPr>
            <sz val="10"/>
            <color theme="1"/>
            <rFont val="Calibri"/>
            <family val="2"/>
          </rPr>
          <t xml:space="preserve">The room's Japanese name, shown as a small muted accent next to the English name in the header. Optional.</t>
        </r>
      </text>
    </comment>
    <comment ref="D1" authorId="0">
      <text>
        <r>
          <rPr>
            <sz val="10"/>
            <color theme="1"/>
            <rFont val="Calibri"/>
            <family val="2"/>
          </rPr>
          <t xml:space="preserve">Romanised reading of the Japanese name. Reference for you only; the game does not read it today.</t>
        </r>
      </text>
    </comment>
    <comment ref="E1" authorId="0">
      <text>
        <r>
          <rPr>
            <sz val="10"/>
            <color theme="1"/>
            <rFont val="Calibri"/>
            <family val="2"/>
          </rPr>
          <t xml:space="preserve">Which screen plays this room. Combat = a card battle; Non-combat = Office Hours style visitor choices (ST07, ST22); Vote = the Floor Vote screen (ST23). Any other word will not route correctly.
Permutations: Combat / Non-combat / Vote</t>
        </r>
      </text>
    </comment>
    <comment ref="F1" authorId="0">
      <text>
        <r>
          <rPr>
            <sz val="10"/>
            <color theme="1"/>
            <rFont val="Calibri"/>
            <family val="2"/>
          </rPr>
          <t xml:space="preserve">The word the support bar uses in captions and narration (Seats, Support, Press tone, Viewer Interest, Members...). Free text, display only; it does not change any rule.</t>
        </r>
      </text>
    </comment>
    <comment ref="G1" authorId="0">
      <text>
        <r>
          <rPr>
            <sz val="10"/>
            <color theme="1"/>
            <rFont val="Calibri"/>
            <family val="2"/>
          </rPr>
          <t xml:space="preserve">Numerical or Percentage: a note on how the bar reads. Not read by the game today; Player start, Bar max and Win threshold carry the real numbers.</t>
        </r>
      </text>
    </comment>
    <comment ref="H1" authorId="0">
      <text>
        <r>
          <rPr>
            <sz val="10"/>
            <color theme="1"/>
            <rFont val="Calibri"/>
            <family val="2"/>
          </rPr>
          <t xml:space="preserve">The size of the bar, a whole number (101 seats on the floor, 100 for most rooms). In a shared-pool room, Undecided = Bar max minus both sides' support.</t>
        </r>
      </text>
    </comment>
    <comment ref="I1" authorId="0">
      <text>
        <r>
          <rPr>
            <sz val="10"/>
            <color theme="1"/>
            <rFont val="Calibri"/>
            <family val="2"/>
          </rPr>
          <t xml:space="preserve">The support you must reach to win (51 of 101 on the floor). In a press conference it is the tone you must be at or above after the last question; in the TV debate you must stay at or above it at the end of every turn.</t>
        </r>
      </text>
    </comment>
    <comment ref="J1" authorId="0">
      <text>
        <r>
          <rPr>
            <sz val="10"/>
            <color theme="1"/>
            <rFont val="Calibri"/>
            <family val="2"/>
          </rPr>
          <t xml:space="preserve">A formula: Win threshold divided by Bar max, for your hand-check. Exported but not read by the game.</t>
        </r>
      </text>
    </comment>
    <comment ref="K1" authorId="0">
      <text>
        <r>
          <rPr>
            <sz val="10"/>
            <color theme="1"/>
            <rFont val="Calibri"/>
            <family val="2"/>
          </rPr>
          <t xml:space="preserve">How many turns the player gets, a whole number. Running out without a win is a loss (rules.json turn_limit_outcome). In a press conference it is also how many questions are asked.</t>
        </r>
      </text>
    </comment>
    <comment ref="L1" authorId="0">
      <text>
        <r>
          <rPr>
            <sz val="10"/>
            <color theme="1"/>
            <rFont val="Calibri"/>
            <family val="2"/>
          </rPr>
          <t xml:space="preserve">Energy refilled at the start of each turn, a whole number; unused energy does not carry over. In a pool room (Energy Mode = pool) the Energy Pool column is used instead when it is filled.</t>
        </r>
      </text>
    </comment>
    <comment ref="M1" authorId="0">
      <text>
        <r>
          <rPr>
            <sz val="10"/>
            <color theme="1"/>
            <rFont val="Calibri"/>
            <family val="2"/>
          </rPr>
          <t xml:space="preserve">How many cards the player draws up to at the start of each turn, a whole number.</t>
        </r>
      </text>
    </comment>
    <comment ref="N1" authorId="0">
      <text>
        <r>
          <rPr>
            <sz val="10"/>
            <color theme="1"/>
            <rFont val="Calibri"/>
            <family val="2"/>
          </rPr>
          <t xml:space="preserve">Gaffes allowed before the stage is lost on the spot, a whole number. The gaffe warning turns red when one more gaffe would end the stage.</t>
        </r>
      </text>
    </comment>
    <comment ref="O1" authorId="0">
      <text>
        <r>
          <rPr>
            <sz val="10"/>
            <color theme="1"/>
            <rFont val="Calibri"/>
            <family val="2"/>
          </rPr>
          <t xml:space="preserve">The player's support on the bar when the fight begins (press tone for a press conference). Reputation can add or take 5 at the start where Reputation Affects Start says so.</t>
        </r>
      </text>
    </comment>
    <comment ref="P1" authorId="0">
      <text>
        <r>
          <rPr>
            <sz val="10"/>
            <color theme="1"/>
            <rFont val="Calibri"/>
            <family val="2"/>
          </rPr>
          <t xml:space="preserve">The opponent's starting support on the bar. Ignored in single-bar rooms (press conference, TV debate) where the opponent's number is not part of the win condition.</t>
        </r>
      </text>
    </comment>
    <comment ref="Q1" authorId="0">
      <text>
        <r>
          <rPr>
            <sz val="10"/>
            <color theme="1"/>
            <rFont val="Calibri"/>
            <family val="2"/>
          </rPr>
          <t xml:space="preserve">Share of the room's audience who are Press, written as a fraction (0.2 = 20%). Audience shares trigger modifiers (Trigger min %) and target-segment card bonuses. All six % columns must add up to 1 on a Combat row.</t>
        </r>
      </text>
    </comment>
    <comment ref="R1" authorId="0">
      <text>
        <r>
          <rPr>
            <sz val="10"/>
            <color theme="1"/>
            <rFont val="Calibri"/>
            <family val="2"/>
          </rPr>
          <t xml:space="preserve">Share of the audience who are Party Members, as a fraction (0.35 = 35%). Used for modifier triggers and cards that target Party Members. All six % columns must add to 1 on Combat rows.</t>
        </r>
      </text>
    </comment>
    <comment ref="S1" authorId="0">
      <text>
        <r>
          <rPr>
            <sz val="10"/>
            <color theme="1"/>
            <rFont val="Calibri"/>
            <family val="2"/>
          </rPr>
          <t xml:space="preserve">Share of the audience who are Constituents, as a fraction (0.7 = 70%). Used for modifier triggers and cards that target Constituents. All six % columns must add to 1 on Combat rows.</t>
        </r>
      </text>
    </comment>
    <comment ref="T1" authorId="0">
      <text>
        <r>
          <rPr>
            <sz val="10"/>
            <color theme="1"/>
            <rFont val="Calibri"/>
            <family val="2"/>
          </rPr>
          <t xml:space="preserve">Share of the audience who are Donors, as a fraction (0.15 = 15%). Used for modifier triggers and cards that target Donors. All six % columns must add to 1 on Combat rows.</t>
        </r>
      </text>
    </comment>
    <comment ref="U1" authorId="0">
      <text>
        <r>
          <rPr>
            <sz val="10"/>
            <color theme="1"/>
            <rFont val="Calibri"/>
            <family val="2"/>
          </rPr>
          <t xml:space="preserve">Share of the audience who are Bureaucrats, as a fraction (0.5 = 50%). Used for modifier triggers and cards that target Bureaucrats. All six % columns must add to 1 on Combat rows.</t>
        </r>
      </text>
    </comment>
    <comment ref="V1" authorId="0">
      <text>
        <r>
          <rPr>
            <sz val="10"/>
            <color theme="1"/>
            <rFont val="Calibri"/>
            <family val="2"/>
          </rPr>
          <t xml:space="preserve">Share of the audience who fit no segment, as a fraction. Counts toward the 100% check but triggers nothing on its own.</t>
        </r>
      </text>
    </comment>
    <comment ref="W1" authorId="0">
      <text>
        <r>
          <rPr>
            <sz val="10"/>
            <color theme="1"/>
            <rFont val="Calibri"/>
            <family val="2"/>
          </rPr>
          <t xml:space="preserve">A formula summing the six % columns, for your hand-check (should read 1). Not read by the game; the exporter and game run their own 100% check.</t>
        </r>
      </text>
    </comment>
    <comment ref="X1" authorId="0">
      <text>
        <r>
          <rPr>
            <sz val="10"/>
            <color theme="1"/>
            <rFont val="Calibri"/>
            <family val="2"/>
          </rPr>
          <t xml:space="preserve">A formula picking the suit with the best Affinity in this room (a dash for non-Combat rooms). Checked to be a real suit, but no rule reads it; the Affinity tab is what actually scales cards.</t>
        </r>
      </text>
    </comment>
    <comment ref="Y1" authorId="0">
      <text>
        <r>
          <rPr>
            <sz val="10"/>
            <color theme="1"/>
            <rFont val="Calibri"/>
            <family val="2"/>
          </rPr>
          <t xml:space="preserve">Change to Constituency support when this stage is won, a signed whole number. Blank counts as 0. Clamped to the Sanban tab's min and max.</t>
        </r>
      </text>
    </comment>
    <comment ref="Z1" authorId="0">
      <text>
        <r>
          <rPr>
            <sz val="10"/>
            <color theme="1"/>
            <rFont val="Calibri"/>
            <family val="2"/>
          </rPr>
          <t xml:space="preserve">Change to Funds (yen) when this stage is won, a signed whole number. Blank counts as 0. Capped by the player's current Funds cap.</t>
        </r>
      </text>
    </comment>
    <comment ref="AA1" authorId="0">
      <text>
        <r>
          <rPr>
            <sz val="10"/>
            <color theme="1"/>
            <rFont val="Calibri"/>
            <family val="2"/>
          </rPr>
          <t xml:space="preserve">Change to Reputation when this stage is won, a signed whole number. Blank counts as 0. Clamped to the Sanban min and max.</t>
        </r>
      </text>
    </comment>
    <comment ref="AB1" authorId="0">
      <text>
        <r>
          <rPr>
            <sz val="10"/>
            <color theme="1"/>
            <rFont val="Calibri"/>
            <family val="2"/>
          </rPr>
          <t xml:space="preserve">XP earned when this stage is won, a whole number. Blank counts as 0. XP has no cap.</t>
        </r>
      </text>
    </comment>
    <comment ref="AC1" authorId="0">
      <text>
        <r>
          <rPr>
            <sz val="10"/>
            <color theme="1"/>
            <rFont val="Calibri"/>
            <family val="2"/>
          </rPr>
          <t xml:space="preserve">Change to the stored Party support when this stage is won, a signed whole number. Blank counts as 0.</t>
        </r>
      </text>
    </comment>
    <comment ref="AD1" authorId="0">
      <text>
        <r>
          <rPr>
            <sz val="10"/>
            <color theme="1"/>
            <rFont val="Calibri"/>
            <family val="2"/>
          </rPr>
          <t xml:space="preserve">Change to Constituency support when this stage is lost, signed as written (usually 0 or negative). Blank counts as 0. Shown as 'If you lose' in the briefing.</t>
        </r>
      </text>
    </comment>
    <comment ref="AE1" authorId="0">
      <text>
        <r>
          <rPr>
            <sz val="10"/>
            <color theme="1"/>
            <rFont val="Calibri"/>
            <family val="2"/>
          </rPr>
          <t xml:space="preserve">Change to Funds when this stage is lost, signed as written; a few rooms pay a little even on a loss. Blank counts as 0.</t>
        </r>
      </text>
    </comment>
    <comment ref="AF1" authorId="0">
      <text>
        <r>
          <rPr>
            <sz val="10"/>
            <color theme="1"/>
            <rFont val="Calibri"/>
            <family val="2"/>
          </rPr>
          <t xml:space="preserve">Change to Reputation when this stage is lost, signed as written. Blank counts as 0.</t>
        </r>
      </text>
    </comment>
    <comment ref="AG1" authorId="0">
      <text>
        <r>
          <rPr>
            <sz val="10"/>
            <color theme="1"/>
            <rFont val="Calibri"/>
            <family val="2"/>
          </rPr>
          <t xml:space="preserve">XP given even on a loss, a whole number. Blank counts as 0.</t>
        </r>
      </text>
    </comment>
    <comment ref="AH1" authorId="0">
      <text>
        <r>
          <rPr>
            <sz val="10"/>
            <color theme="1"/>
            <rFont val="Calibri"/>
            <family val="2"/>
          </rPr>
          <t xml:space="preserve">Change to the stored Party support when this stage is lost, signed as written. Blank counts as 0.</t>
        </r>
      </text>
    </comment>
    <comment ref="AI1" authorId="0">
      <text>
        <r>
          <rPr>
            <sz val="10"/>
            <color theme="1"/>
            <rFont val="Calibri"/>
            <family val="2"/>
          </rPr>
          <t xml:space="preserve">How the bar works: Shared_pool (both sides draw from one pool with Undecided in the middle), Single (one tone bar, e.g. press conference) or Survival (stay at or above the threshold every turn, TV debate). Blank = the built-in default for that stage.
Permutations (case-insensitive): Single / Survival / Shared_pool. Blank = the engine guesses from the stage's own shape (a question pool means Single; ST04 defaults Single, ST06 defaults Survival; everything else defaults Shared_pool).</t>
        </r>
      </text>
    </comment>
    <comment ref="AJ1" authorId="0">
      <text>
        <r>
          <rPr>
            <sz val="10"/>
            <color theme="1"/>
            <rFont val="Calibri"/>
            <family val="2"/>
          </rPr>
          <t xml:space="preserve">per_turn (energy refills every turn) or pool (one allowance for the whole stage, never topped up). Blank = per_turn.
Permutations: per_turn (refill to Energy Pool each turn). Blank = use the stage's old hardcoded energy_per_turn behavior.</t>
        </r>
      </text>
    </comment>
    <comment ref="AK1" authorId="0">
      <text>
        <r>
          <rPr>
            <sz val="10"/>
            <color theme="1"/>
            <rFont val="Calibri"/>
            <family val="2"/>
          </rPr>
          <t xml:space="preserve">Only for Energy Mode = pool: the whole stage's energy budget, a whole number. Blank in a pool room falls back to the per-turn energy figure.</t>
        </r>
      </text>
    </comment>
    <comment ref="AL1" authorId="0">
      <text>
        <r>
          <rPr>
            <sz val="10"/>
            <color theme="1"/>
            <rFont val="Calibri"/>
            <family val="2"/>
          </rPr>
          <t xml:space="preserve">What happens when a stage has several opponents. single = only the first is fought; reset = committee, everything restarts per opponent; stream = Town Hall, clock and gaffes carry, energy refills; continuous = floor debate, everything carries. Blank = single.
Permutations: single / reset. Blank = single. 'reset' draws several opponents from the stage's eligible pool and fights them one at a time, with a full reset between each (committees).</t>
        </r>
      </text>
    </comment>
    <comment ref="AM1" authorId="0">
      <text>
        <r>
          <rPr>
            <sz val="10"/>
            <color theme="1"/>
            <rFont val="Calibri"/>
            <family val="2"/>
          </rPr>
          <t xml:space="preserve">How many opponents are drawn at random from those eligible for this stage: a number (3) or a range (2-4). Blank = 1. Use a Sequence Mode other than single if more than one.</t>
        </r>
      </text>
    </comment>
    <comment ref="AN1" authorId="0">
      <text>
        <r>
          <rPr>
            <sz val="10"/>
            <color theme="1"/>
            <rFont val="Calibri"/>
            <family val="2"/>
          </rPr>
          <t xml:space="preserve">Which question set this room asks from: press_conference, town_hall, media_ambush, lobbyist_meeting or policy_study. Blank = the built-in default (ST04, ST05, ST19, ST20, ST21 have one). Stage Questions rows are asked first.</t>
        </r>
      </text>
    </comment>
    <comment ref="AO1" authorId="0">
      <text>
        <r>
          <rPr>
            <sz val="10"/>
            <color theme="1"/>
            <rFont val="Calibri"/>
            <family val="2"/>
          </rPr>
          <t xml:space="preserve">Yes or No: whether Reputation shifts Player start (+5 at or above Reputation's high threshold, -5 at or below its low one). Blank = the built-in default, which is Yes only for ST04 and ST06.
Permutations: Yes / No. Blank = No. Yes means Reputation (Kanban) nudges this stage's starting support at the Sanban thresholds (press-style stages).</t>
        </r>
      </text>
    </comment>
    <comment ref="AP1" authorId="0">
      <text>
        <r>
          <rPr>
            <sz val="10"/>
            <color theme="1"/>
            <rFont val="Calibri"/>
            <family val="2"/>
          </rPr>
          <t xml:space="preserve">Yes or No. No removes this stage from the level briefing entirely, as a surprise (Media Ambush). Blank = Yes.
Permutations: Yes / No. Blank = Yes (the stage is named and its rewards shown in the level briefing). No hides the stage entirely (a Media Ambush-style surprise).</t>
        </r>
      </text>
    </comment>
    <comment ref="AQ1" authorId="0">
      <text>
        <r>
          <rPr>
            <sz val="10"/>
            <color theme="1"/>
            <rFont val="Calibri"/>
            <family val="2"/>
          </rPr>
          <t xml:space="preserve">Yes or No. Yes: losing sends the player back to the Office. No: the loss deltas still apply but the level moves on to its next stage. Blank = Yes.
Permutations: Yes / No. Blank = Yes (a lost stage sends the player back to the Office). No means losing only decides which reward table applies; the level continues to its next stage.</t>
        </r>
      </text>
    </comment>
    <comment ref="AR1" authorId="0">
      <text>
        <r>
          <rPr>
            <sz val="10"/>
            <color theme="1"/>
            <rFont val="Calibri"/>
            <family val="2"/>
          </rPr>
          <t xml:space="preserve">Yes or No: whether the Stage Transition screen plays before the next stage of the same level, using the Transition Cast, Backgrounds and Dialogue tabs. Blank = No.</t>
        </r>
      </text>
    </comment>
    <comment ref="AS1" authorId="0">
      <text>
        <r>
          <rPr>
            <sz val="10"/>
            <color theme="1"/>
            <rFont val="Calibri"/>
            <family val="2"/>
          </rPr>
          <t xml:space="preserve">How many different characters speak on this stage's transition screen, a whole number. Only matters when Show Transition is Yes. Blank = 1.</t>
        </r>
      </text>
    </comment>
    <comment ref="AT1" authorId="0">
      <text>
        <r>
          <rPr>
            <sz val="10"/>
            <color theme="1"/>
            <rFont val="Calibri"/>
            <family val="2"/>
          </rPr>
          <t xml:space="preserve">Yes = only MPs of the player's own party are drawn for this room (the party caucus). If nobody of that party lists the room in their Stage cell, everyone eligible is used instead. Blank or No = everyone who lists the room.</t>
        </r>
      </text>
    </comment>
  </commentList>
</comments>
</file>

<file path=xl/comments3.xml><?xml version="1.0" encoding="utf-8"?>
<comments xmlns="http://schemas.openxmlformats.org/spreadsheetml/2006/main">
  <authors>
    <author>Claude</author>
  </authors>
  <commentList>
    <comment ref="A1" authorId="0">
      <text>
        <r>
          <rPr>
            <sz val="10"/>
            <color theme="1"/>
            <rFont val="Calibri"/>
            <family val="2"/>
          </rPr>
          <t xml:space="preserve">Unique ID for the card, Cxx. Card art is loaded as assets/cards/art/{Card ID}.png, and Flavor Text cues and saved decks use it, so never rename one.</t>
        </r>
      </text>
    </comment>
    <comment ref="B1" authorId="0">
      <text>
        <r>
          <rPr>
            <sz val="10"/>
            <color theme="1"/>
            <rFont val="Calibri"/>
            <family val="2"/>
          </rPr>
          <t xml:space="preserve">The card's English name, printed on the card face and in the zoom view.</t>
        </r>
      </text>
    </comment>
    <comment ref="C1" authorId="0">
      <text>
        <r>
          <rPr>
            <sz val="10"/>
            <color theme="1"/>
            <rFont val="Calibri"/>
            <family val="2"/>
          </rPr>
          <t xml:space="preserve">The card's Japanese name, shown as the one small Japanese accent in the card zoom.</t>
        </r>
      </text>
    </comment>
    <comment ref="D1" authorId="0">
      <text>
        <r>
          <rPr>
            <sz val="10"/>
            <color theme="1"/>
            <rFont val="Calibri"/>
            <family val="2"/>
          </rPr>
          <t xml:space="preserve">Romanised reading of the Japanese name, shown on the back of the card in the zoom view.</t>
        </r>
      </text>
    </comment>
    <comment ref="E1" authorId="0">
      <text>
        <r>
          <rPr>
            <sz val="10"/>
            <color theme="1"/>
            <rFont val="Calibri"/>
            <family val="2"/>
          </rPr>
          <t xml:space="preserve">The card's suit: Earnest, Emotional, Appeal, Data Driven, Divisive or Duplicitous (must match the Suits tab). Picks the card frame, the Affinity multiplier in each room and how questions grade the answer.</t>
        </r>
      </text>
    </comment>
    <comment ref="F1" authorId="0">
      <text>
        <r>
          <rPr>
            <sz val="10"/>
            <color theme="1"/>
            <rFont val="Calibri"/>
            <family val="2"/>
          </rPr>
          <t xml:space="preserve">The suit's Japanese name, kept for reference. The game does not read this column today.</t>
        </r>
      </text>
    </comment>
    <comment ref="G1" authorId="0">
      <text>
        <r>
          <rPr>
            <sz val="10"/>
            <color theme="1"/>
            <rFont val="Calibri"/>
            <family val="2"/>
          </rPr>
          <t xml:space="preserve">XP price for the card. In normal play new cards come from Rhetoric Training sessions, which charge the session price, so this is only read by the old direct-buy path the playtest bot uses. Blank = 0.</t>
        </r>
      </text>
    </comment>
    <comment ref="H1" authorId="0">
      <text>
        <r>
          <rPr>
            <sz val="10"/>
            <color theme="1"/>
            <rFont val="Calibri"/>
            <family val="2"/>
          </rPr>
          <t xml:space="preserve">Gain, Attack, Defend or Buff: a label describing what the card mostly does, shown on the card. Display only; the numbers and Special columns decide what it actually does.
Permutations: Attack / Buff / Defend / Gain
</t>
        </r>
      </text>
    </comment>
    <comment ref="I1" authorId="0">
      <text>
        <r>
          <rPr>
            <sz val="10"/>
            <color theme="1"/>
            <rFont val="Calibri"/>
            <family val="2"/>
          </rPr>
          <t xml:space="preserve">Energy needed to play the card, a whole number (0 is allowed).</t>
        </r>
      </text>
    </comment>
    <comment ref="J1" authorId="0">
      <text>
        <r>
          <rPr>
            <sz val="10"/>
            <color theme="1"/>
            <rFont val="Calibri"/>
            <family val="2"/>
          </rPr>
          <t xml:space="preserve">Support the player gains, before scaling: multiplied by the room's Affinity and any question grade, rounded half up.</t>
        </r>
      </text>
    </comment>
    <comment ref="K1" authorId="0">
      <text>
        <r>
          <rPr>
            <sz val="10"/>
            <color theme="1"/>
            <rFont val="Calibri"/>
            <family val="2"/>
          </rPr>
          <t xml:space="preserve">Support taken from the opponent, before scaling by Affinity and question grade. Does nothing in rooms where the opponent's number is not part of the win (press conference). The opponent's guard absorbs it first.</t>
        </r>
      </text>
    </comment>
    <comment ref="L1" authorId="0">
      <text>
        <r>
          <rPr>
            <sz val="10"/>
            <color theme="1"/>
            <rFont val="Calibri"/>
            <family val="2"/>
          </rPr>
          <t xml:space="preserve">Guard banked by the card, a whole number, never scaled. Guard stacks up to the guard cap (5), carries between turns and absorbs incoming attacks.</t>
        </r>
      </text>
    </comment>
    <comment ref="M1" authorId="0">
      <text>
        <r>
          <rPr>
            <sz val="10"/>
            <color theme="1"/>
            <rFont val="Calibri"/>
            <family val="2"/>
          </rPr>
          <t xml:space="preserve">Extra cards drawn when played, a whole number, never scaled. An empty deck reshuffles the discard pile.</t>
        </r>
      </text>
    </comment>
    <comment ref="N1" authorId="0">
      <text>
        <r>
          <rPr>
            <sz val="10"/>
            <color theme="1"/>
            <rFont val="Calibri"/>
            <family val="2"/>
          </rPr>
          <t xml:space="preserve">Change to the gaffe meter, signed: positive adds gaffes (risky cards), negative clears them. Never scaled; the meter cannot go below 0. A card with a positive value counts toward the starter deck's gaffe-card cap.</t>
        </r>
      </text>
    </comment>
    <comment ref="O1" authorId="0">
      <text>
        <r>
          <rPr>
            <sz val="10"/>
            <color theme="1"/>
            <rFont val="Calibri"/>
            <family val="2"/>
          </rPr>
          <t xml:space="preserve">The audience segment a Special bonus reads: Any, Press, Party Members, Constituents, Donors or Bureaucrats (a Segments tab name). Only matters with a Special that checks a segment share.</t>
        </r>
      </text>
    </comment>
    <comment ref="P1" authorId="0">
      <text>
        <r>
          <rPr>
            <sz val="10"/>
            <color theme="1"/>
            <rFont val="Calibri"/>
            <family val="2"/>
          </rPr>
          <t xml:space="preserve">The one-line effect printed on the card. Display only; the game never reads numbers out of it, so keep it in step with the number and Special columns by hand.</t>
        </r>
      </text>
    </comment>
    <comment ref="Q1" authorId="0">
      <text>
        <r>
          <rPr>
            <sz val="10"/>
            <color theme="1"/>
            <rFont val="Calibri"/>
            <family val="2"/>
          </rPr>
          <t xml:space="preserve">Card tier, 0 to 3. Tier 0 cards are owned from the start; tiers drive the random opening deck recipe and which Rhetoric Training session can offer the card.
Permutations: 0 / 1 / 2 / 3 (XP-unlock tier)</t>
        </r>
      </text>
    </comment>
    <comment ref="R1" authorId="0">
      <text>
        <r>
          <rPr>
            <sz val="10"/>
            <color theme="1"/>
            <rFont val="Calibri"/>
            <family val="2"/>
          </rPr>
          <t xml:space="preserve">Optional extra rule, one of: bonus_if_target_segment_ge_30, bonus_if_target_segment_ge_50, double_if_target_segment_ge_50, bonus_if_behind, bonus_if_self_gaffe_0, buff_next_card_this_turn, discount_next_card_this_turn, pierce_guard, reveal_next_intent. Blank = none.</t>
        </r>
      </text>
    </comment>
    <comment ref="S1" authorId="0">
      <text>
        <r>
          <rPr>
            <sz val="10"/>
            <color theme="1"/>
            <rFont val="Calibri"/>
            <family val="2"/>
          </rPr>
          <t xml:space="preserve">The number the Special uses (for example the +2 bonus or the size of the next-card boost or discount). Blank when there is no Special or it needs no number.</t>
        </r>
      </text>
    </comment>
    <comment ref="T1" authorId="0">
      <text>
        <r>
          <rPr>
            <sz val="10"/>
            <color theme="1"/>
            <rFont val="Calibri"/>
            <family val="2"/>
          </rPr>
          <t xml:space="preserve">Your own plain-English note on what the Special does. Not read by the game.</t>
        </r>
      </text>
    </comment>
  </commentList>
</comments>
</file>

<file path=xl/comments4.xml><?xml version="1.0" encoding="utf-8"?>
<comments xmlns="http://schemas.openxmlformats.org/spreadsheetml/2006/main">
  <authors>
    <author>Claude</author>
  </authors>
  <commentList>
    <comment ref="A1" authorId="0">
      <text>
        <r>
          <rPr>
            <sz val="10"/>
            <color theme="1"/>
            <rFont val="Calibri"/>
            <family val="2"/>
          </rPr>
          <t xml:space="preserve">Unique ID, M followed by digits. Linked to an organisation through the Boosters tab's Linked modifiers column.</t>
        </r>
      </text>
    </comment>
    <comment ref="B1" authorId="0">
      <text>
        <r>
          <rPr>
            <sz val="10"/>
            <color theme="1"/>
            <rFont val="Calibri"/>
            <family val="2"/>
          </rPr>
          <t xml:space="preserve">The backing's name as shown on the Boosters screen.</t>
        </r>
      </text>
    </comment>
    <comment ref="C1" authorId="0">
      <text>
        <r>
          <rPr>
            <sz val="10"/>
            <color theme="1"/>
            <rFont val="Calibri"/>
            <family val="2"/>
          </rPr>
          <t xml:space="preserve">Japanese name, shown as a small muted accent beside the English.</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SGxx segment and/or BOxx booster IDs, separated by "; ". In battle a stage-start effect switches on only if ANY listed SGxx reaches Trigger min % of the room. A BOxx here switches the effect on while that organisation's standing with you is AT OR ABOVE Trigger min % (e.g. 15 = standing 15 or higher). For a pay-on-win effect it pays only while the standing holds.</t>
        </r>
      </text>
    </comment>
    <comment ref="F1" authorId="0">
      <text>
        <r>
          <rPr>
            <sz val="10"/>
            <color theme="1"/>
            <rFont val="Calibri"/>
            <family val="2"/>
          </rPr>
          <t xml:space="preserve">For SGxx triggers, the share of the audience needed, as a fraction (0.5 = 50%) to match the Stages tab mix. For BOxx triggers, the organisation standing needed, as a whole number from 0 to 100 (15 = standing 15 or higher). Audience (SGxx) triggers pay out on a level win whoever was watching; organisation (BOxx) ones pay only while the standing holds.</t>
        </r>
      </text>
    </comment>
    <comment ref="G1" authorId="0">
      <text>
        <r>
          <rPr>
            <sz val="10"/>
            <color theme="1"/>
            <rFont val="Calibri"/>
            <family val="2"/>
          </rPr>
          <t xml:space="preserve">Display-only description shown to the player. Never parsed; the real effect comes from Effect Type, Target and Value.</t>
        </r>
      </text>
    </comment>
    <comment ref="H1" authorId="0">
      <text>
        <r>
          <rPr>
            <sz val="10"/>
            <color theme="1"/>
            <rFont val="Calibri"/>
            <family val="2"/>
          </rPr>
          <t xml:space="preserve">Reputation spent once to take this backing. 0 or blank = none.</t>
        </r>
      </text>
    </comment>
    <comment ref="I1" authorId="0">
      <text>
        <r>
          <rPr>
            <sz val="10"/>
            <color theme="1"/>
            <rFont val="Calibri"/>
            <family val="2"/>
          </rPr>
          <t xml:space="preserve">Constituency support spent once to take this backing. 0 or blank = none.</t>
        </r>
      </text>
    </comment>
    <comment ref="J1" authorId="0">
      <text>
        <r>
          <rPr>
            <sz val="10"/>
            <color theme="1"/>
            <rFont val="Calibri"/>
            <family val="2"/>
          </rPr>
          <t xml:space="preserve">Funds spent once to take this backing. A modifier costing nothing in all three columns is not for sale (like M32).</t>
        </r>
      </text>
    </comment>
    <comment ref="K1" authorId="0">
      <text>
        <r>
          <rPr>
            <sz val="10"/>
            <color theme="1"/>
            <rFont val="Calibri"/>
            <family val="2"/>
          </rPr>
          <t xml:space="preserve">One of RESOURCE_BONUS_ON_WIN (pays on a level win), STAGE_START_BONUS (+support at start), HAND_SIZE_BONUS (+cards), GAFFE_LIMIT_BONUS (+gaffe limit), FUNDS_INCOME_FREEZE (label for M32). Anything else is an export error.
Closed dispatch enum — permutations: RESOURCE_BONUS_ON_WIN / STAGE_START_BONUS / HAND_SIZE_BONUS / GAFFE_LIMIT_BONUS / FUNDS_INCOME_FREEZE. See the data guide Section 2.1 for what each expects in Effect Target/Effect Value.</t>
        </r>
      </text>
    </comment>
    <comment ref="L1" authorId="0">
      <text>
        <r>
          <rPr>
            <sz val="10"/>
            <color theme="1"/>
            <rFont val="Calibri"/>
            <family val="2"/>
          </rPr>
          <t xml:space="preserve">For RESOURCE_BONUS_ON_WIN: XP, Yen, Jiban or PartySupport. For the three stage bonuses: the STxx it applies in. Blank for FUNDS_INCOME_FREEZE.</t>
        </r>
      </text>
    </comment>
    <comment ref="M1" authorId="0">
      <text>
        <r>
          <rPr>
            <sz val="10"/>
            <color theme="1"/>
            <rFont val="Calibri"/>
            <family val="2"/>
          </rPr>
          <t xml:space="preserve">The amount: XP or Yen etc. paid on a level win, or support, cards or gaffe limit added in the target stage.</t>
        </r>
      </text>
    </comment>
  </commentList>
</comments>
</file>

<file path=xl/comments5.xml><?xml version="1.0" encoding="utf-8"?>
<comments xmlns="http://schemas.openxmlformats.org/spreadsheetml/2006/main">
  <authors>
    <author>Claude</author>
  </authors>
  <commentList>
    <comment ref="A1" authorId="0">
      <text>
        <r>
          <rPr>
            <sz val="10"/>
            <color theme="1"/>
            <rFont val="Calibri"/>
            <family val="2"/>
          </rPr>
          <t xml:space="preserve">Unique organisation ID, BO followed by digits. Used everywhere: Grants, rewards, questions, opponents' Affiliation, Party Standing. Icon file is assets/icons/BOxx.png.</t>
        </r>
      </text>
    </comment>
    <comment ref="B1" authorId="0">
      <text>
        <r>
          <rPr>
            <sz val="10"/>
            <color theme="1"/>
            <rFont val="Calibri"/>
            <family val="2"/>
          </rPr>
          <t xml:space="preserve">The organisation's name as shown in Important Stakeholders, Boosters and outcome panels.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Party, Constituency or National. Decides which TIER:Party / TIER:Constituency / TIER:National Grants pool it belongs to.
Permutations: Party / Constituency / National</t>
        </r>
      </text>
    </comment>
    <comment ref="F1" authorId="0">
      <text>
        <r>
          <rPr>
            <sz val="10"/>
            <color theme="1"/>
            <rFont val="Calibri"/>
            <family val="2"/>
          </rPr>
          <t xml:space="preserve">Mxx IDs this organisation sells as backing, comma-separated. Buying one needs enough standing with this organisation (required_standing, 60). Blank = sells nothing.</t>
        </r>
      </text>
    </comment>
    <comment ref="G1" authorId="0">
      <text>
        <r>
          <rPr>
            <sz val="10"/>
            <color theme="1"/>
            <rFont val="Calibri"/>
            <family val="2"/>
          </rPr>
          <t xml:space="preserve">Standing 0-100 with this organisation at the start of a new run. Blank uses booster_standing.json's flat start (30).</t>
        </r>
      </text>
    </comment>
  </commentList>
</comments>
</file>

<file path=xl/comments6.xml><?xml version="1.0" encoding="utf-8"?>
<comments xmlns="http://schemas.openxmlformats.org/spreadsheetml/2006/main">
  <authors>
    <author>Claude</author>
  </authors>
  <commentList>
    <comment ref="A1" authorId="0">
      <text>
        <r>
          <rPr>
            <sz val="10"/>
            <color theme="1"/>
            <rFont val="Calibri"/>
            <family val="2"/>
          </rPr>
          <t xml:space="preserve">This cue row's unique ID (OC01, OC02...).</t>
        </r>
      </text>
    </comment>
    <comment ref="B1" authorId="0">
      <text>
        <r>
          <rPr>
            <sz val="10"/>
            <color theme="1"/>
            <rFont val="Calibri"/>
            <family val="2"/>
          </rPr>
          <t xml:space="preserve">The suit this line is for, exactly as in the Suits tab. A general row (no Opponent ID) is used by any opponent whose turn rolls this suit: mostly their own first suit, sometimes their second or third, rarely another. Unknown suit = export error.</t>
        </r>
      </text>
    </comment>
    <comment ref="C1" authorId="0">
      <text>
        <r>
          <rPr>
            <sz val="10"/>
            <color theme="1"/>
            <rFont val="Calibri"/>
            <family val="2"/>
          </rPr>
          <t xml:space="preserve">What the opponent is doing this turn: attack, gain or block. Must be one of those three; blank or anything else is an export error.
Permutations: attack / gain / block</t>
        </r>
      </text>
    </comment>
    <comment ref="D1" authorId="0">
      <text>
        <r>
          <rPr>
            <sz val="10"/>
            <color theme="1"/>
            <rFont val="Calibri"/>
            <family val="2"/>
          </rPr>
          <t xml:space="preserve">Blank = a general line any opponent can say. One or more OPxx (OP03; OP07) = a bespoke line for those opponents only, checked first and never mixed with the general pool. IDs must exist in Opponents.</t>
        </r>
      </text>
    </comment>
    <comment ref="E1" authorId="0">
      <text>
        <r>
          <rPr>
            <sz val="10"/>
            <color theme="1"/>
            <rFont val="Calibri"/>
            <family val="2"/>
          </rPr>
          <t xml:space="preserve">One of up to five lines the opponent may say on their turn; one is picked at random and replaces the plain narration of their move. Blank is fine; a row with no lines at all is a warning.</t>
        </r>
      </text>
    </comment>
    <comment ref="F1" authorId="0">
      <text>
        <r>
          <rPr>
            <sz val="10"/>
            <color theme="1"/>
            <rFont val="Calibri"/>
            <family val="2"/>
          </rPr>
          <t xml:space="preserve">Second of up to five opponent lines, picked at random alongside the others. Blank = fewer to choose from.</t>
        </r>
      </text>
    </comment>
    <comment ref="G1" authorId="0">
      <text>
        <r>
          <rPr>
            <sz val="10"/>
            <color theme="1"/>
            <rFont val="Calibri"/>
            <family val="2"/>
          </rPr>
          <t xml:space="preserve">Third of up to five opponent lines, picked at random alongside the others. Blank = fewer to choose from.</t>
        </r>
      </text>
    </comment>
    <comment ref="H1" authorId="0">
      <text>
        <r>
          <rPr>
            <sz val="10"/>
            <color theme="1"/>
            <rFont val="Calibri"/>
            <family val="2"/>
          </rPr>
          <t xml:space="preserve">Fourth of up to five opponent lines, picked at random alongside the others. Blank = fewer to choose from.</t>
        </r>
      </text>
    </comment>
    <comment ref="I1" authorId="0">
      <text>
        <r>
          <rPr>
            <sz val="10"/>
            <color theme="1"/>
            <rFont val="Calibri"/>
            <family val="2"/>
          </rPr>
          <t xml:space="preserve">Fifth of up to five opponent lines, picked at random alongside the others. Blank = fewer to choose from.</t>
        </r>
      </text>
    </comment>
    <comment ref="J1" authorId="0">
      <text>
        <r>
          <rPr>
            <sz val="10"/>
            <color theme="1"/>
            <rFont val="Calibri"/>
            <family val="2"/>
          </rPr>
          <t xml:space="preserve">Optional. Blank = said in any stage. ST16 or ST16; ST13 = only in those rooms, and a stage-scoped row outranks an any-stage row with the same opponent (or suit) and verb. IDs must exist in Stages.</t>
        </r>
      </text>
    </comment>
  </commentList>
</comments>
</file>

<file path=xl/comments7.xml><?xml version="1.0" encoding="utf-8"?>
<comments xmlns="http://schemas.openxmlformats.org/spreadsheetml/2006/main">
  <authors>
    <author>Claude</author>
  </authors>
  <commentList>
    <comment ref="A1" authorId="0">
      <text>
        <r>
          <rPr>
            <sz val="10"/>
            <color theme="1"/>
            <rFont val="Calibri"/>
            <family val="2"/>
          </rPr>
          <t xml:space="preserve">Which bill (BIxx from Floor Vote Bills) this row describes. One row per bill per party; the exporter folds these rows into their bill. A party with no row for a bill sits that vote out (the exporter warns).</t>
        </r>
      </text>
    </comment>
    <comment ref="B1" authorId="0">
      <text>
        <r>
          <rPr>
            <sz val="10"/>
            <color theme="1"/>
            <rFont val="Calibri"/>
            <family val="2"/>
          </rPr>
          <t xml:space="preserve">Which party (PTxx from the Parties tab) this row is for. Each bill should have one row for each of the six parties.</t>
        </r>
      </text>
    </comment>
    <comment ref="C1" authorId="0">
      <text>
        <r>
          <rPr>
            <sz val="10"/>
            <color theme="1"/>
            <rFont val="Calibri"/>
            <family val="2"/>
          </rPr>
          <t xml:space="preserve">How many of this party's seats vote Yes before the player acts. Whole number, not negative. The bill passes when total Yes is greater than total No across all parties (Abstain counts toward neither).</t>
        </r>
      </text>
    </comment>
    <comment ref="D1" authorId="0">
      <text>
        <r>
          <rPr>
            <sz val="10"/>
            <color theme="1"/>
            <rFont val="Calibri"/>
            <family val="2"/>
          </rPr>
          <t xml:space="preserve">How many of this party's seats vote No before the player acts. Whole number, not negative. Together with Yes and Abstain it should equal the party's Seats.</t>
        </r>
      </text>
    </comment>
    <comment ref="E1" authorId="0">
      <text>
        <r>
          <rPr>
            <sz val="10"/>
            <color theme="1"/>
            <rFont val="Calibri"/>
            <family val="2"/>
          </rPr>
          <t xml:space="preserve">How many of this party's seats abstain before the player acts. Whole number, not negative. The game assumes the player's own seat sits in their party's largest bucket (Yes, No or Abstain).</t>
        </r>
      </text>
    </comment>
    <comment ref="F1" authorId="0">
      <text>
        <r>
          <rPr>
            <sz val="10"/>
            <color theme="1"/>
            <rFont val="Calibri"/>
            <family val="2"/>
          </rPr>
          <t xml:space="preserve">The party's stance on the bill: Supportive, Opposed or Neutral (exact words; anything else is an export error). Picks which Favorability Delta the party gets after the vote, and is what the Level Intro Lean Support / Lean Oppose choice is measured against.
Permutations: Supportive / Opposed / Neutral</t>
        </r>
      </text>
    </comment>
    <comment ref="G1" authorId="0">
      <text>
        <r>
          <rPr>
            <sz val="10"/>
            <color theme="1"/>
            <rFont val="Calibri"/>
            <family val="2"/>
          </rPr>
          <t xml:space="preserve">The line this party's leader says about this bill on the Floor Vote screen, shown under their portrait. Keep it short, one sentence.</t>
        </r>
      </text>
    </comment>
    <comment ref="H1" authorId="0">
      <text>
        <r>
          <rPr>
            <sz val="10"/>
            <color theme="1"/>
            <rFont val="Calibri"/>
            <family val="2"/>
          </rPr>
          <t xml:space="preserve">For your reading only, so rows are easy to scan. Not exported; the game uses Party ID. Changing it does nothing in the game.</t>
        </r>
      </text>
    </comment>
  </commentList>
</comments>
</file>

<file path=xl/comments8.xml><?xml version="1.0" encoding="utf-8"?>
<comments xmlns="http://schemas.openxmlformats.org/spreadsheetml/2006/main">
  <authors>
    <author>Claude</author>
  </authors>
  <commentList>
    <comment ref="A1" authorId="0">
      <text>
        <r>
          <rPr>
            <sz val="10"/>
            <color theme="1"/>
            <rFont val="Calibri"/>
            <family val="2"/>
          </rPr>
          <t xml:space="preserve">Unique ID for this ticker line, TK01, TK02 and so on. Unlike Office Notices there are no slots: every line whose condition holds takes its turn, picked at random, never the same line twice running unless it is the only one.</t>
        </r>
      </text>
    </comment>
    <comment ref="B1" authorId="0">
      <text>
        <r>
          <rPr>
            <sz val="10"/>
            <color theme="1"/>
            <rFont val="Calibri"/>
            <family val="2"/>
          </rPr>
          <t xml:space="preserve">When the line is eligible: always (any time), meta (a Sanban value against a number), staff_role (a staff role hired or not) or law (a bill passed or failed). Any other word means the line never scrolls.
Permutations: staff_role / meta / always</t>
        </r>
      </text>
    </comment>
    <comment ref="C1" authorId="0">
      <text>
        <r>
          <rPr>
            <sz val="10"/>
            <color theme="1"/>
            <rFont val="Calibri"/>
            <family val="2"/>
          </rPr>
          <t xml:space="preserve">What the condition looks at: a Sanban name (Constituency support, Reputation, Funds, Party support) for meta, a role name as on the Staff tab for staff_role, a bill ID (BIxx) for law. Blank for always.</t>
        </r>
      </text>
    </comment>
    <comment ref="D1" authorId="0">
      <text>
        <r>
          <rPr>
            <sz val="10"/>
            <color theme="1"/>
            <rFont val="Calibri"/>
            <family val="2"/>
          </rPr>
          <t xml:space="preserve">The test: &lt; &lt;= &gt; &gt;= = for meta; hired or not_hired for staff_role; passed or failed for law. Blank for always.
Permutations depend on condition_type: staff_role -&gt; hired / not_hired. meta -&gt; &lt; / &lt;= / &gt; / &gt;= / =</t>
        </r>
      </text>
    </comment>
    <comment ref="E1" authorId="0">
      <text>
        <r>
          <rPr>
            <sz val="10"/>
            <color theme="1"/>
            <rFont val="Calibri"/>
            <family val="2"/>
          </rPr>
          <t xml:space="preserve">The number a meta condition compares against, e.g. Reputation &lt; 30. Only used by meta rows; leave blank otherwise.</t>
        </r>
      </text>
    </comment>
    <comment ref="F1" authorId="0">
      <text>
        <r>
          <rPr>
            <sz val="10"/>
            <color theme="1"/>
            <rFont val="Calibri"/>
            <family val="2"/>
          </rPr>
          <t xml:space="preserve">The line that scrolls across the bottom of the Office. {player} is replaced with the protagonist's name, in any row type, e.g. {player}'s floor speech is being clipped.</t>
        </r>
      </text>
    </comment>
  </commentList>
</comments>
</file>

<file path=xl/comments9.xml><?xml version="1.0" encoding="utf-8"?>
<comments xmlns="http://schemas.openxmlformats.org/spreadsheetml/2006/main">
  <authors>
    <author>Claude</author>
  </authors>
  <commentList>
    <comment ref="A1" authorId="0">
      <text>
        <r>
          <rPr>
            <sz val="10"/>
            <color theme="1"/>
            <rFont val="Calibri"/>
            <family val="2"/>
          </rPr>
          <t xml:space="preserve">What the player must be strong in: a meta name exactly as on the Sanban tab (Constituency support, Reputation, Funds, Party support) or an organisation's BOxx ID (its standing). Every enabled row that applies must be met for the influence swing to happen.</t>
        </r>
      </text>
    </comment>
    <comment ref="B1" authorId="0">
      <text>
        <r>
          <rPr>
            <sz val="10"/>
            <color theme="1"/>
            <rFont val="Calibri"/>
            <family val="2"/>
          </rPr>
          <t xml:space="preserve">Yes switches this row on; anything else (No or blank) ignores it. If no row is enabled, the influence swing never happens. Lets you turn a requirement on or off without deleting it.
Permutations: Yes / No / blank (blank = No, this row is ignored)</t>
        </r>
      </text>
    </comment>
    <comment ref="C1" authorId="0">
      <text>
        <r>
          <rPr>
            <sz val="10"/>
            <color theme="1"/>
            <rFont val="Calibri"/>
            <family val="2"/>
          </rPr>
          <t xml:space="preserve">Which parties this requirement gates the swing into, as PTxx IDs separated by semicolons, e.g. PT04; PT05. Blank means every party. The game checks each party separately, so one vote can swing one party and not another.</t>
        </r>
      </text>
    </comment>
    <comment ref="D1" authorId="0">
      <text>
        <r>
          <rPr>
            <sz val="10"/>
            <color theme="1"/>
            <rFont val="Calibri"/>
            <family val="2"/>
          </rPr>
          <t xml:space="preserve">The value the Variable must reach (at or above) for this row to be met, e.g. 75 for a standing or 500000 for Funds. Blank uses the Balance tab's vote_influence_default_threshold (85).</t>
        </r>
      </text>
    </comment>
  </commentList>
</comments>
</file>

<file path=xl/comments10.xml><?xml version="1.0" encoding="utf-8"?>
<comments xmlns="http://schemas.openxmlformats.org/spreadsheetml/2006/main">
  <authors>
    <author>Claude</author>
  </authors>
  <commentList>
    <comment ref="A1" authorId="0">
      <text>
        <r>
          <rPr>
            <sz val="10"/>
            <color theme="1"/>
            <rFont val="Calibri"/>
            <family val="2"/>
          </rPr>
          <t xml:space="preserve">Which bill (BIxx) this cutscene line belongs to. Optional tab: a bill with no row simply shows no line when the influence swing flips it.</t>
        </r>
      </text>
    </comment>
    <comment ref="B1" authorId="0">
      <text>
        <r>
          <rPr>
            <sz val="10"/>
            <color theme="1"/>
            <rFont val="Calibri"/>
            <family val="2"/>
          </rPr>
          <t xml:space="preserve">Which flip this line is for: exactly Flipped to Pass (the player's influence turned a failing bill into a pass) or Flipped to Fail (turned a passing bill into a fail). One row per bill per direction; other wording is an export error.
Permutations: Flipped to Pass / Flipped to Fail</t>
        </r>
      </text>
    </comment>
    <comment ref="C1" authorId="0">
      <text>
        <r>
          <rPr>
            <sz val="10"/>
            <color theme="1"/>
            <rFont val="Calibri"/>
            <family val="2"/>
          </rPr>
          <t xml:space="preserve">The line shown on the Floor Vote screen's banner when the influence swing flips this bill in this direction. Plain English, a sentence or two.</t>
        </r>
      </text>
    </comment>
  </commentList>
</comments>
</file>

<file path=xl/comments11.xml><?xml version="1.0" encoding="utf-8"?>
<comments xmlns="http://schemas.openxmlformats.org/spreadsheetml/2006/main">
  <authors>
    <author>Claude</author>
  </authors>
  <commentList>
    <comment ref="A1" authorId="0">
      <text>
        <r>
          <rPr>
            <sz val="10"/>
            <color theme="1"/>
            <rFont val="Calibri"/>
            <family val="2"/>
          </rPr>
          <t xml:space="preserve">The lever's name. Each row is one global number the code looks up by this name (punctuation and any trailing (note) are dropped to make the key), so renaming a lever breaks the link. Rows under XP TIER TABLE form the XP tier sub-table.</t>
        </r>
      </text>
    </comment>
    <comment ref="B1" authorId="0">
      <text>
        <r>
          <rPr>
            <sz val="10"/>
            <color theme="1"/>
            <rFont val="Calibri"/>
            <family val="2"/>
          </rPr>
          <t xml:space="preserve">The lever's number (whole or decimal) as the game uses it. Changing a value here and re-exporting retunes the game without code changes.</t>
        </r>
      </text>
    </comment>
    <comment ref="C1" authorId="0">
      <text>
        <r>
          <rPr>
            <sz val="10"/>
            <color theme="1"/>
            <rFont val="Calibri"/>
            <family val="2"/>
          </rPr>
          <t xml:space="preserve">Your explanation of the lever. Not exported or read by the game.</t>
        </r>
      </text>
    </comment>
  </commentList>
</comments>
</file>

<file path=xl/comments12.xml><?xml version="1.0" encoding="utf-8"?>
<comments xmlns="http://schemas.openxmlformats.org/spreadsheetml/2006/main">
  <authors>
    <author>Claude</author>
  </authors>
  <commentList>
    <comment ref="A1" authorId="0">
      <text>
        <r>
          <rPr>
            <sz val="10"/>
            <color theme="1"/>
            <rFont val="Calibri"/>
            <family val="2"/>
          </rPr>
          <t xml:space="preserve">Unique ID for the protagonist, PCxx. Art loads as assets/characters/protagonists/{ID}_{expression}.png. The first row is the default protagonist.</t>
        </r>
      </text>
    </comment>
    <comment ref="B1" authorId="0">
      <text>
        <r>
          <rPr>
            <sz val="10"/>
            <color theme="1"/>
            <rFont val="Calibri"/>
            <family val="2"/>
          </rPr>
          <t xml:space="preserve">The protagonist's full name, shown on New Game, the Office header and in battle. Opponents with the same name are never drawn against this protagonist.</t>
        </r>
      </text>
    </comment>
    <comment ref="C1" authorId="0">
      <text>
        <r>
          <rPr>
            <sz val="10"/>
            <color theme="1"/>
            <rFont val="Calibri"/>
            <family val="2"/>
          </rPr>
          <t xml:space="preserve">The protagonist's party, spelled exactly as on the Parties tab. Decides the party colour, which leader appears, and which party's position counts in Floor Votes.</t>
        </r>
      </text>
    </comment>
    <comment ref="D1" authorId="0">
      <text>
        <r>
          <rPr>
            <sz val="10"/>
            <color theme="1"/>
            <rFont val="Calibri"/>
            <family val="2"/>
          </rPr>
          <t xml:space="preserve">One-line description on the New Game picker (often the difficulty).</t>
        </r>
      </text>
    </comment>
    <comment ref="E1" authorId="0">
      <text>
        <r>
          <rPr>
            <sz val="10"/>
            <color theme="1"/>
            <rFont val="Calibri"/>
            <family val="2"/>
          </rPr>
          <t xml:space="preserve">This protagonist's starting Constituency support, overriding the Sanban tab's Start. Blank = the Sanban Start.</t>
        </r>
      </text>
    </comment>
    <comment ref="F1" authorId="0">
      <text>
        <r>
          <rPr>
            <sz val="10"/>
            <color theme="1"/>
            <rFont val="Calibri"/>
            <family val="2"/>
          </rPr>
          <t xml:space="preserve">This protagonist's starting Reputation, overriding the Sanban tab's Start. Blank = the Sanban Start.</t>
        </r>
      </text>
    </comment>
    <comment ref="G1" authorId="0">
      <text>
        <r>
          <rPr>
            <sz val="10"/>
            <color theme="1"/>
            <rFont val="Calibri"/>
            <family val="2"/>
          </rPr>
          <t xml:space="preserve">This protagonist's starting Funds in yen, overriding the Sanban tab's Start. Blank = the Sanban Start.</t>
        </r>
      </text>
    </comment>
    <comment ref="H1" authorId="0">
      <text>
        <r>
          <rPr>
            <sz val="10"/>
            <color theme="1"/>
            <rFont val="Calibri"/>
            <family val="2"/>
          </rPr>
          <t xml:space="preserve">This protagonist's starting Party support, overriding the Sanban tab's Start. Blank = the Sanban Start.</t>
        </r>
      </text>
    </comment>
    <comment ref="I1" authorId="0">
      <text>
        <r>
          <rPr>
            <sz val="10"/>
            <color theme="1"/>
            <rFont val="Calibri"/>
            <family val="2"/>
          </rPr>
          <t xml:space="preserve">XP the protagonist begins the run with, a whole number. Blank = 0.</t>
        </r>
      </text>
    </comment>
    <comment ref="J1" authorId="0">
      <text>
        <r>
          <rPr>
            <sz val="10"/>
            <color theme="1"/>
            <rFont val="Calibri"/>
            <family val="2"/>
          </rPr>
          <t xml:space="preserve">M or F. Display-only profile data for now; no rule reads it.</t>
        </r>
      </text>
    </comment>
    <comment ref="K1" authorId="0">
      <text>
        <r>
          <rPr>
            <sz val="10"/>
            <color theme="1"/>
            <rFont val="Calibri"/>
            <family val="2"/>
          </rPr>
          <t xml:space="preserve">The protagonist's committee assignment. Display-only profile data for now; no rule reads it.</t>
        </r>
      </text>
    </comment>
    <comment ref="L1" authorId="0">
      <text>
        <r>
          <rPr>
            <sz val="10"/>
            <color theme="1"/>
            <rFont val="Calibri"/>
            <family val="2"/>
          </rPr>
          <t xml:space="preserve">Political positioning (Liberal, Nationalist...). Display-only profile data for now; no rule reads it.</t>
        </r>
      </text>
    </comment>
    <comment ref="M1" authorId="0">
      <text>
        <r>
          <rPr>
            <sz val="10"/>
            <color theme="1"/>
            <rFont val="Calibri"/>
            <family val="2"/>
          </rPr>
          <t xml:space="preserve">The protagonist's primary suit. Display-only profile data for now; it does not affect cards or decks.</t>
        </r>
      </text>
    </comment>
    <comment ref="N1" authorId="0">
      <text>
        <r>
          <rPr>
            <sz val="10"/>
            <color theme="1"/>
            <rFont val="Calibri"/>
            <family val="2"/>
          </rPr>
          <t xml:space="preserve">The protagonist's secondary suit. Display-only profile data for now; it does not affect cards or decks.</t>
        </r>
      </text>
    </comment>
    <comment ref="O1" authorId="0">
      <text>
        <r>
          <rPr>
            <sz val="10"/>
            <color theme="1"/>
            <rFont val="Calibri"/>
            <family val="2"/>
          </rPr>
          <t xml:space="preserve">Home region. Display-only profile data for now; no rule reads it.</t>
        </r>
      </text>
    </comment>
    <comment ref="P1" authorId="0">
      <text>
        <r>
          <rPr>
            <sz val="10"/>
            <color theme="1"/>
            <rFont val="Calibri"/>
            <family val="2"/>
          </rPr>
          <t xml:space="preserve">The electoral district. Display-only profile data for now; no rule reads it.</t>
        </r>
      </text>
    </comment>
    <comment ref="Q1" authorId="0">
      <text>
        <r>
          <rPr>
            <sz val="10"/>
            <color theme="1"/>
            <rFont val="Calibri"/>
            <family val="2"/>
          </rPr>
          <t xml:space="preserve">Single Member or Proportional Block. Display-only profile data for now; no rule reads it.</t>
        </r>
      </text>
    </comment>
  </commentList>
</comments>
</file>

<file path=xl/comments13.xml><?xml version="1.0" encoding="utf-8"?>
<comments xmlns="http://schemas.openxmlformats.org/spreadsheetml/2006/main">
  <authors>
    <author>Claude</author>
  </authors>
  <commentList>
    <comment ref="A1" authorId="0">
      <text>
        <r>
          <rPr>
            <sz val="10"/>
            <color theme="1"/>
            <rFont val="Calibri"/>
            <family val="2"/>
          </rPr>
          <t xml:space="preserve">The suit's canon name: Earnest, Emotional, Appeal, Data Driven, Divisive or Duplicitous. Cards, Affinity, questions and opponents refer to suits by exactly this spelling, so never rename one.</t>
        </r>
      </text>
    </comment>
    <comment ref="B1" authorId="0">
      <text>
        <r>
          <rPr>
            <sz val="10"/>
            <color theme="1"/>
            <rFont val="Calibri"/>
            <family val="2"/>
          </rPr>
          <t xml:space="preserve">The suit's Japanese name. Exported for reference; the game does not read it today.</t>
        </r>
      </text>
    </comment>
    <comment ref="C1" authorId="0">
      <text>
        <r>
          <rPr>
            <sz val="10"/>
            <color theme="1"/>
            <rFont val="Calibri"/>
            <family val="2"/>
          </rPr>
          <t xml:space="preserve">Romanised reading of the suit's Japanese name. Reference only; not read by the game today.</t>
        </r>
      </text>
    </comment>
    <comment ref="D1" authorId="0">
      <text>
        <r>
          <rPr>
            <sz val="10"/>
            <color theme="1"/>
            <rFont val="Calibri"/>
            <family val="2"/>
          </rPr>
          <t xml:space="preserve">A short English gloss of the suit's meaning (sincerity, passion...). Reference only; not read by the game today.</t>
        </r>
      </text>
    </comment>
    <comment ref="E1" authorId="0">
      <text>
        <r>
          <rPr>
            <sz val="10"/>
            <color theme="1"/>
            <rFont val="Calibri"/>
            <family val="2"/>
          </rPr>
          <t xml:space="preserve">The visual theme of this suit's card frame (Sumo, Sakura...). Art-direction note only; the game picks frames by suit, not by this cell.</t>
        </r>
      </text>
    </comment>
  </commentList>
</comments>
</file>

<file path=xl/comments14.xml><?xml version="1.0" encoding="utf-8"?>
<comments xmlns="http://schemas.openxmlformats.org/spreadsheetml/2006/main">
  <authors>
    <author>Claude</author>
  </authors>
  <commentList>
    <comment ref="A1" authorId="0">
      <text>
        <r>
          <rPr>
            <sz val="10"/>
            <color theme="1"/>
            <rFont val="Calibri"/>
            <family val="2"/>
          </rPr>
          <t xml:space="preserve">Unique ID for the level, LVxx. Saves, unlocks and cooldowns refer to it, so never rename one. Rows whose first cell is not an LVxx are skipped.</t>
        </r>
      </text>
    </comment>
    <comment ref="B1" authorId="0">
      <text>
        <r>
          <rPr>
            <sz val="10"/>
            <color theme="1"/>
            <rFont val="Calibri"/>
            <family val="2"/>
          </rPr>
          <t xml:space="preserve">The level's name as the player sees it: the Levels list, the briefing title and Your Record.</t>
        </r>
      </text>
    </comment>
    <comment ref="C1" authorId="0">
      <text>
        <r>
          <rPr>
            <sz val="10"/>
            <color theme="1"/>
            <rFont val="Calibri"/>
            <family val="2"/>
          </rPr>
          <t xml:space="preserve">How many other levels must be completed before this one can be played again, a whole number. Blank or 0 = no cooldown.</t>
        </r>
      </text>
    </comment>
    <comment ref="D1" authorId="0">
      <text>
        <r>
          <rPr>
            <sz val="10"/>
            <color theme="1"/>
            <rFont val="Calibri"/>
            <family val="2"/>
          </rPr>
          <t xml:space="preserve">The level's tier, a whole number (0, 1, 2...). The Levels list groups levels under Tier headings and Your Record counts clears per tier.</t>
        </r>
      </text>
    </comment>
    <comment ref="E1" authorId="0">
      <text>
        <r>
          <rPr>
            <sz val="10"/>
            <color theme="1"/>
            <rFont val="Calibri"/>
            <family val="2"/>
          </rPr>
          <t xml:space="preserve">XP to unlock this level when no Policy Research Assistant is hired. 0 or blank = free and playable from the start.</t>
        </r>
      </text>
    </comment>
    <comment ref="F1" authorId="0">
      <text>
        <r>
          <rPr>
            <sz val="10"/>
            <color theme="1"/>
            <rFont val="Calibri"/>
            <family val="2"/>
          </rPr>
          <t xml:space="preserve">XP to unlock this level when the hired Policy Research Assistant is Tier 0. 0 or blank = free.</t>
        </r>
      </text>
    </comment>
    <comment ref="G1" authorId="0">
      <text>
        <r>
          <rPr>
            <sz val="10"/>
            <color theme="1"/>
            <rFont val="Calibri"/>
            <family val="2"/>
          </rPr>
          <t xml:space="preserve">XP to unlock this level when the hired Policy Research Assistant is Tier 1. 0 or blank = free.</t>
        </r>
      </text>
    </comment>
    <comment ref="H1" authorId="0">
      <text>
        <r>
          <rPr>
            <sz val="10"/>
            <color theme="1"/>
            <rFont val="Calibri"/>
            <family val="2"/>
          </rPr>
          <t xml:space="preserve">XP to unlock this level when the hired Policy Research Assistant is Tier 2 (or higher). 0 or blank = free.</t>
        </r>
      </text>
    </comment>
    <comment ref="I1" authorId="0">
      <text>
        <r>
          <rPr>
            <sz val="10"/>
            <color theme="1"/>
            <rFont val="Calibri"/>
            <family val="2"/>
          </rPr>
          <t xml:space="preserve">The first room played in this level: an STxx from the Stages tab, or a BIxx from Floor Vote Bills to hold that bill's Floor Vote here. Parts run in order 1 to 10; N/A or blank ends the list.</t>
        </r>
      </text>
    </comment>
    <comment ref="J1" authorId="0">
      <text>
        <r>
          <rPr>
            <sz val="10"/>
            <color theme="1"/>
            <rFont val="Calibri"/>
            <family val="2"/>
          </rPr>
          <t xml:space="preserve">The room played as part 2 of this level: an STxx from the Stages tab, or a BIxx from Floor Vote Bills to hold that bill's Floor Vote. N/A or blank = no part 2; parts run in order.</t>
        </r>
      </text>
    </comment>
    <comment ref="K1" authorId="0">
      <text>
        <r>
          <rPr>
            <sz val="10"/>
            <color theme="1"/>
            <rFont val="Calibri"/>
            <family val="2"/>
          </rPr>
          <t xml:space="preserve">The room played as part 3 of this level: an STxx from the Stages tab, or a BIxx from Floor Vote Bills to hold that bill's Floor Vote. N/A or blank = no part 3; parts run in order.</t>
        </r>
      </text>
    </comment>
    <comment ref="L1" authorId="0">
      <text>
        <r>
          <rPr>
            <sz val="10"/>
            <color theme="1"/>
            <rFont val="Calibri"/>
            <family val="2"/>
          </rPr>
          <t xml:space="preserve">The room played as part 4 of this level: an STxx from the Stages tab, or a BIxx from Floor Vote Bills to hold that bill's Floor Vote. N/A or blank = no part 4; parts run in order.</t>
        </r>
      </text>
    </comment>
    <comment ref="M1" authorId="0">
      <text>
        <r>
          <rPr>
            <sz val="10"/>
            <color theme="1"/>
            <rFont val="Calibri"/>
            <family val="2"/>
          </rPr>
          <t xml:space="preserve">The room played as part 5 of this level: an STxx from the Stages tab, or a BIxx from Floor Vote Bills to hold that bill's Floor Vote. N/A or blank = no part 5; parts run in order.</t>
        </r>
      </text>
    </comment>
    <comment ref="N1" authorId="0">
      <text>
        <r>
          <rPr>
            <sz val="10"/>
            <color theme="1"/>
            <rFont val="Calibri"/>
            <family val="2"/>
          </rPr>
          <t xml:space="preserve">The room played as part 6 of this level: an STxx from the Stages tab, or a BIxx from Floor Vote Bills to hold that bill's Floor Vote. N/A or blank = no part 6; parts run in order.</t>
        </r>
      </text>
    </comment>
    <comment ref="O1" authorId="0">
      <text>
        <r>
          <rPr>
            <sz val="10"/>
            <color theme="1"/>
            <rFont val="Calibri"/>
            <family val="2"/>
          </rPr>
          <t xml:space="preserve">The room played as part 7 of this level: an STxx from the Stages tab, or a BIxx from Floor Vote Bills to hold that bill's Floor Vote. N/A or blank = no part 7; parts run in order.</t>
        </r>
      </text>
    </comment>
    <comment ref="P1" authorId="0">
      <text>
        <r>
          <rPr>
            <sz val="10"/>
            <color theme="1"/>
            <rFont val="Calibri"/>
            <family val="2"/>
          </rPr>
          <t xml:space="preserve">The room played as part 8 of this level: an STxx from the Stages tab, or a BIxx from Floor Vote Bills to hold that bill's Floor Vote. N/A or blank = no part 8; parts run in order.</t>
        </r>
      </text>
    </comment>
    <comment ref="Q1" authorId="0">
      <text>
        <r>
          <rPr>
            <sz val="10"/>
            <color theme="1"/>
            <rFont val="Calibri"/>
            <family val="2"/>
          </rPr>
          <t xml:space="preserve">The room played as part 9 of this level: an STxx from the Stages tab, or a BIxx from Floor Vote Bills to hold that bill's Floor Vote. N/A or blank = no part 9; parts run in order.</t>
        </r>
      </text>
    </comment>
    <comment ref="R1" authorId="0">
      <text>
        <r>
          <rPr>
            <sz val="10"/>
            <color theme="1"/>
            <rFont val="Calibri"/>
            <family val="2"/>
          </rPr>
          <t xml:space="preserve">The room played as part 10 of this level: an STxx from the Stages tab, or a BIxx from Floor Vote Bills to hold that bill's Floor Vote. N/A or blank = no part 10; parts run in order.</t>
        </r>
      </text>
    </comment>
    <comment ref="S1" authorId="0">
      <text>
        <r>
          <rPr>
            <sz val="10"/>
            <color theme="1"/>
            <rFont val="Calibri"/>
            <family val="2"/>
          </rPr>
          <t xml:space="preserve">Extra Constituency support rolled when the whole level is won: a number (2) or a range (0-3), picked at random each win. 0 or blank = none.</t>
        </r>
      </text>
    </comment>
    <comment ref="T1" authorId="0">
      <text>
        <r>
          <rPr>
            <sz val="10"/>
            <color theme="1"/>
            <rFont val="Calibri"/>
            <family val="2"/>
          </rPr>
          <t xml:space="preserve">Extra Funds rolled when the whole level is won: a number or a range (0-5000), random each win. 0 or blank = none.</t>
        </r>
      </text>
    </comment>
    <comment ref="U1" authorId="0">
      <text>
        <r>
          <rPr>
            <sz val="10"/>
            <color theme="1"/>
            <rFont val="Calibri"/>
            <family val="2"/>
          </rPr>
          <t xml:space="preserve">Extra Reputation rolled when the whole level is won: a number or a range (0-5), random each win. 0 or blank = none.</t>
        </r>
      </text>
    </comment>
    <comment ref="V1" authorId="0">
      <text>
        <r>
          <rPr>
            <sz val="10"/>
            <color theme="1"/>
            <rFont val="Calibri"/>
            <family val="2"/>
          </rPr>
          <t xml:space="preserve">Extra XP rolled when the whole level is won: a number or a range, random each win. 0 or blank = none.</t>
        </r>
      </text>
    </comment>
    <comment ref="W1" authorId="0">
      <text>
        <r>
          <rPr>
            <sz val="10"/>
            <color theme="1"/>
            <rFont val="Calibri"/>
            <family val="2"/>
          </rPr>
          <t xml:space="preserve">Extra Party support rolled when the whole level is won: a number or a range. A trailing % (0-3%) is ignored, the numbers are points. 0 or blank = none.</t>
        </r>
      </text>
    </comment>
    <comment ref="X1" authorId="0">
      <text>
        <r>
          <rPr>
            <sz val="10"/>
            <color theme="1"/>
            <rFont val="Calibri"/>
            <family val="2"/>
          </rPr>
          <t xml:space="preserve">Standing change with BO01 (Party Headquarters) when the whole level is won: a number or a range (0-3), rolled at random each win. 0 or blank = none.</t>
        </r>
      </text>
    </comment>
    <comment ref="Y1" authorId="0">
      <text>
        <r>
          <rPr>
            <sz val="10"/>
            <color theme="1"/>
            <rFont val="Calibri"/>
            <family val="2"/>
          </rPr>
          <t xml:space="preserve">Standing change with BO02 (Party Faction) when the whole level is won: a number or a range (0-3), rolled at random each win. 0 or blank = none.</t>
        </r>
      </text>
    </comment>
    <comment ref="Z1" authorId="0">
      <text>
        <r>
          <rPr>
            <sz val="10"/>
            <color theme="1"/>
            <rFont val="Calibri"/>
            <family val="2"/>
          </rPr>
          <t xml:space="preserve">Standing change with BO03 (Local Koenkai) when the whole level is won: a number or a range (0-3), rolled at random each win. 0 or blank = none.</t>
        </r>
      </text>
    </comment>
    <comment ref="AA1" authorId="0">
      <text>
        <r>
          <rPr>
            <sz val="10"/>
            <color theme="1"/>
            <rFont val="Calibri"/>
            <family val="2"/>
          </rPr>
          <t xml:space="preserve">Standing change with BO04 (Mayors' Network) when the whole level is won: a number or a range (0-3), rolled at random each win. 0 or blank = none.</t>
        </r>
      </text>
    </comment>
    <comment ref="AB1" authorId="0">
      <text>
        <r>
          <rPr>
            <sz val="10"/>
            <color theme="1"/>
            <rFont val="Calibri"/>
            <family val="2"/>
          </rPr>
          <t xml:space="preserve">Standing change with BO05 (Chamber of Commerce) when the whole level is won: a number or a range (0-3), rolled at random each win. 0 or blank = none.</t>
        </r>
      </text>
    </comment>
    <comment ref="AC1" authorId="0">
      <text>
        <r>
          <rPr>
            <sz val="10"/>
            <color theme="1"/>
            <rFont val="Calibri"/>
            <family val="2"/>
          </rPr>
          <t xml:space="preserve">Standing change with BO06 (Neighborhood Associations) when the whole level is won: a number or a range (0-3), rolled at random each win. 0 or blank = none.</t>
        </r>
      </text>
    </comment>
    <comment ref="AD1" authorId="0">
      <text>
        <r>
          <rPr>
            <sz val="10"/>
            <color theme="1"/>
            <rFont val="Calibri"/>
            <family val="2"/>
          </rPr>
          <t xml:space="preserve">Standing change with BO07 (Fisheries Cooperative) when the whole level is won: a number or a range (0-3), rolled at random each win. 0 or blank = none.</t>
        </r>
      </text>
    </comment>
    <comment ref="AE1" authorId="0">
      <text>
        <r>
          <rPr>
            <sz val="10"/>
            <color theme="1"/>
            <rFont val="Calibri"/>
            <family val="2"/>
          </rPr>
          <t xml:space="preserve">Standing change with BO08 (National Media) when the whole level is won: a number or a range (0-3), rolled at random each win. 0 or blank = none.</t>
        </r>
      </text>
    </comment>
    <comment ref="AF1" authorId="0">
      <text>
        <r>
          <rPr>
            <sz val="10"/>
            <color theme="1"/>
            <rFont val="Calibri"/>
            <family val="2"/>
          </rPr>
          <t xml:space="preserve">Standing change with BO09 (Labor Federation) when the whole level is won: a number or a range (0-3), rolled at random each win. 0 or blank = none.</t>
        </r>
      </text>
    </comment>
    <comment ref="AG1" authorId="0">
      <text>
        <r>
          <rPr>
            <sz val="10"/>
            <color theme="1"/>
            <rFont val="Calibri"/>
            <family val="2"/>
          </rPr>
          <t xml:space="preserve">Standing change with BO10 (Agricultural Cooperatives) when the whole level is won: a number or a range (0-3), rolled at random each win. 0 or blank = none.</t>
        </r>
      </text>
    </comment>
    <comment ref="AH1" authorId="0">
      <text>
        <r>
          <rPr>
            <sz val="10"/>
            <color theme="1"/>
            <rFont val="Calibri"/>
            <family val="2"/>
          </rPr>
          <t xml:space="preserve">Standing change with BO11 (Students United) when the whole level is won: a number or a range (0-3), rolled at random each win. 0 or blank = none.</t>
        </r>
      </text>
    </comment>
    <comment ref="AI1" authorId="0">
      <text>
        <r>
          <rPr>
            <sz val="10"/>
            <color theme="1"/>
            <rFont val="Calibri"/>
            <family val="2"/>
          </rPr>
          <t xml:space="preserve">Standing change with BO12 (Family Network) when the whole level is won: a number or a range (0-3), rolled at random each win. 0 or blank = none.</t>
        </r>
      </text>
    </comment>
    <comment ref="AJ1" authorId="0">
      <text>
        <r>
          <rPr>
            <sz val="10"/>
            <color theme="1"/>
            <rFont val="Calibri"/>
            <family val="2"/>
          </rPr>
          <t xml:space="preserve">Standing change with BO13 (Yezo Artisans Guild) when the whole level is won: a number or a range (0-3), rolled at random each win. 0 or blank = none.</t>
        </r>
      </text>
    </comment>
    <comment ref="AK1" authorId="0">
      <text>
        <r>
          <rPr>
            <sz val="10"/>
            <color theme="1"/>
            <rFont val="Calibri"/>
            <family val="2"/>
          </rPr>
          <t xml:space="preserve">Standing change with BO14 (Commuter Committee) when the whole level is won: a number or a range (0-3), rolled at random each win. 0 or blank = none.</t>
        </r>
      </text>
    </comment>
    <comment ref="AL1" authorId="0">
      <text>
        <r>
          <rPr>
            <sz val="10"/>
            <color theme="1"/>
            <rFont val="Calibri"/>
            <family val="2"/>
          </rPr>
          <t xml:space="preserve">Standing change with BO15 (Our Traditional Society) when the whole level is won: a number or a range (0-3), rolled at random each win. 0 or blank = none.</t>
        </r>
      </text>
    </comment>
    <comment ref="AM1" authorId="0">
      <text>
        <r>
          <rPr>
            <sz val="10"/>
            <color theme="1"/>
            <rFont val="Calibri"/>
            <family val="2"/>
          </rPr>
          <t xml:space="preserve">Standing change with BO16 (Innovation Society) when the whole level is won: a number or a range (0-3), rolled at random each win. 0 or blank = none.</t>
        </r>
      </text>
    </comment>
    <comment ref="AN1" authorId="0">
      <text>
        <r>
          <rPr>
            <sz val="10"/>
            <color theme="1"/>
            <rFont val="Calibri"/>
            <family val="2"/>
          </rPr>
          <t xml:space="preserve">Yes: once completed, won or lost, the level disappears from the Office's list for the rest of the run (used for Floor Vote bills). No or blank = replayable, subject to cooldown.</t>
        </r>
      </text>
    </comment>
  </commentList>
</comments>
</file>

<file path=xl/comments15.xml><?xml version="1.0" encoding="utf-8"?>
<comments xmlns="http://schemas.openxmlformats.org/spreadsheetml/2006/main">
  <authors>
    <author>Claude</author>
  </authors>
  <commentList>
    <comment ref="A1" authorId="0">
      <text>
        <r>
          <rPr>
            <sz val="10"/>
            <color theme="1"/>
            <rFont val="Calibri"/>
            <family val="2"/>
          </rPr>
          <t xml:space="preserve">The suit for this row: Earnest, Emotional, Appeal, Data Driven, Divisive or Duplicitous, matching the Suits tab. Each row's numbers say how strong that suit is in each room.</t>
        </r>
      </text>
    </comment>
    <comment ref="B1" authorId="0">
      <text>
        <r>
          <rPr>
            <sz val="10"/>
            <color theme="1"/>
            <rFont val="Calibri"/>
            <family val="2"/>
          </rPr>
          <t xml:space="preserve">Suit multiplier in ST01, Special Committee: a card's Self + and Opp minus are multiplied by this (1 = normal, 1.3 boosted, 0.7 held back), rounded half up. Guard, draw and gaffe are not scaled. The column header must be the STxx.</t>
        </r>
      </text>
    </comment>
    <comment ref="C1" authorId="0">
      <text>
        <r>
          <rPr>
            <sz val="10"/>
            <color theme="1"/>
            <rFont val="Calibri"/>
            <family val="2"/>
          </rPr>
          <t xml:space="preserve">Suit multiplier in ST02, Floor Debate: a card's Self + and Opp minus are multiplied by this (1 = normal, 1.3 boosted, 0.7 held back), rounded half up. Guard, draw and gaffe are not scaled. The column header must be the STxx.</t>
        </r>
      </text>
    </comment>
    <comment ref="D1" authorId="0">
      <text>
        <r>
          <rPr>
            <sz val="10"/>
            <color theme="1"/>
            <rFont val="Calibri"/>
            <family val="2"/>
          </rPr>
          <t xml:space="preserve">Suit multiplier in ST03, Party Caucus: a card's Self + and Opp minus are multiplied by this (1 = normal, 1.3 boosted, 0.7 held back), rounded half up. Guard, draw and gaffe are not scaled. The column header must be the STxx.</t>
        </r>
      </text>
    </comment>
    <comment ref="E1" authorId="0">
      <text>
        <r>
          <rPr>
            <sz val="10"/>
            <color theme="1"/>
            <rFont val="Calibri"/>
            <family val="2"/>
          </rPr>
          <t xml:space="preserve">Suit multiplier in ST04, Press Conference: a card's Self + and Opp minus are multiplied by this (1 = normal, 1.3 boosted, 0.7 held back), rounded half up. Guard, draw and gaffe are not scaled. The column header must be the STxx.</t>
        </r>
      </text>
    </comment>
    <comment ref="F1" authorId="0">
      <text>
        <r>
          <rPr>
            <sz val="10"/>
            <color theme="1"/>
            <rFont val="Calibri"/>
            <family val="2"/>
          </rPr>
          <t xml:space="preserve">Suit multiplier in ST05, Town Hall: a card's Self + and Opp minus are multiplied by this (1 = normal, 1.3 boosted, 0.7 held back), rounded half up. Guard, draw and gaffe are not scaled. The column header must be the STxx.</t>
        </r>
      </text>
    </comment>
    <comment ref="G1" authorId="0">
      <text>
        <r>
          <rPr>
            <sz val="10"/>
            <color theme="1"/>
            <rFont val="Calibri"/>
            <family val="2"/>
          </rPr>
          <t xml:space="preserve">Suit multiplier in ST06, TV Debate: a card's Self + and Opp minus are multiplied by this (1 = normal, 1.3 boosted, 0.7 held back), rounded half up. Guard, draw and gaffe are not scaled. The column header must be the STxx.</t>
        </r>
      </text>
    </comment>
    <comment ref="H1" authorId="0">
      <text>
        <r>
          <rPr>
            <sz val="10"/>
            <color theme="1"/>
            <rFont val="Calibri"/>
            <family val="2"/>
          </rPr>
          <t xml:space="preserve">Suit multiplier in ST07, Office Hours: a card's Self + and Opp minus are multiplied by this (1 = normal, 1.3 boosted, 0.7 held back), rounded half up. Guard, draw and gaffe are not scaled. The column header must be the STxx.</t>
        </r>
      </text>
    </comment>
    <comment ref="I1" authorId="0">
      <text>
        <r>
          <rPr>
            <sz val="10"/>
            <color theme="1"/>
            <rFont val="Calibri"/>
            <family val="2"/>
          </rPr>
          <t xml:space="preserve">Suit multiplier in ST08, Party Steering Committee: a card's Self + and Opp minus are multiplied by this (1 = normal, 1.3 boosted, 0.7 held back), rounded half up. Guard, draw and gaffe are not scaled. The column header must be the STxx.</t>
        </r>
      </text>
    </comment>
    <comment ref="J1" authorId="0">
      <text>
        <r>
          <rPr>
            <sz val="10"/>
            <color theme="1"/>
            <rFont val="Calibri"/>
            <family val="2"/>
          </rPr>
          <t xml:space="preserve">Suit multiplier in ST09, Committee on Ethics and Prosecution: a card's Self + and Opp minus are multiplied by this (1 = normal, 1.3 boosted, 0.7 held back), rounded half up. Guard, draw and gaffe are not scaled. The column header must be the STxx.</t>
        </r>
      </text>
    </comment>
    <comment ref="K1" authorId="0">
      <text>
        <r>
          <rPr>
            <sz val="10"/>
            <color theme="1"/>
            <rFont val="Calibri"/>
            <family val="2"/>
          </rPr>
          <t xml:space="preserve">Suit multiplier in ST10, Committee on the Environment: a card's Self + and Opp minus are multiplied by this (1 = normal, 1.3 boosted, 0.7 held back), rounded half up. Guard, draw and gaffe are not scaled. The column header must be the STxx.</t>
        </r>
      </text>
    </comment>
    <comment ref="L1" authorId="0">
      <text>
        <r>
          <rPr>
            <sz val="10"/>
            <color theme="1"/>
            <rFont val="Calibri"/>
            <family val="2"/>
          </rPr>
          <t xml:space="preserve">Suit multiplier in ST11, Committee on War: a card's Self + and Opp minus are multiplied by this (1 = normal, 1.3 boosted, 0.7 held back), rounded half up. Guard, draw and gaffe are not scaled. The column header must be the STxx.</t>
        </r>
      </text>
    </comment>
    <comment ref="M1" authorId="0">
      <text>
        <r>
          <rPr>
            <sz val="10"/>
            <color theme="1"/>
            <rFont val="Calibri"/>
            <family val="2"/>
          </rPr>
          <t xml:space="preserve">Suit multiplier in ST12, Committee on the National Assembly: a card's Self + and Opp minus are multiplied by this (1 = normal, 1.3 boosted, 0.7 held back), rounded half up. Guard, draw and gaffe are not scaled. The column header must be the STxx.</t>
        </r>
      </text>
    </comment>
    <comment ref="N1" authorId="0">
      <text>
        <r>
          <rPr>
            <sz val="10"/>
            <color theme="1"/>
            <rFont val="Calibri"/>
            <family val="2"/>
          </rPr>
          <t xml:space="preserve">Suit multiplier in ST13, Committee on Agriculture: a card's Self + and Opp minus are multiplied by this (1 = normal, 1.3 boosted, 0.7 held back), rounded half up. Guard, draw and gaffe are not scaled. The column header must be the STxx.</t>
        </r>
      </text>
    </comment>
    <comment ref="O1" authorId="0">
      <text>
        <r>
          <rPr>
            <sz val="10"/>
            <color theme="1"/>
            <rFont val="Calibri"/>
            <family val="2"/>
          </rPr>
          <t xml:space="preserve">Suit multiplier in ST14, Committee on Foreign Affairs: a card's Self + and Opp minus are multiplied by this (1 = normal, 1.3 boosted, 0.7 held back), rounded half up. Guard, draw and gaffe are not scaled. The column header must be the STxx.</t>
        </r>
      </text>
    </comment>
    <comment ref="P1" authorId="0">
      <text>
        <r>
          <rPr>
            <sz val="10"/>
            <color theme="1"/>
            <rFont val="Calibri"/>
            <family val="2"/>
          </rPr>
          <t xml:space="preserve">Suit multiplier in ST15, Committee on Construction and Development: a card's Self + and Opp minus are multiplied by this (1 = normal, 1.3 boosted, 0.7 held back), rounded half up. Guard, draw and gaffe are not scaled. The column header must be the STxx.</t>
        </r>
      </text>
    </comment>
    <comment ref="Q1" authorId="0">
      <text>
        <r>
          <rPr>
            <sz val="10"/>
            <color theme="1"/>
            <rFont val="Calibri"/>
            <family val="2"/>
          </rPr>
          <t xml:space="preserve">Suit multiplier in ST16, Committee on Finance: a card's Self + and Opp minus are multiplied by this (1 = normal, 1.3 boosted, 0.7 held back), rounded half up. Guard, draw and gaffe are not scaled. The column header must be the STxx.</t>
        </r>
      </text>
    </comment>
    <comment ref="R1" authorId="0">
      <text>
        <r>
          <rPr>
            <sz val="10"/>
            <color theme="1"/>
            <rFont val="Calibri"/>
            <family val="2"/>
          </rPr>
          <t xml:space="preserve">Suit multiplier in ST17, Committee on Government Administration: a card's Self + and Opp minus are multiplied by this (1 = normal, 1.3 boosted, 0.7 held back), rounded half up. Guard, draw and gaffe are not scaled. The column header must be the STxx.</t>
        </r>
      </text>
    </comment>
    <comment ref="S1" authorId="0">
      <text>
        <r>
          <rPr>
            <sz val="10"/>
            <color theme="1"/>
            <rFont val="Calibri"/>
            <family val="2"/>
          </rPr>
          <t xml:space="preserve">Suit multiplier in ST18, Committee of the Cabinet: a card's Self + and Opp minus are multiplied by this (1 = normal, 1.3 boosted, 0.7 held back), rounded half up. Guard, draw and gaffe are not scaled. The column header must be the STxx.</t>
        </r>
      </text>
    </comment>
    <comment ref="T1" authorId="0">
      <text>
        <r>
          <rPr>
            <sz val="10"/>
            <color theme="1"/>
            <rFont val="Calibri"/>
            <family val="2"/>
          </rPr>
          <t xml:space="preserve">Suit multiplier in ST19, Media Ambush: a card's Self + and Opp minus are multiplied by this (1 = normal, 1.3 boosted, 0.7 held back), rounded half up. Guard, draw and gaffe are not scaled. The column header must be the STxx.</t>
        </r>
      </text>
    </comment>
    <comment ref="U1" authorId="0">
      <text>
        <r>
          <rPr>
            <sz val="10"/>
            <color theme="1"/>
            <rFont val="Calibri"/>
            <family val="2"/>
          </rPr>
          <t xml:space="preserve">Suit multiplier in ST20, Lobbyist Meeting: a card's Self + and Opp minus are multiplied by this (1 = normal, 1.3 boosted, 0.7 held back), rounded half up. Guard, draw and gaffe are not scaled. The column header must be the STxx.</t>
        </r>
      </text>
    </comment>
    <comment ref="V1" authorId="0">
      <text>
        <r>
          <rPr>
            <sz val="10"/>
            <color theme="1"/>
            <rFont val="Calibri"/>
            <family val="2"/>
          </rPr>
          <t xml:space="preserve">Suit multiplier in ST21, Policy Study Session: a card's Self + and Opp minus are multiplied by this (1 = normal, 1.3 boosted, 0.7 held back), rounded half up. Guard, draw and gaffe are not scaled. The column header must be the STxx.</t>
        </r>
      </text>
    </comment>
  </commentList>
</comments>
</file>

<file path=xl/comments16.xml><?xml version="1.0" encoding="utf-8"?>
<comments xmlns="http://schemas.openxmlformats.org/spreadsheetml/2006/main">
  <authors>
    <author>Claude</author>
  </authors>
  <commentList>
    <comment ref="A1" authorId="0">
      <text>
        <r>
          <rPr>
            <sz val="10"/>
            <color theme="1"/>
            <rFont val="Calibri"/>
            <family val="2"/>
          </rPr>
          <t xml:space="preserve">Unique ID for the audience segment, SGxx. Staff rewards, modifiers and shop grants target segments by this ID, so never rename one.</t>
        </r>
      </text>
    </comment>
    <comment ref="B1" authorId="0">
      <text>
        <r>
          <rPr>
            <sz val="10"/>
            <color theme="1"/>
            <rFont val="Calibri"/>
            <family val="2"/>
          </rPr>
          <t xml:space="preserve">The segment's English name. Must match the Stages tab's % column names and the Cards tab's Target segment words.</t>
        </r>
      </text>
    </comment>
    <comment ref="C1" authorId="0">
      <text>
        <r>
          <rPr>
            <sz val="10"/>
            <color theme="1"/>
            <rFont val="Calibri"/>
            <family val="2"/>
          </rPr>
          <t xml:space="preserve">The segment's Japanese name, for a small accent beside the English. Optional.</t>
        </r>
      </text>
    </comment>
    <comment ref="D1" authorId="0">
      <text>
        <r>
          <rPr>
            <sz val="10"/>
            <color theme="1"/>
            <rFont val="Calibri"/>
            <family val="2"/>
          </rPr>
          <t xml:space="preserve">Romanised reading of the Japanese name. Reference only; not read by the game today.</t>
        </r>
      </text>
    </comment>
    <comment ref="E1" authorId="0">
      <text>
        <r>
          <rPr>
            <sz val="10"/>
            <color theme="1"/>
            <rFont val="Calibri"/>
            <family val="2"/>
          </rPr>
          <t xml:space="preserve">Who this segment is, in a sentence. Reference for you; no rule reads it.</t>
        </r>
      </text>
    </comment>
    <comment ref="F1" authorId="0">
      <text>
        <r>
          <rPr>
            <sz val="10"/>
            <color theme="1"/>
            <rFont val="Calibri"/>
            <family val="2"/>
          </rPr>
          <t xml:space="preserve">Starting sentiment of this segment toward the player for a new run, a whole number 0-100 (not a fraction). Staff and shop rewards move it from there. Blank = 50.</t>
        </r>
      </text>
    </comment>
  </commentList>
</comments>
</file>

<file path=xl/comments17.xml><?xml version="1.0" encoding="utf-8"?>
<comments xmlns="http://schemas.openxmlformats.org/spreadsheetml/2006/main">
  <authors>
    <author>Claude</author>
  </authors>
  <commentList>
    <comment ref="A1" authorId="0">
      <text>
        <r>
          <rPr>
            <sz val="10"/>
            <color theme="1"/>
            <rFont val="Calibri"/>
            <family val="2"/>
          </rPr>
          <t xml:space="preserve">Unique ID for the item, SH followed by digits (SH01, SH02...). Other tabs and save files refer to the item by this, so renaming one breaks owned items.</t>
        </r>
      </text>
    </comment>
    <comment ref="B1" authorId="0">
      <text>
        <r>
          <rPr>
            <sz val="10"/>
            <color theme="1"/>
            <rFont val="Calibri"/>
            <family val="2"/>
          </rPr>
          <t xml:space="preserve">The item's name as shown in the Marketplace, Rhetoric Training and inventory.</t>
        </r>
      </text>
    </comment>
    <comment ref="C1" authorId="0">
      <text>
        <r>
          <rPr>
            <sz val="10"/>
            <color theme="1"/>
            <rFont val="Calibri"/>
            <family val="2"/>
          </rPr>
          <t xml:space="preserve">Display-only text shown under the item in the Marketplace and inventory. The game never reads numbers from it; what the item actually does comes from Grants and the columns to its right.</t>
        </r>
      </text>
    </comment>
    <comment ref="D1" authorId="0">
      <text>
        <r>
          <rPr>
            <sz val="10"/>
            <color theme="1"/>
            <rFont val="Calibri"/>
            <family val="2"/>
          </rPr>
          <t xml:space="preserve">XP the player pays to buy it. Whole number; 0 or blank means no XP cost. An item can charge XP, Funds, or both.</t>
        </r>
      </text>
    </comment>
    <comment ref="E1" authorId="0">
      <text>
        <r>
          <rPr>
            <sz val="10"/>
            <color theme="1"/>
            <rFont val="Calibri"/>
            <family val="2"/>
          </rPr>
          <t xml:space="preserve">Funds (Yen) the player pays to buy it. Whole number; 0 or blank means no Funds cost.</t>
        </r>
      </text>
    </comment>
    <comment ref="F1" authorId="0">
      <text>
        <r>
          <rPr>
            <sz val="10"/>
            <color theme="1"/>
            <rFont val="Calibri"/>
            <family val="2"/>
          </rPr>
          <t xml:space="preserve">Free-text note describing an extra condition or staff bonus, or N/A. Not read by the game; the real staff bonus comes from the Bonus 1-3 Role/Min Tier/Amount columns.</t>
        </r>
      </text>
    </comment>
    <comment ref="G1" authorId="0">
      <text>
        <r>
          <rPr>
            <sz val="10"/>
            <color theme="1"/>
            <rFont val="Calibri"/>
            <family val="2"/>
          </rPr>
          <t xml:space="preserve">Second free-text condition note, or N/A. Not read by the game; the working staff bonus lives in the Bonus 1-3 columns.</t>
        </r>
      </text>
    </comment>
    <comment ref="H1" authorId="0">
      <text>
        <r>
          <rPr>
            <sz val="10"/>
            <color theme="1"/>
            <rFont val="Calibri"/>
            <family val="2"/>
          </rPr>
          <t xml:space="preserve">What using the item does. Targets: BOxx standing, SGxx sentiment, Mxx modifier, TIER:Party/TIER:Constituency/TIER:National (any booster of that tier), or ENERGY, GUARD, DRAW, TURNS, GAFFE_CAP (stage boosts). Write e.g. "BO05 +1; M12; BO01|BO02 +1-6" (| = random pool, +1-6 rolled). Blank = no effect.</t>
        </r>
      </text>
    </comment>
    <comment ref="I1" authorId="0">
      <text>
        <r>
          <rPr>
            <sz val="10"/>
            <color theme="1"/>
            <rFont val="Calibri"/>
            <family val="2"/>
          </rPr>
          <t xml:space="preserve">File name of the item's picture in assets/icons/, without .png (e.g. coffee). Blank falls back to the Item ID; a missing file shows a labelled placeholder.</t>
        </r>
      </text>
    </comment>
    <comment ref="J1" authorId="0">
      <text>
        <r>
          <rPr>
            <sz val="10"/>
            <color theme="1"/>
            <rFont val="Calibri"/>
            <family val="2"/>
          </rPr>
          <t xml:space="preserve">Yes or No: whether the Use button works for this item in the Office. Blank counts as No.</t>
        </r>
      </text>
    </comment>
    <comment ref="K1" authorId="0">
      <text>
        <r>
          <rPr>
            <sz val="10"/>
            <color theme="1"/>
            <rFont val="Calibri"/>
            <family val="2"/>
          </rPr>
          <t xml:space="preserve">Yes or No: whether the item can be used during a battle from the in-stage Inventory. Blank counts as No.</t>
        </r>
      </text>
    </comment>
    <comment ref="L1" authorId="0">
      <text>
        <r>
          <rPr>
            <sz val="10"/>
            <color theme="1"/>
            <rFont val="Calibri"/>
            <family val="2"/>
          </rPr>
          <t xml:space="preserve">Stage or Level: how long a stage boost (ENERGY, GUARD, DRAW, TURNS, GAFFE_CAP) lasts once used. Blank means one stage. Level means every stage of the current level.</t>
        </r>
      </text>
    </comment>
    <comment ref="M1" authorId="0">
      <text>
        <r>
          <rPr>
            <sz val="10"/>
            <color theme="1"/>
            <rFont val="Calibri"/>
            <family val="2"/>
          </rPr>
          <t xml:space="preserve">How many of this item may be used in a single battle turn. Whole number; blank means 1.</t>
        </r>
      </text>
    </comment>
    <comment ref="N1" authorId="0">
      <text>
        <r>
          <rPr>
            <sz val="10"/>
            <color theme="1"/>
            <rFont val="Calibri"/>
            <family val="2"/>
          </rPr>
          <t xml:space="preserve">Most of this item the player may hold at once. Blank uses rules.json's default_consumable_stack_cap (5) for any item usable in the Office or a stage; otherwise blank means no cap.</t>
        </r>
      </text>
    </comment>
    <comment ref="O1" authorId="0">
      <text>
        <r>
          <rPr>
            <sz val="10"/>
            <color theme="1"/>
            <rFont val="Calibri"/>
            <family val="2"/>
          </rPr>
          <t xml:space="preserve">Most of this item that may be bought per level. Blank means no limit. The count resets when a level ends, win or loss.</t>
        </r>
      </text>
    </comment>
    <comment ref="P1" authorId="0">
      <text>
        <r>
          <rPr>
            <sz val="10"/>
            <color theme="1"/>
            <rFont val="Calibri"/>
            <family val="2"/>
          </rPr>
          <t xml:space="preserve">Yes means using the item asks the player which booster in its Grants pool or tier gets the effect; blank/No means one is picked at random. Yes needs a pool or TIER: target in Grants.</t>
        </r>
      </text>
    </comment>
    <comment ref="Q1" authorId="0">
      <text>
        <r>
          <rPr>
            <sz val="10"/>
            <color theme="1"/>
            <rFont val="Calibri"/>
            <family val="2"/>
          </rPr>
          <t xml:space="preserve">A staff role (Policy Research Assistant, Media Spokesperson or District Representative) whose hire adds an extra amount to this item's Grants effect. Blank means this bonus row is unused.</t>
        </r>
      </text>
    </comment>
    <comment ref="R1" authorId="0">
      <text>
        <r>
          <rPr>
            <sz val="10"/>
            <color theme="1"/>
            <rFont val="Calibri"/>
            <family val="2"/>
          </rPr>
          <t xml:space="preserve">The tier (0, 1 or 2) the Bonus 1 staff member must be at, or above, for the bonus to apply.</t>
        </r>
      </text>
    </comment>
    <comment ref="S1" authorId="0">
      <text>
        <r>
          <rPr>
            <sz val="10"/>
            <color theme="1"/>
            <rFont val="Calibri"/>
            <family val="2"/>
          </rPr>
          <t xml:space="preserve">Extra amount added to the Grants delta when the Bonus 1 condition is met. Each bonus row adds on top of lower rows already counted, not a running total.</t>
        </r>
      </text>
    </comment>
    <comment ref="T1" authorId="0">
      <text>
        <r>
          <rPr>
            <sz val="10"/>
            <color theme="1"/>
            <rFont val="Calibri"/>
            <family val="2"/>
          </rPr>
          <t xml:space="preserve">Second staff role bonus row (same three role names as Bonus 1). Blank means unused.</t>
        </r>
      </text>
    </comment>
    <comment ref="U1" authorId="0">
      <text>
        <r>
          <rPr>
            <sz val="10"/>
            <color theme="1"/>
            <rFont val="Calibri"/>
            <family val="2"/>
          </rPr>
          <t xml:space="preserve">Tier (0, 1 or 2) the Bonus 2 staff member must have reached.</t>
        </r>
      </text>
    </comment>
    <comment ref="V1" authorId="0">
      <text>
        <r>
          <rPr>
            <sz val="10"/>
            <color theme="1"/>
            <rFont val="Calibri"/>
            <family val="2"/>
          </rPr>
          <t xml:space="preserve">Extra amount added on top of Bonus 1 when the Bonus 2 condition is met (not a total).</t>
        </r>
      </text>
    </comment>
    <comment ref="W1" authorId="0">
      <text>
        <r>
          <rPr>
            <sz val="10"/>
            <color theme="1"/>
            <rFont val="Calibri"/>
            <family val="2"/>
          </rPr>
          <t xml:space="preserve">Third staff role bonus row. Blank (as on every row today) means unused.</t>
        </r>
      </text>
    </comment>
    <comment ref="X1" authorId="0">
      <text>
        <r>
          <rPr>
            <sz val="10"/>
            <color theme="1"/>
            <rFont val="Calibri"/>
            <family val="2"/>
          </rPr>
          <t xml:space="preserve">Tier (0, 1 or 2) the Bonus 3 staff member must have reached.</t>
        </r>
      </text>
    </comment>
    <comment ref="Y1" authorId="0">
      <text>
        <r>
          <rPr>
            <sz val="10"/>
            <color theme="1"/>
            <rFont val="Calibri"/>
            <family val="2"/>
          </rPr>
          <t xml:space="preserve">Extra amount added on top of Bonuses 1 and 2 when the Bonus 3 condition is met.</t>
        </r>
      </text>
    </comment>
    <comment ref="Z1" authorId="0">
      <text>
        <r>
          <rPr>
            <sz val="10"/>
            <color theme="1"/>
            <rFont val="Calibri"/>
            <family val="2"/>
          </rPr>
          <t xml:space="preserve">1, 2 or 3 makes this a Rhetoric Training session: it shows random unowned cards of that tier and the player learns one. Blank on every other item.</t>
        </r>
      </text>
    </comment>
    <comment ref="AA1" authorId="0">
      <text>
        <r>
          <rPr>
            <sz val="10"/>
            <color theme="1"/>
            <rFont val="Calibri"/>
            <family val="2"/>
          </rPr>
          <t xml:space="preserve">A level tier number: buying unlocks one random not-yet-unlocked level of that tier. Blank means the item does not unlock levels (no row uses it today).</t>
        </r>
      </text>
    </comment>
    <comment ref="AB1" authorId="0">
      <text>
        <r>
          <rPr>
            <sz val="10"/>
            <color theme="1"/>
            <rFont val="Calibri"/>
            <family val="2"/>
          </rPr>
          <t xml:space="preserve">Yes means each purchase raises the staff recruitment tier by 1, letting the player hire candidates whose highest tier is up to that number. Blank means no.</t>
        </r>
      </text>
    </comment>
    <comment ref="AC1" authorId="0">
      <text>
        <r>
          <rPr>
            <sz val="10"/>
            <color theme="1"/>
            <rFont val="Calibri"/>
            <family val="2"/>
          </rPr>
          <t xml:space="preserve">Yen added to the player's Funds cap per purchase (e.g. 100000). The cap starts at rules.json's funds_starting_cap and can never pass the Sanban tab's Funds max. Blank means none.</t>
        </r>
      </text>
    </comment>
  </commentList>
</comments>
</file>

<file path=xl/comments18.xml><?xml version="1.0" encoding="utf-8"?>
<comments xmlns="http://schemas.openxmlformats.org/spreadsheetml/2006/main">
  <authors>
    <author>Claude</author>
  </authors>
  <commentList>
    <comment ref="A1" authorId="0">
      <text>
        <r>
          <rPr>
            <sz val="10"/>
            <color theme="1"/>
            <rFont val="Calibri"/>
            <family val="2"/>
          </rPr>
          <t xml:space="preserve">Unique ID for this staff candidate, SF followed by digits. Several candidates share each role.</t>
        </r>
      </text>
    </comment>
    <comment ref="B1" authorId="0">
      <text>
        <r>
          <rPr>
            <sz val="10"/>
            <color theme="1"/>
            <rFont val="Calibri"/>
            <family val="2"/>
          </rPr>
          <t xml:space="preserve">Which job they fill: Policy Research Assistant, Media Spokesperson or District Representative. One person per role can be hired at a time; the code matches these exact names.</t>
        </r>
      </text>
    </comment>
    <comment ref="C1" authorId="0">
      <text>
        <r>
          <rPr>
            <sz val="10"/>
            <color theme="1"/>
            <rFont val="Calibri"/>
            <family val="2"/>
          </rPr>
          <t xml:space="preserve">The candidate's name, shown in Staff and on cue screens. Blank falls back to data/staff_names.json.</t>
        </r>
      </text>
    </comment>
    <comment ref="D1" authorId="0">
      <text>
        <r>
          <rPr>
            <sz val="10"/>
            <color theme="1"/>
            <rFont val="Calibri"/>
            <family val="2"/>
          </rPr>
          <t xml:space="preserve">M or F. Not exported or read by the game; reference only.</t>
        </r>
      </text>
    </comment>
    <comment ref="E1" authorId="0">
      <text>
        <r>
          <rPr>
            <sz val="10"/>
            <color theme="1"/>
            <rFont val="Calibri"/>
            <family val="2"/>
          </rPr>
          <t xml:space="preserve">Tier (0, 1 or 2) the person arrives at when hired; that tier's reward is given on hiring.</t>
        </r>
      </text>
    </comment>
    <comment ref="F1" authorId="0">
      <text>
        <r>
          <rPr>
            <sz val="10"/>
            <color theme="1"/>
            <rFont val="Calibri"/>
            <family val="2"/>
          </rPr>
          <t xml:space="preserve">Top tier (0-2) they can be upgraded to. Also the hiring gate: a candidate is hireable only once the recruitment tier (raised by the Shop's Unlocks Recruitment Tier item) reaches this number.</t>
        </r>
      </text>
    </comment>
    <comment ref="G1" authorId="0">
      <text>
        <r>
          <rPr>
            <sz val="10"/>
            <color theme="1"/>
            <rFont val="Calibri"/>
            <family val="2"/>
          </rPr>
          <t xml:space="preserve">Yen paid once to hire them.</t>
        </r>
      </text>
    </comment>
    <comment ref="H1" authorId="0">
      <text>
        <r>
          <rPr>
            <sz val="10"/>
            <color theme="1"/>
            <rFont val="Calibri"/>
            <family val="2"/>
          </rPr>
          <t xml:space="preserve">Yen to upgrade from Tier 0 to 1. N/A or blank when that step does not apply (shown as upgrade cost not set).</t>
        </r>
      </text>
    </comment>
    <comment ref="I1" authorId="0">
      <text>
        <r>
          <rPr>
            <sz val="10"/>
            <color theme="1"/>
            <rFont val="Calibri"/>
            <family val="2"/>
          </rPr>
          <t xml:space="preserve">Yen to upgrade from Tier 1 to 2. N/A or blank when that step does not apply.</t>
        </r>
      </text>
    </comment>
    <comment ref="J1" authorId="0">
      <text>
        <r>
          <rPr>
            <sz val="10"/>
            <color theme="1"/>
            <rFont val="Calibri"/>
            <family val="2"/>
          </rPr>
          <t xml:space="preserve">Given once when this person reaches Tier 0 (on hiring if they start there). Format "+2 for BO05; +2 for SG01": a standing change for a BOxx booster or sentiment change for an SGxx segment. N/A = nothing.</t>
        </r>
      </text>
    </comment>
    <comment ref="K1" authorId="0">
      <text>
        <r>
          <rPr>
            <sz val="10"/>
            <color theme="1"/>
            <rFont val="Calibri"/>
            <family val="2"/>
          </rPr>
          <t xml:space="preserve">Given once on reaching Tier 1 (hire or upgrade). Same "+N for BOxx; +N for SGxx" format; N/A = nothing.</t>
        </r>
      </text>
    </comment>
    <comment ref="L1" authorId="0">
      <text>
        <r>
          <rPr>
            <sz val="10"/>
            <color theme="1"/>
            <rFont val="Calibri"/>
            <family val="2"/>
          </rPr>
          <t xml:space="preserve">Given once on reaching Tier 2. Same "+N for BOxx; +N for SGxx" format; N/A = nothing.</t>
        </r>
      </text>
    </comment>
    <comment ref="M1" authorId="0">
      <text>
        <r>
          <rPr>
            <sz val="10"/>
            <color theme="1"/>
            <rFont val="Calibri"/>
            <family val="2"/>
          </rPr>
          <t xml:space="preserve">Severance in Yen paid to fire this person; shown in the warning before firing.</t>
        </r>
      </text>
    </comment>
  </commentList>
</comments>
</file>

<file path=xl/comments19.xml><?xml version="1.0" encoding="utf-8"?>
<comments xmlns="http://schemas.openxmlformats.org/spreadsheetml/2006/main">
  <authors>
    <author>Claude</author>
  </authors>
  <commentList>
    <comment ref="A1" authorId="0">
      <text>
        <r>
          <rPr>
            <sz val="10"/>
            <color theme="1"/>
            <rFont val="Calibri"/>
            <family val="2"/>
          </rPr>
          <t xml:space="preserve">Unique ID, OP followed by digits. Used by art files (OPxx_expression.png), cues, party leaders and question askers.</t>
        </r>
      </text>
    </comment>
    <comment ref="B1" authorId="0">
      <text>
        <r>
          <rPr>
            <sz val="10"/>
            <color theme="1"/>
            <rFont val="Calibri"/>
            <family val="2"/>
          </rPr>
          <t xml:space="preserve">Full name shown in battle. An opponent whose name matches the current protagonist is never drawn.</t>
        </r>
      </text>
    </comment>
    <comment ref="C1" authorId="0">
      <text>
        <r>
          <rPr>
            <sz val="10"/>
            <color theme="1"/>
            <rFont val="Calibri"/>
            <family val="2"/>
          </rPr>
          <t xml:space="preserve">A formal post shown instead of Role, e.g. a minister or party leader. N/A or blank = use Role. Several posts are joined with "; ", but only the first is displayed.</t>
        </r>
      </text>
    </comment>
    <comment ref="D1" authorId="0">
      <text>
        <r>
          <rPr>
            <sz val="10"/>
            <color theme="1"/>
            <rFont val="Calibri"/>
            <family val="2"/>
          </rPr>
          <t xml:space="preserve">M or F. Exported but not used by the game today.</t>
        </r>
      </text>
    </comment>
    <comment ref="E1" authorId="0">
      <text>
        <r>
          <rPr>
            <sz val="10"/>
            <color theme="1"/>
            <rFont val="Calibri"/>
            <family val="2"/>
          </rPr>
          <t xml:space="preserve">Party name, matching a Parties tab name exactly, shown with the party colour. N/A for non-party people.</t>
        </r>
      </text>
    </comment>
    <comment ref="F1" authorId="0">
      <text>
        <r>
          <rPr>
            <sz val="10"/>
            <color theme="1"/>
            <rFont val="Calibri"/>
            <family val="2"/>
          </rPr>
          <t xml:space="preserve">Short party code (FP, KJT...). Exported but not used by the game today.</t>
        </r>
      </text>
    </comment>
    <comment ref="G1" authorId="0">
      <text>
        <r>
          <rPr>
            <sz val="10"/>
            <color theme="1"/>
            <rFont val="Calibri"/>
            <family val="2"/>
          </rPr>
          <t xml:space="preserve">A BOxx from the Boosters tab: the organisation they belong to. Arguing this opponent's support to zero lowers that organisation's standing.</t>
        </r>
      </text>
    </comment>
    <comment ref="H1" authorId="0">
      <text>
        <r>
          <rPr>
            <sz val="10"/>
            <color theme="1"/>
            <rFont val="Calibri"/>
            <family val="2"/>
          </rPr>
          <t xml:space="preserve">Their real-world job (a committee name, Journalist, Constituent, Student...), shown under the name when there is no Title.</t>
        </r>
      </text>
    </comment>
    <comment ref="I1" authorId="0">
      <text>
        <r>
          <rPr>
            <sz val="10"/>
            <color theme="1"/>
            <rFont val="Calibri"/>
            <family val="2"/>
          </rPr>
          <t xml:space="preserve">Which STxx rooms they can be drawn for, separated by "; ". Each stage's opponents and question askers are drawn at random from everyone listing it. Blank keeps them out of every pool.</t>
        </r>
      </text>
    </comment>
    <comment ref="J1" authorId="0">
      <text>
        <r>
          <rPr>
            <sz val="10"/>
            <color theme="1"/>
            <rFont val="Calibri"/>
            <family val="2"/>
          </rPr>
          <t xml:space="preserve">Their main suit (Earnest, Emotional, Appeal, Data Driven, Divisive, Duplicitous). Picks which suit's lines they speak: suit 1 about 55% of the time.</t>
        </r>
      </text>
    </comment>
    <comment ref="K1" authorId="0">
      <text>
        <r>
          <rPr>
            <sz val="10"/>
            <color theme="1"/>
            <rFont val="Calibri"/>
            <family val="2"/>
          </rPr>
          <t xml:space="preserve">Second suit, used for about 30% of their spoken lines.</t>
        </r>
      </text>
    </comment>
    <comment ref="L1" authorId="0">
      <text>
        <r>
          <rPr>
            <sz val="10"/>
            <color theme="1"/>
            <rFont val="Calibri"/>
            <family val="2"/>
          </rPr>
          <t xml:space="preserve">Third suit, used for about 10% of their lines; the other 5% come from a suit they do not have.</t>
        </r>
      </text>
    </comment>
    <comment ref="M1" authorId="0">
      <text>
        <r>
          <rPr>
            <sz val="10"/>
            <color theme="1"/>
            <rFont val="Calibri"/>
            <family val="2"/>
          </rPr>
          <t xml:space="preserve">How hard they attack per turn: "min-max" rolls between, a single number is fixed, and 0 means they never attack. Blank uses rules.json's default (1-6).</t>
        </r>
      </text>
    </comment>
    <comment ref="N1" authorId="0">
      <text>
        <r>
          <rPr>
            <sz val="10"/>
            <color theme="1"/>
            <rFont val="Calibri"/>
            <family val="2"/>
          </rPr>
          <t xml:space="preserve">How much support they gain on a gain turn: "min-max", a single number, or 0 for never. Blank uses the rules.json default.</t>
        </r>
      </text>
    </comment>
    <comment ref="O1" authorId="0">
      <text>
        <r>
          <rPr>
            <sz val="10"/>
            <color theme="1"/>
            <rFont val="Calibri"/>
            <family val="2"/>
          </rPr>
          <t xml:space="preserve">How much guard they bank on a block turn: "min-max", a single number, or 0 for never. Blank uses the rules.json default (0-2).</t>
        </r>
      </text>
    </comment>
  </commentList>
</comments>
</file>

<file path=xl/comments20.xml><?xml version="1.0" encoding="utf-8"?>
<comments xmlns="http://schemas.openxmlformats.org/spreadsheetml/2006/main">
  <authors>
    <author>Claude</author>
  </authors>
  <commentList>
    <comment ref="A1" authorId="0">
      <text>
        <r>
          <rPr>
            <sz val="10"/>
            <color theme="1"/>
            <rFont val="Calibri"/>
            <family val="2"/>
          </rPr>
          <t xml:space="preserve">The meta-variable's name: Constituency support, Reputation, Funds, Party support. These four names are also lookup keys the code uses, so renaming one here alone is an export error.</t>
        </r>
      </text>
    </comment>
    <comment ref="B1" authorId="0">
      <text>
        <r>
          <rPr>
            <sz val="10"/>
            <color theme="1"/>
            <rFont val="Calibri"/>
            <family val="2"/>
          </rPr>
          <t xml:space="preserve">The variable's Japanese name (Jiban, Chimeido...), for a small accent beside the English.</t>
        </r>
      </text>
    </comment>
    <comment ref="C1" authorId="0">
      <text>
        <r>
          <rPr>
            <sz val="10"/>
            <color theme="1"/>
            <rFont val="Calibri"/>
            <family val="2"/>
          </rPr>
          <t xml:space="preserve">Romanised reading of the Japanese name. Reference only; not read by the game today.</t>
        </r>
      </text>
    </comment>
    <comment ref="D1" authorId="0">
      <text>
        <r>
          <rPr>
            <sz val="10"/>
            <color theme="1"/>
            <rFont val="Calibri"/>
            <family val="2"/>
          </rPr>
          <t xml:space="preserve">Default value at a new run, used only when the chosen protagonist's own column on the Player tab is blank. May be a formula; its computed value is exported.</t>
        </r>
      </text>
    </comment>
    <comment ref="E1" authorId="0">
      <text>
        <r>
          <rPr>
            <sz val="10"/>
            <color theme="1"/>
            <rFont val="Calibri"/>
            <family val="2"/>
          </rPr>
          <t xml:space="preserve">The lowest the variable can go; every change is clamped here.</t>
        </r>
      </text>
    </comment>
    <comment ref="F1" authorId="0">
      <text>
        <r>
          <rPr>
            <sz val="10"/>
            <color theme="1"/>
            <rFont val="Calibri"/>
            <family val="2"/>
          </rPr>
          <t xml:space="preserve">The highest the variable can go. For Funds this is the hard ceiling; the real starting cap is rules.json funds_starting_cap, raised by the Funds-cap shop item up to this max.</t>
        </r>
      </text>
    </comment>
    <comment ref="G1" authorId="0">
      <text>
        <r>
          <rPr>
            <sz val="10"/>
            <color theme="1"/>
            <rFont val="Calibri"/>
            <family val="2"/>
          </rPr>
          <t xml:space="preserve">The low warning line. Only Reputation's is read today: at or below it, a press-type stage that Reputation affects starts 5 lower.</t>
        </r>
      </text>
    </comment>
    <comment ref="H1" authorId="0">
      <text>
        <r>
          <rPr>
            <sz val="10"/>
            <color theme="1"/>
            <rFont val="Calibri"/>
            <family val="2"/>
          </rPr>
          <t xml:space="preserve">Your note on what happens below the low threshold. Display text only; not read by the game.</t>
        </r>
      </text>
    </comment>
    <comment ref="I1" authorId="0">
      <text>
        <r>
          <rPr>
            <sz val="10"/>
            <color theme="1"/>
            <rFont val="Calibri"/>
            <family val="2"/>
          </rPr>
          <t xml:space="preserve">The high line. Only Reputation's is read today: at or above it, a press-type stage that Reputation affects starts 5 higher.</t>
        </r>
      </text>
    </comment>
    <comment ref="J1" authorId="0">
      <text>
        <r>
          <rPr>
            <sz val="10"/>
            <color theme="1"/>
            <rFont val="Calibri"/>
            <family val="2"/>
          </rPr>
          <t xml:space="preserve">Your note on what happens above the high threshold. Display text only; not read by the game.</t>
        </r>
      </text>
    </comment>
  </commentList>
</comments>
</file>

<file path=xl/comments21.xml><?xml version="1.0" encoding="utf-8"?>
<comments xmlns="http://schemas.openxmlformats.org/spreadsheetml/2006/main">
  <authors>
    <author>Claude</author>
  </authors>
  <commentList>
    <comment ref="A1" authorId="0">
      <text>
        <r>
          <rPr>
            <sz val="10"/>
            <color theme="1"/>
            <rFont val="Calibri"/>
            <family val="2"/>
          </rPr>
          <t xml:space="preserve">The name the code asks for, e.g. outcome.carried. Never rename it: a key the code asks for that this tab lacks is an export error naming the file and line. Keys ending .one/.other are the singular and plural forms of one line; the game picks the right one by count.</t>
        </r>
      </text>
    </comment>
    <comment ref="B1" authorId="0">
      <text>
        <r>
          <rPr>
            <sz val="10"/>
            <color theme="1"/>
            <rFont val="Calibri"/>
            <family val="2"/>
          </rPr>
          <t xml:space="preserve">Which screen or moment this line appears on. For your own finding and sorting only; the game exports it but never reads it.</t>
        </r>
      </text>
    </comment>
    <comment ref="C1" authorId="0">
      <text>
        <r>
          <rPr>
            <sz val="10"/>
            <color theme="1"/>
            <rFont val="Calibri"/>
            <family val="2"/>
          </rPr>
          <t xml:space="preserve">The words the player sees. This is the column to edit freely. Keep every {placeholder} listed in the Placeholders column; you may move them and write around them, but do not invent new ones.</t>
        </r>
      </text>
    </comment>
    <comment ref="D1" authorId="0">
      <text>
        <r>
          <rPr>
            <sz val="10"/>
            <color theme="1"/>
            <rFont val="Calibri"/>
            <family val="2"/>
          </rPr>
          <t xml:space="preserve">Which {things} the game fills into this line, e.g. turn, total, count, names. Reference only: a {word} not listed here is never filled and shows on screen exactly as typed. Blank = the line takes no placeholders.</t>
        </r>
      </text>
    </comment>
    <comment ref="E1" authorId="0">
      <text>
        <r>
          <rPr>
            <sz val="10"/>
            <color theme="1"/>
            <rFont val="Calibri"/>
            <family val="2"/>
          </rPr>
          <t xml:space="preserve">Anything worth knowing about this line, such as when it shows or what it replaces. Your own reference; the game ignores it.</t>
        </r>
      </text>
    </comment>
  </commentList>
</comments>
</file>

<file path=xl/comments22.xml><?xml version="1.0" encoding="utf-8"?>
<comments xmlns="http://schemas.openxmlformats.org/spreadsheetml/2006/main">
  <authors>
    <author>Claude</author>
  </authors>
  <commentList>
    <comment ref="A1" authorId="0">
      <text>
        <r>
          <rPr>
            <sz val="10"/>
            <color theme="1"/>
            <rFont val="Calibri"/>
            <family val="2"/>
          </rPr>
          <t xml:space="preserve">Which card these lines belong to (C01, C02...), joined to the Cards tab. One row per card.</t>
        </r>
      </text>
    </comment>
    <comment ref="B1" authorId="0">
      <text>
        <r>
          <rPr>
            <sz val="10"/>
            <color theme="1"/>
            <rFont val="Calibri"/>
            <family val="2"/>
          </rPr>
          <t xml:space="preserve">A copy of the card's name from the Cards tab, for reference while writing. Not exported; edit the name in Cards instead.</t>
        </r>
      </text>
    </comment>
    <comment ref="C1" authorId="0">
      <text>
        <r>
          <rPr>
            <sz val="10"/>
            <color theme="1"/>
            <rFont val="Calibri"/>
            <family val="2"/>
          </rPr>
          <t xml:space="preserve">A copy of the card's suit from the Cards tab, for reference. Not exported; the game reads the suit from Cards.</t>
        </r>
      </text>
    </comment>
    <comment ref="D1" authorId="0">
      <text>
        <r>
          <rPr>
            <sz val="10"/>
            <color theme="1"/>
            <rFont val="Calibri"/>
            <family val="2"/>
          </rPr>
          <t xml:space="preserve">One of up to five lines the player says aloud when this card is played; one is picked at random. Used only when no Player Cues row fits the suit, verb and stage. Blank is fine; a card with no lines says nothing. Aim for under ten words.</t>
        </r>
      </text>
    </comment>
    <comment ref="E1" authorId="0">
      <text>
        <r>
          <rPr>
            <sz val="10"/>
            <color theme="1"/>
            <rFont val="Calibri"/>
            <family val="2"/>
          </rPr>
          <t xml:space="preserve">Second of up to five spoken lines for this card, picked at random alongside the others. Fallback after Player Cues. Blank = fewer lines to choose from.</t>
        </r>
      </text>
    </comment>
    <comment ref="F1" authorId="0">
      <text>
        <r>
          <rPr>
            <sz val="10"/>
            <color theme="1"/>
            <rFont val="Calibri"/>
            <family val="2"/>
          </rPr>
          <t xml:space="preserve">Third of up to five spoken lines for this card, picked at random alongside the others. Fallback after Player Cues. Blank = fewer lines to choose from.</t>
        </r>
      </text>
    </comment>
    <comment ref="G1" authorId="0">
      <text>
        <r>
          <rPr>
            <sz val="10"/>
            <color theme="1"/>
            <rFont val="Calibri"/>
            <family val="2"/>
          </rPr>
          <t xml:space="preserve">Fourth of up to five spoken lines for this card, picked at random alongside the others. Fallback after Player Cues. Blank = fewer lines to choose from.</t>
        </r>
      </text>
    </comment>
    <comment ref="H1" authorId="0">
      <text>
        <r>
          <rPr>
            <sz val="10"/>
            <color theme="1"/>
            <rFont val="Calibri"/>
            <family val="2"/>
          </rPr>
          <t xml:space="preserve">Fifth of up to five spoken lines for this card, picked at random alongside the others. Fallback after Player Cues. Blank = fewer lines to choose from.</t>
        </r>
      </text>
    </comment>
    <comment ref="I1" authorId="0">
      <text>
        <r>
          <rPr>
            <sz val="10"/>
            <color theme="1"/>
            <rFont val="Calibri"/>
            <family val="2"/>
          </rPr>
          <t xml:space="preserve">Formula: word count of Cue 1. Your own length check; not exported and the game ignores it.</t>
        </r>
      </text>
    </comment>
    <comment ref="J1" authorId="0">
      <text>
        <r>
          <rPr>
            <sz val="10"/>
            <color theme="1"/>
            <rFont val="Calibri"/>
            <family val="2"/>
          </rPr>
          <t xml:space="preserve">Formula: word count of Cue 2. Your own length check; not exported and the game ignores it.</t>
        </r>
      </text>
    </comment>
    <comment ref="K1" authorId="0">
      <text>
        <r>
          <rPr>
            <sz val="10"/>
            <color theme="1"/>
            <rFont val="Calibri"/>
            <family val="2"/>
          </rPr>
          <t xml:space="preserve">Formula: word count of Cue 3. Your own length check; not exported and the game ignores it.</t>
        </r>
      </text>
    </comment>
    <comment ref="L1" authorId="0">
      <text>
        <r>
          <rPr>
            <sz val="10"/>
            <color theme="1"/>
            <rFont val="Calibri"/>
            <family val="2"/>
          </rPr>
          <t xml:space="preserve">Formula: word count of Cue 4. Your own length check; not exported and the game ignores it.</t>
        </r>
      </text>
    </comment>
    <comment ref="M1" authorId="0">
      <text>
        <r>
          <rPr>
            <sz val="10"/>
            <color theme="1"/>
            <rFont val="Calibri"/>
            <family val="2"/>
          </rPr>
          <t xml:space="preserve">Formula: word count of Cue 5. Your own length check; not exported and the game ignores it.</t>
        </r>
      </text>
    </comment>
    <comment ref="N1" authorId="0">
      <text>
        <r>
          <rPr>
            <sz val="10"/>
            <color theme="1"/>
            <rFont val="Calibri"/>
            <family val="2"/>
          </rPr>
          <t xml:space="preserve">Formula: the longest of the five cues in words; turns red at ten. Your own check only. Not exported, and no test enforces a limit any more.</t>
        </r>
      </text>
    </comment>
  </commentList>
</comments>
</file>

<file path=xl/comments23.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(Q01, Q02...). Used to tell questions apart; keep it unique.</t>
        </r>
      </text>
    </comment>
    <comment ref="B1" authorId="0">
      <text>
        <r>
          <rPr>
            <sz val="10"/>
            <color theme="1"/>
            <rFont val="Calibri"/>
            <family val="2"/>
          </rPr>
          <t xml:space="preserve">The question asked in the press conference (ST04),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press conference (ST04) question. Must match a Question Themes row exactly, including capitals; no match means a strong answer pleases nobody.</t>
        </r>
      </text>
    </comment>
    <comment ref="D1" authorId="0">
      <text>
        <r>
          <rPr>
            <sz val="10"/>
            <color theme="1"/>
            <rFont val="Calibri"/>
            <family val="2"/>
          </rPr>
          <t xml:space="preserve">How well a Earnest card answers this press conference (ST04)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press conference (ST04)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press conference (ST04)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press conference (ST04)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press conference (ST04)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press conference (ST04)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4.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(T01, T02...). Used to tell questions apart; keep it unique.</t>
        </r>
      </text>
    </comment>
    <comment ref="B1" authorId="0">
      <text>
        <r>
          <rPr>
            <sz val="10"/>
            <color theme="1"/>
            <rFont val="Calibri"/>
            <family val="2"/>
          </rPr>
          <t xml:space="preserve">The question asked in the Town Hall (ST05),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Town Hall (ST05) question. Must match a Question Themes row exactly, including capitals; no match means a strong answer pleases nobody.</t>
        </r>
      </text>
    </comment>
    <comment ref="D1" authorId="0">
      <text>
        <r>
          <rPr>
            <sz val="10"/>
            <color theme="1"/>
            <rFont val="Calibri"/>
            <family val="2"/>
          </rPr>
          <t xml:space="preserve">How well a Earnest card answers this Town Hall (ST05)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Town Hall (ST05)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Town Hall (ST05)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Town Hall (ST05)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Town Hall (ST05)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Town Hall (ST05)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5.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(L01, L02...). Used to tell questions apart; keep it unique.</t>
        </r>
      </text>
    </comment>
    <comment ref="B1" authorId="0">
      <text>
        <r>
          <rPr>
            <sz val="10"/>
            <color theme="1"/>
            <rFont val="Calibri"/>
            <family val="2"/>
          </rPr>
          <t xml:space="preserve">The question asked in the Lobbyist Meeting (ST20),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Lobbyist Meeting (ST20) question. Must match a Question Themes row exactly, including capitals; no match means a strong answer pleases nobody.</t>
        </r>
      </text>
    </comment>
    <comment ref="D1" authorId="0">
      <text>
        <r>
          <rPr>
            <sz val="10"/>
            <color theme="1"/>
            <rFont val="Calibri"/>
            <family val="2"/>
          </rPr>
          <t xml:space="preserve">How well a Earnest card answers this Lobbyist Meeting (ST20)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Lobbyist Meeting (ST20)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Lobbyist Meeting (ST20)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Lobbyist Meeting (ST20)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Lobbyist Meeting (ST20)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Lobbyist Meeting (ST20)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6.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(B01, B02...). Used to tell questions apart; keep it unique.</t>
        </r>
      </text>
    </comment>
    <comment ref="B1" authorId="0">
      <text>
        <r>
          <rPr>
            <sz val="10"/>
            <color theme="1"/>
            <rFont val="Calibri"/>
            <family val="2"/>
          </rPr>
          <t xml:space="preserve">The question asked in the Policy Study Session (ST21),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Policy Study Session (ST21) question. Must match a Question Themes row exactly, including capitals; no match means a strong answer pleases nobody.</t>
        </r>
      </text>
    </comment>
    <comment ref="D1" authorId="0">
      <text>
        <r>
          <rPr>
            <sz val="10"/>
            <color theme="1"/>
            <rFont val="Calibri"/>
            <family val="2"/>
          </rPr>
          <t xml:space="preserve">How well a Earnest card answers this Policy Study Session (ST21)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Policy Study Session (ST21)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Policy Study Session (ST21)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Policy Study Session (ST21)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Policy Study Session (ST21)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Policy Study Session (ST21)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7.xml><?xml version="1.0" encoding="utf-8"?>
<comments xmlns="http://schemas.openxmlformats.org/spreadsheetml/2006/main">
  <authors>
    <author>Claude</author>
  </authors>
  <commentList>
    <comment ref="A1" authorId="0">
      <text>
        <r>
          <rPr>
            <sz val="10"/>
            <color theme="1"/>
            <rFont val="Calibri"/>
            <family val="2"/>
          </rPr>
          <t xml:space="preserve">This question's unique ID within the tab (A01, A02...). Used to tell questions apart; keep it unique.</t>
        </r>
      </text>
    </comment>
    <comment ref="B1" authorId="0">
      <text>
        <r>
          <rPr>
            <sz val="10"/>
            <color theme="1"/>
            <rFont val="Calibri"/>
            <family val="2"/>
          </rPr>
          <t xml:space="preserve">The question asked in the Media Ambush (ST19), one per turn, shown on the banner. Edit freely. The asker is drawn from the opponents whose Stage list names that room.</t>
        </r>
      </text>
    </comment>
    <comment ref="C1" authorId="0">
      <text>
        <r>
          <rPr>
            <sz val="10"/>
            <color theme="1"/>
            <rFont val="Calibri"/>
            <family val="2"/>
          </rPr>
          <t xml:space="preserve">Short label that decides which organisations care about this Media Ambush (ST19) question. Must match a Question Themes row exactly, including capitals; no match means a strong answer pleases nobody.</t>
        </r>
      </text>
    </comment>
    <comment ref="D1" authorId="0">
      <text>
        <r>
          <rPr>
            <sz val="10"/>
            <color theme="1"/>
            <rFont val="Calibri"/>
            <family val="2"/>
          </rPr>
          <t xml:space="preserve">How well a Earnest card answers this Media Ambush (ST19) question: S, M or W. S boosts that card's gain and opponent loss 1.3x this round and pleases the Theme's organisations; M changes nothing; W cuts it to 0.7x and annoys them. Anything else is an export error.</t>
        </r>
      </text>
    </comment>
    <comment ref="E1" authorId="0">
      <text>
        <r>
          <rPr>
            <sz val="10"/>
            <color theme="1"/>
            <rFont val="Calibri"/>
            <family val="2"/>
          </rPr>
          <t xml:space="preserve">How well a Emotional card answers this Media Ambush (ST19)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Appeal card answers this Media Ambush (ST19)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Data Driven card answers this Media Ambush (ST19)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Divisive card answers this Media Ambush (ST19)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Duplicitous card answers this Media Ambush (ST19)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28.xml><?xml version="1.0" encoding="utf-8"?>
<comments xmlns="http://schemas.openxmlformats.org/spreadsheetml/2006/main">
  <authors>
    <author>Claude</author>
  </authors>
  <commentList>
    <comment ref="A1" authorId="0">
      <text>
        <r>
          <rPr>
            <sz val="10"/>
            <color theme="1"/>
            <rFont val="Calibri"/>
            <family val="2"/>
          </rPr>
          <t xml:space="preserve">A theme label used by the question tabs. Every question whose Theme matches this text exactly (capitals count) takes this row's organisations, so changing one row changes every question with that theme.</t>
        </r>
      </text>
    </comment>
    <comment ref="B1" authorId="0">
      <text>
        <r>
          <rPr>
            <sz val="10"/>
            <color theme="1"/>
            <rFont val="Calibri"/>
            <family val="2"/>
          </rPr>
          <t xml:space="preserve">Booster IDs a Strong answer on this theme pleases, e.g. BO07 or BO07; BO28; BO30. Each gains standing (+5, capped per stage), and a Weak answer annoys the same ones slightly. IDs must exist in Boosters. Blank = a warning; such questions please nobody.</t>
        </r>
      </text>
    </comment>
    <comment ref="C1" authorId="0">
      <text>
        <r>
          <rPr>
            <sz val="10"/>
            <color theme="1"/>
            <rFont val="Calibri"/>
            <family val="2"/>
          </rPr>
          <t xml:space="preserve">Plain-English reasoning for why these organisations care about the theme. A draft for you to correct; exported for reference but the game ignores it.</t>
        </r>
      </text>
    </comment>
    <comment ref="D1" authorId="0">
      <text>
        <r>
          <rPr>
            <sz val="10"/>
            <color theme="1"/>
            <rFont val="Calibri"/>
            <family val="2"/>
          </rPr>
          <t xml:space="preserve">Optional booster IDs a Strong answer on this theme sets back (by 3), e.g. groups opposed to what the pleased ones want. Format BO05 or BO05; BO23. Weak or Medium answers do nothing to them. Nets with any please the same stage, within the per-stage cap. Blank = nobody annoyed (most rows).</t>
        </r>
      </text>
    </comment>
  </commentList>
</comments>
</file>

<file path=xl/comments29.xml><?xml version="1.0" encoding="utf-8"?>
<comments xmlns="http://schemas.openxmlformats.org/spreadsheetml/2006/main">
  <authors>
    <author>Claude</author>
  </authors>
  <commentList>
    <comment ref="A1" authorId="0">
      <text>
        <r>
          <rPr>
            <sz val="10"/>
            <color theme="1"/>
            <rFont val="Calibri"/>
            <family val="2"/>
          </rPr>
          <t xml:space="preserve">Unique ID, VI followed by digits. Linked to questions through Visitor Questions' Visitor ID; portrait is VIxx_expression.png.</t>
        </r>
      </text>
    </comment>
    <comment ref="B1" authorId="0">
      <text>
        <r>
          <rPr>
            <sz val="10"/>
            <color theme="1"/>
            <rFont val="Calibri"/>
            <family val="2"/>
          </rPr>
          <t xml:space="preserve">Visitor's name shown in Office Hours.</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Romanised reading of the Japanese name.</t>
        </r>
      </text>
    </comment>
    <comment ref="E1" authorId="0">
      <text>
        <r>
          <rPr>
            <sz val="10"/>
            <color theme="1"/>
            <rFont val="Calibri"/>
            <family val="2"/>
          </rPr>
          <t xml:space="preserve">Their job or position (e.g. Fisherman), shown under the name.</t>
        </r>
      </text>
    </comment>
    <comment ref="F1" authorId="0">
      <text>
        <r>
          <rPr>
            <sz val="10"/>
            <color theme="1"/>
            <rFont val="Calibri"/>
            <family val="2"/>
          </rPr>
          <t xml:space="preserve">Which STxx Non-combat rooms (ST07, ST22) they can be drawn for, separated by "; ". Visitors are drawn at random from everyone listing that stage.</t>
        </r>
      </text>
    </comment>
    <comment ref="G1" authorId="0">
      <text>
        <r>
          <rPr>
            <sz val="10"/>
            <color theme="1"/>
            <rFont val="Calibri"/>
            <family val="2"/>
          </rPr>
          <t xml:space="preserve">Applied on a right answer. Format "BO05 +1; M12; BO01|BO02 +1-6": BOxx standing, SGxx sentiment, Mxx modifier or SHxx item granted outright; | = random pool; +1-3 rolled. Blank = nothing.</t>
        </r>
      </text>
    </comment>
    <comment ref="H1" authorId="0">
      <text>
        <r>
          <rPr>
            <sz val="10"/>
            <color theme="1"/>
            <rFont val="Calibri"/>
            <family val="2"/>
          </rPr>
          <t xml:space="preserve">Applied on a wrong answer, same format as Reward, usually a negative booster change ("BO05 -1"). Blank = nothing.</t>
        </r>
      </text>
    </comment>
  </commentList>
</comments>
</file>

<file path=xl/comments30.xml><?xml version="1.0" encoding="utf-8"?>
<comments xmlns="http://schemas.openxmlformats.org/spreadsheetml/2006/main">
  <authors>
    <author>Claude</author>
  </authors>
  <commentList>
    <comment ref="A1" authorId="0">
      <text>
        <r>
          <rPr>
            <sz val="10"/>
            <color theme="1"/>
            <rFont val="Calibri"/>
            <family val="2"/>
          </rPr>
          <t xml:space="preserve">Unique ID, VQ followed by digits. One visitor question is drawn per visit.</t>
        </r>
      </text>
    </comment>
    <comment ref="B1" authorId="0">
      <text>
        <r>
          <rPr>
            <sz val="10"/>
            <color theme="1"/>
            <rFont val="Calibri"/>
            <family val="2"/>
          </rPr>
          <t xml:space="preserve">Which visitor(s) may ask it: a VIxx, or several separated by "; ".</t>
        </r>
      </text>
    </comment>
    <comment ref="C1" authorId="0">
      <text>
        <r>
          <rPr>
            <sz val="10"/>
            <color theme="1"/>
            <rFont val="Calibri"/>
            <family val="2"/>
          </rPr>
          <t xml:space="preserve">What the visitor says or asks, shown on the visitor screen.</t>
        </r>
      </text>
    </comment>
    <comment ref="D1" authorId="0">
      <text>
        <r>
          <rPr>
            <sz val="10"/>
            <color theme="1"/>
            <rFont val="Calibri"/>
            <family val="2"/>
          </rPr>
          <t xml:space="preserve">First answer option the player can pick.</t>
        </r>
      </text>
    </comment>
    <comment ref="E1" authorId="0">
      <text>
        <r>
          <rPr>
            <sz val="10"/>
            <color theme="1"/>
            <rFont val="Calibri"/>
            <family val="2"/>
          </rPr>
          <t xml:space="preserve">Second answer option.</t>
        </r>
      </text>
    </comment>
    <comment ref="F1" authorId="0">
      <text>
        <r>
          <rPr>
            <sz val="10"/>
            <color theme="1"/>
            <rFont val="Calibri"/>
            <family val="2"/>
          </rPr>
          <t xml:space="preserve">Third answer option.</t>
        </r>
      </text>
    </comment>
    <comment ref="G1" authorId="0">
      <text>
        <r>
          <rPr>
            <sz val="10"/>
            <color theme="1"/>
            <rFont val="Calibri"/>
            <family val="2"/>
          </rPr>
          <t xml:space="preserve">Fourth answer option.</t>
        </r>
      </text>
    </comment>
    <comment ref="H1" authorId="0">
      <text>
        <r>
          <rPr>
            <sz val="10"/>
            <color theme="1"/>
            <rFont val="Calibri"/>
            <family val="2"/>
          </rPr>
          <t xml:space="preserve">Which option is right: A, B, C or D. Right applies the visitor's Reward, anything else their Penalty.</t>
        </r>
      </text>
    </comment>
    <comment ref="I1" authorId="0">
      <text>
        <r>
          <rPr>
            <sz val="10"/>
            <color theme="1"/>
            <rFont val="Calibri"/>
            <family val="2"/>
          </rPr>
          <t xml:space="preserve">The visitor's spoken reply after a right answer.</t>
        </r>
      </text>
    </comment>
    <comment ref="J1" authorId="0">
      <text>
        <r>
          <rPr>
            <sz val="10"/>
            <color theme="1"/>
            <rFont val="Calibri"/>
            <family val="2"/>
          </rPr>
          <t xml:space="preserve">The visitor's spoken reply after a wrong answer.</t>
        </r>
      </text>
    </comment>
    <comment ref="K1" authorId="0">
      <text>
        <r>
          <rPr>
            <sz val="10"/>
            <color theme="1"/>
            <rFont val="Calibri"/>
            <family val="2"/>
          </rPr>
          <t xml:space="preserve">A short stage direction describing what the visitor does after a right answer, shown with the reply.</t>
        </r>
      </text>
    </comment>
    <comment ref="L1" authorId="0">
      <text>
        <r>
          <rPr>
            <sz val="10"/>
            <color theme="1"/>
            <rFont val="Calibri"/>
            <family val="2"/>
          </rPr>
          <t xml:space="preserve">Stage direction for what the visitor does after a wrong answer.</t>
        </r>
      </text>
    </comment>
  </commentList>
</comments>
</file>

<file path=xl/comments31.xml><?xml version="1.0" encoding="utf-8"?>
<comments xmlns="http://schemas.openxmlformats.org/spreadsheetml/2006/main">
  <authors>
    <author>Claude</author>
  </authors>
  <commentList>
    <comment ref="A1" authorId="0">
      <text>
        <r>
          <rPr>
            <sz val="10"/>
            <color theme="1"/>
            <rFont val="Calibri"/>
            <family val="2"/>
          </rPr>
          <t xml:space="preserve">Production tracker only; not exported or read by the game. The character, stage or icon ID the picture belongs to (PC01, OP03, ST02...).</t>
        </r>
      </text>
    </comment>
    <comment ref="B1" authorId="0">
      <text>
        <r>
          <rPr>
            <sz val="10"/>
            <color theme="1"/>
            <rFont val="Calibri"/>
            <family val="2"/>
          </rPr>
          <t xml:space="preserve">Tracker only. What kind of picture it is (Protagonist, Opponent, Staff...), which decides its folder.</t>
        </r>
      </text>
    </comment>
    <comment ref="C1" authorId="0">
      <text>
        <r>
          <rPr>
            <sz val="10"/>
            <color theme="1"/>
            <rFont val="Calibri"/>
            <family val="2"/>
          </rPr>
          <t xml:space="preserve">Tracker only. Who or what the picture shows, for reference.</t>
        </r>
      </text>
    </comment>
    <comment ref="D1" authorId="0">
      <text>
        <r>
          <rPr>
            <sz val="10"/>
            <color theme="1"/>
            <rFont val="Calibri"/>
            <family val="2"/>
          </rPr>
          <t xml:space="preserve">Tracker only. The face: neutral, attacking, guarding, gaining, damaged, and the optional defeated or victory. Missing faces fall back towards neutral.</t>
        </r>
      </text>
    </comment>
    <comment ref="E1" authorId="0">
      <text>
        <r>
          <rPr>
            <sz val="10"/>
            <color theme="1"/>
            <rFont val="Calibri"/>
            <family val="2"/>
          </rPr>
          <t xml:space="preserve">Tracker only. The exact file name the game looks for (e.g. PC01_neutral.png). Spelling and capitals must match.</t>
        </r>
      </text>
    </comment>
    <comment ref="F1" authorId="0">
      <text>
        <r>
          <rPr>
            <sz val="10"/>
            <color theme="1"/>
            <rFont val="Calibri"/>
            <family val="2"/>
          </rPr>
          <t xml:space="preserve">Tracker only. The pattern the file name follows, e.g. {OPPONENT_ID}_{expression}.png.</t>
        </r>
      </text>
    </comment>
    <comment ref="G1" authorId="0">
      <text>
        <r>
          <rPr>
            <sz val="10"/>
            <color theme="1"/>
            <rFont val="Calibri"/>
            <family val="2"/>
          </rPr>
          <t xml:space="preserve">Tracker only. Where the file goes in the project, e.g. assets/characters/opponents/.</t>
        </r>
      </text>
    </comment>
    <comment ref="H1" authorId="0">
      <text>
        <r>
          <rPr>
            <sz val="10"/>
            <color theme="1"/>
            <rFont val="Calibri"/>
            <family val="2"/>
          </rPr>
          <t xml:space="preserve">Tracker only. Where and how the picture appears in the game.</t>
        </r>
      </text>
    </comment>
    <comment ref="I1" authorId="0">
      <text>
        <r>
          <rPr>
            <sz val="10"/>
            <color theme="1"/>
            <rFont val="Calibri"/>
            <family val="2"/>
          </rPr>
          <t xml:space="preserve">Tracker only. Smallest pixel size and shape to draw it at, e.g. 1024 x 1536 full body, transparent background.</t>
        </r>
      </text>
    </comment>
    <comment ref="J1" authorId="0">
      <text>
        <r>
          <rPr>
            <sz val="10"/>
            <color theme="1"/>
            <rFont val="Calibri"/>
            <family val="2"/>
          </rPr>
          <t xml:space="preserve">Tracker only. Yes once the file exists; tools/art_checklist.py checks the disk itself, so this is your own note.</t>
        </r>
      </text>
    </comment>
    <comment ref="K1" authorId="0">
      <text>
        <r>
          <rPr>
            <sz val="10"/>
            <color theme="1"/>
            <rFont val="Calibri"/>
            <family val="2"/>
          </rPr>
          <t xml:space="preserve">Tracker only. Free notes about the picture, e.g. when it is shown.</t>
        </r>
      </text>
    </comment>
  </commentList>
</comments>
</file>

<file path=xl/comments32.xml><?xml version="1.0" encoding="utf-8"?>
<comments xmlns="http://schemas.openxmlformats.org/spreadsheetml/2006/main">
  <authors>
    <author>Claude</author>
  </authors>
  <commentList>
    <comment ref="A1" authorId="0">
      <text>
        <r>
          <rPr>
            <sz val="10"/>
            <color theme="1"/>
            <rFont val="Calibri"/>
            <family val="2"/>
          </rPr>
          <t xml:space="preserve">Unique ID for each party, PT01, PT02 and so on. Floor Vote Party Positions, Vote Influence Triggers (Applies to Parties) and Party Standing all point at parties by this ID. Never rename an ID once other tabs use it.</t>
        </r>
      </text>
    </comment>
    <comment ref="B1" authorId="0">
      <text>
        <r>
          <rPr>
            <sz val="10"/>
            <color theme="1"/>
            <rFont val="Calibri"/>
            <family val="2"/>
          </rPr>
          <t xml:space="preserve">The party's display name. Must match the Party text on the Opponents and Player tabs exactly (spelling and capitals), since that is how the game knows which party a character or protagonist belongs to.</t>
        </r>
      </text>
    </comment>
    <comment ref="C1" authorId="0">
      <text>
        <r>
          <rPr>
            <sz val="10"/>
            <color theme="1"/>
            <rFont val="Calibri"/>
            <family val="2"/>
          </rPr>
          <t xml:space="preserve">Red part of the party's official colour, a whole number 0-255 (the exporter rejects anything outside that). Used with G and B to colour the party's name on the Floor Vote screen, the Office header, the New Game picker and the battle Details panel.</t>
        </r>
      </text>
    </comment>
    <comment ref="D1" authorId="0">
      <text>
        <r>
          <rPr>
            <sz val="10"/>
            <color theme="1"/>
            <rFont val="Calibri"/>
            <family val="2"/>
          </rPr>
          <t xml:space="preserve">Green part of the party's official colour, a whole number 0-255. Read together with R and B; see R.</t>
        </r>
      </text>
    </comment>
    <comment ref="E1" authorId="0">
      <text>
        <r>
          <rPr>
            <sz val="10"/>
            <color theme="1"/>
            <rFont val="Calibri"/>
            <family val="2"/>
          </rPr>
          <t xml:space="preserve">Blue part of the party's official colour, a whole number 0-255. Read together with R and G; see R.</t>
        </r>
      </text>
    </comment>
    <comment ref="F1" authorId="0">
      <text>
        <r>
          <rPr>
            <sz val="10"/>
            <color theme="1"/>
            <rFont val="Calibri"/>
            <family val="2"/>
          </rPr>
          <t xml:space="preserve">The Opponents-tab ID (OPxx) of this party's leader. Their portrait and line appear for this party on the Floor Vote screen, and on the Level Intro lean choice for the player's own party. Blank shows a placeholder (the exporter warns).</t>
        </r>
      </text>
    </comment>
    <comment ref="G1" authorId="0">
      <text>
        <r>
          <rPr>
            <sz val="10"/>
            <color theme="1"/>
            <rFont val="Calibri"/>
            <family val="2"/>
          </rPr>
          <t xml:space="preserve">How many of the 101 seats this party holds. All six rows should add up to 101 (the exporter warns otherwise). Fixed for every bill; a bill's own Yes/No/Abstain split per party lives on Floor Vote Party Positions.</t>
        </r>
      </text>
    </comment>
    <comment ref="H1" authorId="0">
      <text>
        <r>
          <rPr>
            <sz val="10"/>
            <color theme="1"/>
            <rFont val="Calibri"/>
            <family val="2"/>
          </rPr>
          <t xml:space="preserve">Percent (0-100) of this party's seats that the Floor Vote influence swing can never move. 85 means at most 15% of its seats can be swung toward the player's vote. Blank uses the Balance tab's flat default (vote_swing_resistance_default).</t>
        </r>
      </text>
    </comment>
  </commentList>
</comments>
</file>

<file path=xl/comments33.xml><?xml version="1.0" encoding="utf-8"?>
<comments xmlns="http://schemas.openxmlformats.org/spreadsheetml/2006/main">
  <authors>
    <author>Claude</author>
  </authors>
  <commentList>
    <comment ref="A1" authorId="0">
      <text>
        <r>
          <rPr>
            <sz val="10"/>
            <color theme="1"/>
            <rFont val="Calibri"/>
            <family val="2"/>
          </rPr>
          <t xml:space="preserve">Unique bill ID, BI01, BI02 and so on, its own namespace separate from Level IDs. A level plays this bill by putting the BIxx in one of its stage slots instead of an STxx. Each bill may be named by one level only.</t>
        </r>
      </text>
    </comment>
    <comment ref="B1" authorId="0">
      <text>
        <r>
          <rPr>
            <sz val="10"/>
            <color theme="1"/>
            <rFont val="Calibri"/>
            <family val="2"/>
          </rPr>
          <t xml:space="preserve">The bill's English title, shown on the Floor Vote screen, in the statute book on Your Record, and on the Level Intro lean choice.</t>
        </r>
      </text>
    </comment>
    <comment ref="C1" authorId="0">
      <text>
        <r>
          <rPr>
            <sz val="10"/>
            <color theme="1"/>
            <rFont val="Calibri"/>
            <family val="2"/>
          </rPr>
          <t xml:space="preserve">The bill's scroll text: one or two plain sentences saying what the bill does, shown on the Floor Vote screen so the player knows what they are voting on.</t>
        </r>
      </text>
    </comment>
    <comment ref="D1" authorId="0">
      <text>
        <r>
          <rPr>
            <sz val="10"/>
            <color theme="1"/>
            <rFont val="Calibri"/>
            <family val="2"/>
          </rPr>
          <t xml:space="preserve">Whole number added to the standing of every party whose Disposition on this bill is Supportive, after the vote, whether it passes or fails. For the player's own party it lands on Party support; other parties keep their own standing.</t>
        </r>
      </text>
    </comment>
    <comment ref="E1" authorId="0">
      <text>
        <r>
          <rPr>
            <sz val="10"/>
            <color theme="1"/>
            <rFont val="Calibri"/>
            <family val="2"/>
          </rPr>
          <t xml:space="preserve">Whole number (usually negative) added to the standing of every party whose Disposition on this bill is Opposed, after the vote, whether it passes or fails. Own party: Party support; others: their own party standing.</t>
        </r>
      </text>
    </comment>
    <comment ref="F1" authorId="0">
      <text>
        <r>
          <rPr>
            <sz val="10"/>
            <color theme="1"/>
            <rFont val="Calibri"/>
            <family val="2"/>
          </rPr>
          <t xml:space="preserve">Whole number added to the standing of every party whose Disposition on this bill is Neutral, after the vote, pass or fail. Usually 0. Blank reads as 0.</t>
        </r>
      </text>
    </comment>
    <comment ref="G1" authorId="0">
      <text>
        <r>
          <rPr>
            <sz val="10"/>
            <color theme="1"/>
            <rFont val="Calibri"/>
            <family val="2"/>
          </rPr>
          <t xml:space="preserve">Extra Reputation the player gets only when the influence swing actually flips this bill's result (pass to fail or fail to pass). Blank means no bonus. Added on top of the ordinary favorability deltas.</t>
        </r>
      </text>
    </comment>
    <comment ref="H1" authorId="0">
      <text>
        <r>
          <rPr>
            <sz val="10"/>
            <color theme="1"/>
            <rFont val="Calibri"/>
            <family val="2"/>
          </rPr>
          <t xml:space="preserve">Extra Party support the player gets only when the influence swing actually flips this bill's result. Blank means no bonus. Added on top of the ordinary favorability deltas.</t>
        </r>
      </text>
    </comment>
  </commentList>
</comments>
</file>

<file path=xl/comments34.xml><?xml version="1.0" encoding="utf-8"?>
<comments xmlns="http://schemas.openxmlformats.org/spreadsheetml/2006/main">
  <authors>
    <author>Claude</author>
  </authors>
  <commentList>
    <comment ref="A1" authorId="0">
      <text>
        <r>
          <rPr>
            <sz val="10"/>
            <color theme="1"/>
            <rFont val="Calibri"/>
            <family val="2"/>
          </rPr>
          <t xml:space="preserve">Your hand-check tab, not exported. Lists each bill so the totals below can be compared with what the game shows; the game computes its own totals from Floor Vote Party Positions.</t>
        </r>
      </text>
    </comment>
    <comment ref="B1" authorId="0">
      <text>
        <r>
          <rPr>
            <sz val="10"/>
            <color theme="1"/>
            <rFont val="Calibri"/>
            <family val="2"/>
          </rPr>
          <t xml:space="preserve">Reference only, not exported. The bill's name, so the hand-check row is easy to read.</t>
        </r>
      </text>
    </comment>
    <comment ref="C1" authorId="0">
      <text>
        <r>
          <rPr>
            <sz val="10"/>
            <color theme="1"/>
            <rFont val="Calibri"/>
            <family val="2"/>
          </rPr>
          <t xml:space="preserve">Formula, not exported: total Yes seats for this bill, summed from Floor Vote Party Positions. Should match the Yes total the Floor Vote screen shows before the player votes.</t>
        </r>
      </text>
    </comment>
    <comment ref="D1" authorId="0">
      <text>
        <r>
          <rPr>
            <sz val="10"/>
            <color theme="1"/>
            <rFont val="Calibri"/>
            <family val="2"/>
          </rPr>
          <t xml:space="preserve">Formula, not exported: total No seats for this bill, summed from Floor Vote Party Positions.</t>
        </r>
      </text>
    </comment>
    <comment ref="E1" authorId="0">
      <text>
        <r>
          <rPr>
            <sz val="10"/>
            <color theme="1"/>
            <rFont val="Calibri"/>
            <family val="2"/>
          </rPr>
          <t xml:space="preserve">Formula, not exported: total abstaining seats for this bill, summed from Floor Vote Party Positions.</t>
        </r>
      </text>
    </comment>
    <comment ref="F1" authorId="0">
      <text>
        <r>
          <rPr>
            <sz val="10"/>
            <color theme="1"/>
            <rFont val="Calibri"/>
            <family val="2"/>
          </rPr>
          <t xml:space="preserve">Formula, not exported: Yes + No + Abstain. Should be 101; anything else means a party's rows do not add up to its seats.</t>
        </r>
      </text>
    </comment>
    <comment ref="G1" authorId="0">
      <text>
        <r>
          <rPr>
            <sz val="10"/>
            <color theme="1"/>
            <rFont val="Calibri"/>
            <family val="2"/>
          </rPr>
          <t xml:space="preserve">Formula, not exported: Passes or Fails under a fixed-majority rule. Note the game itself does not use this rule: in the game a bill passes when Yes is greater than No. Kept as a comparison only.</t>
        </r>
      </text>
    </comment>
    <comment ref="H1" authorId="0">
      <text>
        <r>
          <rPr>
            <sz val="10"/>
            <color theme="1"/>
            <rFont val="Calibri"/>
            <family val="2"/>
          </rPr>
          <t xml:space="preserve">Formula, not exported: how far the Yes total sits above or below the majority line, for spotting close votes. A hand-check only.</t>
        </r>
      </text>
    </comment>
    <comment ref="I1" authorId="0">
      <text>
        <r>
          <rPr>
            <sz val="10"/>
            <color theme="1"/>
            <rFont val="Calibri"/>
            <family val="2"/>
          </rPr>
          <t xml:space="preserve">Formula, not exported: shows SWING when one seat would change the result under the fixed-majority rule, a quick way to find bills where the player's own vote matters. Hand-check only.</t>
        </r>
      </text>
    </comment>
    <comment ref="J1" authorId="0">
      <text>
        <r>
          <rPr>
            <sz val="10"/>
            <color theme="1"/>
            <rFont val="Calibri"/>
            <family val="2"/>
          </rPr>
          <t xml:space="preserve">Formula, not exported: Passes or Fails judged on votes cast, the closer match to the game, which passes a bill when Yes is greater than No. Compare with what the Floor Vote screen reports.</t>
        </r>
      </text>
    </comment>
  </commentList>
</comments>
</file>

<file path=xl/comments35.xml><?xml version="1.0" encoding="utf-8"?>
<comments xmlns="http://schemas.openxmlformats.org/spreadsheetml/2006/main">
  <authors>
    <author>Claude</author>
  </authors>
  <commentList>
    <comment ref="A1" authorId="0">
      <text>
        <r>
          <rPr>
            <sz val="10"/>
            <color theme="1"/>
            <rFont val="Calibri"/>
            <family val="2"/>
          </rPr>
          <t xml:space="preserve">Which level (LVxx) this line is about. Optional tab: a level with no rows (and no bill) goes straight from the Office into its first stage.</t>
        </r>
      </text>
    </comment>
    <comment ref="B1" authorId="0">
      <text>
        <r>
          <rPr>
            <sz val="10"/>
            <color theme="1"/>
            <rFont val="Calibri"/>
            <family val="2"/>
          </rPr>
          <t xml:space="preserve">Which staff role speaks the line, written exactly as the role name on the Staff tab. The line is said only if the player has hired someone in that role; several roles can each have a line for the same level and all speak, in Staff-tab order.</t>
        </r>
      </text>
    </comment>
    <comment ref="C1" authorId="0">
      <text>
        <r>
          <rPr>
            <sz val="10"/>
            <color theme="1"/>
            <rFont val="Calibri"/>
            <family val="2"/>
          </rPr>
          <t xml:space="preserve">What that staff member says on the Level Intro screen before the level starts, over the Office background with their portrait. A sentence or two about the level ahead.</t>
        </r>
      </text>
    </comment>
  </commentList>
</comments>
</file>

<file path=xl/comments36.xml><?xml version="1.0" encoding="utf-8"?>
<comments xmlns="http://schemas.openxmlformats.org/spreadsheetml/2006/main">
  <authors>
    <author>Claude</author>
  </authors>
  <commentList>
    <comment ref="A1" authorId="0">
      <text>
        <r>
          <rPr>
            <sz val="10"/>
            <color theme="1"/>
            <rFont val="Calibri"/>
            <family val="2"/>
          </rPr>
          <t xml:space="preserve">Unique ID, CP followed by digits. A package is what the player buys.</t>
        </r>
      </text>
    </comment>
    <comment ref="B1" authorId="0">
      <text>
        <r>
          <rPr>
            <sz val="10"/>
            <color theme="1"/>
            <rFont val="Calibri"/>
            <family val="2"/>
          </rPr>
          <t xml:space="preserve">Package name shown in Appearance and Music.</t>
        </r>
      </text>
    </comment>
    <comment ref="C1" authorId="0">
      <text>
        <r>
          <rPr>
            <sz val="10"/>
            <color theme="1"/>
            <rFont val="Calibri"/>
            <family val="2"/>
          </rPr>
          <t xml:space="preserve">Japanese name, shown as a small muted accent.</t>
        </r>
      </text>
    </comment>
    <comment ref="D1" authorId="0">
      <text>
        <r>
          <rPr>
            <sz val="10"/>
            <color theme="1"/>
            <rFont val="Calibri"/>
            <family val="2"/>
          </rPr>
          <t xml:space="preserve">Short display-only text shown under the package.</t>
        </r>
      </text>
    </comment>
    <comment ref="E1" authorId="0">
      <text>
        <r>
          <rPr>
            <sz val="10"/>
            <color theme="1"/>
            <rFont val="Calibri"/>
            <family val="2"/>
          </rPr>
          <t xml:space="preserve">File name in assets/icons/ without .png (e.g. Workplace_Casual), no braces. Blank falls back to the Package ID.</t>
        </r>
      </text>
    </comment>
    <comment ref="F1" authorId="0">
      <text>
        <r>
          <rPr>
            <sz val="10"/>
            <color theme="1"/>
            <rFont val="Calibri"/>
            <family val="2"/>
          </rPr>
          <t xml:space="preserve">XP paid to buy the package. 0 or blank = none.</t>
        </r>
      </text>
    </comment>
    <comment ref="G1" authorId="0">
      <text>
        <r>
          <rPr>
            <sz val="10"/>
            <color theme="1"/>
            <rFont val="Calibri"/>
            <family val="2"/>
          </rPr>
          <t xml:space="preserve">Funds paid to buy the package. 0 or blank = none.</t>
        </r>
      </text>
    </comment>
    <comment ref="H1" authorId="0">
      <text>
        <r>
          <rPr>
            <sz val="10"/>
            <color theme="1"/>
            <rFont val="Calibri"/>
            <family val="2"/>
          </rPr>
          <t xml:space="preserve">A word added to the protagonist's art file names (e.g. RED looks for PC01_RED_neutral.png) once equipped. Missing art falls back to the normal file. Blank = no outfit piece.</t>
        </r>
      </text>
    </comment>
    <comment ref="I1" authorId="0">
      <text>
        <r>
          <rPr>
            <sz val="10"/>
            <color theme="1"/>
            <rFont val="Calibri"/>
            <family val="2"/>
          </rPr>
          <t xml:space="preserve">A word added to the Office background file (e.g. UPGRADED = OFFICE_UPGRADED.png) when equipped. Office only. Blank = no background piece.</t>
        </r>
      </text>
    </comment>
    <comment ref="J1" authorId="0">
      <text>
        <r>
          <rPr>
            <sz val="10"/>
            <color theme="1"/>
            <rFont val="Calibri"/>
            <family val="2"/>
          </rPr>
          <t xml:space="preserve">A sounds.json key played instead of the normal Office music when equipped. Blank = no music piece.</t>
        </r>
      </text>
    </comment>
    <comment ref="K1" authorId="0">
      <text>
        <r>
          <rPr>
            <sz val="10"/>
            <color theme="1"/>
            <rFont val="Calibri"/>
            <family val="2"/>
          </rPr>
          <t xml:space="preserve">A sounds.json key played instead of the normal battle music when equipped. Blank = no battle music change.</t>
        </r>
      </text>
    </comment>
  </commentList>
</comments>
</file>

<file path=xl/comments37.xml><?xml version="1.0" encoding="utf-8"?>
<comments xmlns="http://schemas.openxmlformats.org/spreadsheetml/2006/main">
  <authors>
    <author>Claude</author>
  </authors>
  <commentList>
    <comment ref="A1" authorId="0">
      <text>
        <r>
          <rPr>
            <sz val="10"/>
            <color theme="1"/>
            <rFont val="Calibri"/>
            <family val="2"/>
          </rPr>
          <t xml:space="preserve">Which level (LVxx) this thought belongs to, one row per level. Only shown on a level that includes a Floor Vote bill; on other levels the row is ignored.</t>
        </r>
      </text>
    </comment>
    <comment ref="B1" authorId="0">
      <text>
        <r>
          <rPr>
            <sz val="10"/>
            <color theme="1"/>
            <rFont val="Calibri"/>
            <family val="2"/>
          </rPr>
          <t xml:space="preserve">The protagonist's own inner thought about the level, shown on the Level Intro screen after any staff lines and just before the Lean Support / Lean Oppose choice. Blank or missing means no thought is shown.</t>
        </r>
      </text>
    </comment>
  </commentList>
</comments>
</file>

<file path=xl/comments38.xml><?xml version="1.0" encoding="utf-8"?>
<comments xmlns="http://schemas.openxmlformats.org/spreadsheetml/2006/main">
  <authors>
    <author>Claude</author>
  </authors>
  <commentList>
    <comment ref="A1" authorId="0">
      <text>
        <r>
          <rPr>
            <sz val="10"/>
            <color theme="1"/>
            <rFont val="Calibri"/>
            <family val="2"/>
          </rPr>
          <t xml:space="preserve">Unique ID for this row, TC01, TC02 and so on. Each row makes one character eligible to appear on Stage Transition screens.</t>
        </r>
      </text>
    </comment>
    <comment ref="B1" authorId="0">
      <text>
        <r>
          <rPr>
            <sz val="10"/>
            <color theme="1"/>
            <rFont val="Calibri"/>
            <family val="2"/>
          </rPr>
          <t xml:space="preserve">The stage (STxx) whose transition this character can appear in. Blank means any stage. Transitions only play on stages whose Show Transition column on the Stages tab is Yes.</t>
        </r>
      </text>
    </comment>
    <comment ref="C1" authorId="0">
      <text>
        <r>
          <rPr>
            <sz val="10"/>
            <color theme="1"/>
            <rFont val="Calibri"/>
            <family val="2"/>
          </rPr>
          <t xml:space="preserve">Who can appear: an opponent (OPxx, speaks from the right) or a staff member (SFxx, speaks from the left with the player). A character is only used if Transition Dialogue has a line for them here; otherwise they are skipped.</t>
        </r>
      </text>
    </comment>
  </commentList>
</comments>
</file>

<file path=xl/comments39.xml><?xml version="1.0" encoding="utf-8"?>
<comments xmlns="http://schemas.openxmlformats.org/spreadsheetml/2006/main">
  <authors>
    <author>Claude</author>
  </authors>
  <commentList>
    <comment ref="A1" authorId="0">
      <text>
        <r>
          <rPr>
            <sz val="10"/>
            <color theme="1"/>
            <rFont val="Calibri"/>
            <family val="2"/>
          </rPr>
          <t xml:space="preserve">Unique ID for this row, TB01, TB02 and so on. Each row is one background the transition screen can pick from.</t>
        </r>
      </text>
    </comment>
    <comment ref="B1" authorId="0">
      <text>
        <r>
          <rPr>
            <sz val="10"/>
            <color theme="1"/>
            <rFont val="Calibri"/>
            <family val="2"/>
          </rPr>
          <t xml:space="preserve">The stage (STxx) whose transition can use this background. Blank means any stage. One background is picked at random from the eligible rows.</t>
        </r>
      </text>
    </comment>
    <comment ref="C1" authorId="0">
      <text>
        <r>
          <rPr>
            <sz val="10"/>
            <color theme="1"/>
            <rFont val="Calibri"/>
            <family val="2"/>
          </rPr>
          <t xml:space="preserve">The picture to show, by file name without extension in assets/backgrounds/ (e.g. ST02 or OFFICE). Missing art shows a placeholder; with no eligible row the stage's own background is used.</t>
        </r>
      </text>
    </comment>
  </commentList>
</comments>
</file>

<file path=xl/comments40.xml><?xml version="1.0" encoding="utf-8"?>
<comments xmlns="http://schemas.openxmlformats.org/spreadsheetml/2006/main">
  <authors>
    <author>Claude</author>
  </authors>
  <commentList>
    <comment ref="A1" authorId="0">
      <text>
        <r>
          <rPr>
            <sz val="10"/>
            <color theme="1"/>
            <rFont val="Calibri"/>
            <family val="2"/>
          </rPr>
          <t xml:space="preserve">Unique ID for this exchange, TD01, TD02 and so on. Each row is one two-line exchange between a character and the player.</t>
        </r>
      </text>
    </comment>
    <comment ref="B1" authorId="0">
      <text>
        <r>
          <rPr>
            <sz val="10"/>
            <color theme="1"/>
            <rFont val="Calibri"/>
            <family val="2"/>
          </rPr>
          <t xml:space="preserve">Who says the first line: the OPxx or SFxx that must also be listed on Transition Cast. Required, never blank. If a character has several eligible rows, one is picked at random.</t>
        </r>
      </text>
    </comment>
    <comment ref="C1" authorId="0">
      <text>
        <r>
          <rPr>
            <sz val="10"/>
            <color theme="1"/>
            <rFont val="Calibri"/>
            <family val="2"/>
          </rPr>
          <t xml:space="preserve">The stage (STxx) whose transition can use this exchange. Blank means any stage.</t>
        </r>
      </text>
    </comment>
    <comment ref="D1" authorId="0">
      <text>
        <r>
          <rPr>
            <sz val="10"/>
            <color theme="1"/>
            <rFont val="Calibri"/>
            <family val="2"/>
          </rPr>
          <t xml:space="preserve">What the character says to the player on the Stage Transition screen, shown on the banner beside their portrait.</t>
        </r>
      </text>
    </comment>
    <comment ref="E1" authorId="0">
      <text>
        <r>
          <rPr>
            <sz val="10"/>
            <color theme="1"/>
            <rFont val="Calibri"/>
            <family val="2"/>
          </rPr>
          <t xml:space="preserve">What the player says back, shown right after the character's line, from the player's side of the banner.</t>
        </r>
      </text>
    </comment>
  </commentList>
</comments>
</file>

<file path=xl/comments41.xml><?xml version="1.0" encoding="utf-8"?>
<comments xmlns="http://schemas.openxmlformats.org/spreadsheetml/2006/main">
  <authors>
    <author>Claude</author>
  </authors>
  <commentList>
    <comment ref="A1" authorId="0">
      <text>
        <r>
          <rPr>
            <sz val="10"/>
            <color theme="1"/>
            <rFont val="Calibri"/>
            <family val="2"/>
          </rPr>
          <t xml:space="preserve">This guide entry's unique ID, HT followed by a number (HT01, HT02...). Required.</t>
        </r>
      </text>
    </comment>
    <comment ref="B1" authorId="0">
      <text>
        <r>
          <rPr>
            <sz val="10"/>
            <color theme="1"/>
            <rFont val="Calibri"/>
            <family val="2"/>
          </rPr>
          <t xml:space="preserve">A number setting the entry's place in the guide; lower comes first, ties sorted by Entry ID. Blank = placed after all numbered entries.</t>
        </r>
      </text>
    </comment>
    <comment ref="C1" authorId="0">
      <text>
        <r>
          <rPr>
            <sz val="10"/>
            <color theme="1"/>
            <rFont val="Calibri"/>
            <family val="2"/>
          </rPr>
          <t xml:space="preserve">The section heading this entry sits under, e.g. Cards or Winning and Losing. Same text = same section; a section appears where its first entry does. Blank = no section heading.</t>
        </r>
      </text>
    </comment>
    <comment ref="D1" authorId="0">
      <text>
        <r>
          <rPr>
            <sz val="10"/>
            <color theme="1"/>
            <rFont val="Calibri"/>
            <family val="2"/>
          </rPr>
          <t xml:space="preserve">The entry's own title in English. Optional.</t>
        </r>
      </text>
    </comment>
    <comment ref="E1" authorId="0">
      <text>
        <r>
          <rPr>
            <sz val="10"/>
            <color theme="1"/>
            <rFont val="Calibri"/>
            <family val="2"/>
          </rPr>
          <t xml:space="preserve">Optional small muted Japanese accent shown beside the English heading. Never shown on its own. Blank = no accent.</t>
        </r>
      </text>
    </comment>
    <comment ref="F1" authorId="0">
      <text>
        <r>
          <rPr>
            <sz val="10"/>
            <color theme="1"/>
            <rFont val="Calibri"/>
            <family val="2"/>
          </rPr>
          <t xml:space="preserve">The explanation text. May use live tokens filled from the game data, so retuning never makes it wrong: {majority}, {seats}, {guard_cap}, {pass_penalty}, {gaffe_min}, {gaffe_max}, {pleasing_table}. An unknown {token} shows as typed.</t>
        </r>
      </text>
    </comment>
    <comment ref="G1" authorId="0">
      <text>
        <r>
          <rPr>
            <sz val="10"/>
            <color theme="1"/>
            <rFont val="Calibri"/>
            <family val="2"/>
          </rPr>
          <t xml:space="preserve">Optional picture file name, no extension, under assets/howto/ (x means x.png), shown at column width. A named file not yet drawn shows a grey placeholder labelled with its name. Blank = no picture.</t>
        </r>
      </text>
    </comment>
    <comment ref="H1" authorId="0">
      <text>
        <r>
          <rPr>
            <sz val="10"/>
            <color theme="1"/>
            <rFont val="Calibri"/>
            <family val="2"/>
          </rPr>
          <t xml:space="preserve">Optional line shown under the screenshot or video. May use the same live tokens as Body. Blank = no caption.</t>
        </r>
      </text>
    </comment>
    <comment ref="I1" authorId="0">
      <text>
        <r>
          <rPr>
            <sz val="10"/>
            <color theme="1"/>
            <rFont val="Calibri"/>
            <family val="2"/>
          </rPr>
          <t xml:space="preserve">Optional video file name, no extension, under assets/howto/ (y means y.ogv). Must be Ogg Theora; mp4 or webm will not play on phones. Plays only when the player taps Watch the demo. Missing file = grey placeholder. Blank = none.</t>
        </r>
      </text>
    </comment>
  </commentList>
</comments>
</file>

<file path=xl/comments42.xml><?xml version="1.0" encoding="utf-8"?>
<comments xmlns="http://schemas.openxmlformats.org/spreadsheetml/2006/main">
  <authors>
    <author>Claude</author>
  </authors>
  <commentList>
    <comment ref="A1" authorId="0">
      <text>
        <r>
          <rPr>
            <sz val="10"/>
            <color theme="1"/>
            <rFont val="Calibri"/>
            <family val="2"/>
          </rPr>
          <t xml:space="preserve">A PTxx from the Parties tab, or OWN for whichever party the player belongs to. Anything else is an export error.</t>
        </r>
      </text>
    </comment>
    <comment ref="B1" authorId="0">
      <text>
        <r>
          <rPr>
            <sz val="10"/>
            <color theme="1"/>
            <rFont val="Calibri"/>
            <family val="2"/>
          </rPr>
          <t xml:space="preserve">A BOxx from the Boosters tab whose standing affects how this party sees the player. Listing a pair twice adds the weights.</t>
        </r>
      </text>
    </comment>
    <comment ref="C1" authorId="0">
      <text>
        <r>
          <rPr>
            <sz val="10"/>
            <color theme="1"/>
            <rFont val="Calibri"/>
            <family val="2"/>
          </rPr>
          <t xml:space="preserve">How much this organisation counts, any number. Positive = its good standing raises the party's opinion of you; negative = a rival. Only relative size matters. Blank counts as 0.</t>
        </r>
      </text>
    </comment>
    <comment ref="D1" authorId="0">
      <text>
        <r>
          <rPr>
            <sz val="10"/>
            <color theme="1"/>
            <rFont val="Calibri"/>
            <family val="2"/>
          </rPr>
          <t xml:space="preserve">Your own explanation of the link. Not read by the game.</t>
        </r>
      </text>
    </comment>
  </commentList>
</comments>
</file>

<file path=xl/comments43.xml><?xml version="1.0" encoding="utf-8"?>
<comments xmlns="http://schemas.openxmlformats.org/spreadsheetml/2006/main">
  <authors>
    <author>Claude</author>
  </authors>
  <commentList>
    <comment ref="A1" authorId="0">
      <text>
        <r>
          <rPr>
            <sz val="10"/>
            <color theme="1"/>
            <rFont val="Calibri"/>
            <family val="2"/>
          </rPr>
          <t xml:space="preserve">This cue row's unique ID (PL01, PL02...).</t>
        </r>
      </text>
    </comment>
    <comment ref="B1" authorId="0">
      <text>
        <r>
          <rPr>
            <sz val="10"/>
            <color theme="1"/>
            <rFont val="Calibri"/>
            <family val="2"/>
          </rPr>
          <t xml:space="preserve">The suit of the card the player plays, exactly as in the Suits tab. Unknown suit = export error.</t>
        </r>
      </text>
    </comment>
    <comment ref="C1" authorId="0">
      <text>
        <r>
          <rPr>
            <sz val="10"/>
            <color theme="1"/>
            <rFont val="Calibri"/>
            <family val="2"/>
          </rPr>
          <t xml:space="preserve">What the card did: attack (argued support away from the opponent), gain (won support) or block (only banked guard). Blank = any of them. Anything else is an export error.</t>
        </r>
      </text>
    </comment>
    <comment ref="D1" authorId="0">
      <text>
        <r>
          <rPr>
            <sz val="10"/>
            <color theme="1"/>
            <rFont val="Calibri"/>
            <family val="2"/>
          </rPr>
          <t xml:space="preserve">Blank = every stage. ST16 or ST16; ST13 = only there. Most specific wins: this stage and verb, this stage any verb, any stage this verb, any stage any verb, then the card's own Flavor Text. A blank-stage row therefore overrides card lines everywhere.</t>
        </r>
      </text>
    </comment>
    <comment ref="E1" authorId="0">
      <text>
        <r>
          <rPr>
            <sz val="10"/>
            <color theme="1"/>
            <rFont val="Calibri"/>
            <family val="2"/>
          </rPr>
          <t xml:space="preserve">One of up to five lines the player says when a matching card is played; one is picked at random. These are checked before the card's own Flavor Text lines. A row with no lines at all is a warning.</t>
        </r>
      </text>
    </comment>
    <comment ref="F1" authorId="0">
      <text>
        <r>
          <rPr>
            <sz val="10"/>
            <color theme="1"/>
            <rFont val="Calibri"/>
            <family val="2"/>
          </rPr>
          <t xml:space="preserve">Second of up to five player lines for this row, picked at random alongside the others. Blank = fewer to choose from.</t>
        </r>
      </text>
    </comment>
    <comment ref="G1" authorId="0">
      <text>
        <r>
          <rPr>
            <sz val="10"/>
            <color theme="1"/>
            <rFont val="Calibri"/>
            <family val="2"/>
          </rPr>
          <t xml:space="preserve">Third of up to five player lines for this row, picked at random alongside the others. Blank = fewer to choose from.</t>
        </r>
      </text>
    </comment>
    <comment ref="H1" authorId="0">
      <text>
        <r>
          <rPr>
            <sz val="10"/>
            <color theme="1"/>
            <rFont val="Calibri"/>
            <family val="2"/>
          </rPr>
          <t xml:space="preserve">Fourth of up to five player lines for this row, picked at random alongside the others. Blank = fewer to choose from.</t>
        </r>
      </text>
    </comment>
    <comment ref="I1" authorId="0">
      <text>
        <r>
          <rPr>
            <sz val="10"/>
            <color theme="1"/>
            <rFont val="Calibri"/>
            <family val="2"/>
          </rPr>
          <t xml:space="preserve">Fifth of up to five player lines for this row, picked at random alongside the others. Blank = fewer to choose from.</t>
        </r>
      </text>
    </comment>
  </commentList>
</comments>
</file>

<file path=xl/comments44.xml><?xml version="1.0" encoding="utf-8"?>
<comments xmlns="http://schemas.openxmlformats.org/spreadsheetml/2006/main">
  <authors>
    <author>Claude</author>
  </authors>
  <commentList>
    <comment ref="A1" authorId="0">
      <text>
        <r>
          <rPr>
            <sz val="10"/>
            <color theme="1"/>
            <rFont val="Calibri"/>
            <family val="2"/>
          </rPr>
          <t xml:space="preserve">This stage question's unique ID (S01, S02...). Keep it unique.</t>
        </r>
      </text>
    </comment>
    <comment ref="B1" authorId="0">
      <text>
        <r>
          <rPr>
            <sz val="10"/>
            <color theme="1"/>
            <rFont val="Calibri"/>
            <family val="2"/>
          </rPr>
          <t xml:space="preserve">Which stages ask this question: one STxx or a list like ST16; ST13. Each must exist in Stages. These are dealt before the room's own pool; a committee (ST01, ST09-ST18) has no room pool, so it asks only these. The asker comes from the opponents of the first stage named.</t>
        </r>
      </text>
    </comment>
    <comment ref="C1" authorId="0">
      <text>
        <r>
          <rPr>
            <sz val="10"/>
            <color theme="1"/>
            <rFont val="Calibri"/>
            <family val="2"/>
          </rPr>
          <t xml:space="preserve">The question asked in the named stage(s), one per turn, shown on the banner. Edit freely.</t>
        </r>
      </text>
    </comment>
    <comment ref="D1" authorId="0">
      <text>
        <r>
          <rPr>
            <sz val="10"/>
            <color theme="1"/>
            <rFont val="Calibri"/>
            <family val="2"/>
          </rPr>
          <t xml:space="preserve">Short label that decides which organisations care about this question. Must match a Question Themes row exactly, including capitals; no match means a strong answer pleases nobody.</t>
        </r>
      </text>
    </comment>
    <comment ref="E1" authorId="0">
      <text>
        <r>
          <rPr>
            <sz val="10"/>
            <color theme="1"/>
            <rFont val="Calibri"/>
            <family val="2"/>
          </rPr>
          <t xml:space="preserve">How well a Earnest card answers this stage question: S, M or W. S boosts that card's gain and opponent loss 1.3x this round and pleases the Theme's organisations; M changes nothing; W cuts it to 0.7x and annoys them. Anything else is an export error.</t>
        </r>
      </text>
    </comment>
    <comment ref="F1" authorId="0">
      <text>
        <r>
          <rPr>
            <sz val="10"/>
            <color theme="1"/>
            <rFont val="Calibri"/>
            <family val="2"/>
          </rPr>
          <t xml:space="preserve">How well a Emotional card answers this stage question: S, M or W. S boosts that card's gain and opponent loss 1.3x this round and pleases the Theme's organisations; M changes nothing; W cuts it to 0.7x and annoys them. Anything else is an export error.</t>
        </r>
      </text>
    </comment>
    <comment ref="G1" authorId="0">
      <text>
        <r>
          <rPr>
            <sz val="10"/>
            <color theme="1"/>
            <rFont val="Calibri"/>
            <family val="2"/>
          </rPr>
          <t xml:space="preserve">How well a Appeal card answers this stage question: S, M or W. S boosts that card's gain and opponent loss 1.3x this round and pleases the Theme's organisations; M changes nothing; W cuts it to 0.7x and annoys them. Anything else is an export error.</t>
        </r>
      </text>
    </comment>
    <comment ref="H1" authorId="0">
      <text>
        <r>
          <rPr>
            <sz val="10"/>
            <color theme="1"/>
            <rFont val="Calibri"/>
            <family val="2"/>
          </rPr>
          <t xml:space="preserve">How well a Data Driven card answers this stage question: S, M or W. S boosts that card's gain and opponent loss 1.3x this round and pleases the Theme's organisations; M changes nothing; W cuts it to 0.7x and annoys them. Anything else is an export error.</t>
        </r>
      </text>
    </comment>
    <comment ref="I1" authorId="0">
      <text>
        <r>
          <rPr>
            <sz val="10"/>
            <color theme="1"/>
            <rFont val="Calibri"/>
            <family val="2"/>
          </rPr>
          <t xml:space="preserve">How well a Divisive card answers this stage question: S, M or W. S boosts that card's gain and opponent loss 1.3x this round and pleases the Theme's organisations; M changes nothing; W cuts it to 0.7x and annoys them. Anything else is an export error.</t>
        </r>
      </text>
    </comment>
    <comment ref="J1" authorId="0">
      <text>
        <r>
          <rPr>
            <sz val="10"/>
            <color theme="1"/>
            <rFont val="Calibri"/>
            <family val="2"/>
          </rPr>
          <t xml:space="preserve">How well a Duplicitous card answers this stage question: S, M or W. S boosts that card's gain and opponent loss 1.3x this round and pleases the Theme's organisations; M changes nothing; W cuts it to 0.7x and annoys them. Anything else is an export error.</t>
        </r>
      </text>
    </comment>
    <comment ref="K1" authorId="0">
      <text>
        <r>
          <rPr>
            <sz val="10"/>
            <color theme="1"/>
            <rFont val="Calibri"/>
            <family val="2"/>
          </rPr>
          <t xml:space="preserve">Optional. Who may ask this question: party IDs (PT01-PT06) separated by "; ", or OWN for the player's own party. Only someone of one of these parties who sits in the room is shown asking it; if nobody of that party is in the room, the question is not asked there. Blank = anyone in the room. Export error if a named party has nobody in the room (OWN is settled in the game).</t>
        </r>
      </text>
    </comment>
  </commentList>
</comments>
</file>

<file path=xl/comments45.xml><?xml version="1.0" encoding="utf-8"?>
<comments xmlns="http://schemas.openxmlformats.org/spreadsheetml/2006/main">
  <authors>
    <author>Claude</author>
  </authors>
  <commentList>
    <comment ref="A1" authorId="0">
      <text>
        <r>
          <rPr>
            <sz val="10"/>
            <color theme="1"/>
            <rFont val="Calibri"/>
            <family val="2"/>
          </rPr>
          <t xml:space="preserve">Unique ID for this effect row, LW01, LW02 and so on. One row is one effect package; a bill can have several rows (say, one for Passed and one for Failed, or a Once row and an Each level row).</t>
        </r>
      </text>
    </comment>
    <comment ref="B1" authorId="0">
      <text>
        <r>
          <rPr>
            <sz val="10"/>
            <color theme="1"/>
            <rFont val="Calibri"/>
            <family val="2"/>
          </rPr>
          <t xml:space="preserve">Which bill (BIxx from Floor Vote Bills) this effect follows. A bill not on Floor Vote Bills is an export error. The effect fires only after that bill has come to a Floor Vote.</t>
        </r>
      </text>
    </comment>
    <comment ref="C1" authorId="0">
      <text>
        <r>
          <rPr>
            <sz val="10"/>
            <color theme="1"/>
            <rFont val="Calibri"/>
            <family val="2"/>
          </rPr>
          <t xml:space="preserve">When this row applies: Passed (the bill passed) or Failed (it failed). Only those two words; anything else is an export error.</t>
        </r>
      </text>
    </comment>
    <comment ref="D1" authorId="0">
      <text>
        <r>
          <rPr>
            <sz val="10"/>
            <color theme="1"/>
            <rFont val="Calibri"/>
            <family val="2"/>
          </rPr>
          <t xml:space="preserve">Once or blank: applied one time, right after the vote. Each level: applied at the end of every later level, win or loss, starting with the level after the vote (never the vote's own level). Any other word is an export error.</t>
        </r>
      </text>
    </comment>
    <comment ref="E1" authorId="0">
      <text>
        <r>
          <rPr>
            <sz val="10"/>
            <color theme="1"/>
            <rFont val="Calibri"/>
            <family val="2"/>
          </rPr>
          <t xml:space="preserve">Standing changes as a semicolon list of ID and signed number, e.g. BO05 +3; BO23 -2 (organisations as BOxx, segments as SGxx). Same format as the Shop tab's Grants column. Blank means no standing changes.</t>
        </r>
      </text>
    </comment>
    <comment ref="F1" authorId="0">
      <text>
        <r>
          <rPr>
            <sz val="10"/>
            <color theme="1"/>
            <rFont val="Calibri"/>
            <family val="2"/>
          </rPr>
          <t xml:space="preserve">Signed number added to Constituency support when this row applies (e.g. 2 or -3). Blank means no change. Shows as (+N) on Your Record.</t>
        </r>
      </text>
    </comment>
    <comment ref="G1" authorId="0">
      <text>
        <r>
          <rPr>
            <sz val="10"/>
            <color theme="1"/>
            <rFont val="Calibri"/>
            <family val="2"/>
          </rPr>
          <t xml:space="preserve">Signed number added to Reputation when this row applies. Blank means no change.</t>
        </r>
      </text>
    </comment>
    <comment ref="H1" authorId="0">
      <text>
        <r>
          <rPr>
            <sz val="10"/>
            <color theme="1"/>
            <rFont val="Calibri"/>
            <family val="2"/>
          </rPr>
          <t xml:space="preserve">Signed number of Yen added to Funds when this row applies (e.g. 1000). Blank means no change. Still limited by the Funds cap.</t>
        </r>
      </text>
    </comment>
    <comment ref="I1" authorId="0">
      <text>
        <r>
          <rPr>
            <sz val="10"/>
            <color theme="1"/>
            <rFont val="Calibri"/>
            <family val="2"/>
          </rPr>
          <t xml:space="preserve">Signed number added to the stored Party support when this row applies. Blank means no change.</t>
        </r>
      </text>
    </comment>
    <comment ref="J1" authorId="0">
      <text>
        <r>
          <rPr>
            <sz val="10"/>
            <color theme="1"/>
            <rFont val="Calibri"/>
            <family val="2"/>
          </rPr>
          <t xml:space="preserve">Signed number of XP given when this row applies. Blank means no change.</t>
        </r>
      </text>
    </comment>
    <comment ref="K1" authorId="0">
      <text>
        <r>
          <rPr>
            <sz val="10"/>
            <color theme="1"/>
            <rFont val="Calibri"/>
            <family val="2"/>
          </rPr>
          <t xml:space="preserve">Your own note on why this effect exists. Exported but never shown in the game.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<sst xmlns="http://schemas.openxmlformats.org/spreadsheetml/2006/main" count="22451" uniqueCount="6996">
  <si>
    <t>Card ID</t>
  </si>
  <si>
    <t>Name (EN)</t>
  </si>
  <si>
    <t>Suit</t>
  </si>
  <si>
    <t>Cue 1</t>
  </si>
  <si>
    <t>Cue 2</t>
  </si>
  <si>
    <t>Cue 3</t>
  </si>
  <si>
    <t>Cue 4</t>
  </si>
  <si>
    <t>Cue 5</t>
  </si>
  <si>
    <t>W1</t>
  </si>
  <si>
    <t>W2</t>
  </si>
  <si>
    <t>W3</t>
  </si>
  <si>
    <t>W4</t>
  </si>
  <si>
    <t>W5</t>
  </si>
  <si>
    <t>Max words</t>
  </si>
  <si>
    <t>C01</t>
  </si>
  <si>
    <t>Record of Service</t>
  </si>
  <si>
    <t>Earnest</t>
  </si>
  <si>
    <t>Judge me by my record.</t>
  </si>
  <si>
    <t>My record speaks louder than my speeches.</t>
  </si>
  <si>
    <t>Results matter more than rhetoric.</t>
  </si>
  <si>
    <t>Look at the work, not the words.</t>
  </si>
  <si>
    <t>I let my results do the talking.</t>
  </si>
  <si>
    <t>C02</t>
  </si>
  <si>
    <t>Sincere Answer</t>
  </si>
  <si>
    <t>Fair question. Here's my honest answer.</t>
  </si>
  <si>
    <t>I won't dodge this one.</t>
  </si>
  <si>
    <t>Let me answer you directly.</t>
  </si>
  <si>
    <t>You deserve a straight reply.</t>
  </si>
  <si>
    <t>No spin. Just the truth as I see it.</t>
  </si>
  <si>
    <t>C03</t>
  </si>
  <si>
    <t>Formal Apology</t>
  </si>
  <si>
    <t>I sincerely apologize.</t>
  </si>
  <si>
    <t>I take full responsibility, and I'm sorry.</t>
  </si>
  <si>
    <t>There is no excuse. Please forgive me.</t>
  </si>
  <si>
    <t>I bow my head and ask your forgiveness.</t>
  </si>
  <si>
    <t>I owe you an apology, and I offer it.</t>
  </si>
  <si>
    <t>C04</t>
  </si>
  <si>
    <t>Return to First Principles</t>
  </si>
  <si>
    <t>Let me remind you why I serve.</t>
  </si>
  <si>
    <t>I'm here to serve, not to climb.</t>
  </si>
  <si>
    <t>Back to basics: who are we here for?</t>
  </si>
  <si>
    <t>I know exactly who I work for.</t>
  </si>
  <si>
    <t>Strip away the noise. This is what matters.</t>
  </si>
  <si>
    <t>C25</t>
  </si>
  <si>
    <t>Point to the Promise Kept</t>
  </si>
  <si>
    <t>When I make a promise, I keep it.</t>
  </si>
  <si>
    <t>My word is my bond.</t>
  </si>
  <si>
    <t>Check my promises against my results.</t>
  </si>
  <si>
    <t>Every commitment I make, I honor.</t>
  </si>
  <si>
    <t>I give my word, and it holds.</t>
  </si>
  <si>
    <t>C26</t>
  </si>
  <si>
    <t>Own the Mistake</t>
  </si>
  <si>
    <t>When I'm wrong, I say so.</t>
  </si>
  <si>
    <t>I own my mistakes, fully and publicly.</t>
  </si>
  <si>
    <t>No excuses. Accountability starts with me.</t>
  </si>
  <si>
    <t>I'd rather admit fault than hide it.</t>
  </si>
  <si>
    <t>Mistakes are human. Hiding them isn't.</t>
  </si>
  <si>
    <t>C27</t>
  </si>
  <si>
    <t>Appeal Across the Aisle</t>
  </si>
  <si>
    <t>This isn't about party. It's about people.</t>
  </si>
  <si>
    <t>My door is open to the other side.</t>
  </si>
  <si>
    <t>Let's set party aside and solve this together.</t>
  </si>
  <si>
    <t>Good ideas don't belong to one party.</t>
  </si>
  <si>
    <t>I'll work with anyone who wants results.</t>
  </si>
  <si>
    <t>C28</t>
  </si>
  <si>
    <t>Read the Letters Aloud</t>
  </si>
  <si>
    <t>This letter comes from a mother in my district.</t>
  </si>
  <si>
    <t>Let me read you a farmer's words.</t>
  </si>
  <si>
    <t>These letters are why I'm standing here.</t>
  </si>
  <si>
    <t>One student asks a simple question. Listen.</t>
  </si>
  <si>
    <t>Hundreds of letters. Listen to their words.</t>
  </si>
  <si>
    <t>C29</t>
  </si>
  <si>
    <t>Appeal to Conscience</t>
  </si>
  <si>
    <t>Let your conscience decide.</t>
  </si>
  <si>
    <t>You know in your heart this is right.</t>
  </si>
  <si>
    <t>History will judge what we do here.</t>
  </si>
  <si>
    <t>Vote as if your children were watching.</t>
  </si>
  <si>
    <t>Set aside the party line. Do what's right.</t>
  </si>
  <si>
    <t>C05</t>
  </si>
  <si>
    <t>Impassioned Speech</t>
  </si>
  <si>
    <t>Emotional</t>
  </si>
  <si>
    <t>I will not stand by while families suffer!</t>
  </si>
  <si>
    <t>This is the fight that defines us!</t>
  </si>
  <si>
    <t>Enough talk. Our people need action!</t>
  </si>
  <si>
    <t>I'll fight for this with everything I have!</t>
  </si>
  <si>
    <t>Our towns deserve better than this!</t>
  </si>
  <si>
    <t>C06</t>
  </si>
  <si>
    <t>Tearful Appeal</t>
  </si>
  <si>
    <t>Forgive me. This one is personal.</t>
  </si>
  <si>
    <t>They're not statistics. They're our neighbors.</t>
  </si>
  <si>
    <t>Every family has a story like this.</t>
  </si>
  <si>
    <t>I carry their faces with me.</t>
  </si>
  <si>
    <t>Think of your own mother, your own child.</t>
  </si>
  <si>
    <t>C07</t>
  </si>
  <si>
    <t>Rousing Applause</t>
  </si>
  <si>
    <t>Say it with me: enough is enough!</t>
  </si>
  <si>
    <t>You feel that? That's momentum!</t>
  </si>
  <si>
    <t>That's the sound of a movement!</t>
  </si>
  <si>
    <t>Let them know where you stand!</t>
  </si>
  <si>
    <t>Louder, so everyone can hear!</t>
  </si>
  <si>
    <t>C08</t>
  </si>
  <si>
    <t>Speech from the Soul</t>
  </si>
  <si>
    <t>I'm going to speak from the heart.</t>
  </si>
  <si>
    <t>Put the notes away. Here's what I believe.</t>
  </si>
  <si>
    <t>Everything I am, I owe to this land.</t>
  </si>
  <si>
    <t>I refuse to whisper when it matters.</t>
  </si>
  <si>
    <t>This is the speech I live for.</t>
  </si>
  <si>
    <t>C30</t>
  </si>
  <si>
    <t>Rally the Faithful</t>
  </si>
  <si>
    <t>Who's ready to win this thing?!</t>
  </si>
  <si>
    <t>Loyal hearts, one more push!</t>
  </si>
  <si>
    <t>You are the reason I keep fighting!</t>
  </si>
  <si>
    <t>You are the heart of this movement!</t>
  </si>
  <si>
    <t>Stand firm, friends. We can win this!</t>
  </si>
  <si>
    <t>C31</t>
  </si>
  <si>
    <t>Righteous Anger</t>
  </si>
  <si>
    <t>How dare anyone treat families this way!</t>
  </si>
  <si>
    <t>This is an outrage, and you know it!</t>
  </si>
  <si>
    <t>Shame on anyone who defends this!</t>
  </si>
  <si>
    <t>I am furious, and so are they!</t>
  </si>
  <si>
    <t>You should be ashamed of yourself!</t>
  </si>
  <si>
    <t>C32</t>
  </si>
  <si>
    <t>Raise Your Voice</t>
  </si>
  <si>
    <t>No, you will hear me out!</t>
  </si>
  <si>
    <t>I will not be shouted down!</t>
  </si>
  <si>
    <t>Let me finish! Let me finish!</t>
  </si>
  <si>
    <t>I'm raising my voice because they can't!</t>
  </si>
  <si>
    <t>Go on, try to silence me.</t>
  </si>
  <si>
    <t>C33</t>
  </si>
  <si>
    <t>Refuse to Yield</t>
  </si>
  <si>
    <t>I will not yield. Full stop.</t>
  </si>
  <si>
    <t>Knock me down. I'll get back up.</t>
  </si>
  <si>
    <t>Count me out at your peril.</t>
  </si>
  <si>
    <t>Underestimate me. See what happens.</t>
  </si>
  <si>
    <t>Not one step back. Not one inch.</t>
  </si>
  <si>
    <t>C34</t>
  </si>
  <si>
    <t>Bring the Room to Its Feet</t>
  </si>
  <si>
    <t>Rise with me, and let's finish this!</t>
  </si>
  <si>
    <t>This is our chance! Take it!</t>
  </si>
  <si>
    <t>Together, nothing can stop us!</t>
  </si>
  <si>
    <t>Tell them who we are!</t>
  </si>
  <si>
    <t>The whole country is watching. Show them!</t>
  </si>
  <si>
    <t>C09</t>
  </si>
  <si>
    <t>Call for Unity</t>
  </si>
  <si>
    <t>Appeal</t>
  </si>
  <si>
    <t>We are stronger standing together.</t>
  </si>
  <si>
    <t>Let's leave the infighting to others.</t>
  </si>
  <si>
    <t>One purpose, one voice, one people.</t>
  </si>
  <si>
    <t>Whatever divides us, this unites us.</t>
  </si>
  <si>
    <t>Stand with me, and stand with each other.</t>
  </si>
  <si>
    <t>C10</t>
  </si>
  <si>
    <t>Voice of the Hometown</t>
  </si>
  <si>
    <t>Where I'm from, neighbors look out for each other.</t>
  </si>
  <si>
    <t>My hometown's values guide every decision.</t>
  </si>
  <si>
    <t>Ask anyone on Main Street. They'll tell you.</t>
  </si>
  <si>
    <t>I speak for the people of my district.</t>
  </si>
  <si>
    <t>Small towns are this country's backbone.</t>
  </si>
  <si>
    <t>C11</t>
  </si>
  <si>
    <t>Work the Room First</t>
  </si>
  <si>
    <t>I believe we understand each other.</t>
  </si>
  <si>
    <t>We're more agreed than it appears.</t>
  </si>
  <si>
    <t>Let's not pretend we're far apart.</t>
  </si>
  <si>
    <t>You know where I stand, and why.</t>
  </si>
  <si>
    <t>Everyone here wants the same outcome.</t>
  </si>
  <si>
    <t>C12</t>
  </si>
  <si>
    <t>Ask Who's With You</t>
  </si>
  <si>
    <t>So tell me. Who's with me?</t>
  </si>
  <si>
    <t>Let's see where everyone stands.</t>
  </si>
  <si>
    <t>I need to know who I can count on.</t>
  </si>
  <si>
    <t>Tell me honestly: are you in?</t>
  </si>
  <si>
    <t>Let's take the temperature of the room.</t>
  </si>
  <si>
    <t>C35</t>
  </si>
  <si>
    <t>Invoke Party Discipline</t>
  </si>
  <si>
    <t>Our party speaks with one voice on this.</t>
  </si>
  <si>
    <t>Remember whose banner you stand under.</t>
  </si>
  <si>
    <t>Unity isn't optional on this one.</t>
  </si>
  <si>
    <t>Break ranks, and it will be remembered.</t>
  </si>
  <si>
    <t>The party's position is settled. We stand together.</t>
  </si>
  <si>
    <t>C36</t>
  </si>
  <si>
    <t>Offer a Private Word</t>
  </si>
  <si>
    <t>Walk with me, just the two of us.</t>
  </si>
  <si>
    <t>Between us, I think we can work something out.</t>
  </si>
  <si>
    <t>Lean in. This is just for you.</t>
  </si>
  <si>
    <t>Let's keep this conversation private.</t>
  </si>
  <si>
    <t>C37</t>
  </si>
  <si>
    <t>Call for Common Cause</t>
  </si>
  <si>
    <t>Our goals are closer than you think.</t>
  </si>
  <si>
    <t>Let's build something neither of us could alone.</t>
  </si>
  <si>
    <t>Join us, and we all come out ahead.</t>
  </si>
  <si>
    <t>Different paths, same destination. Walk with us.</t>
  </si>
  <si>
    <t>There's room at this table for everyone.</t>
  </si>
  <si>
    <t>C38</t>
  </si>
  <si>
    <t>Call In a Favor</t>
  </si>
  <si>
    <t>One good turn deserves another.</t>
  </si>
  <si>
    <t>Friends stand by friends. Stand by me.</t>
  </si>
  <si>
    <t>This is where loyalty counts.</t>
  </si>
  <si>
    <t>I'm asking you, as a friend.</t>
  </si>
  <si>
    <t>You know what our friendship is worth.</t>
  </si>
  <si>
    <t>C39</t>
  </si>
  <si>
    <t>We Have the Votes</t>
  </si>
  <si>
    <t>Count them yourself. We have the votes.</t>
  </si>
  <si>
    <t>The numbers are on our side.</t>
  </si>
  <si>
    <t>The outcome is decided. You can join us.</t>
  </si>
  <si>
    <t>C13</t>
  </si>
  <si>
    <t>Present the Stats</t>
  </si>
  <si>
    <t>Data Driven</t>
  </si>
  <si>
    <t>Let's look at the actual numbers.</t>
  </si>
  <si>
    <t>The data tells a different story.</t>
  </si>
  <si>
    <t>Here's the chart. Explain this line.</t>
  </si>
  <si>
    <t>Facts don't care about talking points.</t>
  </si>
  <si>
    <t>The statistics speak for themselves.</t>
  </si>
  <si>
    <t>C14</t>
  </si>
  <si>
    <t>Document Request</t>
  </si>
  <si>
    <t>I'd like the full report on the record.</t>
  </si>
  <si>
    <t>Please submit the original documents.</t>
  </si>
  <si>
    <t>Show us the paperwork, please.</t>
  </si>
  <si>
    <t>We request all related correspondence.</t>
  </si>
  <si>
    <t>Produce the receipts, please.</t>
  </si>
  <si>
    <t>C15</t>
  </si>
  <si>
    <t>Pursue the Contradiction</t>
  </si>
  <si>
    <t>Which is it? You can't have both.</t>
  </si>
  <si>
    <t>Your position contradicts itself.</t>
  </si>
  <si>
    <t>You're arguing both sides of this.</t>
  </si>
  <si>
    <t>Your words and your plan don't match.</t>
  </si>
  <si>
    <t>Pick one position and defend it.</t>
  </si>
  <si>
    <t>C16</t>
  </si>
  <si>
    <t>Table the White Paper</t>
  </si>
  <si>
    <t>Two hundred pages of evidence. Read them.</t>
  </si>
  <si>
    <t>Our findings are published. Refute them.</t>
  </si>
  <si>
    <t>Every claim here is sourced and verified.</t>
  </si>
  <si>
    <t>This white paper answers your question.</t>
  </si>
  <si>
    <t>The research is thorough. The case is closed.</t>
  </si>
  <si>
    <t>C40</t>
  </si>
  <si>
    <t>Question the Funding</t>
  </si>
  <si>
    <t>Who pays for this proposal?</t>
  </si>
  <si>
    <t>Follow the donations, and it all makes sense.</t>
  </si>
  <si>
    <t>Where does this money actually come from?</t>
  </si>
  <si>
    <t>Who benefits most? Follow that thread.</t>
  </si>
  <si>
    <t>Disclose the funding, and we'll talk.</t>
  </si>
  <si>
    <t>C41</t>
  </si>
  <si>
    <t>Set the Record Straight</t>
  </si>
  <si>
    <t>Allow me to correct the record.</t>
  </si>
  <si>
    <t>For accuracy, here are the real figures.</t>
  </si>
  <si>
    <t>Let's clear up a misunderstanding.</t>
  </si>
  <si>
    <t>The facts, plainly stated, are these.</t>
  </si>
  <si>
    <t>Precision matters. Here's the accurate version.</t>
  </si>
  <si>
    <t>C42</t>
  </si>
  <si>
    <t>Press for a Straight Answer</t>
  </si>
  <si>
    <t>Yes or no? It's a simple question.</t>
  </si>
  <si>
    <t>Answer the question, please.</t>
  </si>
  <si>
    <t>A simple question: will you commit?</t>
  </si>
  <si>
    <t>Lots of words. No answer.</t>
  </si>
  <si>
    <t>Stop dodging and answer plainly.</t>
  </si>
  <si>
    <t>C43</t>
  </si>
  <si>
    <t>Check Their Facts</t>
  </si>
  <si>
    <t>Source, please?</t>
  </si>
  <si>
    <t>Where's your evidence?</t>
  </si>
  <si>
    <t>Speak with facts, not guesses.</t>
  </si>
  <si>
    <t>Facts, not feelings, please.</t>
  </si>
  <si>
    <t>Let's verify that, shall we?</t>
  </si>
  <si>
    <t>C44</t>
  </si>
  <si>
    <t>Demand an Outside Review</t>
  </si>
  <si>
    <t>Let an independent panel decide.</t>
  </si>
  <si>
    <t>If you're innocent, welcome the inquiry.</t>
  </si>
  <si>
    <t>Bring in outside eyes on this.</t>
  </si>
  <si>
    <t>Why fear an audit if nothing's wrong?</t>
  </si>
  <si>
    <t>Only an impartial investigator can settle this.</t>
  </si>
  <si>
    <t>C17</t>
  </si>
  <si>
    <t>Labeling</t>
  </si>
  <si>
    <t>Divisive</t>
  </si>
  <si>
    <t>You are a shill for special interests!</t>
  </si>
  <si>
    <t>Typical out-of-touch elitist.</t>
  </si>
  <si>
    <t>A true radical, through and through.</t>
  </si>
  <si>
    <t>The establishment's favorite puppet.</t>
  </si>
  <si>
    <t>Another career politician, protecting their own.</t>
  </si>
  <si>
    <t>C18</t>
  </si>
  <si>
    <t>Drawing Battle Lines</t>
  </si>
  <si>
    <t>There are two sides here. Pick one.</t>
  </si>
  <si>
    <t>They stand for themselves. We stand for you.</t>
  </si>
  <si>
    <t>It's us against them, plain and simple.</t>
  </si>
  <si>
    <t>You're either with the people or against them.</t>
  </si>
  <si>
    <t>On one side, workers. On the other, them.</t>
  </si>
  <si>
    <t>C19</t>
  </si>
  <si>
    <t>Agitation</t>
  </si>
  <si>
    <t>They're taking what's yours. Will you let them?</t>
  </si>
  <si>
    <t>Wake up! They're laughing at you!</t>
  </si>
  <si>
    <t>They think you won't fight back.</t>
  </si>
  <si>
    <t>Your jobs, your homes. They want it all.</t>
  </si>
  <si>
    <t>Will you let them walk all over you?</t>
  </si>
  <si>
    <t>C20</t>
  </si>
  <si>
    <t>Loyalty Test</t>
  </si>
  <si>
    <t>Oppose this, and you're not one of us.</t>
  </si>
  <si>
    <t>Prove whose side you're really on.</t>
  </si>
  <si>
    <t>Step forward, or step aside.</t>
  </si>
  <si>
    <t>Your choice here shows your true colors.</t>
  </si>
  <si>
    <t>No fence-sitting. Choose.</t>
  </si>
  <si>
    <t>C45</t>
  </si>
  <si>
    <t>Name and Shame</t>
  </si>
  <si>
    <t>Everyone here should know your name.</t>
  </si>
  <si>
    <t>I'll say your name so people remember.</t>
  </si>
  <si>
    <t>Let the public judge what you stand for.</t>
  </si>
  <si>
    <t>Remember this face. Remember this name.</t>
  </si>
  <si>
    <t>Shame on you, and everyone should know it.</t>
  </si>
  <si>
    <t>C46</t>
  </si>
  <si>
    <t>Force the Choice</t>
  </si>
  <si>
    <t>Farmers or foreign interests. Choose.</t>
  </si>
  <si>
    <t>Yes or no. There is no middle.</t>
  </si>
  <si>
    <t>Either you back our workers, or you don't.</t>
  </si>
  <si>
    <t>You can't serve two masters. Choose one.</t>
  </si>
  <si>
    <t>Pick a side. The voters are watching.</t>
  </si>
  <si>
    <t>C47</t>
  </si>
  <si>
    <t>Question Their Loyalty</t>
  </si>
  <si>
    <t>Who do you really answer to?</t>
  </si>
  <si>
    <t>You sound more like them than us.</t>
  </si>
  <si>
    <t>Are you truly one of us?</t>
  </si>
  <si>
    <t>Some here forget who they serve.</t>
  </si>
  <si>
    <t>I wonder who's really writing your speeches.</t>
  </si>
  <si>
    <t>C48</t>
  </si>
  <si>
    <t>Media Appeal</t>
  </si>
  <si>
    <t>Let the whole country hear this.</t>
  </si>
  <si>
    <t>The public deserves to know this.</t>
  </si>
  <si>
    <t>Everyone should hear what they're hiding.</t>
  </si>
  <si>
    <t>Spread the word: they can't be trusted.</t>
  </si>
  <si>
    <t>Repeat this everywhere. Let people decide.</t>
  </si>
  <si>
    <t>C49</t>
  </si>
  <si>
    <t>Declare Them Unfit</t>
  </si>
  <si>
    <t>You are unfit to hold this office.</t>
  </si>
  <si>
    <t>You don't have the nation's confidence.</t>
  </si>
  <si>
    <t>Step aside for someone who can lead.</t>
  </si>
  <si>
    <t>You are failing the people you serve.</t>
  </si>
  <si>
    <t>Resign, and spare the country the shame.</t>
  </si>
  <si>
    <t>C21</t>
  </si>
  <si>
    <t>Iridescent Answer</t>
  </si>
  <si>
    <t>Duplicitous</t>
  </si>
  <si>
    <t>There's truth on every side of this.</t>
  </si>
  <si>
    <t>I support the spirit of both positions.</t>
  </si>
  <si>
    <t>It's complicated, and I respect all views.</t>
  </si>
  <si>
    <t>We'll find a balance that pleases everyone.</t>
  </si>
  <si>
    <t>I'm for progress, and also for caution.</t>
  </si>
  <si>
    <t>C22</t>
  </si>
  <si>
    <t>"I Have No Recollection"</t>
  </si>
  <si>
    <t>I have no recollection of that.</t>
  </si>
  <si>
    <t>I don't recall any such thing.</t>
  </si>
  <si>
    <t>That doesn't ring a bell.</t>
  </si>
  <si>
    <t>I can neither confirm nor deny that.</t>
  </si>
  <si>
    <t>I'd have to check my calendar.</t>
  </si>
  <si>
    <t>C23</t>
  </si>
  <si>
    <t>Shifting the Issue</t>
  </si>
  <si>
    <t>Let's talk about what really matters.</t>
  </si>
  <si>
    <t>That's a distraction from the actual issue.</t>
  </si>
  <si>
    <t>Interesting, but consider the bigger picture.</t>
  </si>
  <si>
    <t>Why not ask them the same question?</t>
  </si>
  <si>
    <t>C24</t>
  </si>
  <si>
    <t>Offer a Quiet Assurance</t>
  </si>
  <si>
    <t>Rest assured, you'll be taken care of.</t>
  </si>
  <si>
    <t>Nothing in writing, but consider it done.</t>
  </si>
  <si>
    <t>Let's just say your concerns are understood.</t>
  </si>
  <si>
    <t>Support me, and I'll remember it.</t>
  </si>
  <si>
    <t>My friends are well looked after.</t>
  </si>
  <si>
    <t>C50</t>
  </si>
  <si>
    <t>Take It Under Advisement</t>
  </si>
  <si>
    <t>We will consider that positively.</t>
  </si>
  <si>
    <t>I'll take it under advisement.</t>
  </si>
  <si>
    <t>That matter is under review.</t>
  </si>
  <si>
    <t>We're studying all options carefully.</t>
  </si>
  <si>
    <t>A committee will look into it.</t>
  </si>
  <si>
    <t>C51</t>
  </si>
  <si>
    <t>Feed the Press a Line</t>
  </si>
  <si>
    <t>You didn't hear it from me, but...</t>
  </si>
  <si>
    <t>Ask them about their friends in business.</t>
  </si>
  <si>
    <t>There's more to this story. Keep digging.</t>
  </si>
  <si>
    <t>I'd look into that, if I were you.</t>
  </si>
  <si>
    <t>C52</t>
  </si>
  <si>
    <t>Drown Them in Detail</t>
  </si>
  <si>
    <t>Per subsection four, paragraph two, clause B...</t>
  </si>
  <si>
    <t>As outlined in appendix nine, footnote thirty...</t>
  </si>
  <si>
    <t>It depends on seventeen interlocking variables.</t>
  </si>
  <si>
    <t>The technical framework is quite involved, actually.</t>
  </si>
  <si>
    <t>Let me walk you through all forty provisions.</t>
  </si>
  <si>
    <t>C53</t>
  </si>
  <si>
    <t>Tell the Room What It Wants</t>
  </si>
  <si>
    <t>Of course I'm with you on this.</t>
  </si>
  <si>
    <t>You and I see this exactly the same.</t>
  </si>
  <si>
    <t>I champion your cause, wholeheartedly.</t>
  </si>
  <si>
    <t>Your concerns are my top priority.</t>
  </si>
  <si>
    <t>Nobody fights harder for people like you.</t>
  </si>
  <si>
    <t>C54</t>
  </si>
  <si>
    <t>Off the Record</t>
  </si>
  <si>
    <t>Between us, here's how it really is.</t>
  </si>
  <si>
    <t>Don't repeat this, but...</t>
  </si>
  <si>
    <t>No names, no notes. Understood?</t>
  </si>
  <si>
    <t>This stays in the room.</t>
  </si>
  <si>
    <t>You can't quote me, but here's the truth.</t>
  </si>
  <si>
    <t>Coliseum of Parliament — Starter Card &amp; Stage Data</t>
  </si>
  <si>
    <t>Purpose</t>
  </si>
  <si>
    <t>Source-of-truth data for the rhetoric card battler (Godot). Each tab is one data table the engine reads. IDs are the join keys across tabs (see the ID-prefix list below) — keep IDs stable, rename display text freely.</t>
  </si>
  <si>
    <t>Status</t>
  </si>
  <si>
    <t>MASTER (v9.22.26 lineage). Boosters, Modifiers, Levels, Staff, Shop and the 101-opponent Opponents roster are filled in; every Combat-mode stage (ST01–ST06, ST08–ST21) has at least one opponent, several opponents appear in more than one stage by design, and ST07 (Office Hours) is intentionally Non-combat and has none. Canon fields still trace back to the Lore Databook; several fields below are flagged as open design decisions rather than final numbers.</t>
  </si>
  <si>
    <t>TAB GUIDE</t>
  </si>
  <si>
    <t>Balance</t>
  </si>
  <si>
    <t>Global tuning levers (deck shares, XP/Yen scaling, committee sizing) that formulas elsewhere in the workbook reference. 8 levers.</t>
  </si>
  <si>
    <t>Suits</t>
  </si>
  <si>
    <t>The 6 canonical rhetorical Elements/suits (Earnest, Emotional, Appeal, Data Driven, Divisive, Duplicitous) with EN (join key) and JP display names. Referenced by Cards, Opponents, Flavor Text, Affinity and the 5 Question tabs.</t>
  </si>
  <si>
    <t>Stages</t>
  </si>
  <si>
    <t>21 stages (ST01–ST21): 20 Combat + 1 Non-combat (ST07 Office Hours). Per-stage combat stats, audience-segment mix, favored suit (formula, reads Affinity), and win/loss deltas to Jiban/Yen/Reputation/XP/Party support.</t>
  </si>
  <si>
    <t>Levels</t>
  </si>
  <si>
    <t>30 levels (LV01–LV30: Tier 1 and Tier 2). Sequences 1–10 stages per level by Stage ID, XP unlock cost by Policy Research Assistant tier, bonus win-reward ranges, and per-level Win Δ for each of the 16 boosters (BO01–BO16).</t>
  </si>
  <si>
    <t>Affinity</t>
  </si>
  <si>
    <t>Suit × Stage power-multiplier grid; feeds each Stage's 'Favored suit' formula.</t>
  </si>
  <si>
    <t>Cards</t>
  </si>
  <si>
    <t>54 cards (Card ID C01–C54), 9 per suit. Core stats (Cost/Self+/Opp−/Guard/Draw/Gaffe) plus a Special/Special value/Special note trio encoding conditional effects (see the Claude Code data guide for the dispatch keys).</t>
  </si>
  <si>
    <t>Segments</t>
  </si>
  <si>
    <t>5 audience segments (Press, Party Members, Constituents, Donors, Bureaucrats/Other) with starting favorability; Stages mix these, Cards target them.</t>
  </si>
  <si>
    <t>Modifiers</t>
  </si>
  <si>
    <t>31 modifiers (M01–M31), one or more per booster group. Effect is the human-readable description; Effect Type/Target/Value are the machine-readable columns Godot should read instead of parsing the prose.</t>
  </si>
  <si>
    <t>Boosters</t>
  </si>
  <si>
    <t>16 booster/organization groups (BO01–BO16) across Party/Constituency/National tiers, each with a comma-separated Linked modifiers list pointing into Modifiers.</t>
  </si>
  <si>
    <t>Shop</t>
  </si>
  <si>
    <t>26 shop items (SH01–SH26): XP-cost, Yen-cost and up to two free-text Bonus Condition fields (staff-tier discounts, stacking buffs, etc.).</t>
  </si>
  <si>
    <t>Staff</t>
  </si>
  <si>
    <t>21 hireable staff rows (SF01–SF21) across 3 roles (Policy Research Assistant, Media Spokesperson, District Representative) × starting/upgrade tier combinations, each with free-text Tier 0/1/2 Reward strings in a '+N for &lt;ID&gt;' pattern.</t>
  </si>
  <si>
    <t>Opponents</t>
  </si>
  <si>
    <t>125 opponents (OP01–OP125): Title/Gender/Party/Affiliation, up to 3 ranked suits, and Intent Pattern Range for Attack/Gain/Block (range-string battle AI, '0' = never uses that move). Stage is a semicolon-separated list — most opponents fight in several stages.</t>
  </si>
  <si>
    <t>Sanban</t>
  </si>
  <si>
    <t>The 4 core meta-variables (Jiban/Constituency support, Reputation, Funds/Yen, Party support): start value, min/max, and low/high threshold consequences (some reference specific Level IDs by name in free text).</t>
  </si>
  <si>
    <t>Text</t>
  </si>
  <si>
    <t>200-row i18n string catalog (Key/Where/English/Placeholders/Notes) — this is the actual in-game string table, with {placeholder} tokens. Includes explicit 'not built yet' copy for unfinished systems and a reference to an external rules.json default AI pattern.</t>
  </si>
  <si>
    <t>Flavor Text</t>
  </si>
  <si>
    <t>Per-card (C01–C54) dialogue cues by suit, plus live word-count formulas (W1–W5, Max words) — no code needed for the word counts, they're already formulas.</t>
  </si>
  <si>
    <t>Tone Guide</t>
  </si>
  <si>
    <t>Per-suit voice/register rules for writing Flavor Text cues, plus 5 numbered house-style writing rules.</t>
  </si>
  <si>
    <t>Press Questions</t>
  </si>
  <si>
    <t>20 press-conference questions (Q ID) with per-suit S/M/W fit grades, a live 'Strong suits' COUNTIF formula, a live word-count formula, and 3 live sample-answer formulas pulling from Cards.</t>
  </si>
  <si>
    <t>Town Hall Questions</t>
  </si>
  <si>
    <t>Same structure as Press Questions, for the Town Hall stage type.</t>
  </si>
  <si>
    <t>Lobbyist Questions</t>
  </si>
  <si>
    <t>Same structure as Press Questions, for the Lobbyist Meeting stage type.</t>
  </si>
  <si>
    <t>Study Session Questions</t>
  </si>
  <si>
    <t>Same structure as Press Questions, for the Policy Study Session stage type.</t>
  </si>
  <si>
    <t>Media Ambush Questions</t>
  </si>
  <si>
    <t>Same structure as Press Questions, for the Media Ambush stage type.</t>
  </si>
  <si>
    <t>Question Themes</t>
  </si>
  <si>
    <t>69 question themes, each linked to a Booster ID and a comma-separated 'Asked in' list.</t>
  </si>
  <si>
    <t>COLOR KEY</t>
  </si>
  <si>
    <t>Blue text</t>
  </si>
  <si>
    <t>Hardcoded input — edit freely.</t>
  </si>
  <si>
    <t>Black text</t>
  </si>
  <si>
    <t>Formula — do not overwrite.</t>
  </si>
  <si>
    <t>Green text</t>
  </si>
  <si>
    <t>Direct link to another tab.</t>
  </si>
  <si>
    <t>Yellow fill</t>
  </si>
  <si>
    <t>Open design decision — needs your call.</t>
  </si>
  <si>
    <t>KNOWN GAPS / OPEN ITEMS</t>
  </si>
  <si>
    <t>S/M/W grades</t>
  </si>
  <si>
    <t>The 5 Question tabs grade each question S/M/W per suit, but no tab defines the numeric multiplier each grade should apply to a player's answer score. Needs a design call before it can be coded.</t>
  </si>
  <si>
    <t>Booster effect coverage</t>
  </si>
  <si>
    <t>The Text tab's office.not_active_yet string says "six of the fifteen organisations' effects need machinery that is not built" — written when Boosters had 15 rows; there are 16 now (BO01–BO16). Re-check which boosters that note still applies to.</t>
  </si>
  <si>
    <t>Flavor Text cue weighting</t>
  </si>
  <si>
    <t>An earlier design pass specified opponent dialogue should pull Flavor Text cues from a primary/secondary/tertiary/quaternary suit at 55/30/10/5%, assuming 4 ranked suits per opponent. The Opponents tab only ranks 3 suits (Suit 1–3) — that weighting needs to be redone as a 3-way split (or Opponents needs a 4th suit column) before it can drive dialogue selection.</t>
  </si>
  <si>
    <t>Question Themes stage keys</t>
  </si>
  <si>
    <t>Question Themes' 'Asked in' column uses snake_case stage-type keys (town_hall, media_ambush, lobbyist_meeting, press_conference, policy_study) instead of STxx IDs. A mapping table is needed before code can join Question Themes to Stages/Opponents by ID.</t>
  </si>
  <si>
    <t>Lever</t>
  </si>
  <si>
    <t>Value</t>
  </si>
  <si>
    <t>Note</t>
  </si>
  <si>
    <t>W_self (own support gain)</t>
  </si>
  <si>
    <t>Weight in Power Score</t>
  </si>
  <si>
    <t>W_opp (opponent support loss)</t>
  </si>
  <si>
    <t>Swing value &gt; self gain: it moves the relative gap directly</t>
  </si>
  <si>
    <t>W_guard (block)</t>
  </si>
  <si>
    <t>Block only matters if opponent attacks</t>
  </si>
  <si>
    <t>W_draw (per card drawn)</t>
  </si>
  <si>
    <t>Card advantage</t>
  </si>
  <si>
    <t>W_gaffe (失言 penalty per point)</t>
  </si>
  <si>
    <t>Risk cost of gaffe meter</t>
  </si>
  <si>
    <t>Starter deck size</t>
  </si>
  <si>
    <t>Player and default opponent deck size</t>
  </si>
  <si>
    <t>Primary suit share</t>
  </si>
  <si>
    <t>Opponent deck share from Element 1</t>
  </si>
  <si>
    <t>Secondary suit share</t>
  </si>
  <si>
    <t>Opponent deck share from Element 2</t>
  </si>
  <si>
    <t>Jiban: town hall trigger (≤)</t>
  </si>
  <si>
    <t>Constituency support at or below this inserts a Town Hall into the level queue.</t>
  </si>
  <si>
    <t>Party support: funding freeze (≤)</t>
  </si>
  <si>
    <t>Party support at or below this freezes Funds income until it rises back above.</t>
  </si>
  <si>
    <t>Party support: steering committee (&lt;)</t>
  </si>
  <si>
    <t>Party support below this inserts the Steering Committee check-in (ST22) into the level queue.</t>
  </si>
  <si>
    <t>Party support: allied buff (&gt;)</t>
  </si>
  <si>
    <t>Party support above this grants M09 (Party Backing) free, on top of anything owned.</t>
  </si>
  <si>
    <t>Party support: debuff (&lt;)</t>
  </si>
  <si>
    <t>Party support below this grants M10 (Cold Shoulder) free, on top of anything owned.</t>
  </si>
  <si>
    <t>Gaffes: lifetime penalty threshold</t>
  </si>
  <si>
    <t>Lifetime gaffes at or above this apply the one-time Jiban penalty below.</t>
  </si>
  <si>
    <t>Gaffes: lifetime penalty jiban delta</t>
  </si>
  <si>
    <t>Applied once, the moment lifetime gaffes cross the threshold above.</t>
  </si>
  <si>
    <t>player_id</t>
  </si>
  <si>
    <t>name_en</t>
  </si>
  <si>
    <t>party</t>
  </si>
  <si>
    <t>blurb</t>
  </si>
  <si>
    <t>Constituency support</t>
  </si>
  <si>
    <t>Reputation</t>
  </si>
  <si>
    <t>Funds</t>
  </si>
  <si>
    <t>Party support</t>
  </si>
  <si>
    <t>starting_xp</t>
  </si>
  <si>
    <t>Gender</t>
  </si>
  <si>
    <t>Committee</t>
  </si>
  <si>
    <t>Positioning</t>
  </si>
  <si>
    <t>Element 1</t>
  </si>
  <si>
    <t>Element 2</t>
  </si>
  <si>
    <t>Region</t>
  </si>
  <si>
    <t>District Name</t>
  </si>
  <si>
    <t>District Type</t>
  </si>
  <si>
    <t>PC01</t>
  </si>
  <si>
    <t>Kenshin Sako</t>
  </si>
  <si>
    <t>Frontier Party</t>
  </si>
  <si>
    <t>A strong footing to begin with. Easy difficulty.</t>
  </si>
  <si>
    <t>M</t>
  </si>
  <si>
    <t>Committee on Ethics and Prosecution</t>
  </si>
  <si>
    <t>Liberal</t>
  </si>
  <si>
    <t>Sōya</t>
  </si>
  <si>
    <t>Sōya - Wakkanai</t>
  </si>
  <si>
    <t>Single Member</t>
  </si>
  <si>
    <t>PC02</t>
  </si>
  <si>
    <t>Haru Yashi</t>
  </si>
  <si>
    <t>A steady start. Normal difficulty.</t>
  </si>
  <si>
    <t>F</t>
  </si>
  <si>
    <t>Committee on Foreign Affairs</t>
  </si>
  <si>
    <t>Nationalist</t>
  </si>
  <si>
    <t>Iburi</t>
  </si>
  <si>
    <t>Tomakomai City</t>
  </si>
  <si>
    <t>PC03</t>
  </si>
  <si>
    <t>Edward Grinner</t>
  </si>
  <si>
    <t>Keizaijiyuutou</t>
  </si>
  <si>
    <t>An uphill climb from day one. Hard difficulty.</t>
  </si>
  <si>
    <t>Committee on Construction and Development</t>
  </si>
  <si>
    <t>Technocratic</t>
  </si>
  <si>
    <t>Kushiro</t>
  </si>
  <si>
    <t>Kushiro Proportional Block 4</t>
  </si>
  <si>
    <t>Proportional Block</t>
  </si>
  <si>
    <t>PC04</t>
  </si>
  <si>
    <t>Jurou Nishihara</t>
  </si>
  <si>
    <t>Country Initiative</t>
  </si>
  <si>
    <t>Already in crisis before your first vote. Very Hard difficulty.</t>
  </si>
  <si>
    <t>Committee on the National Assembly</t>
  </si>
  <si>
    <t>Traditionalist</t>
  </si>
  <si>
    <t>Aomori</t>
  </si>
  <si>
    <t>Aomori Proportional Block 3</t>
  </si>
  <si>
    <t>notice_id</t>
  </si>
  <si>
    <t>slot</t>
  </si>
  <si>
    <t>condition_type</t>
  </si>
  <si>
    <t>condition_target</t>
  </si>
  <si>
    <t>condition_op</t>
  </si>
  <si>
    <t>condition_value</t>
  </si>
  <si>
    <t>text_en</t>
  </si>
  <si>
    <t>ON01</t>
  </si>
  <si>
    <t>staff_greeting</t>
  </si>
  <si>
    <t>staff_role</t>
  </si>
  <si>
    <t>District Representative</t>
  </si>
  <si>
    <t>hired</t>
  </si>
  <si>
    <t>{staff} is greeting visitors.</t>
  </si>
  <si>
    <t>ON02</t>
  </si>
  <si>
    <t>not_hired</t>
  </si>
  <si>
    <t>No one is at the front desk to greet visitors.</t>
  </si>
  <si>
    <t>ON03</t>
  </si>
  <si>
    <t>press</t>
  </si>
  <si>
    <t>meta</t>
  </si>
  <si>
    <t>&lt;</t>
  </si>
  <si>
    <t>ON04</t>
  </si>
  <si>
    <t>&gt;=</t>
  </si>
  <si>
    <t>Element (canon)</t>
  </si>
  <si>
    <t>Suit (JP)</t>
  </si>
  <si>
    <t>Romaji</t>
  </si>
  <si>
    <t>Gloss</t>
  </si>
  <si>
    <t>Card Design Template</t>
  </si>
  <si>
    <t>誠実</t>
  </si>
  <si>
    <t>Seijitsu</t>
  </si>
  <si>
    <t>sincerity</t>
  </si>
  <si>
    <t>Sumo</t>
  </si>
  <si>
    <t>情熱</t>
  </si>
  <si>
    <t>Jōnetsu</t>
  </si>
  <si>
    <t>passion</t>
  </si>
  <si>
    <t>Sakura</t>
  </si>
  <si>
    <t>求心</t>
  </si>
  <si>
    <t>Kyūshin</t>
  </si>
  <si>
    <t>rallying pull</t>
  </si>
  <si>
    <t>Ukiyoe</t>
  </si>
  <si>
    <t>実証</t>
  </si>
  <si>
    <t>Jisshō</t>
  </si>
  <si>
    <t>evidence</t>
  </si>
  <si>
    <t>Shoji</t>
  </si>
  <si>
    <t>分断</t>
  </si>
  <si>
    <t>Bundan</t>
  </si>
  <si>
    <t>division</t>
  </si>
  <si>
    <t>Castle</t>
  </si>
  <si>
    <t>二枚舌</t>
  </si>
  <si>
    <t>Nimaijita</t>
  </si>
  <si>
    <t>two tongues</t>
  </si>
  <si>
    <t>Ninja</t>
  </si>
  <si>
    <t>Stage ID</t>
  </si>
  <si>
    <t>Stage (EN)</t>
  </si>
  <si>
    <t>Stage (JP)</t>
  </si>
  <si>
    <t>Mode</t>
  </si>
  <si>
    <t>Bar unit</t>
  </si>
  <si>
    <t>Bar value</t>
  </si>
  <si>
    <t>Bar max</t>
  </si>
  <si>
    <t>Win threshold</t>
  </si>
  <si>
    <t>Win %</t>
  </si>
  <si>
    <t>Turn limit</t>
  </si>
  <si>
    <t>持ち時間 / turn (energy)</t>
  </si>
  <si>
    <t>Hand size</t>
  </si>
  <si>
    <t>失言 gaffe limit</t>
  </si>
  <si>
    <t>Player start</t>
  </si>
  <si>
    <t>Opp start</t>
  </si>
  <si>
    <t>% Press</t>
  </si>
  <si>
    <t>% Party Members</t>
  </si>
  <si>
    <t>% Constituents</t>
  </si>
  <si>
    <t>% Donors</t>
  </si>
  <si>
    <t>% Bureaucrats</t>
  </si>
  <si>
    <t>% Other</t>
  </si>
  <si>
    <t>Segment check</t>
  </si>
  <si>
    <t>Favored suit</t>
  </si>
  <si>
    <t>Win ΔJiban</t>
  </si>
  <si>
    <t>Win ΔYen</t>
  </si>
  <si>
    <t>Win ΔReputation</t>
  </si>
  <si>
    <t>Win ΔXP</t>
  </si>
  <si>
    <t>Win ΔParty support</t>
  </si>
  <si>
    <t>Loss ΔJiban</t>
  </si>
  <si>
    <t>Loss ΔYen</t>
  </si>
  <si>
    <t>Loss ΔReputation</t>
  </si>
  <si>
    <t>Loss ΔXP</t>
  </si>
  <si>
    <t>Loss ΔParty support</t>
  </si>
  <si>
    <t>Bar Model</t>
  </si>
  <si>
    <t>Energy Mode</t>
  </si>
  <si>
    <t>Energy Pool</t>
  </si>
  <si>
    <t>Sequence Mode</t>
  </si>
  <si>
    <t>Opponent Count</t>
  </si>
  <si>
    <t>Question Pool</t>
  </si>
  <si>
    <t>Reputation Affects Start</t>
  </si>
  <si>
    <t>Reveal In Briefing</t>
  </si>
  <si>
    <t>Loss Ends Level</t>
  </si>
  <si>
    <t>ST01</t>
  </si>
  <si>
    <t>Special Committee</t>
  </si>
  <si>
    <t>特別委員会</t>
  </si>
  <si>
    <t>Tokubetsu Iinkai</t>
  </si>
  <si>
    <t>Combat</t>
  </si>
  <si>
    <t>Members</t>
  </si>
  <si>
    <t>Numerical</t>
  </si>
  <si>
    <t>Shared_pool</t>
  </si>
  <si>
    <t>per_turn</t>
  </si>
  <si>
    <t>reset</t>
  </si>
  <si>
    <t>3</t>
  </si>
  <si>
    <t>No</t>
  </si>
  <si>
    <t>ST02</t>
  </si>
  <si>
    <t>Floor Debate</t>
  </si>
  <si>
    <t>本会議</t>
  </si>
  <si>
    <t>Honkaigi</t>
  </si>
  <si>
    <t>Seats</t>
  </si>
  <si>
    <t>single</t>
  </si>
  <si>
    <t>1</t>
  </si>
  <si>
    <t>ST03</t>
  </si>
  <si>
    <t>Party Caucus</t>
  </si>
  <si>
    <t>議員総会</t>
  </si>
  <si>
    <t>Giin Sōkai</t>
  </si>
  <si>
    <t>Support</t>
  </si>
  <si>
    <t>Percentage</t>
  </si>
  <si>
    <t>ST04</t>
  </si>
  <si>
    <t>Press Conference</t>
  </si>
  <si>
    <t>記者会見</t>
  </si>
  <si>
    <t>Kisha Kaiken</t>
  </si>
  <si>
    <t>Press tone</t>
  </si>
  <si>
    <t>Single</t>
  </si>
  <si>
    <t>press_conference</t>
  </si>
  <si>
    <t>Yes</t>
  </si>
  <si>
    <t>ST05</t>
  </si>
  <si>
    <t>Town Hall</t>
  </si>
  <si>
    <t>住民集会</t>
  </si>
  <si>
    <t>Jūmin Shūkai</t>
  </si>
  <si>
    <t>Appeasement</t>
  </si>
  <si>
    <t>ST06</t>
  </si>
  <si>
    <t>TV Debate</t>
  </si>
  <si>
    <t>討論番組</t>
  </si>
  <si>
    <t>Tōron Bangumi</t>
  </si>
  <si>
    <t>Survival</t>
  </si>
  <si>
    <t>ST07</t>
  </si>
  <si>
    <t>Office Hours</t>
  </si>
  <si>
    <t>陳情</t>
  </si>
  <si>
    <t>Chinjō</t>
  </si>
  <si>
    <t>Non-combat</t>
  </si>
  <si>
    <t>Time slots</t>
  </si>
  <si>
    <t>ST08</t>
  </si>
  <si>
    <t>Party Steering Committee</t>
  </si>
  <si>
    <t>党運営委員会</t>
  </si>
  <si>
    <t>Tō Un'ei Iinkai</t>
  </si>
  <si>
    <t>ST09</t>
  </si>
  <si>
    <t>倫理起訴委員会</t>
  </si>
  <si>
    <t>Rinri Kiso Iinkai</t>
  </si>
  <si>
    <t>Favourability</t>
  </si>
  <si>
    <t>ST10</t>
  </si>
  <si>
    <t>Committee on the Environment</t>
  </si>
  <si>
    <t>環境委員会</t>
  </si>
  <si>
    <t>Kankyō Iinkai</t>
  </si>
  <si>
    <t>ST11</t>
  </si>
  <si>
    <t>Committee on War</t>
  </si>
  <si>
    <t>戦争委員会</t>
  </si>
  <si>
    <t>Sensō Iinkai</t>
  </si>
  <si>
    <t>ST12</t>
  </si>
  <si>
    <t>国会管理委員会</t>
  </si>
  <si>
    <t>Kokkai Kanri Iinkai</t>
  </si>
  <si>
    <t>ST13</t>
  </si>
  <si>
    <t>Committee on Agriculture</t>
  </si>
  <si>
    <t>農林水産委員会</t>
  </si>
  <si>
    <t>Nōrin Suisan Iinkai</t>
  </si>
  <si>
    <t>ST14</t>
  </si>
  <si>
    <t>外務委員会</t>
  </si>
  <si>
    <t>Gaimu Iinkai</t>
  </si>
  <si>
    <t>ST15</t>
  </si>
  <si>
    <t>建設成長委員会</t>
  </si>
  <si>
    <t>Kensetsu Seichō Iinkai</t>
  </si>
  <si>
    <t>ST16</t>
  </si>
  <si>
    <t>Committee on Finance</t>
  </si>
  <si>
    <t>財務委員会</t>
  </si>
  <si>
    <t>Zaimu Iinkai</t>
  </si>
  <si>
    <t>ST17</t>
  </si>
  <si>
    <t>Committee on Government Administration</t>
  </si>
  <si>
    <t>政府行政委員会</t>
  </si>
  <si>
    <t>Seifu Gyōsei Iinkai</t>
  </si>
  <si>
    <t>ST18</t>
  </si>
  <si>
    <t>Committee of the Cabinet</t>
  </si>
  <si>
    <t>内閣員会</t>
  </si>
  <si>
    <t>Naikaku Iinkai</t>
  </si>
  <si>
    <t>Consensus</t>
  </si>
  <si>
    <t>ST19</t>
  </si>
  <si>
    <t>Media Ambush</t>
  </si>
  <si>
    <t>ぶら下がり取材</t>
  </si>
  <si>
    <t>Burasagari Shuzai</t>
  </si>
  <si>
    <t>media_ambush</t>
  </si>
  <si>
    <t>ST20</t>
  </si>
  <si>
    <t>Lobbyist Meeting</t>
  </si>
  <si>
    <t>ロビー活動</t>
  </si>
  <si>
    <t>Robī Katsudō</t>
  </si>
  <si>
    <t>lobbyist_meeting</t>
  </si>
  <si>
    <t>ST21</t>
  </si>
  <si>
    <t>Policy Study Session</t>
  </si>
  <si>
    <t>政策検討会</t>
  </si>
  <si>
    <t>Seisaku Kentōkai</t>
  </si>
  <si>
    <t>policy_study</t>
  </si>
  <si>
    <t>ST22</t>
  </si>
  <si>
    <t>Party Steering Committee Check-In</t>
  </si>
  <si>
    <t>党運営委員会面談</t>
  </si>
  <si>
    <t>Tō Un'ei Iinkai Mendan</t>
  </si>
  <si>
    <t>—</t>
  </si>
  <si>
    <t>ST23</t>
  </si>
  <si>
    <t>National Assembly Floor Voting</t>
  </si>
  <si>
    <t>本会議採決</t>
  </si>
  <si>
    <t>Honkaigi Saiketsu</t>
  </si>
  <si>
    <t>Vote</t>
  </si>
  <si>
    <t>Level ID</t>
  </si>
  <si>
    <t>Level Description</t>
  </si>
  <si>
    <t>Cooldown Period  (# of other levels to play before this level is available to play again)</t>
  </si>
  <si>
    <t>Level Tier</t>
  </si>
  <si>
    <t>Cost in XP to Unlock if Policy Research Assistant is Vacant</t>
  </si>
  <si>
    <t>Cost in XP to Unlock if Policy Research Assistant is Tier 0</t>
  </si>
  <si>
    <t>Cost in XP to Unlock if Policy Research Assistant is Tier 1</t>
  </si>
  <si>
    <t>Cost in XP to Unlock if Policy Research Assistant is Tier 2</t>
  </si>
  <si>
    <t>Stage ID for Part 1</t>
  </si>
  <si>
    <t>Stage ID for Part 2</t>
  </si>
  <si>
    <t>Stage ID for Part 3</t>
  </si>
  <si>
    <t>Stage ID for Part 4</t>
  </si>
  <si>
    <t>Stage ID for Part 5</t>
  </si>
  <si>
    <t>Stage ID for Part 6</t>
  </si>
  <si>
    <t>Stage ID for Part 7</t>
  </si>
  <si>
    <t>Stage ID for Part 8</t>
  </si>
  <si>
    <t>Stage ID for Part 9</t>
  </si>
  <si>
    <t>Stage ID for Part 10</t>
  </si>
  <si>
    <t>Bonus  Win Range ΔJiban</t>
  </si>
  <si>
    <t>Bonus  Win Range ΔYen</t>
  </si>
  <si>
    <t>Bonus  Win Range ΔReputation</t>
  </si>
  <si>
    <t>Bonus  Win Range ΔXP</t>
  </si>
  <si>
    <t>Bonus  Win Range ΔParty support</t>
  </si>
  <si>
    <t>Win ΔBO01</t>
  </si>
  <si>
    <t>Win ΔBO02</t>
  </si>
  <si>
    <t>Win ΔBO03</t>
  </si>
  <si>
    <t>Win ΔBO04</t>
  </si>
  <si>
    <t>Win ΔBO05</t>
  </si>
  <si>
    <t>Win ΔBO06</t>
  </si>
  <si>
    <t>Win ΔBO07</t>
  </si>
  <si>
    <t>Win ΔBO08</t>
  </si>
  <si>
    <t>Win ΔBO09</t>
  </si>
  <si>
    <t>Win ΔBO10</t>
  </si>
  <si>
    <t>Win ΔBO11</t>
  </si>
  <si>
    <t>Win ΔBO12</t>
  </si>
  <si>
    <t>Win ΔBO13</t>
  </si>
  <si>
    <t>Win ΔBO14</t>
  </si>
  <si>
    <t>Win ΔBO15</t>
  </si>
  <si>
    <t>Win ΔBO16</t>
  </si>
  <si>
    <t>LV01</t>
  </si>
  <si>
    <t>Talking with Constituents</t>
  </si>
  <si>
    <t>N/A</t>
  </si>
  <si>
    <t>0</t>
  </si>
  <si>
    <t>0%</t>
  </si>
  <si>
    <t>0-1</t>
  </si>
  <si>
    <t>LV02</t>
  </si>
  <si>
    <t>Meeting Lobbyists</t>
  </si>
  <si>
    <t>LV03</t>
  </si>
  <si>
    <t>Policy Listening and Study</t>
  </si>
  <si>
    <t>0-2</t>
  </si>
  <si>
    <t>LV04</t>
  </si>
  <si>
    <t>Hearing at the Committee on the Environment</t>
  </si>
  <si>
    <t>0-3</t>
  </si>
  <si>
    <t>0-1100</t>
  </si>
  <si>
    <t>0-5</t>
  </si>
  <si>
    <t>1-3</t>
  </si>
  <si>
    <t>LV05</t>
  </si>
  <si>
    <t>Media Rounds</t>
  </si>
  <si>
    <t>0-5000</t>
  </si>
  <si>
    <t>2</t>
  </si>
  <si>
    <t>25</t>
  </si>
  <si>
    <t>0-3%</t>
  </si>
  <si>
    <t>2-7</t>
  </si>
  <si>
    <t>LV06</t>
  </si>
  <si>
    <t>Providing the Party Agricultural Policy Support</t>
  </si>
  <si>
    <t>0-22000</t>
  </si>
  <si>
    <t>5</t>
  </si>
  <si>
    <t>2-10%</t>
  </si>
  <si>
    <t>LV07</t>
  </si>
  <si>
    <t>Providing the Party Infrastructure Policy Support</t>
  </si>
  <si>
    <t>0-25000</t>
  </si>
  <si>
    <t>3-12%</t>
  </si>
  <si>
    <t>0-6</t>
  </si>
  <si>
    <t>LV08</t>
  </si>
  <si>
    <t>Fighting on the Floor for the Party</t>
  </si>
  <si>
    <t>3000-19000</t>
  </si>
  <si>
    <t>7</t>
  </si>
  <si>
    <t>15</t>
  </si>
  <si>
    <t>10-17%</t>
  </si>
  <si>
    <t>2-5</t>
  </si>
  <si>
    <t>0-4</t>
  </si>
  <si>
    <t>LV09</t>
  </si>
  <si>
    <t>Filling in at Committees</t>
  </si>
  <si>
    <t>10</t>
  </si>
  <si>
    <t>10-22%</t>
  </si>
  <si>
    <t>1-5</t>
  </si>
  <si>
    <t>LV10</t>
  </si>
  <si>
    <t>Advacing a Bill to Protect Hometown Markets</t>
  </si>
  <si>
    <t>4-16</t>
  </si>
  <si>
    <t>5000-25000</t>
  </si>
  <si>
    <t>6-12</t>
  </si>
  <si>
    <t>55-95</t>
  </si>
  <si>
    <t>2-6%</t>
  </si>
  <si>
    <t>5-9</t>
  </si>
  <si>
    <t>2-4</t>
  </si>
  <si>
    <t>1-4</t>
  </si>
  <si>
    <t>3-6</t>
  </si>
  <si>
    <t>2-8</t>
  </si>
  <si>
    <t>LV11</t>
  </si>
  <si>
    <t>Meeting with Student Organizers</t>
  </si>
  <si>
    <t>3000-12000</t>
  </si>
  <si>
    <t>1-2</t>
  </si>
  <si>
    <t>15-30</t>
  </si>
  <si>
    <t>1-4%</t>
  </si>
  <si>
    <t>LV12</t>
  </si>
  <si>
    <t>Family Outreach Tour</t>
  </si>
  <si>
    <t>5000-15000</t>
  </si>
  <si>
    <t>20-35</t>
  </si>
  <si>
    <t>2-5%</t>
  </si>
  <si>
    <t>LV13</t>
  </si>
  <si>
    <t>Backing the Local Artisans</t>
  </si>
  <si>
    <t>5000-18000</t>
  </si>
  <si>
    <t>LV14</t>
  </si>
  <si>
    <t>Fixing the Daily Commute</t>
  </si>
  <si>
    <t>6000-20000</t>
  </si>
  <si>
    <t>25-40</t>
  </si>
  <si>
    <t>LV15</t>
  </si>
  <si>
    <t>Courting the Traditionalist Wing</t>
  </si>
  <si>
    <t>8000-22000</t>
  </si>
  <si>
    <t>25-45</t>
  </si>
  <si>
    <t>3-7%</t>
  </si>
  <si>
    <t>LV16</t>
  </si>
  <si>
    <t>Running with the Reform Caucus</t>
  </si>
  <si>
    <t>10000-25000</t>
  </si>
  <si>
    <t>30-55</t>
  </si>
  <si>
    <t>3-8%</t>
  </si>
  <si>
    <t>LV17</t>
  </si>
  <si>
    <t>Building the Next-Generation Coalition</t>
  </si>
  <si>
    <t>12000-28000</t>
  </si>
  <si>
    <t>35-60</t>
  </si>
  <si>
    <t>4-9%</t>
  </si>
  <si>
    <t>LV18</t>
  </si>
  <si>
    <t>Uniting Main Street and Transit Riders</t>
  </si>
  <si>
    <t>15000-30000</t>
  </si>
  <si>
    <t>40-65</t>
  </si>
  <si>
    <t>5-10%</t>
  </si>
  <si>
    <t>LV19</t>
  </si>
  <si>
    <t>Bridging Old Guard and New Wave</t>
  </si>
  <si>
    <t>LV20</t>
  </si>
  <si>
    <t>Rallying Youth and Labor</t>
  </si>
  <si>
    <t>15000-35000</t>
  </si>
  <si>
    <t>3-7</t>
  </si>
  <si>
    <t>40-70</t>
  </si>
  <si>
    <t>LV21</t>
  </si>
  <si>
    <t>18000-38000</t>
  </si>
  <si>
    <t>45-75</t>
  </si>
  <si>
    <t>6-11%</t>
  </si>
  <si>
    <t>LV22</t>
  </si>
  <si>
    <t>20000-42000</t>
  </si>
  <si>
    <t>4-8</t>
  </si>
  <si>
    <t>50-85</t>
  </si>
  <si>
    <t>7-13%</t>
  </si>
  <si>
    <t>LV23</t>
  </si>
  <si>
    <t>25000-55000</t>
  </si>
  <si>
    <t>5-10</t>
  </si>
  <si>
    <t>60-100</t>
  </si>
  <si>
    <t>8-16%</t>
  </si>
  <si>
    <t>LV24</t>
  </si>
  <si>
    <t>Guarding the Old Order</t>
  </si>
  <si>
    <t>LV25</t>
  </si>
  <si>
    <t>Riding the Reform Wave</t>
  </si>
  <si>
    <t>LV26</t>
  </si>
  <si>
    <t>Coalition Building 101</t>
  </si>
  <si>
    <t>2000-10000</t>
  </si>
  <si>
    <t>15-25</t>
  </si>
  <si>
    <t>1-3%</t>
  </si>
  <si>
    <t>LV27</t>
  </si>
  <si>
    <t>Rural Youth Initiative</t>
  </si>
  <si>
    <t>LV28</t>
  </si>
  <si>
    <t>Kōenkai Family Ties</t>
  </si>
  <si>
    <t>LV29</t>
  </si>
  <si>
    <t>22000-48000</t>
  </si>
  <si>
    <t>4-9</t>
  </si>
  <si>
    <t>55-90</t>
  </si>
  <si>
    <t>7-14%</t>
  </si>
  <si>
    <t>LV30</t>
  </si>
  <si>
    <t>40000-80000</t>
  </si>
  <si>
    <t>8-15</t>
  </si>
  <si>
    <t>90-150</t>
  </si>
  <si>
    <t>12-25%</t>
  </si>
  <si>
    <t>Element</t>
  </si>
  <si>
    <t>Stage name →</t>
  </si>
  <si>
    <t>Column average</t>
  </si>
  <si>
    <t>Name (JP)</t>
  </si>
  <si>
    <t>Suit (Element)</t>
  </si>
  <si>
    <t>XP to Unlock</t>
  </si>
  <si>
    <t>Type</t>
  </si>
  <si>
    <t>Cost (持ち時間)</t>
  </si>
  <si>
    <t>Self +</t>
  </si>
  <si>
    <t>Opp −</t>
  </si>
  <si>
    <t>Guard</t>
  </si>
  <si>
    <t>Draw</t>
  </si>
  <si>
    <t>Gaffe +/−</t>
  </si>
  <si>
    <t>Target segment</t>
  </si>
  <si>
    <t>Effect text</t>
  </si>
  <si>
    <t>Tier</t>
  </si>
  <si>
    <t>Special</t>
  </si>
  <si>
    <t>Special value</t>
  </si>
  <si>
    <t>Special note</t>
  </si>
  <si>
    <t>誠意ある答弁</t>
  </si>
  <si>
    <t>Seii aru Tōben</t>
  </si>
  <si>
    <t>Defend</t>
  </si>
  <si>
    <t>Any</t>
  </si>
  <si>
    <t>Gain 1. Guard 4 this turn.</t>
  </si>
  <si>
    <t>熱弁</t>
  </si>
  <si>
    <t>Netsuben</t>
  </si>
  <si>
    <t>Gain</t>
  </si>
  <si>
    <t>Gain 5. Gaffe +1.</t>
  </si>
  <si>
    <t>結束を呼びかける</t>
  </si>
  <si>
    <t>Kessoku o Yobikakeru</t>
  </si>
  <si>
    <t>Party Members</t>
  </si>
  <si>
    <t>Gain 4; +2 more if Party Members ≥ 50%.</t>
  </si>
  <si>
    <t>bonus_if_target_segment_ge_50</t>
  </si>
  <si>
    <t>+2 if Party Members &gt;= 50% (reads Target segment)</t>
  </si>
  <si>
    <t>資料請求</t>
  </si>
  <si>
    <t>Shiryō Seikyū</t>
  </si>
  <si>
    <t>Bureaucrats</t>
  </si>
  <si>
    <t>Opponent −1. Draw 1.</t>
  </si>
  <si>
    <t>煽動</t>
  </si>
  <si>
    <t>Sendō</t>
  </si>
  <si>
    <t>Constituents</t>
  </si>
  <si>
    <t>Gain 5. Opponent −2. Gaffe +2. +2 more to gain if Constituents ≥ 50%.</t>
  </si>
  <si>
    <t>+2 if Constituents &gt;= 50% (reads Target segment)</t>
  </si>
  <si>
    <t>論点ずらし</t>
  </si>
  <si>
    <t>Ronten-zurashi</t>
  </si>
  <si>
    <t>Attack</t>
  </si>
  <si>
    <t>Press</t>
  </si>
  <si>
    <t>Gain 2. Opponent −3. Gaffe +1.</t>
  </si>
  <si>
    <t>拍手喝采</t>
  </si>
  <si>
    <t>Hakushu Kassai</t>
  </si>
  <si>
    <t>Gain 1. Draw 1.</t>
  </si>
  <si>
    <t>レッテル貼り</t>
  </si>
  <si>
    <t>Retteru-bari</t>
  </si>
  <si>
    <t>Opponent −3. Gaffe +1.</t>
  </si>
  <si>
    <t>記憶にございません</t>
  </si>
  <si>
    <t>Kioku ni Gozaimasen</t>
  </si>
  <si>
    <t>Guard 5 this turn. Draw 1. Gaffe +2.</t>
  </si>
  <si>
    <t>非を認める</t>
  </si>
  <si>
    <t>Hi o Mitomeru</t>
  </si>
  <si>
    <t>Reduce your gaffe meter by 2.</t>
  </si>
  <si>
    <t>陳情を読み上げる</t>
  </si>
  <si>
    <t>Chinjō o Yomiageru</t>
  </si>
  <si>
    <t>Gain 3. Draw 1. +2 more to gain if Constituents ≥ 50%.</t>
  </si>
  <si>
    <t>支持者を鼓舞する</t>
  </si>
  <si>
    <t>Shijisha o Kobu Suru</t>
  </si>
  <si>
    <t>Gain 4. Gaffe +1. +2 more to gain if Party Members ≥ 50%.</t>
  </si>
  <si>
    <t>一歩も引かない</t>
  </si>
  <si>
    <t>Ippo mo Hikanai</t>
  </si>
  <si>
    <t>Gain 3. Draw 1. +3 more to gain if you trail the opponent in support.</t>
  </si>
  <si>
    <t>bonus_if_behind</t>
  </si>
  <si>
    <t>Gain +3 more if the player's support total is below the opponent's</t>
  </si>
  <si>
    <t>貸しを返してもらう</t>
  </si>
  <si>
    <t>Kashi o Kaeshite Morau</t>
  </si>
  <si>
    <t>Gain 1. Draw 1. +2 more to gain if Party Members ≥ 50%.</t>
  </si>
  <si>
    <t>事実確認を迫る</t>
  </si>
  <si>
    <t>Jijitsu Kakunin o Semaru</t>
  </si>
  <si>
    <t>Opponent −2.</t>
  </si>
  <si>
    <t>実績報告</t>
  </si>
  <si>
    <t>Jisseki Hōkoku</t>
  </si>
  <si>
    <t>Gain 4.</t>
  </si>
  <si>
    <t>深々と頭を下げる</t>
  </si>
  <si>
    <t>Fukabuka to Atama o Sageru</t>
  </si>
  <si>
    <t>Gain 2. Reduce your gaffe meter by 2.</t>
  </si>
  <si>
    <t>涙の訴え</t>
  </si>
  <si>
    <t>Namida no Uttae</t>
  </si>
  <si>
    <t>Gain 4; doubled if Constituents ≥ 50%.</t>
  </si>
  <si>
    <t>double_if_target_segment_ge_50</t>
  </si>
  <si>
    <t>Doubled if Constituents &gt;= 50% (reads Target segment)</t>
  </si>
  <si>
    <t>地元の声</t>
  </si>
  <si>
    <t>Jimoto no Koe</t>
  </si>
  <si>
    <t>Gain 4; +2 more if Constituents ≥ 50%.</t>
  </si>
  <si>
    <t>+2 if Constituents &gt;= 50% (same key as C09; Target segment differs)</t>
  </si>
  <si>
    <t>事前に話を通す</t>
  </si>
  <si>
    <t>Jizen ni Hanashi o Tōsu</t>
  </si>
  <si>
    <t>Buff</t>
  </si>
  <si>
    <t>buff_next_card_this_turn</t>
  </si>
  <si>
    <t>Your next card this turn gets +2</t>
  </si>
  <si>
    <t>賛否を確かめる</t>
  </si>
  <si>
    <t>Sanpi o Tashikameru</t>
  </si>
  <si>
    <t>Draw 2. Reveal opponent's next intent.</t>
  </si>
  <si>
    <t>reveal_next_intent</t>
  </si>
  <si>
    <t>Reveal the opponent's move after next</t>
  </si>
  <si>
    <t>統計提示</t>
  </si>
  <si>
    <t>Tōkei Teiji</t>
  </si>
  <si>
    <t>Opponent −3.</t>
  </si>
  <si>
    <t>矛盾追及</t>
  </si>
  <si>
    <t>Mujun Tsuikyū</t>
  </si>
  <si>
    <t>Opponent −5.</t>
  </si>
  <si>
    <t>敵味方の線引き</t>
  </si>
  <si>
    <t>Tekimikata no Senbiki</t>
  </si>
  <si>
    <t>Gain 3. Opponent −3. Gaffe +1. +2 more to gain if Party Members ≥ 50%.</t>
  </si>
  <si>
    <t>踏み絵</t>
  </si>
  <si>
    <t>Fumie</t>
  </si>
  <si>
    <t>Opponent −7. Gaffe +2.</t>
  </si>
  <si>
    <t>玉虫色の答弁</t>
  </si>
  <si>
    <t>Tamamushi-iro no Tōben</t>
  </si>
  <si>
    <t>密約を持ちかける</t>
  </si>
  <si>
    <t>Mitsuyaku o Mochikakeru</t>
  </si>
  <si>
    <t>Donors</t>
  </si>
  <si>
    <t>Gain 7. Gaffe +1. +3 more to gain if Donors ≥ 50%.</t>
  </si>
  <si>
    <t>+3 if Donors &gt;= 50% (reads Target segment)</t>
  </si>
  <si>
    <t>公約履行を訴える</t>
  </si>
  <si>
    <t>Kōyaku Rikō o Uttaeru</t>
  </si>
  <si>
    <t>Gain 5; +2 more if your gaffe meter is 0.</t>
  </si>
  <si>
    <t>bonus_if_self_gaffe_0</t>
  </si>
  <si>
    <t>Gain +2 more if the player's gaffe meter is exactly 0</t>
  </si>
  <si>
    <t>超党派に呼びかける</t>
  </si>
  <si>
    <t>Chōtōha ni Yobikakeru</t>
  </si>
  <si>
    <t>Gain 3. Opponent −2.</t>
  </si>
  <si>
    <t>義憤</t>
  </si>
  <si>
    <t>Gifun</t>
  </si>
  <si>
    <t>Gain 1. Opponent −5. Gaffe +2.</t>
  </si>
  <si>
    <t>声を荒げる</t>
  </si>
  <si>
    <t>Koe o Aragaru</t>
  </si>
  <si>
    <t>Gain 5. Opponent −2. Gaffe +1.</t>
  </si>
  <si>
    <t>満場を沸かせる</t>
  </si>
  <si>
    <t>Manjō o Wakaseru</t>
  </si>
  <si>
    <t>Gain 7. Gaffe +1. +3 more to gain if Constituents ≥ 50%.</t>
  </si>
  <si>
    <t>+3 if Constituents &gt;= 50% (reads Target segment)</t>
  </si>
  <si>
    <t>党議拘束を持ち出す</t>
  </si>
  <si>
    <t>Tōgi Kōsoku o Mochidasu</t>
  </si>
  <si>
    <t>Gain 4. Opponent −1.</t>
  </si>
  <si>
    <t>耳打ち</t>
  </si>
  <si>
    <t>Mimiuchi</t>
  </si>
  <si>
    <t>Gain 2. Your next card this turn costs 1 less.</t>
  </si>
  <si>
    <t>discount_next_card_this_turn</t>
  </si>
  <si>
    <t>Next card played this turn costs 1 less (minimum 0)</t>
  </si>
  <si>
    <t>資金の出所を問う</t>
  </si>
  <si>
    <t>Shikin no Dedokoro o Tou</t>
  </si>
  <si>
    <t>Gain 1. Opponent −4.</t>
  </si>
  <si>
    <t>明確な答弁を求める</t>
  </si>
  <si>
    <t>Meikaku na Tōben o Motomeru</t>
  </si>
  <si>
    <t>Opponent −3. Draw 1. Ignores 2 of the opponent's Guard.</t>
  </si>
  <si>
    <t>pierce_guard</t>
  </si>
  <si>
    <t>Subtract 2 from the opponent's active Guard before applying Opp −</t>
  </si>
  <si>
    <t>名指し批判</t>
  </si>
  <si>
    <t>Nazashi Hihan</t>
  </si>
  <si>
    <t>Opponent −6. Gaffe +2.</t>
  </si>
  <si>
    <t>二者択一を迫る</t>
  </si>
  <si>
    <t>Nisha Takuitsu o Semaru</t>
  </si>
  <si>
    <t>Gain 2. Opponent −3. Gaffe +1. +2 more to gain if Constituents ≥ 50%.</t>
  </si>
  <si>
    <t>忠誠を問う</t>
  </si>
  <si>
    <t>Chūsei o Tou</t>
  </si>
  <si>
    <t>Gain 2. Opponent −5. Gaffe +3. +3 more to gain if Party Members ≥ 50%.</t>
  </si>
  <si>
    <t>+3 if Party Members &gt;= 50% (reads Target segment)</t>
  </si>
  <si>
    <t>メディアへの訴え</t>
  </si>
  <si>
    <t>Media e no Uttae</t>
  </si>
  <si>
    <t>Gain 3. Opponent −2. Draw 1. Gaffe +1. +2 more to gain if Press ≥ 50%.</t>
  </si>
  <si>
    <t>+2 if Press &gt;= 50% (reads Target segment)</t>
  </si>
  <si>
    <t>前向きに検討します</t>
  </si>
  <si>
    <t>Maemuki ni Kentō Shimasu</t>
  </si>
  <si>
    <t>Gain 1. Opponent −2. Guard 5 this turn. Gaffe +2.</t>
  </si>
  <si>
    <t>記者に吹き込む</t>
  </si>
  <si>
    <t>Kisha ni Fukikomu</t>
  </si>
  <si>
    <t>Gain 1. Opponent −4. Gaffe +1. +2 more to gain if Press ≥ 50%.</t>
  </si>
  <si>
    <t>細部で煙に巻く</t>
  </si>
  <si>
    <t>Saibu de Kemu ni Maku</t>
  </si>
  <si>
    <t>Gain 4. Draw 1. Gaffe +1. +2 more to gain if Bureaucrats ≥ 50%.</t>
  </si>
  <si>
    <t>+2 if Bureaucrats &gt;= 50% (reads Target segment)</t>
  </si>
  <si>
    <t>オフレコ</t>
  </si>
  <si>
    <t>Ofureko</t>
  </si>
  <si>
    <t>Gain 5. Guard 2 this turn. Gaffe +1.</t>
  </si>
  <si>
    <t>初心表明</t>
  </si>
  <si>
    <t>Shoshin Hyōmei</t>
  </si>
  <si>
    <t>Gain 6; +2 more if Constituents ≥ 30.</t>
  </si>
  <si>
    <t>bonus_if_target_segment_ge_30</t>
  </si>
  <si>
    <t>Gain 6; +2 more if Constituents &gt;= 30</t>
  </si>
  <si>
    <t>魂の演説</t>
  </si>
  <si>
    <t>Tamashii no Enzetsu</t>
  </si>
  <si>
    <t>Gain 9. Gaffe +2.</t>
  </si>
  <si>
    <t>白書を突きつける</t>
  </si>
  <si>
    <t>Hakusho o Tsukitsukeru</t>
  </si>
  <si>
    <t>Opponent −6. Ignores 3 of the opponent's Guard.</t>
  </si>
  <si>
    <t>Subtract 3 from the opponent's active Guard before applying Opp −</t>
  </si>
  <si>
    <t>良心に訴える</t>
  </si>
  <si>
    <t>Ryōshin ni Uttaeru</t>
  </si>
  <si>
    <t>Gain 6. Opponent −2. +3 more to gain if your gaffe meter is 0.</t>
  </si>
  <si>
    <t>Gain +3 more if the player's gaffe meter is exactly 0</t>
  </si>
  <si>
    <t>連携を呼びかける</t>
  </si>
  <si>
    <t>Renkei o Yobikakeru</t>
  </si>
  <si>
    <t>Gain 6. Opponent −2.</t>
  </si>
  <si>
    <t>数の力を示す</t>
  </si>
  <si>
    <t>Kazu no Chikara o Shimesu</t>
  </si>
  <si>
    <t>Gain 7. Opponent −1. +3 more to gain if Party Members ≥ 50%.</t>
  </si>
  <si>
    <t>事実誤認の訂正</t>
  </si>
  <si>
    <t>Jijitsu Gonin no Teisei</t>
  </si>
  <si>
    <t>Gain 1. Draw 1. Reduce your gaffe meter by 1.</t>
  </si>
  <si>
    <t>第三者委員会を求める</t>
  </si>
  <si>
    <t>Daisansha Iinkai o Motomeru</t>
  </si>
  <si>
    <t>Opponent −6. Reduce your gaffe meter by 1.</t>
  </si>
  <si>
    <t>不信任を突きつける</t>
  </si>
  <si>
    <t>Fushinnin o Tsukitsukeru</t>
  </si>
  <si>
    <t>Opponent −9. Gaffe +3. Ignores 3 of the opponent's Guard.</t>
  </si>
  <si>
    <t>相手によって話を変える</t>
  </si>
  <si>
    <t>Aite ni Yotte Hanashi o Kaeru</t>
  </si>
  <si>
    <t>Gain 7. Gaffe +2. +3 more to gain if you trail the opponent in support.</t>
  </si>
  <si>
    <t>Segment ID</t>
  </si>
  <si>
    <t>Segment (EN)</t>
  </si>
  <si>
    <t>Segment (JP)</t>
  </si>
  <si>
    <t>Description</t>
  </si>
  <si>
    <t>Initial Favorability %</t>
  </si>
  <si>
    <t>SG01</t>
  </si>
  <si>
    <t>報道陣</t>
  </si>
  <si>
    <t>Hōdōjin</t>
  </si>
  <si>
    <t>Reporters, editors, camera crews</t>
  </si>
  <si>
    <t>SG02</t>
  </si>
  <si>
    <t>党員</t>
  </si>
  <si>
    <t>Tōin</t>
  </si>
  <si>
    <t>Party members and whips</t>
  </si>
  <si>
    <t>SG03</t>
  </si>
  <si>
    <t>有権者</t>
  </si>
  <si>
    <t>Yūkensha</t>
  </si>
  <si>
    <t>Voters of the protagonist's district and the general public</t>
  </si>
  <si>
    <t>SG04</t>
  </si>
  <si>
    <t>支援者</t>
  </si>
  <si>
    <t>Shiensha</t>
  </si>
  <si>
    <t>Backers, business associations, Kōenkai members</t>
  </si>
  <si>
    <t>SG05</t>
  </si>
  <si>
    <t>官僚</t>
  </si>
  <si>
    <t>Kanryō</t>
  </si>
  <si>
    <t>Ministry officials and committee staff</t>
  </si>
  <si>
    <t>Mod ID</t>
  </si>
  <si>
    <t>Trigger segment or booster</t>
  </si>
  <si>
    <t>Trigger min %</t>
  </si>
  <si>
    <t>Effect</t>
  </si>
  <si>
    <t>Reputation cost to activate</t>
  </si>
  <si>
    <t>Jiban cost to activate</t>
  </si>
  <si>
    <t>Funds (Yen) cost to activate</t>
  </si>
  <si>
    <t>Effect Type</t>
  </si>
  <si>
    <t>Effect Target</t>
  </si>
  <si>
    <t>Effect Value</t>
  </si>
  <si>
    <t>M01</t>
  </si>
  <si>
    <t>Local Support Association</t>
  </si>
  <si>
    <t>地元後援会</t>
  </si>
  <si>
    <t>Jimoto Kōenkai</t>
  </si>
  <si>
    <t>+10 XP after successful completion of a level.</t>
  </si>
  <si>
    <t>RESOURCE_BONUS_ON_WIN</t>
  </si>
  <si>
    <t>XP</t>
  </si>
  <si>
    <t>M02</t>
  </si>
  <si>
    <t>Shotengai Association</t>
  </si>
  <si>
    <t>商店街の会</t>
  </si>
  <si>
    <t>Shōtengai  no Kai</t>
  </si>
  <si>
    <t>+1,500 Funds (Yen) after successful completion of a level.</t>
  </si>
  <si>
    <t>Yen</t>
  </si>
  <si>
    <t>M03</t>
  </si>
  <si>
    <t>Commission a Press Profile</t>
  </si>
  <si>
    <t>好意的な番記者</t>
  </si>
  <si>
    <t>Kōiteki na Bankisha</t>
  </si>
  <si>
    <t>ST04 starts with +5 Press tone.</t>
  </si>
  <si>
    <t>STAGE_START_BONUS</t>
  </si>
  <si>
    <t>M04</t>
  </si>
  <si>
    <t>Editorial Board Backing</t>
  </si>
  <si>
    <t>論説委員の支持</t>
  </si>
  <si>
    <t>Ronsetsu Iin no Shiji</t>
  </si>
  <si>
    <t>ST06 TV Debate starts with +10 Press tone.</t>
  </si>
  <si>
    <t>M05</t>
  </si>
  <si>
    <t>Agricultural Cooperatives</t>
  </si>
  <si>
    <t>農協</t>
  </si>
  <si>
    <t>Nōkyō</t>
  </si>
  <si>
    <t>BO10</t>
  </si>
  <si>
    <t>+1,000 Funds (Yen) after successful completion of a level.</t>
  </si>
  <si>
    <t>M06</t>
  </si>
  <si>
    <t>Labor Federation</t>
  </si>
  <si>
    <t>労働組合連合</t>
  </si>
  <si>
    <t>Rōdō Kumiai Rengō</t>
  </si>
  <si>
    <t>BO09</t>
  </si>
  <si>
    <t>+15 XP after successful completion of a level.</t>
  </si>
  <si>
    <t>M07</t>
  </si>
  <si>
    <t>Scandal Coverage</t>
  </si>
  <si>
    <t>スキャンダル報道</t>
  </si>
  <si>
    <t>Sukyandaru Hōdō</t>
  </si>
  <si>
    <t>BO08</t>
  </si>
  <si>
    <t>ST06 TV Debate gaffe (失言) limit +1.</t>
  </si>
  <si>
    <t>GAFFE_LIMIT_BONUS</t>
  </si>
  <si>
    <t>M08</t>
  </si>
  <si>
    <t>Faction Rebellion</t>
  </si>
  <si>
    <t>造反</t>
  </si>
  <si>
    <t>Zōhan</t>
  </si>
  <si>
    <t>BO02</t>
  </si>
  <si>
    <t>ST03 Party Caucus starts with +10 Support.</t>
  </si>
  <si>
    <t>M09</t>
  </si>
  <si>
    <t>Party Backing</t>
  </si>
  <si>
    <t>党の後押し</t>
  </si>
  <si>
    <t>Tō no Atooshi</t>
  </si>
  <si>
    <t>+5 Party support after successful completion of a level.</t>
  </si>
  <si>
    <t>PartySupport</t>
  </si>
  <si>
    <t>M10</t>
  </si>
  <si>
    <t>Cold Shoulder</t>
  </si>
  <si>
    <t>党内の冷遇</t>
  </si>
  <si>
    <t>Tōnai no Reigū</t>
  </si>
  <si>
    <t>BO01</t>
  </si>
  <si>
    <t>Level unlock XP cost reduced 10% (independent fundraising when HQ withholds support).</t>
  </si>
  <si>
    <t>UNLOCK_DISCOUNT</t>
  </si>
  <si>
    <t>XPCost</t>
  </si>
  <si>
    <t>M11</t>
  </si>
  <si>
    <t>Official Endorsement</t>
  </si>
  <si>
    <t>党公認</t>
  </si>
  <si>
    <t>Tō Kōnin</t>
  </si>
  <si>
    <t>+2 Jiban after successful completion of a level.</t>
  </si>
  <si>
    <t>Jiban</t>
  </si>
  <si>
    <t>M12</t>
  </si>
  <si>
    <t>Faction Patronage</t>
  </si>
  <si>
    <t>派閥の庇護</t>
  </si>
  <si>
    <t>Habatsu no Higo</t>
  </si>
  <si>
    <t>Tier 1 level unlock XP cost reduced 15%.</t>
  </si>
  <si>
    <t>Tier1Cost</t>
  </si>
  <si>
    <t>M13</t>
  </si>
  <si>
    <t>Mayors' Endorsement</t>
  </si>
  <si>
    <t>首長の推薦</t>
  </si>
  <si>
    <t>Shuchō no Suisen</t>
  </si>
  <si>
    <t>BO04</t>
  </si>
  <si>
    <t>ST15 Committee on Construction and Development starts with +10 Favourability.</t>
  </si>
  <si>
    <t>M14</t>
  </si>
  <si>
    <t>Community Canvass</t>
  </si>
  <si>
    <t>町内会の支援</t>
  </si>
  <si>
    <t>Chōnaikai no Shien</t>
  </si>
  <si>
    <t>+1 card drawn at the start of ST05 Town Hall.</t>
  </si>
  <si>
    <t>HAND_SIZE_BONUS</t>
  </si>
  <si>
    <t>M15</t>
  </si>
  <si>
    <t>Fishing Fleet Support</t>
  </si>
  <si>
    <t>漁協の支援</t>
  </si>
  <si>
    <t>Gyokyō no Shien</t>
  </si>
  <si>
    <t>+2,000 Funds (Yen) after successful completion of a level.</t>
  </si>
  <si>
    <t>M16</t>
  </si>
  <si>
    <t>Party Headquarters</t>
  </si>
  <si>
    <t>党本部の全面支援</t>
  </si>
  <si>
    <t>Tōhonbu no Zenmen Shien</t>
  </si>
  <si>
    <t>ST08 Party Steering Committee starts with +15 Support.</t>
  </si>
  <si>
    <t>M17</t>
  </si>
  <si>
    <t>Party Faction</t>
  </si>
  <si>
    <t>派閥の後押し</t>
  </si>
  <si>
    <t>Habatsu no Atooshi</t>
  </si>
  <si>
    <t>+3 Party support after successful completion of a level.</t>
  </si>
  <si>
    <t>M18</t>
  </si>
  <si>
    <t>Local Kōenkai</t>
  </si>
  <si>
    <t>後援会の地盤固め</t>
  </si>
  <si>
    <t>Kōenkai no Jiban Gatame</t>
  </si>
  <si>
    <t>BO03</t>
  </si>
  <si>
    <t>M19</t>
  </si>
  <si>
    <t>Mayors' Network</t>
  </si>
  <si>
    <t>市町村長会の口利き</t>
  </si>
  <si>
    <t>Shichōsonchō-kai no Kuchikiki</t>
  </si>
  <si>
    <t>ST17 Committee on Government Administration starts with +10 Favourability.</t>
  </si>
  <si>
    <t>M20</t>
  </si>
  <si>
    <t>Chamber of Commerce</t>
  </si>
  <si>
    <t>商工会議所の資金援助</t>
  </si>
  <si>
    <t>Shōkō Kaigisho no Shikin Enjo</t>
  </si>
  <si>
    <t>BO05</t>
  </si>
  <si>
    <t>+2,500 Funds (Yen) after successful completion of a level.</t>
  </si>
  <si>
    <t>M21</t>
  </si>
  <si>
    <t>Neighborhood Associations</t>
  </si>
  <si>
    <t>町内会の動員</t>
  </si>
  <si>
    <t>Chōnaikai no Dōin</t>
  </si>
  <si>
    <t>BO06</t>
  </si>
  <si>
    <t>+1 card drawn at the start of ST01 Special Committee.</t>
  </si>
  <si>
    <t>M22</t>
  </si>
  <si>
    <t>Fisheries Cooperative</t>
  </si>
  <si>
    <t>漁協の後押し</t>
  </si>
  <si>
    <t>Gyokyō no Atooshi</t>
  </si>
  <si>
    <t>BO07</t>
  </si>
  <si>
    <t>ST13 Committee on Agriculture starts with +10 Favourability.</t>
  </si>
  <si>
    <t>M23</t>
  </si>
  <si>
    <t>National Media</t>
  </si>
  <si>
    <t>全国紙の好意的報道</t>
  </si>
  <si>
    <t>Zenkokushi no Kōiteki Hōdō</t>
  </si>
  <si>
    <t>ST04 Press Conference starts with +10 Press tone.</t>
  </si>
  <si>
    <t>M24</t>
  </si>
  <si>
    <t>労組の集票力</t>
  </si>
  <si>
    <t>Rōso no Shūhyōryoku</t>
  </si>
  <si>
    <t>ST02 Floor Debate starts with +10 Seats.</t>
  </si>
  <si>
    <t>M25</t>
  </si>
  <si>
    <t>農協の集票力</t>
  </si>
  <si>
    <t>Nōkyō no Shūhyōryoku</t>
  </si>
  <si>
    <t>ST10 Committee on the Environment starts with +10 Favourability.</t>
  </si>
  <si>
    <t>M26</t>
  </si>
  <si>
    <t>Campus Organizing Network</t>
  </si>
  <si>
    <t>学生運動ネットワーク</t>
  </si>
  <si>
    <t>Gakusei Undō Nettowāku</t>
  </si>
  <si>
    <t>BO11</t>
  </si>
  <si>
    <t>+1 card drawn at the start of ST21 Policy Study Session.</t>
  </si>
  <si>
    <t>M27</t>
  </si>
  <si>
    <t>PTA Network</t>
  </si>
  <si>
    <t>保護者会ネットワーク</t>
  </si>
  <si>
    <t>Hogosha-kai Nettowāku</t>
  </si>
  <si>
    <t>BO12</t>
  </si>
  <si>
    <t>ST05 Town Hall starts with +10 Appeasement.</t>
  </si>
  <si>
    <t>M28</t>
  </si>
  <si>
    <t>Traditional Craft Guild Backing</t>
  </si>
  <si>
    <t>伝統工芸組合の支援</t>
  </si>
  <si>
    <t>Dentō Kōgei Kumiai no Shien</t>
  </si>
  <si>
    <t>BO13</t>
  </si>
  <si>
    <t>M29</t>
  </si>
  <si>
    <t>Commuter Rail Advocacy</t>
  </si>
  <si>
    <t>通勤鉄道推進の会</t>
  </si>
  <si>
    <t>Tsūkin Tetsudō Suishin no Kai</t>
  </si>
  <si>
    <t>BO14</t>
  </si>
  <si>
    <t>ST01 Special Committee starts with +5 Members.</t>
  </si>
  <si>
    <t>M30</t>
  </si>
  <si>
    <t>Traditionalist Bloc Support</t>
  </si>
  <si>
    <t>保守派ブロックの支持</t>
  </si>
  <si>
    <t>Hoshu-ha Burokku no Shiji</t>
  </si>
  <si>
    <t>BO15</t>
  </si>
  <si>
    <t>ST18 Committee of the Cabinet starts with +10 Consensus.</t>
  </si>
  <si>
    <t>M31</t>
  </si>
  <si>
    <t>Reform Caucus Support</t>
  </si>
  <si>
    <t>改革派議員連盟の支持</t>
  </si>
  <si>
    <t>Kaikaku-ha Giin Renmei no Shiji</t>
  </si>
  <si>
    <t>BO16</t>
  </si>
  <si>
    <t>ST16 Committee on Finance starts with +10 Favourability.</t>
  </si>
  <si>
    <t>Booster ID</t>
  </si>
  <si>
    <t>Organization (EN)</t>
  </si>
  <si>
    <t>Organization (JP)</t>
  </si>
  <si>
    <t>Linked modifiers</t>
  </si>
  <si>
    <t>党本部</t>
  </si>
  <si>
    <t>Tōhonbu</t>
  </si>
  <si>
    <t>Party</t>
  </si>
  <si>
    <t>M10, M11, M16</t>
  </si>
  <si>
    <t>派閥</t>
  </si>
  <si>
    <t>Habatsu</t>
  </si>
  <si>
    <t>M08, M12, M17</t>
  </si>
  <si>
    <t>後援会</t>
  </si>
  <si>
    <t>Kōenkai</t>
  </si>
  <si>
    <t>Constituency</t>
  </si>
  <si>
    <t>市町村長会</t>
  </si>
  <si>
    <t>Shichōsonchō-kai</t>
  </si>
  <si>
    <t>M13, M19</t>
  </si>
  <si>
    <t>商工会議所</t>
  </si>
  <si>
    <t>Shōkō Kaigisho</t>
  </si>
  <si>
    <t>National</t>
  </si>
  <si>
    <t>町内会</t>
  </si>
  <si>
    <t>Chōnaikai</t>
  </si>
  <si>
    <t>漁協</t>
  </si>
  <si>
    <t>Gyokyō</t>
  </si>
  <si>
    <t>全国紙</t>
  </si>
  <si>
    <t>Zenkokushi</t>
  </si>
  <si>
    <t>M07, M23</t>
  </si>
  <si>
    <t>M06, M24</t>
  </si>
  <si>
    <t>M05, M15, M25</t>
  </si>
  <si>
    <t>Students United</t>
  </si>
  <si>
    <t>学生団体</t>
  </si>
  <si>
    <t>Gakusei Dantai</t>
  </si>
  <si>
    <t>Family Network</t>
  </si>
  <si>
    <t>子育て世代の会</t>
  </si>
  <si>
    <t>Kosodate Sedai no Kai</t>
  </si>
  <si>
    <t>Yezo Artisans Guild</t>
  </si>
  <si>
    <t>職人組合</t>
  </si>
  <si>
    <t>Shokunin Kumiai</t>
  </si>
  <si>
    <t>Commuter Committee</t>
  </si>
  <si>
    <t>通勤者連盟</t>
  </si>
  <si>
    <t>Tsūkinsha Renmei</t>
  </si>
  <si>
    <t>Our Traditional Society</t>
  </si>
  <si>
    <t>伝統保守の会</t>
  </si>
  <si>
    <t>Dentō Hoshu no Kai</t>
  </si>
  <si>
    <t>Innovation Society</t>
  </si>
  <si>
    <t>革新の会</t>
  </si>
  <si>
    <t>Kakushin no Kai</t>
  </si>
  <si>
    <t>BO17</t>
  </si>
  <si>
    <t>国会議員</t>
  </si>
  <si>
    <t>Kokkai Giin</t>
  </si>
  <si>
    <t>BO18</t>
  </si>
  <si>
    <t>Constituency Voters</t>
  </si>
  <si>
    <t>選挙区の有権者</t>
  </si>
  <si>
    <t>Senkyoku no Yūkensha</t>
  </si>
  <si>
    <t>Item ID</t>
  </si>
  <si>
    <t>Item Name</t>
  </si>
  <si>
    <t>Purchase Cost from XP</t>
  </si>
  <si>
    <t>Purchase Cost from Funds (Yen)</t>
  </si>
  <si>
    <t>Bonus Condition 1</t>
  </si>
  <si>
    <t>Bonus Condition 2</t>
  </si>
  <si>
    <t>Grants</t>
  </si>
  <si>
    <t>Icon</t>
  </si>
  <si>
    <t>Use In Office</t>
  </si>
  <si>
    <t>Use In Stage</t>
  </si>
  <si>
    <t>Duration</t>
  </si>
  <si>
    <t>Uses Per Turn</t>
  </si>
  <si>
    <t>Stack Cap</t>
  </si>
  <si>
    <t>Purchase Limit</t>
  </si>
  <si>
    <t>Player Choice</t>
  </si>
  <si>
    <t>Bonus 1 Role</t>
  </si>
  <si>
    <t>Bonus 1 Min Tier</t>
  </si>
  <si>
    <t>Bonus 1 Amount</t>
  </si>
  <si>
    <t>Bonus 2 Role</t>
  </si>
  <si>
    <t>Bonus 2 Min Tier</t>
  </si>
  <si>
    <t>Bonus 2 Amount</t>
  </si>
  <si>
    <t>Bonus 3 Role</t>
  </si>
  <si>
    <t>Bonus 3 Min Tier</t>
  </si>
  <si>
    <t>Bonus 3 Amount</t>
  </si>
  <si>
    <t>Card Tier</t>
  </si>
  <si>
    <t>Unlocks Recruitment Tier</t>
  </si>
  <si>
    <t>Funds Cap Increase</t>
  </si>
  <si>
    <t>SH01</t>
  </si>
  <si>
    <t>Commission Policy Research</t>
  </si>
  <si>
    <t>Spend Office Funds to increase one randomly-selected Party-tier booster group's relationship. Available once per Office screen; resets after completion of a level (success or failure).</t>
  </si>
  <si>
    <t>Policy Research Assistant is Tier 1: +1 to the selected Party booster group.</t>
  </si>
  <si>
    <t>Policy Research Assistant is Tier 2: +2 to the selected Party booster group.</t>
  </si>
  <si>
    <t>TIER:Party +1</t>
  </si>
  <si>
    <t>policy_research</t>
  </si>
  <si>
    <t>Policy Research Assistant</t>
  </si>
  <si>
    <t>SH02</t>
  </si>
  <si>
    <t>Commission Press Engagement</t>
  </si>
  <si>
    <t>Spend Office Funds to increase one randomly-selected National-tier booster group's relationship. Available once per Office screen; resets after completion of a level (success or failure).</t>
  </si>
  <si>
    <t>Media Spokesperson is Tier 1: +2 to the selected National booster group.</t>
  </si>
  <si>
    <t>Media Spokesperson is Tier 2: +4 to the selected National booster group.</t>
  </si>
  <si>
    <t>TIER:National +2</t>
  </si>
  <si>
    <t>press_engagement</t>
  </si>
  <si>
    <t>Media Spokesperson</t>
  </si>
  <si>
    <t>SH03</t>
  </si>
  <si>
    <t>Commission District Engagement</t>
  </si>
  <si>
    <t>Spend Office Funds to increase one randomly-selected Constituency-tier booster group's relationship. Available once per Office screen; resets after completion of a level.</t>
  </si>
  <si>
    <t>District Representative is Tier 1: +2 to the selected Constituency booster group.</t>
  </si>
  <si>
    <t>District Representative is Tier 2: +4 to the selected Constituency booster group.</t>
  </si>
  <si>
    <t>TIER:Constituency +2</t>
  </si>
  <si>
    <t>district_engagement</t>
  </si>
  <si>
    <t>SH04</t>
  </si>
  <si>
    <t>“ね3” Coffee</t>
  </si>
  <si>
    <t>One-use item. Grants +1 energy for the first stage of the next level played.</t>
  </si>
  <si>
    <t>ENERGY +1</t>
  </si>
  <si>
    <t>coffee</t>
  </si>
  <si>
    <t>Stage</t>
  </si>
  <si>
    <t>SH05</t>
  </si>
  <si>
    <t>“ミレニ姫” Tea</t>
  </si>
  <si>
    <t>One-use item. Grants +1 gaffe (失言) counter cap for the first stage of the next level played.</t>
  </si>
  <si>
    <t>GAFFE_CAP +1</t>
  </si>
  <si>
    <t>tea</t>
  </si>
  <si>
    <t>SH06</t>
  </si>
  <si>
    <t>Paperwork Automation</t>
  </si>
  <si>
    <t>One-use item. Grants +1 card drawn for the first stage of the next level played.</t>
  </si>
  <si>
    <t>DRAW +1</t>
  </si>
  <si>
    <t>paperwork_automation</t>
  </si>
  <si>
    <t>SH07</t>
  </si>
  <si>
    <t>Wristwatch</t>
  </si>
  <si>
    <t>One-use item. Grants +1 turn for the first stage of the next level played.</t>
  </si>
  <si>
    <t>TURNS +1</t>
  </si>
  <si>
    <t>wristwatch</t>
  </si>
  <si>
    <t>SH08</t>
  </si>
  <si>
    <t>Meditation Session</t>
  </si>
  <si>
    <t>One-use item. Grants +1 guard for the first stage of the next level played.</t>
  </si>
  <si>
    <t>GUARD +1</t>
  </si>
  <si>
    <t>meditation</t>
  </si>
  <si>
    <t>SH09</t>
  </si>
  <si>
    <t>Blue Profile Package</t>
  </si>
  <si>
    <t>SH10</t>
  </si>
  <si>
    <t>Red Profile Package</t>
  </si>
  <si>
    <t>SH11</t>
  </si>
  <si>
    <t>Blue Background Package</t>
  </si>
  <si>
    <t>SH12</t>
  </si>
  <si>
    <t>Red Background Package</t>
  </si>
  <si>
    <t>SH13</t>
  </si>
  <si>
    <t>Unlock Tier 1 Level</t>
  </si>
  <si>
    <t>SH14</t>
  </si>
  <si>
    <t>Unlock Tier 2 Level</t>
  </si>
  <si>
    <t>SH15</t>
  </si>
  <si>
    <t>Unlock Random Tier 1 Card</t>
  </si>
  <si>
    <t>Unlocks one new Tier 1 card at random, making it available for the deck.</t>
  </si>
  <si>
    <t>Unlocked card must still be purchased with Funds (Yen) before entering the deck.</t>
  </si>
  <si>
    <t>unlock_card_t1</t>
  </si>
  <si>
    <t>SH16</t>
  </si>
  <si>
    <t>Unlock Random Tier 2 Card</t>
  </si>
  <si>
    <t>Unlocks one new Tier 2 card at random, making it available for the deck.</t>
  </si>
  <si>
    <t>unlock_card_t2</t>
  </si>
  <si>
    <t>SH17</t>
  </si>
  <si>
    <t>Unlock Random Tier 3 Card</t>
  </si>
  <si>
    <t>Unlocks one new Tier 3 card at random, making it available for the deck.</t>
  </si>
  <si>
    <t>unlock_card_t3</t>
  </si>
  <si>
    <t>SH18</t>
  </si>
  <si>
    <t>Unlock New Staff Recruitment Tier</t>
  </si>
  <si>
    <t>Unlocks the next tier of staff recruitment, allowing higher-tier staff hires.</t>
  </si>
  <si>
    <t>staff_tier</t>
  </si>
  <si>
    <t>SH19</t>
  </si>
  <si>
    <t>Increase Office Funds Cap</t>
  </si>
  <si>
    <t>Increases the Office Funds cap by 100,000円. Repeatable.</t>
  </si>
  <si>
    <t>funds_cap</t>
  </si>
  <si>
    <t>SH20</t>
  </si>
  <si>
    <t>Extra Draw (Level Buff)</t>
  </si>
  <si>
    <t>One-use buff applied for the entire duration of the next level played: +1 card drawn.</t>
  </si>
  <si>
    <t>Stackable up to +2 total per level; each additional stack costs another 50 XP.</t>
  </si>
  <si>
    <t>buff_draw</t>
  </si>
  <si>
    <t>Level</t>
  </si>
  <si>
    <t>SH21</t>
  </si>
  <si>
    <t>Extra Energy (Level Buff)</t>
  </si>
  <si>
    <t>One-use buff applied for the entire duration of the next level played: +1 energy.</t>
  </si>
  <si>
    <t>Stackable up to +3 total per level; each additional stack costs another 60 XP.</t>
  </si>
  <si>
    <t>buff_energy</t>
  </si>
  <si>
    <t>SH22</t>
  </si>
  <si>
    <t>Extra Guard (Level Buff)</t>
  </si>
  <si>
    <t>One-use buff applied for the entire duration of the next level played: +1 guard.</t>
  </si>
  <si>
    <t>Stackable up to +5 total per level; each additional stack costs another 70 XP.</t>
  </si>
  <si>
    <t>buff_guard</t>
  </si>
  <si>
    <t>SH23</t>
  </si>
  <si>
    <t>Extra Gaffe Counter Cap (Level Buff)</t>
  </si>
  <si>
    <t>One-use buff applied for the entire duration of the next level played: +1 gaffe (失言) counter cap.</t>
  </si>
  <si>
    <t>Stackable up to +5 total per level; each additional stack costs another 80 XP.</t>
  </si>
  <si>
    <t>buff_gaffe_cap</t>
  </si>
  <si>
    <t>SH24</t>
  </si>
  <si>
    <t>Extra Turn (Level Buff)</t>
  </si>
  <si>
    <t>One-use buff applied for the entire duration of the next level played: +1 turn on the stage clock.</t>
  </si>
  <si>
    <t>Stackable up to +3 total per level; each additional stack costs another 100 XP.</t>
  </si>
  <si>
    <t>buff_turn</t>
  </si>
  <si>
    <t>SH25</t>
  </si>
  <si>
    <t>Host National Booster Dinner</t>
  </si>
  <si>
    <t>Host a dinner for a player-selected National-tier booster group.</t>
  </si>
  <si>
    <t>+2 relationship for the selected group.</t>
  </si>
  <si>
    <t>booster_dinner</t>
  </si>
  <si>
    <t>SH26</t>
  </si>
  <si>
    <t>Host District Walking Tour</t>
  </si>
  <si>
    <t>Host a walking tour for a player-selected Constituency-tier booster group.</t>
  </si>
  <si>
    <t>+1 relationship for the selected group.</t>
  </si>
  <si>
    <t>TIER:Constituency +1</t>
  </si>
  <si>
    <t>walking_tour</t>
  </si>
  <si>
    <t>SH27</t>
  </si>
  <si>
    <t>Purchase Random Tier 1 Card</t>
  </si>
  <si>
    <t>SH28</t>
  </si>
  <si>
    <t>Purchase Random Tier 2 Card</t>
  </si>
  <si>
    <t>SH29</t>
  </si>
  <si>
    <t>Purchase Random Tier 3 Card</t>
  </si>
  <si>
    <t>Staff ID</t>
  </si>
  <si>
    <t>Staff Role</t>
  </si>
  <si>
    <t>Name</t>
  </si>
  <si>
    <t>Starting Tier for Staff Role</t>
  </si>
  <si>
    <t>Highest Upgradable Tier for Staff Role</t>
  </si>
  <si>
    <t>Hiring Cost from Funds (Yen)</t>
  </si>
  <si>
    <t>Cost to Upgrade from Tier 0 to Tier 1 from Funds (Yen)</t>
  </si>
  <si>
    <t>Cost to Upgrade from Tier 1 to Tier 2 from Funds (Yen)</t>
  </si>
  <si>
    <t>Staff Role Tier 0 Reward</t>
  </si>
  <si>
    <t>Staff Role Tier 1 Reward</t>
  </si>
  <si>
    <t>Staff Role Tier 2 Reward</t>
  </si>
  <si>
    <t>Firing Cost from Funds (Yen)</t>
  </si>
  <si>
    <t>SF01</t>
  </si>
  <si>
    <t>Hana Takahashi</t>
  </si>
  <si>
    <t>+1 for SG03</t>
  </si>
  <si>
    <t>SF02</t>
  </si>
  <si>
    <t>Yui Kobayashi</t>
  </si>
  <si>
    <t>+2 for BO05</t>
  </si>
  <si>
    <t>+2 for BO04; +2 for SG01</t>
  </si>
  <si>
    <t>SF03</t>
  </si>
  <si>
    <t>Sheen Donalds</t>
  </si>
  <si>
    <t>+4 for BO05</t>
  </si>
  <si>
    <t>SF04</t>
  </si>
  <si>
    <t>Marcus O'Connor</t>
  </si>
  <si>
    <t>+2 for SG03</t>
  </si>
  <si>
    <t>+2 for SG03; +2 for SG05</t>
  </si>
  <si>
    <t>+2 for SG03; +2 for SG05; +2 for BO02</t>
  </si>
  <si>
    <t>SF05</t>
  </si>
  <si>
    <t>Stephen Sato</t>
  </si>
  <si>
    <t>+3 for SG04</t>
  </si>
  <si>
    <t>SF06</t>
  </si>
  <si>
    <t>Hiromi Tanaka</t>
  </si>
  <si>
    <t>+2 for BO02</t>
  </si>
  <si>
    <t>+2 for BO02; +2 for SG02</t>
  </si>
  <si>
    <t>+2 for BO02; +2 for SG02; +2 for BO01</t>
  </si>
  <si>
    <t>SF07</t>
  </si>
  <si>
    <t>Ako Ban</t>
  </si>
  <si>
    <t>+2 for BO09; +2 for SG04</t>
  </si>
  <si>
    <t>+2 for BO09; +4 for SG04</t>
  </si>
  <si>
    <t>SF08</t>
  </si>
  <si>
    <t>Aoi Suzuki</t>
  </si>
  <si>
    <t>+1 for SG01</t>
  </si>
  <si>
    <t>SF09</t>
  </si>
  <si>
    <t>Suzu Kobayashi</t>
  </si>
  <si>
    <t>+2 for BO08</t>
  </si>
  <si>
    <t>+2 for BO01; +2 for SG01</t>
  </si>
  <si>
    <t>SF10</t>
  </si>
  <si>
    <t>Himari Sato</t>
  </si>
  <si>
    <t>+4 for BO08</t>
  </si>
  <si>
    <t>SF11</t>
  </si>
  <si>
    <t>Alejandro Uzeko</t>
  </si>
  <si>
    <t>+2 for SG01</t>
  </si>
  <si>
    <t>+2 for SG01; +2 for SG04</t>
  </si>
  <si>
    <t>+2 for SG01; +2 for SG04; +2 for BO08</t>
  </si>
  <si>
    <t>SF12</t>
  </si>
  <si>
    <t>Santiago Portillo</t>
  </si>
  <si>
    <t>+3 for SG01</t>
  </si>
  <si>
    <t>SF13</t>
  </si>
  <si>
    <t>Kenta Izuke</t>
  </si>
  <si>
    <t>+2 for BO08; +2 for SG02</t>
  </si>
  <si>
    <t>+2 for BO08; +2 for SG02; +2 for BO01</t>
  </si>
  <si>
    <t>SF14</t>
  </si>
  <si>
    <t>Honoka Richardson</t>
  </si>
  <si>
    <t>+2 for BO08; +2 for SG04</t>
  </si>
  <si>
    <t>+2 for BO08; +4 for SG04</t>
  </si>
  <si>
    <t>SF15</t>
  </si>
  <si>
    <t>Miharu Daitani</t>
  </si>
  <si>
    <t>+1 for BO03</t>
  </si>
  <si>
    <t>SF16</t>
  </si>
  <si>
    <t>Hiroki Shitamachi</t>
  </si>
  <si>
    <t>+2 for BO03</t>
  </si>
  <si>
    <t>+2 for BO04; +2 for SG03</t>
  </si>
  <si>
    <t>SF17</t>
  </si>
  <si>
    <t>Grant Stark</t>
  </si>
  <si>
    <t>+4 for BO03</t>
  </si>
  <si>
    <t>SF18</t>
  </si>
  <si>
    <t>Leo Vargar</t>
  </si>
  <si>
    <t>+2 for SG03; +2 for BO06</t>
  </si>
  <si>
    <t>+2 for SG03; +2 for BO06; +2 for BO04</t>
  </si>
  <si>
    <t>SF19</t>
  </si>
  <si>
    <t>Lisa Namamura</t>
  </si>
  <si>
    <t>+3 for SG03</t>
  </si>
  <si>
    <t>SF20</t>
  </si>
  <si>
    <t>Haruka Kamikawa</t>
  </si>
  <si>
    <t>+2 for BO04</t>
  </si>
  <si>
    <t>+2 for BO04; +2 for SG03; +2 for BO03</t>
  </si>
  <si>
    <t>SF21</t>
  </si>
  <si>
    <t>Yuka Inamu</t>
  </si>
  <si>
    <t>+2 for BO14; +2 for SG03</t>
  </si>
  <si>
    <t>+2 for BO14; +4 for SG03</t>
  </si>
  <si>
    <t>Opp ID</t>
  </si>
  <si>
    <t>Title</t>
  </si>
  <si>
    <t>Party Acronym</t>
  </si>
  <si>
    <t>Affiliation</t>
  </si>
  <si>
    <t>Role</t>
  </si>
  <si>
    <t>Suit 1</t>
  </si>
  <si>
    <t>Suit 2</t>
  </si>
  <si>
    <t>Suit 3</t>
  </si>
  <si>
    <t>Intent Pattern Range for Attack</t>
  </si>
  <si>
    <t>Intent Pattern Range for Gain</t>
  </si>
  <si>
    <t>Intent Pattern Range for Block</t>
  </si>
  <si>
    <t>OP01</t>
  </si>
  <si>
    <t>Ayala Taiyounokage</t>
  </si>
  <si>
    <t>Five Point Independents</t>
  </si>
  <si>
    <t>FPI</t>
  </si>
  <si>
    <t>ST10; ST01; ST02; ST06</t>
  </si>
  <si>
    <t>3-5</t>
  </si>
  <si>
    <t>OP02</t>
  </si>
  <si>
    <t>Amaya Matsumae</t>
  </si>
  <si>
    <t>CI</t>
  </si>
  <si>
    <t>ST17; ST08</t>
  </si>
  <si>
    <t>4</t>
  </si>
  <si>
    <t>OP03</t>
  </si>
  <si>
    <t>Ani Aman</t>
  </si>
  <si>
    <t>Yezo Heritage Party</t>
  </si>
  <si>
    <t>YHP</t>
  </si>
  <si>
    <t>ST16; ST02</t>
  </si>
  <si>
    <t>OP04</t>
  </si>
  <si>
    <t>Aoi Oba</t>
  </si>
  <si>
    <t>FP</t>
  </si>
  <si>
    <t>ST12; ST01</t>
  </si>
  <si>
    <t>OP05</t>
  </si>
  <si>
    <t>Aptoas Ahun</t>
  </si>
  <si>
    <t>OP06</t>
  </si>
  <si>
    <t>Arata Ran</t>
  </si>
  <si>
    <t>KJT</t>
  </si>
  <si>
    <t>ST13; ST02</t>
  </si>
  <si>
    <t>OP07</t>
  </si>
  <si>
    <t>Arisu Fukunaga</t>
  </si>
  <si>
    <t>OP08</t>
  </si>
  <si>
    <t>Atsuko Takeo</t>
  </si>
  <si>
    <t>ST17; ST01</t>
  </si>
  <si>
    <t>OP09</t>
  </si>
  <si>
    <t>Atsushi Fujioka</t>
  </si>
  <si>
    <t>Butsutou</t>
  </si>
  <si>
    <t>BU</t>
  </si>
  <si>
    <t>ST09; ST02</t>
  </si>
  <si>
    <t>OP10</t>
  </si>
  <si>
    <t>Aki Rono</t>
  </si>
  <si>
    <t>Prime Minister; Leader of the Yezo Heritage Party</t>
  </si>
  <si>
    <t>ST18; ST01; ST08</t>
  </si>
  <si>
    <t>1-6</t>
  </si>
  <si>
    <t>OP100</t>
  </si>
  <si>
    <t>Yuki Kasukasa</t>
  </si>
  <si>
    <t>ST17; ST21</t>
  </si>
  <si>
    <t>OP101</t>
  </si>
  <si>
    <t>Yuriko Mayeda</t>
  </si>
  <si>
    <t>ST15; ST03</t>
  </si>
  <si>
    <t>4-6</t>
  </si>
  <si>
    <t>OP102</t>
  </si>
  <si>
    <t>Emi Katsuragawa</t>
  </si>
  <si>
    <t>President, District Kōenkai Association</t>
  </si>
  <si>
    <t>Kōenkai Member</t>
  </si>
  <si>
    <t>4-7</t>
  </si>
  <si>
    <t>OP103</t>
  </si>
  <si>
    <t>Daichi Moribe</t>
  </si>
  <si>
    <t>Neighborhood Association Member</t>
  </si>
  <si>
    <t>OP104</t>
  </si>
  <si>
    <t>Haruna Sekiguchi</t>
  </si>
  <si>
    <t>Family Network Member</t>
  </si>
  <si>
    <t>2-3</t>
  </si>
  <si>
    <t>OP105</t>
  </si>
  <si>
    <t>Ryusei Tobata</t>
  </si>
  <si>
    <t>Student</t>
  </si>
  <si>
    <t>OP106</t>
  </si>
  <si>
    <t>Kanae Isurugi</t>
  </si>
  <si>
    <t>Constituent</t>
  </si>
  <si>
    <t>OP107</t>
  </si>
  <si>
    <t>Motoharu Zenke</t>
  </si>
  <si>
    <t>OP108</t>
  </si>
  <si>
    <t>Sachiko Endou</t>
  </si>
  <si>
    <t>OP109</t>
  </si>
  <si>
    <t>Renji Kobata</t>
  </si>
  <si>
    <t>OP11</t>
  </si>
  <si>
    <t>Barclay Brigham</t>
  </si>
  <si>
    <t>ST12; ST21</t>
  </si>
  <si>
    <t>OP110</t>
  </si>
  <si>
    <t>Kenta Aoshima</t>
  </si>
  <si>
    <t>Chief Political Correspondent</t>
  </si>
  <si>
    <t>Journalist</t>
  </si>
  <si>
    <t>OP111</t>
  </si>
  <si>
    <t>Reiko Habutae</t>
  </si>
  <si>
    <t>OP112</t>
  </si>
  <si>
    <t>Julian Beckett</t>
  </si>
  <si>
    <t>OP113</t>
  </si>
  <si>
    <t>Miyu Katsuranagi</t>
  </si>
  <si>
    <t>OP114</t>
  </si>
  <si>
    <t>Soutarou Ebina</t>
  </si>
  <si>
    <t>OP115</t>
  </si>
  <si>
    <t>Aoba Shindou</t>
  </si>
  <si>
    <t>OP116</t>
  </si>
  <si>
    <t>Torao Kishibe</t>
  </si>
  <si>
    <t>OP117</t>
  </si>
  <si>
    <t>Nanase Orikuchi</t>
  </si>
  <si>
    <t>OP118</t>
  </si>
  <si>
    <t>Fumihiko Takashiro</t>
  </si>
  <si>
    <t>Chamber of Commerce Lobbyist</t>
  </si>
  <si>
    <t>OP119</t>
  </si>
  <si>
    <t>Chiyo Hatakenaka</t>
  </si>
  <si>
    <t>Labor Federation Member</t>
  </si>
  <si>
    <t>OP12</t>
  </si>
  <si>
    <t>Chi Zoku</t>
  </si>
  <si>
    <t>OP120</t>
  </si>
  <si>
    <t>Genzou Amamiya</t>
  </si>
  <si>
    <t>Agricultural Cooperative Member</t>
  </si>
  <si>
    <t>OP121</t>
  </si>
  <si>
    <t>Umiko Sagawatari</t>
  </si>
  <si>
    <t>Fisheries Cooperative Member</t>
  </si>
  <si>
    <t>OP122</t>
  </si>
  <si>
    <t>Norio Machimura</t>
  </si>
  <si>
    <t>Mayors' Network Representative</t>
  </si>
  <si>
    <t>OP123</t>
  </si>
  <si>
    <t>Yuzuki Handa</t>
  </si>
  <si>
    <t>OP124</t>
  </si>
  <si>
    <t>Kotarou Shishikura</t>
  </si>
  <si>
    <t>OP125</t>
  </si>
  <si>
    <t>Reona Tatebayashi</t>
  </si>
  <si>
    <t>Our Traditional Society Member</t>
  </si>
  <si>
    <t>OP13</t>
  </si>
  <si>
    <t>Cyril Slater</t>
  </si>
  <si>
    <t>ST15; ST02</t>
  </si>
  <si>
    <t>OP14</t>
  </si>
  <si>
    <t>Donald Shibata</t>
  </si>
  <si>
    <t>OP15</t>
  </si>
  <si>
    <t>OP16</t>
  </si>
  <si>
    <t>Eiji Fujioka</t>
  </si>
  <si>
    <t>OP17</t>
  </si>
  <si>
    <t>Furukawa Hideki</t>
  </si>
  <si>
    <t>OP18</t>
  </si>
  <si>
    <t>Gavin Ronaldson</t>
  </si>
  <si>
    <t>ST14; ST21</t>
  </si>
  <si>
    <t>OP19</t>
  </si>
  <si>
    <t>Goko Morino</t>
  </si>
  <si>
    <t>OP20</t>
  </si>
  <si>
    <t>Gorou Kon</t>
  </si>
  <si>
    <t>OP21</t>
  </si>
  <si>
    <t>Han Hee-seop</t>
  </si>
  <si>
    <t>ST11; ST02</t>
  </si>
  <si>
    <t>OP22</t>
  </si>
  <si>
    <t>OP23</t>
  </si>
  <si>
    <t>Harumi Asato</t>
  </si>
  <si>
    <t>OP24</t>
  </si>
  <si>
    <t>Hideaki Terada</t>
  </si>
  <si>
    <t>OP25</t>
  </si>
  <si>
    <t>Hikari Suimoto</t>
  </si>
  <si>
    <t>OP26</t>
  </si>
  <si>
    <t>Hyeong Hyun-jae</t>
  </si>
  <si>
    <t>OP27</t>
  </si>
  <si>
    <t>Ichizaki Namu</t>
  </si>
  <si>
    <t>President of the National Assembly; Chair of the Committee on the National Assembly; Speaker of the National Assembly; Leader of the Frontier Party</t>
  </si>
  <si>
    <t>ST12; ST18; ST06</t>
  </si>
  <si>
    <t>OP28</t>
  </si>
  <si>
    <t>Iida Eri</t>
  </si>
  <si>
    <t>ST17; ST02</t>
  </si>
  <si>
    <t>OP29</t>
  </si>
  <si>
    <t>Imekanu Resu</t>
  </si>
  <si>
    <t>Minister of Agriculture; Chair of the Committee on Agriculture</t>
  </si>
  <si>
    <t>ST13; ST18; ST06</t>
  </si>
  <si>
    <t>OP30</t>
  </si>
  <si>
    <t>Isoroku Adams</t>
  </si>
  <si>
    <t>ST10; ST03</t>
  </si>
  <si>
    <t>OP31</t>
  </si>
  <si>
    <t>Iwao Nagamine</t>
  </si>
  <si>
    <t>ST12; ST03</t>
  </si>
  <si>
    <t>3-4</t>
  </si>
  <si>
    <t>OP32</t>
  </si>
  <si>
    <t>Jiayi Gong</t>
  </si>
  <si>
    <t>OP33</t>
  </si>
  <si>
    <t>Juba Kasumu</t>
  </si>
  <si>
    <t>Minister of the Environment; Chair of the Committee on the Environment</t>
  </si>
  <si>
    <t>OP34</t>
  </si>
  <si>
    <t>Jung Tae-jun</t>
  </si>
  <si>
    <t>OP35</t>
  </si>
  <si>
    <t>OP36</t>
  </si>
  <si>
    <t>Kakuei Sato</t>
  </si>
  <si>
    <t>Minister of Construction and Development; Chair of the Committee on Construction and Development</t>
  </si>
  <si>
    <t>ST15; ST18; ST08</t>
  </si>
  <si>
    <t>OP37</t>
  </si>
  <si>
    <t>Kang Guang</t>
  </si>
  <si>
    <t>OP38</t>
  </si>
  <si>
    <t>Katsumiko Yamamura</t>
  </si>
  <si>
    <t>ST14; ST01</t>
  </si>
  <si>
    <t>OP39</t>
  </si>
  <si>
    <t>Kaya Ukor</t>
  </si>
  <si>
    <t>OP40</t>
  </si>
  <si>
    <t>OP41</t>
  </si>
  <si>
    <t>Kenta Hamasaki</t>
  </si>
  <si>
    <t>OP42</t>
  </si>
  <si>
    <t>Keu Shibatani</t>
  </si>
  <si>
    <t>ST10; ST21</t>
  </si>
  <si>
    <t>OP43</t>
  </si>
  <si>
    <t>Kimiko Chinen</t>
  </si>
  <si>
    <t>OP44</t>
  </si>
  <si>
    <t>Kina Kewtum</t>
  </si>
  <si>
    <t>OP45</t>
  </si>
  <si>
    <t>Kinkokoro Matsumae</t>
  </si>
  <si>
    <t>ST09; ST01</t>
  </si>
  <si>
    <t>OP46</t>
  </si>
  <si>
    <t>Kisar Masayoshi</t>
  </si>
  <si>
    <t>ST13; ST21</t>
  </si>
  <si>
    <t>OP47</t>
  </si>
  <si>
    <t>Kitahime Haibi</t>
  </si>
  <si>
    <t>Minister of Finance; Chair of the Committee on Finance</t>
  </si>
  <si>
    <t>ST16; ST18; ST06</t>
  </si>
  <si>
    <t>OP48</t>
  </si>
  <si>
    <t>Kiyabu Waritai</t>
  </si>
  <si>
    <t>OP49</t>
  </si>
  <si>
    <t>Kiyomi Gima</t>
  </si>
  <si>
    <t>OP50</t>
  </si>
  <si>
    <t>Kokuni Yatsumachi</t>
  </si>
  <si>
    <t>OP51</t>
  </si>
  <si>
    <t>Kotake Kasumu</t>
  </si>
  <si>
    <t>ST10; ST02</t>
  </si>
  <si>
    <t>OP52</t>
  </si>
  <si>
    <t>Koyki Kurasno</t>
  </si>
  <si>
    <t>ST11; ST03</t>
  </si>
  <si>
    <t>OP53</t>
  </si>
  <si>
    <t>Leonard Ridgway</t>
  </si>
  <si>
    <t>OP54</t>
  </si>
  <si>
    <t>Luo Guang</t>
  </si>
  <si>
    <t>OP55</t>
  </si>
  <si>
    <t>Lyosha Morozov</t>
  </si>
  <si>
    <t>OP56</t>
  </si>
  <si>
    <t>Mao Saeki</t>
  </si>
  <si>
    <t>ST14; ST08</t>
  </si>
  <si>
    <t>OP57</t>
  </si>
  <si>
    <t>Masanori Shizugata</t>
  </si>
  <si>
    <t>Minister of War; Chair of the Committee on War</t>
  </si>
  <si>
    <t>ST11; ST18; ST01</t>
  </si>
  <si>
    <t>OP58</t>
  </si>
  <si>
    <t>Masato Maruyama</t>
  </si>
  <si>
    <t>OP59</t>
  </si>
  <si>
    <t>Masayoshi Sera</t>
  </si>
  <si>
    <t>OP60</t>
  </si>
  <si>
    <t>Migimura Okamuradonzai</t>
  </si>
  <si>
    <t>OP61</t>
  </si>
  <si>
    <t>Miho Shingumi</t>
  </si>
  <si>
    <t>OP62</t>
  </si>
  <si>
    <t>Minami Okirasnunipa</t>
  </si>
  <si>
    <t>ST15; ST21</t>
  </si>
  <si>
    <t>OP63</t>
  </si>
  <si>
    <t>Namgung Ryung</t>
  </si>
  <si>
    <t>OP64</t>
  </si>
  <si>
    <t>Noah Kain</t>
  </si>
  <si>
    <t>OP65</t>
  </si>
  <si>
    <t>Nonaka Tomiko</t>
  </si>
  <si>
    <t>OP66</t>
  </si>
  <si>
    <t>Nonaka Yoshie</t>
  </si>
  <si>
    <t>OP67</t>
  </si>
  <si>
    <t>Okabe Hideriai</t>
  </si>
  <si>
    <t>Leader of the Country Initiative</t>
  </si>
  <si>
    <t>OP68</t>
  </si>
  <si>
    <t>Okita Shiori</t>
  </si>
  <si>
    <t>OP69</t>
  </si>
  <si>
    <t>Pirkaike Tsuki</t>
  </si>
  <si>
    <t>OP70</t>
  </si>
  <si>
    <t>Poiya Kanu</t>
  </si>
  <si>
    <t>OP71</t>
  </si>
  <si>
    <t>Ran Sachiko</t>
  </si>
  <si>
    <t>OP72</t>
  </si>
  <si>
    <t>Sadao Nishikawa</t>
  </si>
  <si>
    <t>OP73</t>
  </si>
  <si>
    <t>Seong Lee-min</t>
  </si>
  <si>
    <t>OP74</t>
  </si>
  <si>
    <t>Seong Yun-hee</t>
  </si>
  <si>
    <t>OP75</t>
  </si>
  <si>
    <t>Seta Anramasu</t>
  </si>
  <si>
    <t>OP76</t>
  </si>
  <si>
    <t>Shiba Momoe</t>
  </si>
  <si>
    <t>OP77</t>
  </si>
  <si>
    <t>Shizutake Matsumae</t>
  </si>
  <si>
    <t>OP78</t>
  </si>
  <si>
    <t>Siatuy Sanota</t>
  </si>
  <si>
    <t>Minister of Government Administration; Chair of the Committee on Government Administration</t>
  </si>
  <si>
    <t>ST17; ST18; ST02; ST06; ST08</t>
  </si>
  <si>
    <t>OP79</t>
  </si>
  <si>
    <t>Sikanna Sapanipa</t>
  </si>
  <si>
    <t>OP80</t>
  </si>
  <si>
    <t>Soma Umehori</t>
  </si>
  <si>
    <t>Leader of the Five Point Independents</t>
  </si>
  <si>
    <t>OP81</t>
  </si>
  <si>
    <t>Taiyou Nigate</t>
  </si>
  <si>
    <t>ST09; ST21</t>
  </si>
  <si>
    <t>OP82</t>
  </si>
  <si>
    <t xml:space="preserve">Tama Tsujikonou </t>
  </si>
  <si>
    <t>Minister of Foreign Affairs; Chair of the Committee on Foreign Affairs</t>
  </si>
  <si>
    <t>ST14; ST18; ST01; ST08</t>
  </si>
  <si>
    <t>OP83</t>
  </si>
  <si>
    <t xml:space="preserve">Teinei Macmillan </t>
  </si>
  <si>
    <t>Leader of the Keizaijiyuutou</t>
  </si>
  <si>
    <t>ST16; ST02; ST06</t>
  </si>
  <si>
    <t>OP84</t>
  </si>
  <si>
    <t>Tian Zhao Bo</t>
  </si>
  <si>
    <t>OP85</t>
  </si>
  <si>
    <t>Tobira Hideyoshi</t>
  </si>
  <si>
    <t>ST09; ST03</t>
  </si>
  <si>
    <t>OP86</t>
  </si>
  <si>
    <t>Tomihisa Shimao</t>
  </si>
  <si>
    <t>OP87</t>
  </si>
  <si>
    <t>Tomio Katayama</t>
  </si>
  <si>
    <t>OP88</t>
  </si>
  <si>
    <t>Tsukuhito Keri</t>
  </si>
  <si>
    <t>OP89</t>
  </si>
  <si>
    <t>Tsuneo Yoneda</t>
  </si>
  <si>
    <t>OP90</t>
  </si>
  <si>
    <t>Tsutomu Hirano</t>
  </si>
  <si>
    <t>OP91</t>
  </si>
  <si>
    <t>Utemaru Naizen</t>
  </si>
  <si>
    <t>Minister of Ethics and Prosecution; Chair of the Committee on Ethics and Prosecution; Leader of the Butsutou</t>
  </si>
  <si>
    <t>ST09; ST18; ST06</t>
  </si>
  <si>
    <t>5-8</t>
  </si>
  <si>
    <t>OP92</t>
  </si>
  <si>
    <t>Walter Peard</t>
  </si>
  <si>
    <t>OP93</t>
  </si>
  <si>
    <t>Xiang Huang</t>
  </si>
  <si>
    <t>OP94</t>
  </si>
  <si>
    <t>Xiaobo Jiang</t>
  </si>
  <si>
    <t>OP95</t>
  </si>
  <si>
    <t>Xiong Xiaodan</t>
  </si>
  <si>
    <t>OP96</t>
  </si>
  <si>
    <t>Yakuwakka Yayarini</t>
  </si>
  <si>
    <t>OP97</t>
  </si>
  <si>
    <t>Yoshi Toda</t>
  </si>
  <si>
    <t>ST16; ST01</t>
  </si>
  <si>
    <t>OP98</t>
  </si>
  <si>
    <t>Yoshida Cho</t>
  </si>
  <si>
    <t>OP99</t>
  </si>
  <si>
    <t>Yoshimura Hideko</t>
  </si>
  <si>
    <t>Variable</t>
  </si>
  <si>
    <t>JP</t>
  </si>
  <si>
    <t>Start</t>
  </si>
  <si>
    <t>Min</t>
  </si>
  <si>
    <t>Max</t>
  </si>
  <si>
    <t>Low Threshold</t>
  </si>
  <si>
    <t>Low consequence</t>
  </si>
  <si>
    <t>HighThreshold</t>
  </si>
  <si>
    <t>High consequence</t>
  </si>
  <si>
    <t>地盤</t>
  </si>
  <si>
    <t>LV10 cannot active.</t>
  </si>
  <si>
    <t>知名度</t>
  </si>
  <si>
    <t>Chimeido</t>
  </si>
  <si>
    <t>LV05 cannot activate.</t>
  </si>
  <si>
    <t>円</t>
  </si>
  <si>
    <t>党内支持</t>
  </si>
  <si>
    <t>Tōnai Shiji</t>
  </si>
  <si>
    <t>LV08 cannot activate.</t>
  </si>
  <si>
    <t>Key</t>
  </si>
  <si>
    <t>Where</t>
  </si>
  <si>
    <t>English</t>
  </si>
  <si>
    <t>Placeholders</t>
  </si>
  <si>
    <t>Notes</t>
  </si>
  <si>
    <t>outcome.carried</t>
  </si>
  <si>
    <t>End of stage — title</t>
  </si>
  <si>
    <t>Taken care of</t>
  </si>
  <si>
    <t>The title when you win a stage.</t>
  </si>
  <si>
    <t>outcome.defeated</t>
  </si>
  <si>
    <t>Defeated</t>
  </si>
  <si>
    <t>The title when you lose.</t>
  </si>
  <si>
    <t>outcome.no_decision</t>
  </si>
  <si>
    <t>No decision</t>
  </si>
  <si>
    <t>The title when the turn limit ran out with no result.</t>
  </si>
  <si>
    <t>outcome.conference_over</t>
  </si>
  <si>
    <t>Conference over</t>
  </si>
  <si>
    <t>Instead of Carried, where the room was a press conference and nobody was beaten.</t>
  </si>
  <si>
    <t>outcome.closed</t>
  </si>
  <si>
    <t>{stage} concluded.</t>
  </si>
  <si>
    <t>stage</t>
  </si>
  <si>
    <t>For a room that is scored rather than won: the caucus, the town hall, the TV debate.</t>
  </si>
  <si>
    <t>outcome.closed_unnamed</t>
  </si>
  <si>
    <t>It closed</t>
  </si>
  <si>
    <t>The same line where the stage has no name to use.</t>
  </si>
  <si>
    <t>outcome.ahead</t>
  </si>
  <si>
    <t>End of stage — what it was worth</t>
  </si>
  <si>
    <t>You start {count} ahead at the floor debate.</t>
  </si>
  <si>
    <t>count</t>
  </si>
  <si>
    <t>Shown when this stage's score carries into a later one.</t>
  </si>
  <si>
    <t>outcome.behind</t>
  </si>
  <si>
    <t>You start {count} behind at the floor debate.</t>
  </si>
  <si>
    <t>The same, where the score went against you. {count} is already positive.</t>
  </si>
  <si>
    <t>outcome.pleased</t>
  </si>
  <si>
    <t>Pleased: {names}.</t>
  </si>
  <si>
    <t>names</t>
  </si>
  <si>
    <t>Which organisations your answers pleased.</t>
  </si>
  <si>
    <t>outcome.no_rewards</t>
  </si>
  <si>
    <t>This stage has no rewards set yet.</t>
  </si>
  <si>
    <t>The truth, rather than silence that reads as a bug. Every playtest stage says this until its numbers are set.</t>
  </si>
  <si>
    <t>outcome.xp</t>
  </si>
  <si>
    <t>{count} XP</t>
  </si>
  <si>
    <t>Listed alongside the standings that moved.</t>
  </si>
  <si>
    <t>outcome.sign_off_unwritten</t>
  </si>
  <si>
    <t>End of stage — last stage of a level</t>
  </si>
  <si>
    <t>That is the end of it.</t>
  </si>
  <si>
    <t>Used when a level has no win_text or loss_text of its own AND no name.</t>
  </si>
  <si>
    <t>outcome.sign_off_named</t>
  </si>
  <si>
    <t>{level} is behind you.</t>
  </si>
  <si>
    <t>level</t>
  </si>
  <si>
    <t>Used when a level has no win_text or loss_text written yet. True of any level.</t>
  </si>
  <si>
    <t>outcome.close</t>
  </si>
  <si>
    <t>End of stage — button</t>
  </si>
  <si>
    <t>Close</t>
  </si>
  <si>
    <t>The button when you are not in a level.</t>
  </si>
  <si>
    <t>outcome.back_to_office</t>
  </si>
  <si>
    <t>Back to the Office</t>
  </si>
  <si>
    <t>The button after the last stage of a level, or after a loss.</t>
  </si>
  <si>
    <t>outcome.next_stage</t>
  </si>
  <si>
    <t>On to the next stage</t>
  </si>
  <si>
    <t>The button when the level has another room waiting.</t>
  </si>
  <si>
    <t>battle.no_stage</t>
  </si>
  <si>
    <t>Battle — notices</t>
  </si>
  <si>
    <t>There is no stage to play here.</t>
  </si>
  <si>
    <t>Shown if a stage cannot be found at all.</t>
  </si>
  <si>
    <t>battle.cannot_start</t>
  </si>
  <si>
    <t>This battle could not start:
• {problems}</t>
  </si>
  <si>
    <t>problems</t>
  </si>
  <si>
    <t>{problems} is a bulleted list the game fills in.</t>
  </si>
  <si>
    <t>battle.card_refused</t>
  </si>
  <si>
    <t>That card cannot be played.</t>
  </si>
  <si>
    <t>A fallback; the engine usually gives its own reason.</t>
  </si>
  <si>
    <t>battle.declined</t>
  </si>
  <si>
    <t>You let that one go. The room cools.</t>
  </si>
  <si>
    <t>Ending a turn without answering the question in front of you.</t>
  </si>
  <si>
    <t>battle.passed</t>
  </si>
  <si>
    <t>You said nothing. One less energy this turn.</t>
  </si>
  <si>
    <t>Ending a turn having played no cards, outside a press conference.</t>
  </si>
  <si>
    <t>narration.sentence</t>
  </si>
  <si>
    <t>Battle — what happened</t>
  </si>
  <si>
    <t>{who}: {clauses}.</t>
  </si>
  <si>
    <t>who, clauses</t>
  </si>
  <si>
    <t>The frame the opponent's move is reported in.</t>
  </si>
  <si>
    <t>narration.they</t>
  </si>
  <si>
    <t>They</t>
  </si>
  <si>
    <t>Stands in for an opponent with no name.</t>
  </si>
  <si>
    <t>narration.that_opponent</t>
  </si>
  <si>
    <t>That opponent</t>
  </si>
  <si>
    <t>Stands in for a finished opponent with no name.</t>
  </si>
  <si>
    <t>narration.the_next</t>
  </si>
  <si>
    <t>the next</t>
  </si>
  <si>
    <t>Stands in for the next opponent up, unnamed.</t>
  </si>
  <si>
    <t>narration.them_generic</t>
  </si>
  <si>
    <t>them</t>
  </si>
  <si>
    <t>Used where the opponent has no name.</t>
  </si>
  <si>
    <t>narration.their_generic</t>
  </si>
  <si>
    <t>their</t>
  </si>
  <si>
    <t>Possessive, where the opponent has no name.</t>
  </si>
  <si>
    <t>narration.their_named</t>
  </si>
  <si>
    <t>{name}'s</t>
  </si>
  <si>
    <t>name</t>
  </si>
  <si>
    <t>Possessive, where they do have a name.</t>
  </si>
  <si>
    <t>narration.guard_stopped</t>
  </si>
  <si>
    <t>Battle — your card</t>
  </si>
  <si>
    <t>{who} guard stopped {count}</t>
  </si>
  <si>
    <t>who, count</t>
  </si>
  <si>
    <t>{who} is already possessive: "Ito's" or "their".</t>
  </si>
  <si>
    <t>narration.argued_away</t>
  </si>
  <si>
    <t>{amount} argued away from {whom}</t>
  </si>
  <si>
    <t>amount, whom</t>
  </si>
  <si>
    <t>{amount} already carries its unit: "3 seats", "5%".</t>
  </si>
  <si>
    <t>narration.gaffe.one</t>
  </si>
  <si>
    <t>{count} gaffe on your record</t>
  </si>
  <si>
    <t>narration.gaffe.other</t>
  </si>
  <si>
    <t>{count} gaffes on your record</t>
  </si>
  <si>
    <t>narration.won_over</t>
  </si>
  <si>
    <t>{amount} won over</t>
  </si>
  <si>
    <t>amount</t>
  </si>
  <si>
    <t>narration.won_over_detail</t>
  </si>
  <si>
    <t>{clause} — {detail}</t>
  </si>
  <si>
    <t>clause, detail</t>
  </si>
  <si>
    <t>Joins the win to who those people were.</t>
  </si>
  <si>
    <t>narration.raised</t>
  </si>
  <si>
    <t>{unit} raised by {count}</t>
  </si>
  <si>
    <t>unit, count</t>
  </si>
  <si>
    <t>For a room with a mood rather than people: press tone.</t>
  </si>
  <si>
    <t>narration.unmoved</t>
  </si>
  <si>
    <t>{unit} did not move</t>
  </si>
  <si>
    <t>unit</t>
  </si>
  <si>
    <t>narration.short.one</t>
  </si>
  <si>
    <t>, {count} point short of the next</t>
  </si>
  <si>
    <t>Points that cannot pay for the next person are lost.</t>
  </si>
  <si>
    <t>narration.short.other</t>
  </si>
  <si>
    <t>, {count} points short of the next</t>
  </si>
  <si>
    <t>narration.all_off</t>
  </si>
  <si>
    <t>all of them off {whom}</t>
  </si>
  <si>
    <t>whom</t>
  </si>
  <si>
    <t>narration.split</t>
  </si>
  <si>
    <t>{undecided} from the undecided, {count} off {whom}</t>
  </si>
  <si>
    <t>undecided, count, whom</t>
  </si>
  <si>
    <t>narration.bout_finished</t>
  </si>
  <si>
    <t>{who} is finished</t>
  </si>
  <si>
    <t>who</t>
  </si>
  <si>
    <t>The last opponent in the room.</t>
  </si>
  <si>
    <t>narration.bout_finished_next</t>
  </si>
  <si>
    <t>{who} is finished — {next} rises</t>
  </si>
  <si>
    <t>who, next</t>
  </si>
  <si>
    <t>narration.absorbed</t>
  </si>
  <si>
    <t>Battle — their move</t>
  </si>
  <si>
    <t>your guard absorbed {count}</t>
  </si>
  <si>
    <t>narration.taken</t>
  </si>
  <si>
    <t>{amount} taken from you</t>
  </si>
  <si>
    <t>narration.nothing_through</t>
  </si>
  <si>
    <t>nothing got through</t>
  </si>
  <si>
    <t>Their attack was entirely absorbed by your guard.</t>
  </si>
  <si>
    <t>narration.nothing_to_take</t>
  </si>
  <si>
    <t>the attack found nothing to take</t>
  </si>
  <si>
    <t>They attacked and you had nothing left to lose.</t>
  </si>
  <si>
    <t>narration.gain_none</t>
  </si>
  <si>
    <t>{who} pressed the case and won nobody over.</t>
  </si>
  <si>
    <t>narration.guard_built</t>
  </si>
  <si>
    <t>developed {count} guard</t>
  </si>
  <si>
    <t>narration.block_none</t>
  </si>
  <si>
    <t>{who} could not guard any further.</t>
  </si>
  <si>
    <t>Their guard is already at the ceiling.</t>
  </si>
  <si>
    <t>narration.waited</t>
  </si>
  <si>
    <t>{who} waited.</t>
  </si>
  <si>
    <t>Their move was worth nothing, so they did nothing.</t>
  </si>
  <si>
    <t>narration.won_over_them</t>
  </si>
  <si>
    <t>won over {amount}</t>
  </si>
  <si>
    <t>The OPPONENT winning people over. The player's version is narration.won_over, which puts the number first.</t>
  </si>
  <si>
    <t>brief.heading</t>
  </si>
  <si>
    <t>Details — how this room works</t>
  </si>
  <si>
    <t>How this room works</t>
  </si>
  <si>
    <t>brief.bullet</t>
  </si>
  <si>
    <t>• {label} — {detail}</t>
  </si>
  <si>
    <t>label, detail</t>
  </si>
  <si>
    <t>The shape of every line in the list.</t>
  </si>
  <si>
    <t>brief.label.turns</t>
  </si>
  <si>
    <t>Turns</t>
  </si>
  <si>
    <t>brief.label.energy</t>
  </si>
  <si>
    <t>Energy</t>
  </si>
  <si>
    <t>brief.label.questions</t>
  </si>
  <si>
    <t>Questions</t>
  </si>
  <si>
    <t>brief.label.gaffes</t>
  </si>
  <si>
    <t>Gaffes</t>
  </si>
  <si>
    <t>brief.label.guard</t>
  </si>
  <si>
    <t>brief.label.hand</t>
  </si>
  <si>
    <t>Your hand</t>
  </si>
  <si>
    <t>brief.label.winning</t>
  </si>
  <si>
    <t>Winning</t>
  </si>
  <si>
    <t>brief.label.decay</t>
  </si>
  <si>
    <t>Every turn costs you</t>
  </si>
  <si>
    <t>brief.turns.none</t>
  </si>
  <si>
    <t>no limit. It ends when the questions run out.</t>
  </si>
  <si>
    <t>brief.turns.limit</t>
  </si>
  <si>
    <t>{count}. Running out of them is a loss.</t>
  </si>
  <si>
    <t>brief.energy.pool</t>
  </si>
  <si>
    <t>{count} for the whole thing. They do NOT come back at the start of a turn — spend them as a budget.{left}</t>
  </si>
  <si>
    <t>count, left</t>
  </si>
  <si>
    <t>{left} is "  3 left." during a battle and empty on the briefing screen.</t>
  </si>
  <si>
    <t>brief.energy.left</t>
  </si>
  <si>
    <t xml:space="preserve">  {count} left.</t>
  </si>
  <si>
    <t>Appended to the line above once a battle is running.</t>
  </si>
  <si>
    <t>brief.energy.per_turn</t>
  </si>
  <si>
    <t>{count} a turn, back in full when you end the turn.</t>
  </si>
  <si>
    <t>A playtest could not see WHEN energy came back. That is why this line exists.</t>
  </si>
  <si>
    <t>brief.questions.one_a_turn</t>
  </si>
  <si>
    <t xml:space="preserve">one a turn, {total} in all. </t>
  </si>
  <si>
    <t>total</t>
  </si>
  <si>
    <t>Note the trailing space: the sentence continues.</t>
  </si>
  <si>
    <t>brief.questions.several</t>
  </si>
  <si>
    <t xml:space="preserve">{per_turn} a turn, {total} in all. A further card still plays, but nobody is waiting for it. </t>
  </si>
  <si>
    <t>per_turn, total</t>
  </si>
  <si>
    <t>Trailing space: the sentence continues.</t>
  </si>
  <si>
    <t>brief.questions.decline</t>
  </si>
  <si>
    <t>Leave one unanswered when the turn ends and you have declined it</t>
  </si>
  <si>
    <t>Joined to whichever ending below applies.</t>
  </si>
  <si>
    <t>brief.questions.ends_stage</t>
  </si>
  <si>
    <t>, and here that ends the stage.</t>
  </si>
  <si>
    <t>brief.questions.costs</t>
  </si>
  <si>
    <t>, which costs {count} and pleases nobody.</t>
  </si>
  <si>
    <t>brief.questions.free</t>
  </si>
  <si>
    <t>.</t>
  </si>
  <si>
    <t>Where declining costs nothing at all.</t>
  </si>
  <si>
    <t>brief.gaffes.plain</t>
  </si>
  <si>
    <t>{count} ends the stage at once.</t>
  </si>
  <si>
    <t>brief.gaffes.multiplied</t>
  </si>
  <si>
    <t>{count} ends the stage at once — and every slip here counts {multiplier} times.</t>
  </si>
  <si>
    <t>count, multiplier</t>
  </si>
  <si>
    <t>brief.guard</t>
  </si>
  <si>
    <t>it banks up to {count} and carries between turns. Only an attack takes it, and it is spent stopping one.</t>
  </si>
  <si>
    <t>brief.hand.none</t>
  </si>
  <si>
    <t>{count} cards, and you draw no more. Run out and there is nothing left to say.</t>
  </si>
  <si>
    <t>brief.hand.refill</t>
  </si>
  <si>
    <t>drawn back up to {count} at the end of every turn.</t>
  </si>
  <si>
    <t>brief.winning.score</t>
  </si>
  <si>
    <t>there is nothing to reach. However high the support gets by the end is the result, and later stages draw on it.</t>
  </si>
  <si>
    <t>brief.winning.hold</t>
  </si>
  <si>
    <t>hold the room until the questions run out.</t>
  </si>
  <si>
    <t>brief.winning.reset</t>
  </si>
  <si>
    <t>{count} {unit} wins the argument in front of you. The next one starts again from nothing, gaffes included.</t>
  </si>
  <si>
    <t>count, unit</t>
  </si>
  <si>
    <t>brief.winning.continuous</t>
  </si>
  <si>
    <t>{count} {unit} finishes the one in front of you, not the stage. Your record, your hand and the clock carry across all of them.</t>
  </si>
  <si>
    <t>brief.winning.stream</t>
  </si>
  <si>
    <t>{count} {unit} moves the queue along. The clock and your record carry; each new face is fresh energy.</t>
  </si>
  <si>
    <t>brief.winning.single</t>
  </si>
  <si>
    <t>{count} {unit}.</t>
  </si>
  <si>
    <t>brief.decay</t>
  </si>
  <si>
    <t>their interest cools by {count}, whatever you say.</t>
  </si>
  <si>
    <t>office.title</t>
  </si>
  <si>
    <t>Office</t>
  </si>
  <si>
    <t>The Office</t>
  </si>
  <si>
    <t>office.choose_level</t>
  </si>
  <si>
    <t>Office — buttons</t>
  </si>
  <si>
    <t>Choose a level</t>
  </si>
  <si>
    <t>office.management</t>
  </si>
  <si>
    <t>Office Management</t>
  </si>
  <si>
    <t>One door for everything you can spend.</t>
  </si>
  <si>
    <t>office.organisations</t>
  </si>
  <si>
    <t>Important Stakeholders</t>
  </si>
  <si>
    <t>office.in_order</t>
  </si>
  <si>
    <t>The office is in order.</t>
  </si>
  <si>
    <t>Shown when your deck is legal and there is nothing to fix.</t>
  </si>
  <si>
    <t>office.deck_warning</t>
  </si>
  <si>
    <t>Your deck: {reason}  —  see Office Management.</t>
  </si>
  <si>
    <t>reason</t>
  </si>
  <si>
    <t>office.report.none</t>
  </si>
  <si>
    <t>Chatter fills the National Assembly halls.</t>
  </si>
  <si>
    <t>Before your first level.</t>
  </si>
  <si>
    <t>office.report.won</t>
  </si>
  <si>
    <t>Your performance is getting attention.</t>
  </si>
  <si>
    <t>office.report.lost</t>
  </si>
  <si>
    <t>Your performance is … stirring up rumors.</t>
  </si>
  <si>
    <t>office.xp</t>
  </si>
  <si>
    <t>Office — management</t>
  </si>
  <si>
    <t>XP {count}</t>
  </si>
  <si>
    <t>office.xp_buys</t>
  </si>
  <si>
    <t>Earned by winning stages. Buys new cards.</t>
  </si>
  <si>
    <t>office.funds</t>
  </si>
  <si>
    <t>Funds {count}</t>
  </si>
  <si>
    <t>office.funds_buys</t>
  </si>
  <si>
    <t>From donors and backers. Buys the organisations' backing.</t>
  </si>
  <si>
    <t>office.deck_count</t>
  </si>
  <si>
    <t>Deck {count} of {size}</t>
  </si>
  <si>
    <t>count, size</t>
  </si>
  <si>
    <t>office.deck_ready</t>
  </si>
  <si>
    <t>Ready to go in.</t>
  </si>
  <si>
    <t>office.new_cards</t>
  </si>
  <si>
    <t>Office — cards</t>
  </si>
  <si>
    <t>New cards</t>
  </si>
  <si>
    <t>Panel title and button.</t>
  </si>
  <si>
    <t>office.your_deck</t>
  </si>
  <si>
    <t>Office — deck</t>
  </si>
  <si>
    <t>Your deck</t>
  </si>
  <si>
    <t>office.backing</t>
  </si>
  <si>
    <t>Office — backing</t>
  </si>
  <si>
    <t>Backing</t>
  </si>
  <si>
    <t>Button into the backing shop.</t>
  </si>
  <si>
    <t>office.cards_blurb</t>
  </si>
  <si>
    <t>Cards you unlock join your collection. What you actually take into a debate is chosen on the deck screen.</t>
  </si>
  <si>
    <t>office.cards_unlocked.one</t>
  </si>
  <si>
    <t>{count} card unlocked so far.</t>
  </si>
  <si>
    <t>office.cards_unlocked.other</t>
  </si>
  <si>
    <t>{count} cards unlocked so far.</t>
  </si>
  <si>
    <t>office.unlock</t>
  </si>
  <si>
    <t>Unlock</t>
  </si>
  <si>
    <t>The button on a card you can afford.</t>
  </si>
  <si>
    <t>office.card_line</t>
  </si>
  <si>
    <t>{suit} · {effect}</t>
  </si>
  <si>
    <t>suit, effect</t>
  </si>
  <si>
    <t>office.deck_chosen</t>
  </si>
  <si>
    <t>{count} of {size} chosen{warning}</t>
  </si>
  <si>
    <t>count, size, warning</t>
  </si>
  <si>
    <t>{warning} is empty when the deck is legal.</t>
  </si>
  <si>
    <t>office.deck_warning_suffix</t>
  </si>
  <si>
    <t xml:space="preserve">  —  {reason}</t>
  </si>
  <si>
    <t>office.deck_tap</t>
  </si>
  <si>
    <t>Tap a card to take it in or leave it out.</t>
  </si>
  <si>
    <t>office.deck_confirm</t>
  </si>
  <si>
    <t>Take these in</t>
  </si>
  <si>
    <t>Only offered when the deck is legal.</t>
  </si>
  <si>
    <t>office.orgs_blurb</t>
  </si>
  <si>
    <t>Office — organisations</t>
  </si>
  <si>
    <t>Answering a reporter in the suit their question invites pleases the organisation behind it, and that standing is carried between levels.</t>
  </si>
  <si>
    <t>office.backing_blurb</t>
  </si>
  <si>
    <t>An organisation backs you once your standing with it is high enough. Answering a reporter in the suit their question invites is what raises it.</t>
  </si>
  <si>
    <t>office.nothing_for_sale</t>
  </si>
  <si>
    <t>Nothing is for sale.</t>
  </si>
  <si>
    <t>office.take_backing</t>
  </si>
  <si>
    <t>Take their backing</t>
  </si>
  <si>
    <t>office.no_effect_yet</t>
  </si>
  <si>
    <t>No effect yet — your record always opens clean, so there is nothing here to take off.</t>
  </si>
  <si>
    <t>office.not_active_yet</t>
  </si>
  <si>
    <t>Not active yet — this effect is still to be built.</t>
  </si>
  <si>
    <t>Six of the fifteen organisations' effects need machinery that is not built.</t>
  </si>
  <si>
    <t>shop.card_no_id</t>
  </si>
  <si>
    <t>Shop — refusals</t>
  </si>
  <si>
    <t>This card has no ID.</t>
  </si>
  <si>
    <t>Should never be seen; it means the data is broken.</t>
  </si>
  <si>
    <t>shop.already_yours</t>
  </si>
  <si>
    <t>Already yours.</t>
  </si>
  <si>
    <t>shop.xp_short</t>
  </si>
  <si>
    <t>{count} XP short.</t>
  </si>
  <si>
    <t>shop.mod_no_id</t>
  </si>
  <si>
    <t>This modifier has no ID.</t>
  </si>
  <si>
    <t>shop.not_for_sale</t>
  </si>
  <si>
    <t>Not for sale.</t>
  </si>
  <si>
    <t>shop.standing_needed</t>
  </si>
  <si>
    <t>Standing {have} of {needed} needed.</t>
  </si>
  <si>
    <t>have, needed</t>
  </si>
  <si>
    <t>shop.funds_short</t>
  </si>
  <si>
    <t>{count} short.</t>
  </si>
  <si>
    <t>Funds, not XP — the sentence sits under a Funds heading.</t>
  </si>
  <si>
    <t>shop.not_yours</t>
  </si>
  <si>
    <t>{card} is not yours.</t>
  </si>
  <si>
    <t>card</t>
  </si>
  <si>
    <t>shop.in_twice</t>
  </si>
  <si>
    <t>{card} is in twice.</t>
  </si>
  <si>
    <t>shop.more_to_choose</t>
  </si>
  <si>
    <t>{count} more to choose.</t>
  </si>
  <si>
    <t>shop.too_many</t>
  </si>
  <si>
    <t>{count} too many.</t>
  </si>
  <si>
    <t>office.card_title</t>
  </si>
  <si>
    <t>{name} {name_jp}  —  {cost} XP</t>
  </si>
  <si>
    <t>name, name_jp, cost</t>
  </si>
  <si>
    <t>office.where_you_stand</t>
  </si>
  <si>
    <t>Where you stand</t>
  </si>
  <si>
    <t>Heading above your four standings. Browser build only so far; the Godot Office shows them without a heading.</t>
  </si>
  <si>
    <t>outcome.reason.walked_away</t>
  </si>
  <si>
    <t>End of stage — why</t>
  </si>
  <si>
    <t>You walked away from the question. That is the story now.</t>
  </si>
  <si>
    <t>Declining a question in a room where that ends it.</t>
  </si>
  <si>
    <t>outcome.reason.gaffe_limit</t>
  </si>
  <si>
    <t>The gaffe meter filled.</t>
  </si>
  <si>
    <t>outcome.reason.committee_for</t>
  </si>
  <si>
    <t>A majority of the committee locked in favour.</t>
  </si>
  <si>
    <t>outcome.reason.committee_against</t>
  </si>
  <si>
    <t>Too many members locked against — a majority is no longer possible.</t>
  </si>
  <si>
    <t>outcome.reason.all_argued_out</t>
  </si>
  <si>
    <t>Every opponent has been argued out of the chamber.</t>
  </si>
  <si>
    <t>outcome.reason.opponent_first</t>
  </si>
  <si>
    <t>The opponent reached the threshold first.</t>
  </si>
  <si>
    <t>outcome.reason.fell_below</t>
  </si>
  <si>
    <t>Support fell below the line during the debate.</t>
  </si>
  <si>
    <t>A TV debate, where you must stay above the line every turn.</t>
  </si>
  <si>
    <t>outcome.reason.survived</t>
  </si>
  <si>
    <t>Survived the whole debate above the line.</t>
  </si>
  <si>
    <t>outcome.reason.all_argued_down</t>
  </si>
  <si>
    <t>All {count} were argued down.</t>
  </si>
  <si>
    <t>outcome.reason.threshold</t>
  </si>
  <si>
    <t>The support threshold was reached.</t>
  </si>
  <si>
    <t>outcome.reason.closed_on</t>
  </si>
  <si>
    <t>{stage} closed on {closing}.</t>
  </si>
  <si>
    <t>stage, closing</t>
  </si>
  <si>
    <t>{closing} is "46% of the room" or "46 support".</t>
  </si>
  <si>
    <t>outcome.reason.closed_on_unnamed</t>
  </si>
  <si>
    <t>It closed on {closing}.</t>
  </si>
  <si>
    <t>closing</t>
  </si>
  <si>
    <t>outcome.reason.percent_of_room</t>
  </si>
  <si>
    <t>{count}% of the room</t>
  </si>
  <si>
    <t>Slots into the line above.</t>
  </si>
  <si>
    <t>outcome.reason.amount_of_unit</t>
  </si>
  <si>
    <t>{count} {unit}</t>
  </si>
  <si>
    <t>outcome.reason.time_ahead</t>
  </si>
  <si>
    <t>Time ran out with the player ahead.</t>
  </si>
  <si>
    <t>outcome.reason.time_behind</t>
  </si>
  <si>
    <t>Time ran out with the player behind.</t>
  </si>
  <si>
    <t>outcome.reason.time_no_decision</t>
  </si>
  <si>
    <t>Time ran out with no decision. The stage restarts.</t>
  </si>
  <si>
    <t>outcome.reason.time_short</t>
  </si>
  <si>
    <t>Time ran out before the threshold was reached.</t>
  </si>
  <si>
    <t>outcome.reason.concludes</t>
  </si>
  <si>
    <t>{stage} concludes.</t>
  </si>
  <si>
    <t>outcome.reason.concludes_unnamed</t>
  </si>
  <si>
    <t>It concludes.</t>
  </si>
  <si>
    <t>outcome.reason.nothing_left</t>
  </si>
  <si>
    <t>The questions ran on, but there was nothing left to say.</t>
  </si>
  <si>
    <t>outcome.reason.unanswered.one</t>
  </si>
  <si>
    <t>One question went unanswered.</t>
  </si>
  <si>
    <t>outcome.reason.unanswered.other</t>
  </si>
  <si>
    <t>{count} questions went unanswered.</t>
  </si>
  <si>
    <t>caption.turn</t>
  </si>
  <si>
    <t>Battle — header</t>
  </si>
  <si>
    <t>Turn {turn} of {total}</t>
  </si>
  <si>
    <t>turn, total</t>
  </si>
  <si>
    <t>caption.question</t>
  </si>
  <si>
    <t>Question {number} of {total}</t>
  </si>
  <si>
    <t>number, total</t>
  </si>
  <si>
    <t>caption.opponent</t>
  </si>
  <si>
    <t>{number} of {total}</t>
  </si>
  <si>
    <t>Beside the opponent's name in a room with several.</t>
  </si>
  <si>
    <t>caption.stage</t>
  </si>
  <si>
    <t>Briefing</t>
  </si>
  <si>
    <t>Stage {number} of {total}</t>
  </si>
  <si>
    <t>intent.waiting</t>
  </si>
  <si>
    <t>Battle — their intent</t>
  </si>
  <si>
    <t>Waiting</t>
  </si>
  <si>
    <t>They have no move, or none worth making.</t>
  </si>
  <si>
    <t>intent.attacking</t>
  </si>
  <si>
    <t>Attacking · {amount}</t>
  </si>
  <si>
    <t>{amount} is "−6" or "−1 to −6".</t>
  </si>
  <si>
    <t>intent.gaining</t>
  </si>
  <si>
    <t>Gaining · {amount}</t>
  </si>
  <si>
    <t>intent.guarding</t>
  </si>
  <si>
    <t>Guarding · {amount}</t>
  </si>
  <si>
    <t>intent.range</t>
  </si>
  <si>
    <t>Battle · opponent intent</t>
  </si>
  <si>
    <t>{low} to {high}</t>
  </si>
  <si>
    <t>low, high</t>
  </si>
  <si>
    <t>Joins the two ends of a move that could be anything in a range.</t>
  </si>
  <si>
    <t>carried.went_well</t>
  </si>
  <si>
    <t>Battle · details panel</t>
  </si>
  <si>
    <t>{name} went well: you start {count} ahead.</t>
  </si>
  <si>
    <t>name, count</t>
  </si>
  <si>
    <t>carried.went_badly</t>
  </si>
  <si>
    <t>{name} went badly: you start {count} behind.</t>
  </si>
  <si>
    <t>carried.pleased</t>
  </si>
  <si>
    <t>Pleased at the press conference: {names}.</t>
  </si>
  <si>
    <t>carried.nothing</t>
  </si>
  <si>
    <t>Nothing carried over from the earlier stages.</t>
  </si>
  <si>
    <t>None</t>
  </si>
  <si>
    <t>Shown when nothing carried. Reword freely — the screen no longer reads this sentence to decide anything.</t>
  </si>
  <si>
    <t>reward.by_finish</t>
  </si>
  <si>
    <t>Office · level briefing</t>
  </si>
  <si>
    <t>{name}, by how far above {baseline} you finish (1 per {per})</t>
  </si>
  <si>
    <t>name, baseline, per</t>
  </si>
  <si>
    <t>{name} is one of the four standing names — see the warning on those rows.</t>
  </si>
  <si>
    <t>reward.head_start</t>
  </si>
  <si>
    <t>A head start later in the level, 1 per {per} above {baseline}</t>
  </si>
  <si>
    <t>per, baseline</t>
  </si>
  <si>
    <t>reward.standing</t>
  </si>
  <si>
    <t>Standing with whichever organisations your answers please</t>
  </si>
  <si>
    <t>reward.delta</t>
  </si>
  <si>
    <t>{name} {amount}</t>
  </si>
  <si>
    <t>name, amount</t>
  </si>
  <si>
    <t>{amount} already carries its + or −.</t>
  </si>
  <si>
    <t>reward.nothing_set</t>
  </si>
  <si>
    <t>Nothing in this level pays out yet. The slots are in the data waiting for numbers, and the moment they have any, they will land here and on your standing.</t>
  </si>
  <si>
    <t>modifier.player_start_support</t>
  </si>
  <si>
    <t>Office · backing shop</t>
  </si>
  <si>
    <t>Start {count} ahead.</t>
  </si>
  <si>
    <t>modifier.starting_gaffe</t>
  </si>
  <si>
    <t>Start with {count} less on the gaffe meter.</t>
  </si>
  <si>
    <t>modifier.reputation_per_stage_win</t>
  </si>
  <si>
    <t>+{count} funds for every stage won.</t>
  </si>
  <si>
    <t>battle.one_at_a_time</t>
  </si>
  <si>
    <t>{count} of them, one at a time. You are on {number}.</t>
  </si>
  <si>
    <t>count, number</t>
  </si>
  <si>
    <t>battle.default_pattern</t>
  </si>
  <si>
    <t>This opponent has no move pattern of their own yet, so they are using the shared default from rules.json and playing generically.</t>
  </si>
  <si>
    <t>battle.last_question</t>
  </si>
  <si>
    <t>Battle · press conference</t>
  </si>
  <si>
    <t>That was the last question.</t>
  </si>
  <si>
    <t>battle.who_and_caption</t>
  </si>
  <si>
    <t>Battle · speaker row</t>
  </si>
  <si>
    <t>{who}  ·  {caption}</t>
  </si>
  <si>
    <t>who, caption</t>
  </si>
  <si>
    <t>battle.your_guard</t>
  </si>
  <si>
    <t>Battle · status row</t>
  </si>
  <si>
    <t>Guard {count} / {cap}</t>
  </si>
  <si>
    <t>count, cap</t>
  </si>
  <si>
    <t>battle.their_guard</t>
  </si>
  <si>
    <t>They guard {count} / {cap}</t>
  </si>
  <si>
    <t>bar.to_win</t>
  </si>
  <si>
    <t>Battle · support bar</t>
  </si>
  <si>
    <t>{amount} to win</t>
  </si>
  <si>
    <t>bar.to_advance</t>
  </si>
  <si>
    <t>{amount} to advance</t>
  </si>
  <si>
    <t>Shown on the floor, where the threshold ends one debater rather than the stage.</t>
  </si>
  <si>
    <t>bar.take_the_room</t>
  </si>
  <si>
    <t>Take as much of the room as you can</t>
  </si>
  <si>
    <t>bar.raise_as_high</t>
  </si>
  <si>
    <t>Raise {unit} as high as you can</t>
  </si>
  <si>
    <t>bar.one_sided</t>
  </si>
  <si>
    <t>{unit} {count} of {total}</t>
  </si>
  <si>
    <t>unit, count, total</t>
  </si>
  <si>
    <t>bar.two_sided</t>
  </si>
  <si>
    <t>You {you} · Undecided {undecided} · {them} {theirs}</t>
  </si>
  <si>
    <t>you, undecided, them, theirs</t>
  </si>
  <si>
    <t>bar.them</t>
  </si>
  <si>
    <t>Them</t>
  </si>
  <si>
    <t>Stands in for an opponent with no name, or one too long for the row.</t>
  </si>
  <si>
    <t>card.gain</t>
  </si>
  <si>
    <t>Card · effect line</t>
  </si>
  <si>
    <t>Gain {count}.</t>
  </si>
  <si>
    <t>card.opponent</t>
  </si>
  <si>
    <t>Opponent −{count}.</t>
  </si>
  <si>
    <t>card.guard</t>
  </si>
  <si>
    <t>Guard {count}.</t>
  </si>
  <si>
    <t>card.draw</t>
  </si>
  <si>
    <t>Draw {count}.</t>
  </si>
  <si>
    <t>card.gaffe</t>
  </si>
  <si>
    <t>Gaffe {amount}.</t>
  </si>
  <si>
    <t>card.does_nothing</t>
  </si>
  <si>
    <t>Nothing this card does counts in this room.</t>
  </si>
  <si>
    <t>card.answers_question</t>
  </si>
  <si>
    <t>Answers this question.</t>
  </si>
  <si>
    <t>card.line</t>
  </si>
  <si>
    <t>Card · opened card</t>
  </si>
  <si>
    <t>{suit} · {type} · costs {cost}</t>
  </si>
  <si>
    <t>suit, type, cost</t>
  </si>
  <si>
    <t>card.in_this_room</t>
  </si>
  <si>
    <t>In this room: {effect}</t>
  </si>
  <si>
    <t>effect</t>
  </si>
  <si>
    <t>office.staff</t>
  </si>
  <si>
    <t>Office · management menu, Recruitment shop title</t>
  </si>
  <si>
    <t>office.staff_blurb</t>
  </si>
  <si>
    <t>Office · Recruitment shop</t>
  </si>
  <si>
    <t>Each role can hold one hire at a time. Hiring, upgrading and firing are all paid from Funds — firing costs a severance, and someone you fire will never work for you again.</t>
  </si>
  <si>
    <t>office.staff_candidate</t>
  </si>
  <si>
    <t>Office  ·  Recruitment shop, a vacant role's candidates</t>
  </si>
  <si>
    <t>{name} · {cost} Yen</t>
  </si>
  <si>
    <t>name, cost</t>
  </si>
  <si>
    <t>office.hire</t>
  </si>
  <si>
    <t>Office  ·  Recruitment shop, hire button</t>
  </si>
  <si>
    <t>Hire</t>
  </si>
  <si>
    <t>office.staff_hired</t>
  </si>
  <si>
    <t>Office  ·  Recruitment shop, a filled role</t>
  </si>
  <si>
    <t>{name} · Tier {tier} of {highest}</t>
  </si>
  <si>
    <t>name, tier, highest</t>
  </si>
  <si>
    <t>office.upgrade</t>
  </si>
  <si>
    <t>Office · Recruitment shop, upgrade button</t>
  </si>
  <si>
    <t>Upgrade · {cost} Yen</t>
  </si>
  <si>
    <t>cost</t>
  </si>
  <si>
    <t>office.staff_at_max</t>
  </si>
  <si>
    <t>Office · Recruitment shop, upgrade button when none is left</t>
  </si>
  <si>
    <t>At their highest tier.</t>
  </si>
  <si>
    <t>office.briefing.surprise_stage</t>
  </si>
  <si>
    <t>Office — briefing</t>
  </si>
  <si>
    <t>Something is coming — you will not know what until you are in the room.</t>
  </si>
  <si>
    <t>Shown in place of a stage's name and opponent when its Reveal In Briefing column is No, so a stage meant as a surprise (an ambush) is not spoiled before the player goes in.</t>
  </si>
  <si>
    <t>office.level_cooldown</t>
  </si>
  <si>
    <t>Office — levels</t>
  </si>
  <si>
    <t>{count} more level(s) first</t>
  </si>
  <si>
    <t>Shown on a level still on cooldown when level_gating_enabled is true.</t>
  </si>
  <si>
    <t>office.level_unlock_cost</t>
  </si>
  <si>
    <t>Unlock — {cost} XP</t>
  </si>
  <si>
    <t>Shown on a locked level button when level_gating_enabled is true and the level is affordable.</t>
  </si>
  <si>
    <t>office.look_it_over</t>
  </si>
  <si>
    <t>Look it over</t>
  </si>
  <si>
    <t>Was a literal string in OfficeScreen.gd; moved to the Text tab 2026-09-24 alongside the level-gating work.</t>
  </si>
  <si>
    <t>shop.level_no_id</t>
  </si>
  <si>
    <t>This level has no ID.</t>
  </si>
  <si>
    <t>A data-integrity guard, not expected to be seen by a player — every real levels.json row has a level_id.</t>
  </si>
  <si>
    <t>inventory.button</t>
  </si>
  <si>
    <t>Office main screen and battle header, Inventory button</t>
  </si>
  <si>
    <t>Inventory</t>
  </si>
  <si>
    <t>inventory.title</t>
  </si>
  <si>
    <t>Inventory panel, heading</t>
  </si>
  <si>
    <t>inventory.empty</t>
  </si>
  <si>
    <t>Inventory panel, when nothing is held</t>
  </si>
  <si>
    <t>Nothing here yet. Supplies you buy or are given will appear here.</t>
  </si>
  <si>
    <t>inventory.entry</t>
  </si>
  <si>
    <t>Inventory panel, one item's button</t>
  </si>
  <si>
    <t>{name} ×{count}</t>
  </si>
  <si>
    <t>item.quantity</t>
  </si>
  <si>
    <t>Item pop-up</t>
  </si>
  <si>
    <t>You have {count}.</t>
  </si>
  <si>
    <t>item.stack_cap</t>
  </si>
  <si>
    <t>Item pop-up, when the item has a Stack Cap</t>
  </si>
  <si>
    <t>You can carry up to {count}.</t>
  </si>
  <si>
    <t>Shown only when the Shop tab's Stack Cap is set for this item.</t>
  </si>
  <si>
    <t>item.use</t>
  </si>
  <si>
    <t>Item pop-up, use button</t>
  </si>
  <si>
    <t>Use</t>
  </si>
  <si>
    <t>item.close</t>
  </si>
  <si>
    <t>Item pop-up, close button</t>
  </si>
  <si>
    <t>item.timing.now</t>
  </si>
  <si>
    <t>Item pop-up, an item with no stage effect</t>
  </si>
  <si>
    <t>Takes effect immediately.</t>
  </si>
  <si>
    <t>item.timing.stage_next</t>
  </si>
  <si>
    <t>Item pop-up, in the Office, Duration Stage</t>
  </si>
  <si>
    <t>Takes effect at the start of your next stage.</t>
  </si>
  <si>
    <t>item.timing.level_next</t>
  </si>
  <si>
    <t>Item pop-up, in the Office, Duration Level</t>
  </si>
  <si>
    <t>Lasts for the whole of your next level.</t>
  </si>
  <si>
    <t>item.timing.stage_now</t>
  </si>
  <si>
    <t>Item pop-up, during a stage, Duration Stage</t>
  </si>
  <si>
    <t>Takes effect now, for the rest of this stage.</t>
  </si>
  <si>
    <t>item.timing.level_now</t>
  </si>
  <si>
    <t>Item pop-up, during a stage, Duration Level</t>
  </si>
  <si>
    <t>Takes effect now and lasts for the rest of this level.</t>
  </si>
  <si>
    <t>item.used</t>
  </si>
  <si>
    <t>Message after using an item</t>
  </si>
  <si>
    <t>{name} used.</t>
  </si>
  <si>
    <t>item.queued</t>
  </si>
  <si>
    <t>Message after using a Stage item in the Office</t>
  </si>
  <si>
    <t>{name} is ready for your next stage.</t>
  </si>
  <si>
    <t>item.queued_level</t>
  </si>
  <si>
    <t>Message after using a Level item in the Office</t>
  </si>
  <si>
    <t>{name} will last through your next level.</t>
  </si>
  <si>
    <t>item.refused.none_left</t>
  </si>
  <si>
    <t>Item pop-up, refusal</t>
  </si>
  <si>
    <t>You have none left.</t>
  </si>
  <si>
    <t>item.refused.not_here</t>
  </si>
  <si>
    <t>This can't be used here.</t>
  </si>
  <si>
    <t>The Shop tab's Use In Office / Use In Stage cell for this item says No.</t>
  </si>
  <si>
    <t>item.refused.no_effect</t>
  </si>
  <si>
    <t>This item has no effect set yet.</t>
  </si>
  <si>
    <t>The Shop tab's Grants cell for this item is blank.</t>
  </si>
  <si>
    <t>item.refused.turn_limit</t>
  </si>
  <si>
    <t>Item pop-up, refusal during a stage</t>
  </si>
  <si>
    <t>You can't use this again until next turn.</t>
  </si>
  <si>
    <t>The Shop tab's Uses Per Turn cap for this item is reached.</t>
  </si>
  <si>
    <t>item.refused.battle_over</t>
  </si>
  <si>
    <t>This stage is already over.</t>
  </si>
  <si>
    <t>shop.supplies</t>
  </si>
  <si>
    <t>Office Management, Supplies button and panel heading</t>
  </si>
  <si>
    <t>Supplies</t>
  </si>
  <si>
    <t>shop.supplies_blurb</t>
  </si>
  <si>
    <t>Supplies panel</t>
  </si>
  <si>
    <t>Supplies go into your inventory. Open the inventory from the Office or during a stage to use them.</t>
  </si>
  <si>
    <t>shop.item_title</t>
  </si>
  <si>
    <t>Supplies panel, one item</t>
  </si>
  <si>
    <t>{name}  —  {price}</t>
  </si>
  <si>
    <t>name, price</t>
  </si>
  <si>
    <t>shop.item_price_xp</t>
  </si>
  <si>
    <t>Supplies panel, price part</t>
  </si>
  <si>
    <t>shop.item_price_yen</t>
  </si>
  <si>
    <t>{count} Yen</t>
  </si>
  <si>
    <t>shop.item_free</t>
  </si>
  <si>
    <t>Supplies panel, an item with no price</t>
  </si>
  <si>
    <t>Free</t>
  </si>
  <si>
    <t>shop.buy</t>
  </si>
  <si>
    <t>Supplies panel, buy button</t>
  </si>
  <si>
    <t>Buy</t>
  </si>
  <si>
    <t>shop.item_bought</t>
  </si>
  <si>
    <t>Office report after buying</t>
  </si>
  <si>
    <t>{name} added to your inventory.</t>
  </si>
  <si>
    <t>shop.out_of_stock</t>
  </si>
  <si>
    <t>Supplies panel, item at its Purchase Limit for this level</t>
  </si>
  <si>
    <t>Out of Stock</t>
  </si>
  <si>
    <t>Resets when a level concludes, win or loss.</t>
  </si>
  <si>
    <t>shop.stack_full</t>
  </si>
  <si>
    <t>Supplies panel, item at its Stack Cap</t>
  </si>
  <si>
    <t>You can't carry any more of these.</t>
  </si>
  <si>
    <t>shop.item_no_id</t>
  </si>
  <si>
    <t>This item has no ID.</t>
  </si>
  <si>
    <t>A data-integrity guard, not expected to be seen by a player.</t>
  </si>
  <si>
    <t>item.choose_heading</t>
  </si>
  <si>
    <t>Item pop-up, Player Choice item, picker heading</t>
  </si>
  <si>
    <t>{name}  —  choose a group</t>
  </si>
  <si>
    <t>Shown instead of the ordinary pop-up when the Shop tab's Player Choice cell for this item is Yes.</t>
  </si>
  <si>
    <t>office.resume_level</t>
  </si>
  <si>
    <t>Office, Start button, when a saved run stopped partway through a level</t>
  </si>
  <si>
    <t>Resume level</t>
  </si>
  <si>
    <t>Takes the player straight back into the level they were playing, at the stage they had reached.</t>
  </si>
  <si>
    <t>office.new_game</t>
  </si>
  <si>
    <t>Office Management, button; and the heading of the warning it opens</t>
  </si>
  <si>
    <t>New game</t>
  </si>
  <si>
    <t>office.new_game_warning</t>
  </si>
  <si>
    <t>New game, the warning before the run is thrown away</t>
  </si>
  <si>
    <t>Starting a new game ends this run. Your standing, cards, staff and items all go back to the start.</t>
  </si>
  <si>
    <t>office.new_game_confirm</t>
  </si>
  <si>
    <t>New game warning, confirm button</t>
  </si>
  <si>
    <t>Start over</t>
  </si>
  <si>
    <t>office.new_game_started</t>
  </si>
  <si>
    <t>Office report line, after a protagonist is chosen</t>
  </si>
  <si>
    <t>A new run begins. Welcome to the Office, {name}.</t>
  </si>
  <si>
    <t>new_game.title</t>
  </si>
  <si>
    <t>New Game screen heading</t>
  </si>
  <si>
    <t>Shown on first launch, and after New game.</t>
  </si>
  <si>
    <t>new_game.blurb</t>
  </si>
  <si>
    <t>New Game screen, line under the heading</t>
  </si>
  <si>
    <t>Who are you in Parliament? You play the whole run as the one you choose.</t>
  </si>
  <si>
    <t>new_game.no_party</t>
  </si>
  <si>
    <t>New Game screen, a protagonist with no party set in player.json</t>
  </si>
  <si>
    <t>No party yet</t>
  </si>
  <si>
    <t>All four protagonists are placeholders until the cast is decided (data/player.json).</t>
  </si>
  <si>
    <t>new_game.choose</t>
  </si>
  <si>
    <t>New Game screen, button under each protagonist</t>
  </si>
  <si>
    <t>Play as {name}</t>
  </si>
  <si>
    <t>battle.upcoming_intent</t>
  </si>
  <si>
    <t>Battle - opponent row, shown only after a card reveals the move after next (C12 Head Count)</t>
  </si>
  <si>
    <t>Then: {intent}</t>
  </si>
  <si>
    <t>intent</t>
  </si>
  <si>
    <t>office_hours.cannot_start</t>
  </si>
  <si>
    <t>Office Hours — notices</t>
  </si>
  <si>
    <t>This room could not open:
• {problems}</t>
  </si>
  <si>
    <t>office_hours.continue</t>
  </si>
  <si>
    <t>Office Hours — button</t>
  </si>
  <si>
    <t>Continue</t>
  </si>
  <si>
    <t>office_hours.done</t>
  </si>
  <si>
    <t>Office Hours — outcome title</t>
  </si>
  <si>
    <t>That's everyone.</t>
  </si>
  <si>
    <t>office_hours.summary</t>
  </si>
  <si>
    <t>Office Hours — outcome body</t>
  </si>
  <si>
    <t>{correct} of {visited} won over.</t>
  </si>
  <si>
    <t>correct, visited</t>
  </si>
  <si>
    <t>battle.question_prompt</t>
  </si>
  <si>
    <t>Battle — a room whose cards answer a drawn question but is not shaped like a press conference (e.g. Town Hall)</t>
  </si>
  <si>
    <t>question</t>
  </si>
  <si>
    <t>new_game.starting_stats</t>
  </si>
  <si>
    <t>New Game screen, heading over each protagonist's starting numbers</t>
  </si>
  <si>
    <t>Starting numbers:</t>
  </si>
  <si>
    <t>new_game.stat_line</t>
  </si>
  <si>
    <t>New Game screen, one line per starting number</t>
  </si>
  <si>
    <t>{name}: {value}</t>
  </si>
  <si>
    <t>name, value</t>
  </si>
  <si>
    <t>intro.title</t>
  </si>
  <si>
    <t>Intro (title) screen, heading</t>
  </si>
  <si>
    <t>Coliseum of Parliament</t>
  </si>
  <si>
    <t>intro.continue</t>
  </si>
  <si>
    <t>Intro (title) screen, button</t>
  </si>
  <si>
    <t>intro.new_game</t>
  </si>
  <si>
    <t>New Game</t>
  </si>
  <si>
    <t>office.fire_staff</t>
  </si>
  <si>
    <t>Office · Recruitment shop, a filled role's row — button</t>
  </si>
  <si>
    <t>Fire</t>
  </si>
  <si>
    <t>office.fire_staff_warning</t>
  </si>
  <si>
    <t>Office · Recruitment shop, the warning before firing someone</t>
  </si>
  <si>
    <t>Firing {name} costs {cost} Yen in severance. They will never work for you again.</t>
  </si>
  <si>
    <t>office.fire_staff_confirm</t>
  </si>
  <si>
    <t>Fire warning, confirm button</t>
  </si>
  <si>
    <t>Fire them</t>
  </si>
  <si>
    <t>office.staff_fired</t>
  </si>
  <si>
    <t>Office · Recruitment shop, a role's candidate list — someone fired earlier</t>
  </si>
  <si>
    <t>Fired — will not work for you again.</t>
  </si>
  <si>
    <t>office.trigger_alert_title</t>
  </si>
  <si>
    <t>Office — a popup on return, when a crisis trigger fired or resolved</t>
  </si>
  <si>
    <t>Since your last visit</t>
  </si>
  <si>
    <t>office.trigger.town_hall.entered</t>
  </si>
  <si>
    <t>Office — crisis alert</t>
  </si>
  <si>
    <t>Constituency support fell to {count} — a Town Hall has been added to your schedule.</t>
  </si>
  <si>
    <t>office.trigger.town_hall.left</t>
  </si>
  <si>
    <t>Constituency support has recovered — no Town Hall is pending.</t>
  </si>
  <si>
    <t>office.trigger.steering_committee.entered</t>
  </si>
  <si>
    <t>Party support fell to {count} — the Steering Committee wants to see you.</t>
  </si>
  <si>
    <t>office.trigger.steering_committee.left</t>
  </si>
  <si>
    <t>Party support has recovered — the Steering Committee is no longer waiting.</t>
  </si>
  <si>
    <t>office.trigger.funding_freeze.entered</t>
  </si>
  <si>
    <t>Party support hit zero. Funding is frozen until it recovers.</t>
  </si>
  <si>
    <t>office.trigger.funding_freeze.left</t>
  </si>
  <si>
    <t>Party support has recovered. Funding has resumed.</t>
  </si>
  <si>
    <t>office.trigger.gaffe_penalty.entered</t>
  </si>
  <si>
    <t>{count} gaffes this run — Constituency support took a {amount} hit.</t>
  </si>
  <si>
    <t>count, amount</t>
  </si>
  <si>
    <t>shop.card_unlocked</t>
  </si>
  <si>
    <t>Office report after buying a random-tier card</t>
  </si>
  <si>
    <t>{name} unlocked and added to your collection.</t>
  </si>
  <si>
    <t>shop.no_cards_left_at_tier</t>
  </si>
  <si>
    <t>Every Tier {tier} card is already yours.</t>
  </si>
  <si>
    <t>tier</t>
  </si>
  <si>
    <t>office.recruitment_tier_locked</t>
  </si>
  <si>
    <t>Staff panel, candidate above the unlocked recruitment tier</t>
  </si>
  <si>
    <t>Not open to recruitment yet.</t>
  </si>
  <si>
    <t>shop.no_levels_left_at_tier</t>
  </si>
  <si>
    <t>Every Tier {tier} level is already open.</t>
  </si>
  <si>
    <t>shop.level_unlocked</t>
  </si>
  <si>
    <t>Office report after buying a random-tier level unlock</t>
  </si>
  <si>
    <t>{name} unlocked.</t>
  </si>
  <si>
    <t>shop.recruitment_tier_maxed</t>
  </si>
  <si>
    <t>Every recruitment tier is already open.</t>
  </si>
  <si>
    <t>shop.recruitment_tier_unlocked</t>
  </si>
  <si>
    <t>Office report after buying a staff recruitment tier</t>
  </si>
  <si>
    <t>A new staff recruitment tier is open.</t>
  </si>
  <si>
    <t>shop.funds_cap_increased</t>
  </si>
  <si>
    <t>Office report after buying a Funds cap increase</t>
  </si>
  <si>
    <t>Funds cap raised by {count}.</t>
  </si>
  <si>
    <t>shop.card_reveal_title</t>
  </si>
  <si>
    <t>Office — heading shown when an SH15-17/27-29 purchase reveals the card</t>
  </si>
  <si>
    <t>New Card!</t>
  </si>
  <si>
    <t>shop.card_reveal_confirm</t>
  </si>
  <si>
    <t>Office — button that dismisses the card reveal pop-up</t>
  </si>
  <si>
    <t>Nice.</t>
  </si>
  <si>
    <t>battle.name_and_title</t>
  </si>
  <si>
    <t>Battle heading over an opponent, with their title or role next to their name</t>
  </si>
  <si>
    <t>{name}, {title}</t>
  </si>
  <si>
    <t>name, title</t>
  </si>
  <si>
    <t>battle.speaker_and_org</t>
  </si>
  <si>
    <t>Battle heading over a question asker, with their organisation</t>
  </si>
  <si>
    <t>{who} — {org}</t>
  </si>
  <si>
    <t>who, org</t>
  </si>
  <si>
    <t>floor_vote.vote_yes</t>
  </si>
  <si>
    <t>National Assembly Floor Voting — Yes choice button</t>
  </si>
  <si>
    <t>Vote Yes</t>
  </si>
  <si>
    <t>floor_vote.vote_no</t>
  </si>
  <si>
    <t>National Assembly Floor Voting — No choice button</t>
  </si>
  <si>
    <t>Vote No</t>
  </si>
  <si>
    <t>floor_vote.vote_abstain</t>
  </si>
  <si>
    <t>National Assembly Floor Voting — Abstain choice button</t>
  </si>
  <si>
    <t>Abstain</t>
  </si>
  <si>
    <t>floor_vote.title</t>
  </si>
  <si>
    <t>National Assembly Floor Voting — outcome panel heading</t>
  </si>
  <si>
    <t>The vote is in.</t>
  </si>
  <si>
    <t>floor_vote.passed</t>
  </si>
  <si>
    <t>National Assembly Floor Voting — outcome body, bill passed</t>
  </si>
  <si>
    <t>It passes — {yes} for, {no} against, {abstain} abstaining.</t>
  </si>
  <si>
    <t>yes, no, abstain</t>
  </si>
  <si>
    <t>floor_vote.failed</t>
  </si>
  <si>
    <t>National Assembly Floor Voting — outcome body, bill failed</t>
  </si>
  <si>
    <t>It fails — {yes} for, {no} against, {abstain} abstaining.</t>
  </si>
  <si>
    <t>Flavor text tone by suit</t>
  </si>
  <si>
    <t>Every cue is a spoken line that must sit naturally in a town hall, a press conference, or a parliamentary debate.</t>
  </si>
  <si>
    <t>Register</t>
  </si>
  <si>
    <t>Voice</t>
  </si>
  <si>
    <t>Signature moves</t>
  </si>
  <si>
    <t>Example</t>
  </si>
  <si>
    <t>Plain, accountable, steady</t>
  </si>
  <si>
    <t>First person singular. Short declaratives.</t>
  </si>
  <si>
    <t>Owning results and mistakes; no adjectives doing the work</t>
  </si>
  <si>
    <t>Raw, exclamatory, heartfelt</t>
  </si>
  <si>
    <t>Exclamation marks, personal stakes.</t>
  </si>
  <si>
    <t>Faces, families, fighting; the crowd as participant</t>
  </si>
  <si>
    <t>Warm, inclusive, collegial</t>
  </si>
  <si>
    <t>We / us / together; second person as ally.</t>
  </si>
  <si>
    <t>Unity, loyalty, favors owed, the room already agreed</t>
  </si>
  <si>
    <t>Cool, precise, evidentiary</t>
  </si>
  <si>
    <t>Questions and numbers. No exclamations.</t>
  </si>
  <si>
    <t>Dates, figures, documents, yes-or-no demands</t>
  </si>
  <si>
    <t>Cutting, accusatory, separating</t>
  </si>
  <si>
    <t>Us versus them; pointed second person.</t>
  </si>
  <si>
    <t>Labels, sides, binary choices, loyalty doubts</t>
  </si>
  <si>
    <t>Slippery, noncommittal, winking</t>
  </si>
  <si>
    <t>Passive voice, hedges, trailing ellipses.</t>
  </si>
  <si>
    <t>Deferral, deflection, implied deals, fake memory loss</t>
  </si>
  <si>
    <t>Writing rules</t>
  </si>
  <si>
    <t>Rule</t>
  </si>
  <si>
    <t>Requirement</t>
  </si>
  <si>
    <t>Fails</t>
  </si>
  <si>
    <t>Passes</t>
  </si>
  <si>
    <t>1. Under 10 words</t>
  </si>
  <si>
    <t>Nine words maximum.</t>
  </si>
  <si>
    <t>2. Universal setting</t>
  </si>
  <si>
    <t>Must sit naturally at a town hall, a press conference, and a parliamentary debate. No venue- or audience-specific address.</t>
  </si>
  <si>
    <t>Yes or no, Minister? · Put this on the evening news. · I will not yield the floor.</t>
  </si>
  <si>
    <t>3. No time references</t>
  </si>
  <si>
    <t>No days, months, years, durations, or words like now, today, again, already, still, before, always, never.</t>
  </si>
  <si>
    <t>That's not what you said in March. · Not today.</t>
  </si>
  <si>
    <t>4. No invented history</t>
  </si>
  <si>
    <t>No claim that a specific prior event happened: votes, statements, favors, meetings, failures. Present-tense or general truths only.</t>
  </si>
  <si>
    <t>You voted against this twice. · Remember that bill I helped you pass?</t>
  </si>
  <si>
    <t>5. Not a reply</t>
  </si>
  <si>
    <t>Must not depend on what the opponent just did, since they may have taken no action.</t>
  </si>
  <si>
    <t>You should be ashamed to say that! · That claim is simply false.</t>
  </si>
  <si>
    <t>Q ID</t>
  </si>
  <si>
    <t>Question</t>
  </si>
  <si>
    <t>Theme</t>
  </si>
  <si>
    <t>Q01</t>
  </si>
  <si>
    <t>What will this legislation mean for ordinary families?</t>
  </si>
  <si>
    <t>Impact</t>
  </si>
  <si>
    <t>S</t>
  </si>
  <si>
    <t>Q02</t>
  </si>
  <si>
    <t>Where exactly do you stand on this bill?</t>
  </si>
  <si>
    <t>Position</t>
  </si>
  <si>
    <t>Q03</t>
  </si>
  <si>
    <t>Some call this bill reckless. How do you respond?</t>
  </si>
  <si>
    <t>Criticism</t>
  </si>
  <si>
    <t>Q04</t>
  </si>
  <si>
    <t>Do you have the votes to pass this?</t>
  </si>
  <si>
    <t>Votes</t>
  </si>
  <si>
    <t>W</t>
  </si>
  <si>
    <t>Q05</t>
  </si>
  <si>
    <t>Who really benefits from this legislation?</t>
  </si>
  <si>
    <t>Beneficiaries</t>
  </si>
  <si>
    <t>Q06</t>
  </si>
  <si>
    <t>Is your party truly united behind this?</t>
  </si>
  <si>
    <t>Unity</t>
  </si>
  <si>
    <t>Q07</t>
  </si>
  <si>
    <t>How do you plan to pay for it?</t>
  </si>
  <si>
    <t>Cost</t>
  </si>
  <si>
    <t>Q08</t>
  </si>
  <si>
    <t>What evidence supports this approach?</t>
  </si>
  <si>
    <t>Evidence</t>
  </si>
  <si>
    <t>Q09</t>
  </si>
  <si>
    <t>Yes or no: will you see this through?</t>
  </si>
  <si>
    <t>Commitment</t>
  </si>
  <si>
    <t>Q10</t>
  </si>
  <si>
    <t>Is this about the public, or about politics?</t>
  </si>
  <si>
    <t>Motive</t>
  </si>
  <si>
    <t>Q11</t>
  </si>
  <si>
    <t>Some say this goes too far. Your answer?</t>
  </si>
  <si>
    <t>Scope</t>
  </si>
  <si>
    <t>Q12</t>
  </si>
  <si>
    <t>Some say this is too timid. Your answer?</t>
  </si>
  <si>
    <t>Q13</t>
  </si>
  <si>
    <t>Will you work with the opposition on this?</t>
  </si>
  <si>
    <t>Cooperation</t>
  </si>
  <si>
    <t>Q14</t>
  </si>
  <si>
    <t>Are special interests shaping this legislation?</t>
  </si>
  <si>
    <t>Influence</t>
  </si>
  <si>
    <t>Q15</t>
  </si>
  <si>
    <t>What do you say to people who feel left behind?</t>
  </si>
  <si>
    <t>Q16</t>
  </si>
  <si>
    <t>Will you take responsibility if this fails?</t>
  </si>
  <si>
    <t>Accountability</t>
  </si>
  <si>
    <t>Q17</t>
  </si>
  <si>
    <t>Why should anyone trust you on this?</t>
  </si>
  <si>
    <t>Trust</t>
  </si>
  <si>
    <t>Q18</t>
  </si>
  <si>
    <t>Is there something in this bill you're not telling us?</t>
  </si>
  <si>
    <t>Transparency</t>
  </si>
  <si>
    <t>Q19</t>
  </si>
  <si>
    <t>What happens if members of your party break ranks?</t>
  </si>
  <si>
    <t>Discipline</t>
  </si>
  <si>
    <t>Q20</t>
  </si>
  <si>
    <t>Is this really the right priority for the country?</t>
  </si>
  <si>
    <t>Priority</t>
  </si>
  <si>
    <t>Strong total</t>
  </si>
  <si>
    <t>Fit key (writing check, not a game mechanic): S = at least one of that suit's cues reads as a natural answer · M = workable · W = awkward.</t>
  </si>
  <si>
    <t>Questions follow the flavor-text rules: no time references, no assumed past events, no specific policy.</t>
  </si>
  <si>
    <t>Broad questions (3+ strong suits) suit any hand; themed questions (2 strong suits) lean toward particular suits.</t>
  </si>
  <si>
    <t>Sample answers are existing cues, quoted verbatim, one from each of three different cards.</t>
  </si>
  <si>
    <t>T01</t>
  </si>
  <si>
    <t>How does this bill help my family?</t>
  </si>
  <si>
    <t>T02</t>
  </si>
  <si>
    <t>Why should working people believe you?</t>
  </si>
  <si>
    <t>T03</t>
  </si>
  <si>
    <t>Who are you really listening to?</t>
  </si>
  <si>
    <t>Loyalty</t>
  </si>
  <si>
    <t>T04</t>
  </si>
  <si>
    <t>What will this cost people like me?</t>
  </si>
  <si>
    <t>T05</t>
  </si>
  <si>
    <t>Does our town matter to you at all?</t>
  </si>
  <si>
    <t>Neglect</t>
  </si>
  <si>
    <t>T06</t>
  </si>
  <si>
    <t>Are you going to fight for us?</t>
  </si>
  <si>
    <t>Resolve</t>
  </si>
  <si>
    <t>T07</t>
  </si>
  <si>
    <t>Clarity</t>
  </si>
  <si>
    <t>T08</t>
  </si>
  <si>
    <t>Why does it feel like nobody hears us?</t>
  </si>
  <si>
    <t>T09</t>
  </si>
  <si>
    <t>Livelihood</t>
  </si>
  <si>
    <t>T10</t>
  </si>
  <si>
    <t>T11</t>
  </si>
  <si>
    <t>What happens to people who can't keep up?</t>
  </si>
  <si>
    <t>Vulnerable</t>
  </si>
  <si>
    <t>T12</t>
  </si>
  <si>
    <t>T13</t>
  </si>
  <si>
    <t>Will you listen if we disagree with you?</t>
  </si>
  <si>
    <t>Openness</t>
  </si>
  <si>
    <t>T14</t>
  </si>
  <si>
    <t>Are you on our side or theirs?</t>
  </si>
  <si>
    <t>T15</t>
  </si>
  <si>
    <t>What do you say to families struggling to get by?</t>
  </si>
  <si>
    <t>Hardship</t>
  </si>
  <si>
    <t>T16</t>
  </si>
  <si>
    <t>How can we trust politicians at all?</t>
  </si>
  <si>
    <t>T17</t>
  </si>
  <si>
    <t>Who is behind this bill?</t>
  </si>
  <si>
    <t>T18</t>
  </si>
  <si>
    <t>What can ordinary people do to help?</t>
  </si>
  <si>
    <t>Participation</t>
  </si>
  <si>
    <t>T19</t>
  </si>
  <si>
    <t>Will you keep your promises to us?</t>
  </si>
  <si>
    <t>T20</t>
  </si>
  <si>
    <t>Why should young people care about this?</t>
  </si>
  <si>
    <t>Stakes</t>
  </si>
  <si>
    <t>Stage: Constituents at a town hall: plain-spoken, personal, practical, sometimes frustrated.</t>
  </si>
  <si>
    <t>Rules: no time references, no assumed past events, no specific policy area. Each question stands alone. At least 2 S and at most 2 W per question.</t>
  </si>
  <si>
    <t>L01</t>
  </si>
  <si>
    <t>Can our members count on your support?</t>
  </si>
  <si>
    <t>L02</t>
  </si>
  <si>
    <t>What would it take to earn your vote?</t>
  </si>
  <si>
    <t>Price</t>
  </si>
  <si>
    <t>L03</t>
  </si>
  <si>
    <t>Is there room to adjust the bill's language?</t>
  </si>
  <si>
    <t>Drafting</t>
  </si>
  <si>
    <t>L04</t>
  </si>
  <si>
    <t>Our industry has concerns. Will you hear them?</t>
  </si>
  <si>
    <t>Access</t>
  </si>
  <si>
    <t>L05</t>
  </si>
  <si>
    <t>Can we speak off the record?</t>
  </si>
  <si>
    <t>Secrecy</t>
  </si>
  <si>
    <t>L06</t>
  </si>
  <si>
    <t>Who else is lobbying you on this?</t>
  </si>
  <si>
    <t>Competition</t>
  </si>
  <si>
    <t>L07</t>
  </si>
  <si>
    <t>How can we help you get this passed?</t>
  </si>
  <si>
    <t>Assistance</t>
  </si>
  <si>
    <t>L08</t>
  </si>
  <si>
    <t>You know our members vote in your district, right?</t>
  </si>
  <si>
    <t>Leverage</t>
  </si>
  <si>
    <t>L09</t>
  </si>
  <si>
    <t>Would a study of the costs change your mind?</t>
  </si>
  <si>
    <t>Persuasion</t>
  </si>
  <si>
    <t>L10</t>
  </si>
  <si>
    <t>Is your party's position final?</t>
  </si>
  <si>
    <t>Flexibility</t>
  </si>
  <si>
    <t>L11</t>
  </si>
  <si>
    <t>What are your red lines on this bill?</t>
  </si>
  <si>
    <t>Limits</t>
  </si>
  <si>
    <t>L12</t>
  </si>
  <si>
    <t>Can we draft an amendment together?</t>
  </si>
  <si>
    <t>L13</t>
  </si>
  <si>
    <t>Our members would be grateful. You understand?</t>
  </si>
  <si>
    <t>Inducement</t>
  </si>
  <si>
    <t>L14</t>
  </si>
  <si>
    <t>Who is advising you on this bill?</t>
  </si>
  <si>
    <t>L15</t>
  </si>
  <si>
    <t>Is there anything we can do for you?</t>
  </si>
  <si>
    <t>L16</t>
  </si>
  <si>
    <t>How firm is your commitment on this?</t>
  </si>
  <si>
    <t>L17</t>
  </si>
  <si>
    <t>Would you consider a compromise position?</t>
  </si>
  <si>
    <t>Compromise</t>
  </si>
  <si>
    <t>L18</t>
  </si>
  <si>
    <t>Do you understand what this means for our industry?</t>
  </si>
  <si>
    <t>L19</t>
  </si>
  <si>
    <t>Can we keep this conversation between us?</t>
  </si>
  <si>
    <t>L20</t>
  </si>
  <si>
    <t>What message should we take back to our members?</t>
  </si>
  <si>
    <t>Signal</t>
  </si>
  <si>
    <t>Stage: A lobbyist in a private meeting: polite, transactional, veiled pressure.</t>
  </si>
  <si>
    <t>B01</t>
  </si>
  <si>
    <t>How will this be implemented in practice?</t>
  </si>
  <si>
    <t>Implementation</t>
  </si>
  <si>
    <t>B02</t>
  </si>
  <si>
    <t>What problem is this legislation meant to solve?</t>
  </si>
  <si>
    <t>B03</t>
  </si>
  <si>
    <t>Which agency is responsible for enforcement?</t>
  </si>
  <si>
    <t>Enforcement</t>
  </si>
  <si>
    <t>B04</t>
  </si>
  <si>
    <t>Is there a cost estimate for this?</t>
  </si>
  <si>
    <t>B05</t>
  </si>
  <si>
    <t>How are key terms in the bill defined?</t>
  </si>
  <si>
    <t>Definitions</t>
  </si>
  <si>
    <t>B06</t>
  </si>
  <si>
    <t>What data supports this approach?</t>
  </si>
  <si>
    <t>B07</t>
  </si>
  <si>
    <t>Are there unintended consequences to consider?</t>
  </si>
  <si>
    <t>Risk</t>
  </si>
  <si>
    <t>B08</t>
  </si>
  <si>
    <t>How will success be measured?</t>
  </si>
  <si>
    <t>Metrics</t>
  </si>
  <si>
    <t>B09</t>
  </si>
  <si>
    <t>Does this conflict with existing law?</t>
  </si>
  <si>
    <t>Legality</t>
  </si>
  <si>
    <t>B10</t>
  </si>
  <si>
    <t>Which communities will be affected most?</t>
  </si>
  <si>
    <t>B11</t>
  </si>
  <si>
    <t>Will affected groups be consulted?</t>
  </si>
  <si>
    <t>Consultation</t>
  </si>
  <si>
    <t>B12</t>
  </si>
  <si>
    <t>What resources will the department need?</t>
  </si>
  <si>
    <t>Resources</t>
  </si>
  <si>
    <t>B13</t>
  </si>
  <si>
    <t>Is there a review process built in?</t>
  </si>
  <si>
    <t>Oversight</t>
  </si>
  <si>
    <t>B14</t>
  </si>
  <si>
    <t>How does this interact with regional authorities?</t>
  </si>
  <si>
    <t>Coordination</t>
  </si>
  <si>
    <t>B15</t>
  </si>
  <si>
    <t>What happens if the targets aren't met?</t>
  </si>
  <si>
    <t>B16</t>
  </si>
  <si>
    <t>Could this be simplified without losing its intent?</t>
  </si>
  <si>
    <t>Simplicity</t>
  </si>
  <si>
    <t>B17</t>
  </si>
  <si>
    <t>Where can the department find flexibility?</t>
  </si>
  <si>
    <t>B18</t>
  </si>
  <si>
    <t>Who will bear the administrative burden?</t>
  </si>
  <si>
    <t>Burden</t>
  </si>
  <si>
    <t>B19</t>
  </si>
  <si>
    <t>Are the projections realistic?</t>
  </si>
  <si>
    <t>Feasibility</t>
  </si>
  <si>
    <t>B20</t>
  </si>
  <si>
    <t>Is there broad support for this within government?</t>
  </si>
  <si>
    <t>Stage: A department official at an open policy study session: technical, procedural, courteous.</t>
  </si>
  <si>
    <t>A01</t>
  </si>
  <si>
    <t>Are you hiding something from the public?</t>
  </si>
  <si>
    <t>A02</t>
  </si>
  <si>
    <t>Who's really pulling your strings?</t>
  </si>
  <si>
    <t>A03</t>
  </si>
  <si>
    <t>Do your donors write your bills?</t>
  </si>
  <si>
    <t>Money</t>
  </si>
  <si>
    <t>A04</t>
  </si>
  <si>
    <t>Is this bill a favor to your friends?</t>
  </si>
  <si>
    <t>Cronyism</t>
  </si>
  <si>
    <t>A05</t>
  </si>
  <si>
    <t>Should anyone believe a word you say?</t>
  </si>
  <si>
    <t>Credibility</t>
  </si>
  <si>
    <t>A06</t>
  </si>
  <si>
    <t>Are you in over your head?</t>
  </si>
  <si>
    <t>Competence</t>
  </si>
  <si>
    <t>A07</t>
  </si>
  <si>
    <t>Do you even understand what's in this bill?</t>
  </si>
  <si>
    <t>A08</t>
  </si>
  <si>
    <t>Is your party abandoning you?</t>
  </si>
  <si>
    <t>Isolation</t>
  </si>
  <si>
    <t>A09</t>
  </si>
  <si>
    <t>Are you running from the press?</t>
  </si>
  <si>
    <t>Evasion</t>
  </si>
  <si>
    <t>A10</t>
  </si>
  <si>
    <t>Is this a cover-up?</t>
  </si>
  <si>
    <t>Scandal</t>
  </si>
  <si>
    <t>A11</t>
  </si>
  <si>
    <t>Would you live under this law yourself?</t>
  </si>
  <si>
    <t>Hypocrisy</t>
  </si>
  <si>
    <t>A12</t>
  </si>
  <si>
    <t>Who gets rich off this bill?</t>
  </si>
  <si>
    <t>A13</t>
  </si>
  <si>
    <t>Are you lying to the public?</t>
  </si>
  <si>
    <t>Honesty</t>
  </si>
  <si>
    <t>A14</t>
  </si>
  <si>
    <t>Is anyone in your party loyal to you?</t>
  </si>
  <si>
    <t>A15</t>
  </si>
  <si>
    <t>Isn't this just about winning votes?</t>
  </si>
  <si>
    <t>A16</t>
  </si>
  <si>
    <t>Will you resign if this fails?</t>
  </si>
  <si>
    <t>A17</t>
  </si>
  <si>
    <t>Yes or no: is this bill a failure?</t>
  </si>
  <si>
    <t>Verdict</t>
  </si>
  <si>
    <t>A18</t>
  </si>
  <si>
    <t>What are you so afraid of?</t>
  </si>
  <si>
    <t>Fear</t>
  </si>
  <si>
    <t>A19</t>
  </si>
  <si>
    <t>Can you look voters in the eye and defend this?</t>
  </si>
  <si>
    <t>Conviction</t>
  </si>
  <si>
    <t>A20</t>
  </si>
  <si>
    <t>Why should anyone take you seriously?</t>
  </si>
  <si>
    <t>Stage: A journalist in a media ambush: loaded, accusatory, gotcha framing.</t>
  </si>
  <si>
    <t>Visitor ID</t>
  </si>
  <si>
    <t>Visitor (EN)</t>
  </si>
  <si>
    <t>Visitor (JP)</t>
  </si>
  <si>
    <t>Reward</t>
  </si>
  <si>
    <t>Penalty</t>
  </si>
  <si>
    <t>VI01</t>
  </si>
  <si>
    <t>Dog Man</t>
  </si>
  <si>
    <t>犬男</t>
  </si>
  <si>
    <t>Inuotoko</t>
  </si>
  <si>
    <t>BO01 +1; BO02 +1-3</t>
  </si>
  <si>
    <t>BO01 -1</t>
  </si>
  <si>
    <t>VI02</t>
  </si>
  <si>
    <t>Brad Chunchun</t>
  </si>
  <si>
    <t>ブラド ちゅんちゅん</t>
  </si>
  <si>
    <t>Brado Chunchun</t>
  </si>
  <si>
    <t>Celebrity</t>
  </si>
  <si>
    <t>VI03</t>
  </si>
  <si>
    <t>Aso Takeda</t>
  </si>
  <si>
    <t>武田あそ</t>
  </si>
  <si>
    <t>Company Boss</t>
  </si>
  <si>
    <t>VI04</t>
  </si>
  <si>
    <t>Party Member A</t>
  </si>
  <si>
    <t>党員A</t>
  </si>
  <si>
    <t>Tōin A</t>
  </si>
  <si>
    <t>Steering Committee Member</t>
  </si>
  <si>
    <t>Question ID</t>
  </si>
  <si>
    <t>Question text</t>
  </si>
  <si>
    <t>Choice A</t>
  </si>
  <si>
    <t>Choice B</t>
  </si>
  <si>
    <t>Choice C</t>
  </si>
  <si>
    <t>Choice D</t>
  </si>
  <si>
    <t>Correct Choice</t>
  </si>
  <si>
    <t>Response - Right</t>
  </si>
  <si>
    <t>Response - Wrong</t>
  </si>
  <si>
    <t>Reaction - Right</t>
  </si>
  <si>
    <t>Reaction - Wrong</t>
  </si>
  <si>
    <t>VQ01</t>
  </si>
  <si>
    <t>What does the district need most right now?</t>
  </si>
  <si>
    <t>More funding for schools</t>
  </si>
  <si>
    <t>Lower local taxes</t>
  </si>
  <si>
    <t>Nothing, everything is fine</t>
  </si>
  <si>
    <t>A new stadium</t>
  </si>
  <si>
    <t>A</t>
  </si>
  <si>
    <t>Exactly what I've been saying!</t>
  </si>
  <si>
    <t>Hm, I'm not sure that's right.</t>
  </si>
  <si>
    <t>Nods approvingly.</t>
  </si>
  <si>
    <t>Frowns, unconvinced.</t>
  </si>
  <si>
    <t>VQ02</t>
  </si>
  <si>
    <t>That's not really up to me.</t>
  </si>
  <si>
    <t>Never, if I have anything to say about it.</t>
  </si>
  <si>
    <t>Ask my staff, not me.</t>
  </si>
  <si>
    <t>I like the sound of that!</t>
  </si>
  <si>
    <t>That's not the answer I wanted.</t>
  </si>
  <si>
    <t>Grins and gives a thumbs up.</t>
  </si>
  <si>
    <t>Sighs and looks away.</t>
  </si>
  <si>
    <t>VQ03</t>
  </si>
  <si>
    <t>Let's talk details after the visit.</t>
  </si>
  <si>
    <t>Not today, but thank you.</t>
  </si>
  <si>
    <t>Absolutely, sign me up right now.</t>
  </si>
  <si>
    <t>Why would I need a steam shovel?</t>
  </si>
  <si>
    <t>Wonderful! I'll have my people call yours.</t>
  </si>
  <si>
    <t>...Fine. I'll find another buyer.</t>
  </si>
  <si>
    <t>Shakes hands enthusiastically.</t>
  </si>
  <si>
    <t>Crosses arms, unimpressed.</t>
  </si>
  <si>
    <t>VQ04</t>
  </si>
  <si>
    <t>Where do you stand on the party's current platform?</t>
  </si>
  <si>
    <t>Fully behind it</t>
  </si>
  <si>
    <t>I have reservations</t>
  </si>
  <si>
    <t>I'd rather not say</t>
  </si>
  <si>
    <t>Against it</t>
  </si>
  <si>
    <t>Good. That's what we like to hear.</t>
  </si>
  <si>
    <t>...I see.</t>
  </si>
  <si>
    <t>Nods, satisfied.</t>
  </si>
  <si>
    <t>Frowns, taking note.</t>
  </si>
  <si>
    <t>Cue ID</t>
  </si>
  <si>
    <t>Verb</t>
  </si>
  <si>
    <t>Opponent ID</t>
  </si>
  <si>
    <t>OC01</t>
  </si>
  <si>
    <t>attack</t>
  </si>
  <si>
    <t>You aren't convincing me, yet.</t>
  </si>
  <si>
    <t>I need to see results. That's it.</t>
  </si>
  <si>
    <t>How will you prove yourself?</t>
  </si>
  <si>
    <t>Stand up or stand aside.</t>
  </si>
  <si>
    <t>Who are you speaking to. Not me.</t>
  </si>
  <si>
    <t>OC02</t>
  </si>
  <si>
    <t>gain</t>
  </si>
  <si>
    <t>Set the record straight because my doubt is not resolved.</t>
  </si>
  <si>
    <t>You sound like a ladder climber.</t>
  </si>
  <si>
    <t>Who are you here for?</t>
  </si>
  <si>
    <t>Tell me the truth, not rhetoric.</t>
  </si>
  <si>
    <t>Strip away the noise.</t>
  </si>
  <si>
    <t>OC03</t>
  </si>
  <si>
    <t>block</t>
  </si>
  <si>
    <t>We judge you by your record.</t>
  </si>
  <si>
    <t>Your reputation is what matters.</t>
  </si>
  <si>
    <t>It's not on me to prove your words.</t>
  </si>
  <si>
    <t>OC04</t>
  </si>
  <si>
    <t>Look at the families this touches!</t>
  </si>
  <si>
    <t>Tell me you feel this, truly!</t>
  </si>
  <si>
    <t>This is not abstract to us!</t>
  </si>
  <si>
    <t>Who fights for us in this room?</t>
  </si>
  <si>
    <t>Say it like you mean it!</t>
  </si>
  <si>
    <t>OC05</t>
  </si>
  <si>
    <t>Now that is worth fighting for!</t>
  </si>
  <si>
    <t>You understand what is at stake!</t>
  </si>
  <si>
    <t>My heart says you are right!</t>
  </si>
  <si>
    <t>That is exactly what we needed!</t>
  </si>
  <si>
    <t>Finally, someone who feels this too!</t>
  </si>
  <si>
    <t>OC06</t>
  </si>
  <si>
    <t>My feelings on this will not change!</t>
  </si>
  <si>
    <t>You won't talk me out of caring!</t>
  </si>
  <si>
    <t>This matters too much to abandon!</t>
  </si>
  <si>
    <t>I stand with the people, period!</t>
  </si>
  <si>
    <t>No argument will cool my resolve!</t>
  </si>
  <si>
    <t>OC07</t>
  </si>
  <si>
    <t>Are you truly with us on this?</t>
  </si>
  <si>
    <t>We need you standing with the room.</t>
  </si>
  <si>
    <t>Solidarity means showing up, not just talking.</t>
  </si>
  <si>
    <t>Where do you stand with your own?</t>
  </si>
  <si>
    <t>We rise together, or not at all.</t>
  </si>
  <si>
    <t>OC08</t>
  </si>
  <si>
    <t>That sounds like one of us.</t>
  </si>
  <si>
    <t>You understand what we owe each other.</t>
  </si>
  <si>
    <t>Welcome, truly, to the same side.</t>
  </si>
  <si>
    <t>This is how we look after our own.</t>
  </si>
  <si>
    <t>Together we can make this work.</t>
  </si>
  <si>
    <t>OC09</t>
  </si>
  <si>
    <t>We don't turn on our own.</t>
  </si>
  <si>
    <t>This room already stands together.</t>
  </si>
  <si>
    <t>You won't split us that easily.</t>
  </si>
  <si>
    <t>Our unity is stronger than your argument.</t>
  </si>
  <si>
    <t>We look out for each other, period.</t>
  </si>
  <si>
    <t>OC10</t>
  </si>
  <si>
    <t>Show me the numbers, not the feeling.</t>
  </si>
  <si>
    <t>Which figures support that claim, exactly?</t>
  </si>
  <si>
    <t>Give me a document, not an opinion.</t>
  </si>
  <si>
    <t>Is that verified, or merely asserted?</t>
  </si>
  <si>
    <t>Where is the evidence for this?</t>
  </si>
  <si>
    <t>OC11</t>
  </si>
  <si>
    <t>The data actually supports your position.</t>
  </si>
  <si>
    <t>Those figures check out, as stated.</t>
  </si>
  <si>
    <t>That is a verifiable, defensible claim.</t>
  </si>
  <si>
    <t>The evidence lines up with your point.</t>
  </si>
  <si>
    <t>Correct, by every measure available.</t>
  </si>
  <si>
    <t>OC12</t>
  </si>
  <si>
    <t>Bring me a source, then we'll talk.</t>
  </si>
  <si>
    <t>An anecdote is not a statistic.</t>
  </si>
  <si>
    <t>Show your work before I concede anything.</t>
  </si>
  <si>
    <t>One example proves nothing on its own.</t>
  </si>
  <si>
    <t>I deal in figures, not impressions.</t>
  </si>
  <si>
    <t>OC13</t>
  </si>
  <si>
    <t>Pick a side, there is no middle.</t>
  </si>
  <si>
    <t>Whose interest does this actually serve?</t>
  </si>
  <si>
    <t>You can't stand with both sides.</t>
  </si>
  <si>
    <t>Say plainly who you answer to.</t>
  </si>
  <si>
    <t>This room knows exactly whose side you're on.</t>
  </si>
  <si>
    <t>OC14</t>
  </si>
  <si>
    <t>Finally, someone willing to name names.</t>
  </si>
  <si>
    <t>That is a straight answer on sides.</t>
  </si>
  <si>
    <t>You drew the line, and drew it well.</t>
  </si>
  <si>
    <t>Good, so we know who stands where.</t>
  </si>
  <si>
    <t>That is exactly the divide we needed named.</t>
  </si>
  <si>
    <t>OC15</t>
  </si>
  <si>
    <t>I won't be forced into your box.</t>
  </si>
  <si>
    <t>There is no line for me to cross.</t>
  </si>
  <si>
    <t>Labels don't decide where I stand.</t>
  </si>
  <si>
    <t>You don't get to sort me that way.</t>
  </si>
  <si>
    <t>My position isn't yours to assign.</t>
  </si>
  <si>
    <t>OC16</t>
  </si>
  <si>
    <t>That claim seems... complicated, shall we say.</t>
  </si>
  <si>
    <t>Certain arrangements may have been considered.</t>
  </si>
  <si>
    <t>It's possible something like that occurred.</t>
  </si>
  <si>
    <t>Details like that tend to get fuzzy.</t>
  </si>
  <si>
    <t>One hears things. One doesn't confirm them.</t>
  </si>
  <si>
    <t>OC17</t>
  </si>
  <si>
    <t>We will look into that, favorably.</t>
  </si>
  <si>
    <t>That could certainly be arranged.</t>
  </si>
  <si>
    <t>Something might be worked out, quietly.</t>
  </si>
  <si>
    <t>Consider it noted, generally speaking.</t>
  </si>
  <si>
    <t>It's not the worst idea we've heard.</t>
  </si>
  <si>
    <t>OC18</t>
  </si>
  <si>
    <t>That's not a memory I have handy.</t>
  </si>
  <si>
    <t>Records like that go missing sometimes.</t>
  </si>
  <si>
    <t>It may or may not be accurate.</t>
  </si>
  <si>
    <t>One wouldn't want to overstate that.</t>
  </si>
  <si>
    <t>We'll get back to you eventually.</t>
  </si>
  <si>
    <t>OC19</t>
  </si>
  <si>
    <t>You never look families in the eye!</t>
  </si>
  <si>
    <t>Tell that to the mothers here!</t>
  </si>
  <si>
    <t>This is about real lives, not points!</t>
  </si>
  <si>
    <t>People deserve better than you!</t>
  </si>
  <si>
    <t>OC20</t>
  </si>
  <si>
    <t>I fight for every family here and hearing me!</t>
  </si>
  <si>
    <t>Rally with me on this!</t>
  </si>
  <si>
    <t>My heart belongs to this community!</t>
  </si>
  <si>
    <t>Who here wants something better? I do!</t>
  </si>
  <si>
    <t>This is personal. Hard choices should be!</t>
  </si>
  <si>
    <t>OC21</t>
  </si>
  <si>
    <t>You cannot shake me!</t>
  </si>
  <si>
    <t>I will not back down from this!</t>
  </si>
  <si>
    <t>Nothing you say can break me!</t>
  </si>
  <si>
    <t>My people stand behind me!</t>
  </si>
  <si>
    <t>Hit me as hard as you like!</t>
  </si>
  <si>
    <t>OC22</t>
  </si>
  <si>
    <t>Friends, we all deserve better leadership.</t>
  </si>
  <si>
    <t>Let's be honest with each other, shall we?</t>
  </si>
  <si>
    <t>We both know where this ends.</t>
  </si>
  <si>
    <t>The room can see where you stand.</t>
  </si>
  <si>
    <t>I say this as a friend: step back.</t>
  </si>
  <si>
    <t>OC23</t>
  </si>
  <si>
    <t>Together, we can get this done.</t>
  </si>
  <si>
    <t>We're all here, joined together.</t>
  </si>
  <si>
    <t>We see when support is genuine.</t>
  </si>
  <si>
    <t>Stand with us, and we'll stand with you.</t>
  </si>
  <si>
    <t>This room agrees, and so do I.</t>
  </si>
  <si>
    <t>OC24</t>
  </si>
  <si>
    <t>Let's not turn on each other.</t>
  </si>
  <si>
    <t>We're on the same side here.</t>
  </si>
  <si>
    <t>My friends won't let that stand.</t>
  </si>
  <si>
    <t>Cooler heads, everyone. We're all colleagues.</t>
  </si>
  <si>
    <t>Surely we can find common ground.</t>
  </si>
  <si>
    <t>OC25</t>
  </si>
  <si>
    <t>Where are the numbers behind your position?</t>
  </si>
  <si>
    <t>Yes or no: can you prove it?</t>
  </si>
  <si>
    <t>Can you cite a single source?</t>
  </si>
  <si>
    <t>The figures don't support you.</t>
  </si>
  <si>
    <t>What does your plan actually cost?</t>
  </si>
  <si>
    <t>OC26</t>
  </si>
  <si>
    <t>The evidence is on my side.</t>
  </si>
  <si>
    <t>Read the report. The numbers speak.</t>
  </si>
  <si>
    <t>Every figure here checks out.</t>
  </si>
  <si>
    <t>Facts first. Then decide.</t>
  </si>
  <si>
    <t>Ask anyone to check my math.</t>
  </si>
  <si>
    <t>OC27</t>
  </si>
  <si>
    <t>Check the record yourself.</t>
  </si>
  <si>
    <t>Your premise doesn't survive the data.</t>
  </si>
  <si>
    <t>What evidence do you have? None?</t>
  </si>
  <si>
    <t>The numbers hold up under scrutiny.</t>
  </si>
  <si>
    <t>Is that an argument or a feeling?</t>
  </si>
  <si>
    <t>OC28</t>
  </si>
  <si>
    <t>Whose side are you really on?</t>
  </si>
  <si>
    <t>People like you are the problem.</t>
  </si>
  <si>
    <t>You don't speak for anyone here.</t>
  </si>
  <si>
    <t>Real voters see right through you.</t>
  </si>
  <si>
    <t>You're either with them or with us.</t>
  </si>
  <si>
    <t>OC29</t>
  </si>
  <si>
    <t>Pick a side. I know mine.</t>
  </si>
  <si>
    <t>Our people versus theirs. Choose.</t>
  </si>
  <si>
    <t>Anyone with sense stands over here.</t>
  </si>
  <si>
    <t>They won't fight for you. I will.</t>
  </si>
  <si>
    <t>This is our fight, not theirs.</t>
  </si>
  <si>
    <t>OC30</t>
  </si>
  <si>
    <t>Everyone knows whose side you're on.</t>
  </si>
  <si>
    <t>Attack me, and you attack them.</t>
  </si>
  <si>
    <t>Your crowd doesn't scare mine.</t>
  </si>
  <si>
    <t>I don't answer to your faction.</t>
  </si>
  <si>
    <t>Go ahead. Show them who you serve.</t>
  </si>
  <si>
    <t>OC31</t>
  </si>
  <si>
    <t>Mistakes were made... by some people.</t>
  </si>
  <si>
    <t>I'd hate for certain things to come out...</t>
  </si>
  <si>
    <t>Some might question your judgment...</t>
  </si>
  <si>
    <t>People are saying things... not me, of course.</t>
  </si>
  <si>
    <t>Interesting choice... for someone in your position.</t>
  </si>
  <si>
    <t>OC32</t>
  </si>
  <si>
    <t>The right time will come...</t>
  </si>
  <si>
    <t>Something can surely be arranged...</t>
  </si>
  <si>
    <t>My door is open... for the right people.</t>
  </si>
  <si>
    <t>Consider it a gesture of goodwill...</t>
  </si>
  <si>
    <t>Everyone benefits... in a manner of speaking.</t>
  </si>
  <si>
    <t>OC33</t>
  </si>
  <si>
    <t>I couldn't possibly comment on that.</t>
  </si>
  <si>
    <t>That will be looked into, certainly...</t>
  </si>
  <si>
    <t>It's being reviewed at the appropriate level.</t>
  </si>
  <si>
    <t>Let's not get into specifics...</t>
  </si>
  <si>
    <t>OC34</t>
  </si>
  <si>
    <t>Say what you actually did.</t>
  </si>
  <si>
    <t>Cut the spin. Give me facts.</t>
  </si>
  <si>
    <t>Own it, or don't say it.</t>
  </si>
  <si>
    <t>That's not an answer. Try again.</t>
  </si>
  <si>
    <t>Results, not promises. Show me.</t>
  </si>
  <si>
    <t>OC35</t>
  </si>
  <si>
    <t>That's the plain truth. Good.</t>
  </si>
  <si>
    <t>You own your record. I respect that.</t>
  </si>
  <si>
    <t>Straight answer. That's rare, and welcome.</t>
  </si>
  <si>
    <t>No spin needed. That worked.</t>
  </si>
  <si>
    <t>That's someone I can trust.</t>
  </si>
  <si>
    <t>OC36</t>
  </si>
  <si>
    <t>My record speaks. I stand by it.</t>
  </si>
  <si>
    <t>I don't dodge, and I won't start.</t>
  </si>
  <si>
    <t>Say what you like. Facts don't move.</t>
  </si>
  <si>
    <t>I answer for my own work only.</t>
  </si>
  <si>
    <t>Nothing to hide. Look as long as you want.</t>
  </si>
  <si>
    <t>Asset ID</t>
  </si>
  <si>
    <t>Category</t>
  </si>
  <si>
    <t>Expression</t>
  </si>
  <si>
    <t>File Name</t>
  </si>
  <si>
    <t>Naming Convention</t>
  </si>
  <si>
    <t>Folder</t>
  </si>
  <si>
    <t>Minimum Size</t>
  </si>
  <si>
    <t>Drawn</t>
  </si>
  <si>
    <t>Protagonist</t>
  </si>
  <si>
    <t>neutral</t>
  </si>
  <si>
    <t>PC01_neutral.png</t>
  </si>
  <si>
    <t>{PROTAGONIST_ID}_{expression}.png</t>
  </si>
  <si>
    <t>assets/characters/protagonists/</t>
  </si>
  <si>
    <t>Your own face: the full-body cutout in the battle screen's lower-left corner (PlayerPortraitPresenter), reacting to what you just did.</t>
  </si>
  <si>
    <t>1024 x 1536 px (2:3, full body head-to-feet, transparent background)</t>
  </si>
  <si>
    <t>attacking</t>
  </si>
  <si>
    <t>PC01_attacking.png</t>
  </si>
  <si>
    <t>guarding</t>
  </si>
  <si>
    <t>PC01_guarding.png</t>
  </si>
  <si>
    <t>gaining</t>
  </si>
  <si>
    <t>PC01_gaining.png</t>
  </si>
  <si>
    <t>damaged</t>
  </si>
  <si>
    <t>PC01_damaged.png</t>
  </si>
  <si>
    <t>victory</t>
  </si>
  <si>
    <t>PC01_victory.png</t>
  </si>
  <si>
    <t>Shown when a stage ends in a win.</t>
  </si>
  <si>
    <t>Protagonist B</t>
  </si>
  <si>
    <t>PC02_neutral.png</t>
  </si>
  <si>
    <t>PC02_attacking.png</t>
  </si>
  <si>
    <t>PC02_guarding.png</t>
  </si>
  <si>
    <t>PC02_gaining.png</t>
  </si>
  <si>
    <t>PC02_damaged.png</t>
  </si>
  <si>
    <t>PC02_victory.png</t>
  </si>
  <si>
    <t>Protagonist C</t>
  </si>
  <si>
    <t>PC03_neutral.png</t>
  </si>
  <si>
    <t>PC03_attacking.png</t>
  </si>
  <si>
    <t>PC03_guarding.png</t>
  </si>
  <si>
    <t>PC03_gaining.png</t>
  </si>
  <si>
    <t>PC03_damaged.png</t>
  </si>
  <si>
    <t>PC03_victory.png</t>
  </si>
  <si>
    <t>Protagonist D</t>
  </si>
  <si>
    <t>PC04_neutral.png</t>
  </si>
  <si>
    <t>PC04_attacking.png</t>
  </si>
  <si>
    <t>PC04_guarding.png</t>
  </si>
  <si>
    <t>PC04_gaining.png</t>
  </si>
  <si>
    <t>PC04_damaged.png</t>
  </si>
  <si>
    <t>PC04_victory.png</t>
  </si>
  <si>
    <t>Opponent</t>
  </si>
  <si>
    <t>OP01_neutral.png</t>
  </si>
  <si>
    <t>{OPPONENT_ID}_{expression}.png</t>
  </si>
  <si>
    <t>assets/characters/opponents/</t>
  </si>
  <si>
    <t>The opponent's own face: the full-body cutout in the battle screen's lower-right corner (OpponentPresenter), matching what they're about to do.</t>
  </si>
  <si>
    <t>OP01_attacking.png</t>
  </si>
  <si>
    <t>OP01_guarding.png</t>
  </si>
  <si>
    <t>OP01_gaining.png</t>
  </si>
  <si>
    <t>OP01_damaged.png</t>
  </si>
  <si>
    <t>defeated</t>
  </si>
  <si>
    <t>OP01_defeated.png</t>
  </si>
  <si>
    <t>Shown once this opponent has been argued down.</t>
  </si>
  <si>
    <t>OP02_neutral.png</t>
  </si>
  <si>
    <t>OP02_attacking.png</t>
  </si>
  <si>
    <t>OP02_guarding.png</t>
  </si>
  <si>
    <t>OP02_gaining.png</t>
  </si>
  <si>
    <t>OP02_damaged.png</t>
  </si>
  <si>
    <t>OP02_defeated.png</t>
  </si>
  <si>
    <t>OP03_neutral.png</t>
  </si>
  <si>
    <t>OP03_attacking.png</t>
  </si>
  <si>
    <t>OP03_guarding.png</t>
  </si>
  <si>
    <t>OP03_gaining.png</t>
  </si>
  <si>
    <t>OP03_damaged.png</t>
  </si>
  <si>
    <t>OP03_defeated.png</t>
  </si>
  <si>
    <t>OP04_neutral.png</t>
  </si>
  <si>
    <t>OP04_attacking.png</t>
  </si>
  <si>
    <t>OP04_guarding.png</t>
  </si>
  <si>
    <t>OP04_gaining.png</t>
  </si>
  <si>
    <t>OP04_damaged.png</t>
  </si>
  <si>
    <t>OP04_defeated.png</t>
  </si>
  <si>
    <t>OP05_neutral.png</t>
  </si>
  <si>
    <t>OP05_attacking.png</t>
  </si>
  <si>
    <t>OP05_guarding.png</t>
  </si>
  <si>
    <t>OP05_gaining.png</t>
  </si>
  <si>
    <t>OP05_damaged.png</t>
  </si>
  <si>
    <t>OP05_defeated.png</t>
  </si>
  <si>
    <t>OP06_neutral.png</t>
  </si>
  <si>
    <t>OP06_attacking.png</t>
  </si>
  <si>
    <t>OP06_guarding.png</t>
  </si>
  <si>
    <t>OP06_gaining.png</t>
  </si>
  <si>
    <t>OP06_damaged.png</t>
  </si>
  <si>
    <t>OP06_defeated.png</t>
  </si>
  <si>
    <t>OP07_neutral.png</t>
  </si>
  <si>
    <t>OP07_attacking.png</t>
  </si>
  <si>
    <t>OP07_guarding.png</t>
  </si>
  <si>
    <t>OP07_gaining.png</t>
  </si>
  <si>
    <t>OP07_damaged.png</t>
  </si>
  <si>
    <t>OP07_defeated.png</t>
  </si>
  <si>
    <t>OP08_neutral.png</t>
  </si>
  <si>
    <t>OP08_attacking.png</t>
  </si>
  <si>
    <t>OP08_guarding.png</t>
  </si>
  <si>
    <t>OP08_gaining.png</t>
  </si>
  <si>
    <t>OP08_damaged.png</t>
  </si>
  <si>
    <t>OP08_defeated.png</t>
  </si>
  <si>
    <t>OP09_neutral.png</t>
  </si>
  <si>
    <t>OP09_attacking.png</t>
  </si>
  <si>
    <t>OP09_guarding.png</t>
  </si>
  <si>
    <t>OP09_gaining.png</t>
  </si>
  <si>
    <t>OP09_damaged.png</t>
  </si>
  <si>
    <t>OP09_defeated.png</t>
  </si>
  <si>
    <t>OP10_neutral.png</t>
  </si>
  <si>
    <t>OP10_attacking.png</t>
  </si>
  <si>
    <t>OP10_guarding.png</t>
  </si>
  <si>
    <t>OP10_gaining.png</t>
  </si>
  <si>
    <t>OP10_damaged.png</t>
  </si>
  <si>
    <t>OP10_defeated.png</t>
  </si>
  <si>
    <t>OP100_neutral.png</t>
  </si>
  <si>
    <t>OP100_attacking.png</t>
  </si>
  <si>
    <t>OP100_guarding.png</t>
  </si>
  <si>
    <t>OP100_gaining.png</t>
  </si>
  <si>
    <t>OP100_damaged.png</t>
  </si>
  <si>
    <t>OP100_defeated.png</t>
  </si>
  <si>
    <t>OP101_neutral.png</t>
  </si>
  <si>
    <t>OP101_attacking.png</t>
  </si>
  <si>
    <t>OP101_guarding.png</t>
  </si>
  <si>
    <t>OP101_gaining.png</t>
  </si>
  <si>
    <t>OP101_damaged.png</t>
  </si>
  <si>
    <t>OP101_defeated.png</t>
  </si>
  <si>
    <t>OP102_neutral.png</t>
  </si>
  <si>
    <t>OP102_attacking.png</t>
  </si>
  <si>
    <t>OP102_guarding.png</t>
  </si>
  <si>
    <t>OP102_gaining.png</t>
  </si>
  <si>
    <t>OP102_damaged.png</t>
  </si>
  <si>
    <t>OP102_defeated.png</t>
  </si>
  <si>
    <t>OP103_neutral.png</t>
  </si>
  <si>
    <t>OP103_attacking.png</t>
  </si>
  <si>
    <t>OP103_guarding.png</t>
  </si>
  <si>
    <t>OP103_gaining.png</t>
  </si>
  <si>
    <t>OP103_damaged.png</t>
  </si>
  <si>
    <t>OP103_defeated.png</t>
  </si>
  <si>
    <t>OP104_neutral.png</t>
  </si>
  <si>
    <t>OP104_attacking.png</t>
  </si>
  <si>
    <t>OP104_guarding.png</t>
  </si>
  <si>
    <t>OP104_gaining.png</t>
  </si>
  <si>
    <t>OP104_damaged.png</t>
  </si>
  <si>
    <t>OP104_defeated.png</t>
  </si>
  <si>
    <t>OP105_neutral.png</t>
  </si>
  <si>
    <t>OP105_attacking.png</t>
  </si>
  <si>
    <t>OP105_guarding.png</t>
  </si>
  <si>
    <t>OP105_gaining.png</t>
  </si>
  <si>
    <t>OP105_damaged.png</t>
  </si>
  <si>
    <t>OP105_defeated.png</t>
  </si>
  <si>
    <t>OP106_neutral.png</t>
  </si>
  <si>
    <t>OP106_attacking.png</t>
  </si>
  <si>
    <t>OP106_guarding.png</t>
  </si>
  <si>
    <t>OP106_gaining.png</t>
  </si>
  <si>
    <t>OP106_damaged.png</t>
  </si>
  <si>
    <t>OP106_defeated.png</t>
  </si>
  <si>
    <t>OP107_neutral.png</t>
  </si>
  <si>
    <t>OP107_attacking.png</t>
  </si>
  <si>
    <t>OP107_guarding.png</t>
  </si>
  <si>
    <t>OP107_gaining.png</t>
  </si>
  <si>
    <t>OP107_damaged.png</t>
  </si>
  <si>
    <t>OP107_defeated.png</t>
  </si>
  <si>
    <t>OP108_neutral.png</t>
  </si>
  <si>
    <t>OP108_attacking.png</t>
  </si>
  <si>
    <t>OP108_guarding.png</t>
  </si>
  <si>
    <t>OP108_gaining.png</t>
  </si>
  <si>
    <t>OP108_damaged.png</t>
  </si>
  <si>
    <t>OP108_defeated.png</t>
  </si>
  <si>
    <t>OP109_neutral.png</t>
  </si>
  <si>
    <t>OP109_attacking.png</t>
  </si>
  <si>
    <t>OP109_guarding.png</t>
  </si>
  <si>
    <t>OP109_gaining.png</t>
  </si>
  <si>
    <t>OP109_damaged.png</t>
  </si>
  <si>
    <t>OP109_defeated.png</t>
  </si>
  <si>
    <t>OP11_neutral.png</t>
  </si>
  <si>
    <t>OP11_attacking.png</t>
  </si>
  <si>
    <t>OP11_guarding.png</t>
  </si>
  <si>
    <t>OP11_gaining.png</t>
  </si>
  <si>
    <t>OP11_damaged.png</t>
  </si>
  <si>
    <t>OP11_defeated.png</t>
  </si>
  <si>
    <t>OP110_neutral.png</t>
  </si>
  <si>
    <t>OP110_attacking.png</t>
  </si>
  <si>
    <t>OP110_guarding.png</t>
  </si>
  <si>
    <t>OP110_gaining.png</t>
  </si>
  <si>
    <t>OP110_damaged.png</t>
  </si>
  <si>
    <t>OP110_defeated.png</t>
  </si>
  <si>
    <t>OP111_neutral.png</t>
  </si>
  <si>
    <t>OP111_attacking.png</t>
  </si>
  <si>
    <t>OP111_guarding.png</t>
  </si>
  <si>
    <t>OP111_gaining.png</t>
  </si>
  <si>
    <t>OP111_damaged.png</t>
  </si>
  <si>
    <t>OP111_defeated.png</t>
  </si>
  <si>
    <t>OP112_neutral.png</t>
  </si>
  <si>
    <t>OP112_attacking.png</t>
  </si>
  <si>
    <t>OP112_guarding.png</t>
  </si>
  <si>
    <t>OP112_gaining.png</t>
  </si>
  <si>
    <t>OP112_damaged.png</t>
  </si>
  <si>
    <t>OP112_defeated.png</t>
  </si>
  <si>
    <t>OP113_neutral.png</t>
  </si>
  <si>
    <t>OP113_attacking.png</t>
  </si>
  <si>
    <t>OP113_guarding.png</t>
  </si>
  <si>
    <t>OP113_gaining.png</t>
  </si>
  <si>
    <t>OP113_damaged.png</t>
  </si>
  <si>
    <t>OP113_defeated.png</t>
  </si>
  <si>
    <t>OP114_neutral.png</t>
  </si>
  <si>
    <t>OP114_attacking.png</t>
  </si>
  <si>
    <t>OP114_guarding.png</t>
  </si>
  <si>
    <t>OP114_gaining.png</t>
  </si>
  <si>
    <t>OP114_damaged.png</t>
  </si>
  <si>
    <t>OP114_defeated.png</t>
  </si>
  <si>
    <t>OP115_neutral.png</t>
  </si>
  <si>
    <t>OP115_attacking.png</t>
  </si>
  <si>
    <t>OP115_guarding.png</t>
  </si>
  <si>
    <t>OP115_gaining.png</t>
  </si>
  <si>
    <t>OP115_damaged.png</t>
  </si>
  <si>
    <t>OP115_defeated.png</t>
  </si>
  <si>
    <t>OP116_neutral.png</t>
  </si>
  <si>
    <t>OP116_attacking.png</t>
  </si>
  <si>
    <t>OP116_guarding.png</t>
  </si>
  <si>
    <t>OP116_gaining.png</t>
  </si>
  <si>
    <t>OP116_damaged.png</t>
  </si>
  <si>
    <t>OP116_defeated.png</t>
  </si>
  <si>
    <t>OP117_neutral.png</t>
  </si>
  <si>
    <t>OP117_attacking.png</t>
  </si>
  <si>
    <t>OP117_guarding.png</t>
  </si>
  <si>
    <t>OP117_gaining.png</t>
  </si>
  <si>
    <t>OP117_damaged.png</t>
  </si>
  <si>
    <t>OP117_defeated.png</t>
  </si>
  <si>
    <t>OP118_neutral.png</t>
  </si>
  <si>
    <t>OP118_attacking.png</t>
  </si>
  <si>
    <t>OP118_guarding.png</t>
  </si>
  <si>
    <t>OP118_gaining.png</t>
  </si>
  <si>
    <t>OP118_damaged.png</t>
  </si>
  <si>
    <t>OP118_defeated.png</t>
  </si>
  <si>
    <t>OP119_neutral.png</t>
  </si>
  <si>
    <t>OP119_attacking.png</t>
  </si>
  <si>
    <t>OP119_guarding.png</t>
  </si>
  <si>
    <t>OP119_gaining.png</t>
  </si>
  <si>
    <t>OP119_damaged.png</t>
  </si>
  <si>
    <t>OP119_defeated.png</t>
  </si>
  <si>
    <t>OP12_neutral.png</t>
  </si>
  <si>
    <t>OP12_attacking.png</t>
  </si>
  <si>
    <t>OP12_guarding.png</t>
  </si>
  <si>
    <t>OP12_gaining.png</t>
  </si>
  <si>
    <t>OP12_damaged.png</t>
  </si>
  <si>
    <t>OP12_defeated.png</t>
  </si>
  <si>
    <t>OP120_neutral.png</t>
  </si>
  <si>
    <t>OP120_attacking.png</t>
  </si>
  <si>
    <t>OP120_guarding.png</t>
  </si>
  <si>
    <t>OP120_gaining.png</t>
  </si>
  <si>
    <t>OP120_damaged.png</t>
  </si>
  <si>
    <t>OP120_defeated.png</t>
  </si>
  <si>
    <t>OP121_neutral.png</t>
  </si>
  <si>
    <t>OP121_attacking.png</t>
  </si>
  <si>
    <t>OP121_guarding.png</t>
  </si>
  <si>
    <t>OP121_gaining.png</t>
  </si>
  <si>
    <t>OP121_damaged.png</t>
  </si>
  <si>
    <t>OP121_defeated.png</t>
  </si>
  <si>
    <t>OP122_neutral.png</t>
  </si>
  <si>
    <t>OP122_attacking.png</t>
  </si>
  <si>
    <t>OP122_guarding.png</t>
  </si>
  <si>
    <t>OP122_gaining.png</t>
  </si>
  <si>
    <t>OP122_damaged.png</t>
  </si>
  <si>
    <t>OP122_defeated.png</t>
  </si>
  <si>
    <t>OP123_neutral.png</t>
  </si>
  <si>
    <t>OP123_attacking.png</t>
  </si>
  <si>
    <t>OP123_guarding.png</t>
  </si>
  <si>
    <t>OP123_gaining.png</t>
  </si>
  <si>
    <t>OP123_damaged.png</t>
  </si>
  <si>
    <t>OP123_defeated.png</t>
  </si>
  <si>
    <t>OP124_neutral.png</t>
  </si>
  <si>
    <t>OP124_attacking.png</t>
  </si>
  <si>
    <t>OP124_guarding.png</t>
  </si>
  <si>
    <t>OP124_gaining.png</t>
  </si>
  <si>
    <t>OP124_damaged.png</t>
  </si>
  <si>
    <t>OP124_defeated.png</t>
  </si>
  <si>
    <t>OP125_neutral.png</t>
  </si>
  <si>
    <t>OP125_attacking.png</t>
  </si>
  <si>
    <t>OP125_guarding.png</t>
  </si>
  <si>
    <t>OP125_gaining.png</t>
  </si>
  <si>
    <t>OP125_damaged.png</t>
  </si>
  <si>
    <t>OP125_defeated.png</t>
  </si>
  <si>
    <t>OP13_neutral.png</t>
  </si>
  <si>
    <t>OP13_attacking.png</t>
  </si>
  <si>
    <t>OP13_guarding.png</t>
  </si>
  <si>
    <t>OP13_gaining.png</t>
  </si>
  <si>
    <t>OP13_damaged.png</t>
  </si>
  <si>
    <t>OP13_defeated.png</t>
  </si>
  <si>
    <t>OP14_neutral.png</t>
  </si>
  <si>
    <t>OP14_attacking.png</t>
  </si>
  <si>
    <t>OP14_guarding.png</t>
  </si>
  <si>
    <t>OP14_gaining.png</t>
  </si>
  <si>
    <t>OP14_damaged.png</t>
  </si>
  <si>
    <t>OP14_defeated.png</t>
  </si>
  <si>
    <t>OP15_neutral.png</t>
  </si>
  <si>
    <t>OP15_attacking.png</t>
  </si>
  <si>
    <t>OP15_guarding.png</t>
  </si>
  <si>
    <t>OP15_gaining.png</t>
  </si>
  <si>
    <t>OP15_damaged.png</t>
  </si>
  <si>
    <t>OP15_defeated.png</t>
  </si>
  <si>
    <t>OP16_neutral.png</t>
  </si>
  <si>
    <t>OP16_attacking.png</t>
  </si>
  <si>
    <t>OP16_guarding.png</t>
  </si>
  <si>
    <t>OP16_gaining.png</t>
  </si>
  <si>
    <t>OP16_damaged.png</t>
  </si>
  <si>
    <t>OP16_defeated.png</t>
  </si>
  <si>
    <t>OP17_neutral.png</t>
  </si>
  <si>
    <t>OP17_attacking.png</t>
  </si>
  <si>
    <t>OP17_guarding.png</t>
  </si>
  <si>
    <t>OP17_gaining.png</t>
  </si>
  <si>
    <t>OP17_damaged.png</t>
  </si>
  <si>
    <t>OP17_defeated.png</t>
  </si>
  <si>
    <t>OP18_neutral.png</t>
  </si>
  <si>
    <t>OP18_attacking.png</t>
  </si>
  <si>
    <t>OP18_guarding.png</t>
  </si>
  <si>
    <t>OP18_gaining.png</t>
  </si>
  <si>
    <t>OP18_damaged.png</t>
  </si>
  <si>
    <t>OP18_defeated.png</t>
  </si>
  <si>
    <t>OP19_neutral.png</t>
  </si>
  <si>
    <t>OP19_attacking.png</t>
  </si>
  <si>
    <t>OP19_guarding.png</t>
  </si>
  <si>
    <t>OP19_gaining.png</t>
  </si>
  <si>
    <t>OP19_damaged.png</t>
  </si>
  <si>
    <t>OP19_defeated.png</t>
  </si>
  <si>
    <t>OP20_neutral.png</t>
  </si>
  <si>
    <t>OP20_attacking.png</t>
  </si>
  <si>
    <t>OP20_guarding.png</t>
  </si>
  <si>
    <t>OP20_gaining.png</t>
  </si>
  <si>
    <t>OP20_damaged.png</t>
  </si>
  <si>
    <t>OP20_defeated.png</t>
  </si>
  <si>
    <t>OP21_neutral.png</t>
  </si>
  <si>
    <t>OP21_attacking.png</t>
  </si>
  <si>
    <t>OP21_guarding.png</t>
  </si>
  <si>
    <t>OP21_gaining.png</t>
  </si>
  <si>
    <t>OP21_damaged.png</t>
  </si>
  <si>
    <t>OP21_defeated.png</t>
  </si>
  <si>
    <t>OP22_neutral.png</t>
  </si>
  <si>
    <t>OP22_attacking.png</t>
  </si>
  <si>
    <t>OP22_guarding.png</t>
  </si>
  <si>
    <t>OP22_gaining.png</t>
  </si>
  <si>
    <t>OP22_damaged.png</t>
  </si>
  <si>
    <t>OP22_defeated.png</t>
  </si>
  <si>
    <t>OP23_neutral.png</t>
  </si>
  <si>
    <t>OP23_attacking.png</t>
  </si>
  <si>
    <t>OP23_guarding.png</t>
  </si>
  <si>
    <t>OP23_gaining.png</t>
  </si>
  <si>
    <t>OP23_damaged.png</t>
  </si>
  <si>
    <t>OP23_defeated.png</t>
  </si>
  <si>
    <t>OP24_neutral.png</t>
  </si>
  <si>
    <t>OP24_attacking.png</t>
  </si>
  <si>
    <t>OP24_guarding.png</t>
  </si>
  <si>
    <t>OP24_gaining.png</t>
  </si>
  <si>
    <t>OP24_damaged.png</t>
  </si>
  <si>
    <t>OP24_defeated.png</t>
  </si>
  <si>
    <t>OP25_neutral.png</t>
  </si>
  <si>
    <t>OP25_attacking.png</t>
  </si>
  <si>
    <t>OP25_guarding.png</t>
  </si>
  <si>
    <t>OP25_gaining.png</t>
  </si>
  <si>
    <t>OP25_damaged.png</t>
  </si>
  <si>
    <t>OP25_defeated.png</t>
  </si>
  <si>
    <t>OP26_neutral.png</t>
  </si>
  <si>
    <t>OP26_attacking.png</t>
  </si>
  <si>
    <t>OP26_guarding.png</t>
  </si>
  <si>
    <t>OP26_gaining.png</t>
  </si>
  <si>
    <t>OP26_damaged.png</t>
  </si>
  <si>
    <t>OP26_defeated.png</t>
  </si>
  <si>
    <t>OP27_neutral.png</t>
  </si>
  <si>
    <t>OP27_attacking.png</t>
  </si>
  <si>
    <t>OP27_guarding.png</t>
  </si>
  <si>
    <t>OP27_gaining.png</t>
  </si>
  <si>
    <t>OP27_damaged.png</t>
  </si>
  <si>
    <t>OP27_defeated.png</t>
  </si>
  <si>
    <t>OP28_neutral.png</t>
  </si>
  <si>
    <t>OP28_attacking.png</t>
  </si>
  <si>
    <t>OP28_guarding.png</t>
  </si>
  <si>
    <t>OP28_gaining.png</t>
  </si>
  <si>
    <t>OP28_damaged.png</t>
  </si>
  <si>
    <t>OP28_defeated.png</t>
  </si>
  <si>
    <t>OP29_neutral.png</t>
  </si>
  <si>
    <t>OP29_attacking.png</t>
  </si>
  <si>
    <t>OP29_guarding.png</t>
  </si>
  <si>
    <t>OP29_gaining.png</t>
  </si>
  <si>
    <t>OP29_damaged.png</t>
  </si>
  <si>
    <t>OP29_defeated.png</t>
  </si>
  <si>
    <t>OP30_neutral.png</t>
  </si>
  <si>
    <t>OP30_attacking.png</t>
  </si>
  <si>
    <t>OP30_guarding.png</t>
  </si>
  <si>
    <t>OP30_gaining.png</t>
  </si>
  <si>
    <t>OP30_damaged.png</t>
  </si>
  <si>
    <t>OP30_defeated.png</t>
  </si>
  <si>
    <t>OP31_neutral.png</t>
  </si>
  <si>
    <t>OP31_attacking.png</t>
  </si>
  <si>
    <t>OP31_guarding.png</t>
  </si>
  <si>
    <t>OP31_gaining.png</t>
  </si>
  <si>
    <t>OP31_damaged.png</t>
  </si>
  <si>
    <t>OP31_defeated.png</t>
  </si>
  <si>
    <t>OP32_neutral.png</t>
  </si>
  <si>
    <t>OP32_attacking.png</t>
  </si>
  <si>
    <t>OP32_guarding.png</t>
  </si>
  <si>
    <t>OP32_gaining.png</t>
  </si>
  <si>
    <t>OP32_damaged.png</t>
  </si>
  <si>
    <t>OP32_defeated.png</t>
  </si>
  <si>
    <t>OP33_neutral.png</t>
  </si>
  <si>
    <t>OP33_attacking.png</t>
  </si>
  <si>
    <t>OP33_guarding.png</t>
  </si>
  <si>
    <t>OP33_gaining.png</t>
  </si>
  <si>
    <t>OP33_damaged.png</t>
  </si>
  <si>
    <t>OP33_defeated.png</t>
  </si>
  <si>
    <t>OP34_neutral.png</t>
  </si>
  <si>
    <t>OP34_attacking.png</t>
  </si>
  <si>
    <t>OP34_guarding.png</t>
  </si>
  <si>
    <t>OP34_gaining.png</t>
  </si>
  <si>
    <t>OP34_damaged.png</t>
  </si>
  <si>
    <t>OP34_defeated.png</t>
  </si>
  <si>
    <t>OP35_neutral.png</t>
  </si>
  <si>
    <t>OP35_attacking.png</t>
  </si>
  <si>
    <t>OP35_guarding.png</t>
  </si>
  <si>
    <t>OP35_gaining.png</t>
  </si>
  <si>
    <t>OP35_damaged.png</t>
  </si>
  <si>
    <t>OP35_defeated.png</t>
  </si>
  <si>
    <t>OP36_neutral.png</t>
  </si>
  <si>
    <t>OP36_attacking.png</t>
  </si>
  <si>
    <t>OP36_guarding.png</t>
  </si>
  <si>
    <t>OP36_gaining.png</t>
  </si>
  <si>
    <t>OP36_damaged.png</t>
  </si>
  <si>
    <t>OP36_defeated.png</t>
  </si>
  <si>
    <t>OP37_neutral.png</t>
  </si>
  <si>
    <t>OP37_attacking.png</t>
  </si>
  <si>
    <t>OP37_guarding.png</t>
  </si>
  <si>
    <t>OP37_gaining.png</t>
  </si>
  <si>
    <t>OP37_damaged.png</t>
  </si>
  <si>
    <t>OP37_defeated.png</t>
  </si>
  <si>
    <t>OP38_neutral.png</t>
  </si>
  <si>
    <t>OP38_attacking.png</t>
  </si>
  <si>
    <t>OP38_guarding.png</t>
  </si>
  <si>
    <t>OP38_gaining.png</t>
  </si>
  <si>
    <t>OP38_damaged.png</t>
  </si>
  <si>
    <t>OP38_defeated.png</t>
  </si>
  <si>
    <t>OP39_neutral.png</t>
  </si>
  <si>
    <t>OP39_attacking.png</t>
  </si>
  <si>
    <t>OP39_guarding.png</t>
  </si>
  <si>
    <t>OP39_gaining.png</t>
  </si>
  <si>
    <t>OP39_damaged.png</t>
  </si>
  <si>
    <t>OP39_defeated.png</t>
  </si>
  <si>
    <t>OP40_neutral.png</t>
  </si>
  <si>
    <t>OP40_attacking.png</t>
  </si>
  <si>
    <t>OP40_guarding.png</t>
  </si>
  <si>
    <t>OP40_gaining.png</t>
  </si>
  <si>
    <t>OP40_damaged.png</t>
  </si>
  <si>
    <t>OP40_defeated.png</t>
  </si>
  <si>
    <t>OP41_neutral.png</t>
  </si>
  <si>
    <t>OP41_attacking.png</t>
  </si>
  <si>
    <t>OP41_guarding.png</t>
  </si>
  <si>
    <t>OP41_gaining.png</t>
  </si>
  <si>
    <t>OP41_damaged.png</t>
  </si>
  <si>
    <t>OP41_defeated.png</t>
  </si>
  <si>
    <t>OP42_neutral.png</t>
  </si>
  <si>
    <t>OP42_attacking.png</t>
  </si>
  <si>
    <t>OP42_guarding.png</t>
  </si>
  <si>
    <t>OP42_gaining.png</t>
  </si>
  <si>
    <t>OP42_damaged.png</t>
  </si>
  <si>
    <t>OP42_defeated.png</t>
  </si>
  <si>
    <t>OP43_neutral.png</t>
  </si>
  <si>
    <t>OP43_attacking.png</t>
  </si>
  <si>
    <t>OP43_guarding.png</t>
  </si>
  <si>
    <t>OP43_gaining.png</t>
  </si>
  <si>
    <t>OP43_damaged.png</t>
  </si>
  <si>
    <t>OP43_defeated.png</t>
  </si>
  <si>
    <t>OP44_neutral.png</t>
  </si>
  <si>
    <t>OP44_attacking.png</t>
  </si>
  <si>
    <t>OP44_guarding.png</t>
  </si>
  <si>
    <t>OP44_gaining.png</t>
  </si>
  <si>
    <t>OP44_damaged.png</t>
  </si>
  <si>
    <t>OP44_defeated.png</t>
  </si>
  <si>
    <t>OP45_neutral.png</t>
  </si>
  <si>
    <t>OP45_attacking.png</t>
  </si>
  <si>
    <t>OP45_guarding.png</t>
  </si>
  <si>
    <t>OP45_gaining.png</t>
  </si>
  <si>
    <t>OP45_damaged.png</t>
  </si>
  <si>
    <t>OP45_defeated.png</t>
  </si>
  <si>
    <t>OP46_neutral.png</t>
  </si>
  <si>
    <t>OP46_attacking.png</t>
  </si>
  <si>
    <t>OP46_guarding.png</t>
  </si>
  <si>
    <t>OP46_gaining.png</t>
  </si>
  <si>
    <t>OP46_damaged.png</t>
  </si>
  <si>
    <t>OP46_defeated.png</t>
  </si>
  <si>
    <t>OP47_neutral.png</t>
  </si>
  <si>
    <t>OP47_attacking.png</t>
  </si>
  <si>
    <t>OP47_guarding.png</t>
  </si>
  <si>
    <t>OP47_gaining.png</t>
  </si>
  <si>
    <t>OP47_damaged.png</t>
  </si>
  <si>
    <t>OP47_defeated.png</t>
  </si>
  <si>
    <t>OP48_neutral.png</t>
  </si>
  <si>
    <t>OP48_attacking.png</t>
  </si>
  <si>
    <t>OP48_guarding.png</t>
  </si>
  <si>
    <t>OP48_gaining.png</t>
  </si>
  <si>
    <t>OP48_damaged.png</t>
  </si>
  <si>
    <t>OP48_defeated.png</t>
  </si>
  <si>
    <t>OP49_neutral.png</t>
  </si>
  <si>
    <t>OP49_attacking.png</t>
  </si>
  <si>
    <t>OP49_guarding.png</t>
  </si>
  <si>
    <t>OP49_gaining.png</t>
  </si>
  <si>
    <t>OP49_damaged.png</t>
  </si>
  <si>
    <t>OP49_defeated.png</t>
  </si>
  <si>
    <t>OP50_neutral.png</t>
  </si>
  <si>
    <t>OP50_attacking.png</t>
  </si>
  <si>
    <t>OP50_guarding.png</t>
  </si>
  <si>
    <t>OP50_gaining.png</t>
  </si>
  <si>
    <t>OP50_damaged.png</t>
  </si>
  <si>
    <t>OP50_defeated.png</t>
  </si>
  <si>
    <t>OP51_neutral.png</t>
  </si>
  <si>
    <t>OP51_attacking.png</t>
  </si>
  <si>
    <t>OP51_guarding.png</t>
  </si>
  <si>
    <t>OP51_gaining.png</t>
  </si>
  <si>
    <t>OP51_damaged.png</t>
  </si>
  <si>
    <t>OP51_defeated.png</t>
  </si>
  <si>
    <t>OP52_neutral.png</t>
  </si>
  <si>
    <t>OP52_attacking.png</t>
  </si>
  <si>
    <t>OP52_guarding.png</t>
  </si>
  <si>
    <t>OP52_gaining.png</t>
  </si>
  <si>
    <t>OP52_damaged.png</t>
  </si>
  <si>
    <t>OP52_defeated.png</t>
  </si>
  <si>
    <t>OP53_neutral.png</t>
  </si>
  <si>
    <t>OP53_attacking.png</t>
  </si>
  <si>
    <t>OP53_guarding.png</t>
  </si>
  <si>
    <t>OP53_gaining.png</t>
  </si>
  <si>
    <t>OP53_damaged.png</t>
  </si>
  <si>
    <t>OP53_defeated.png</t>
  </si>
  <si>
    <t>OP54_neutral.png</t>
  </si>
  <si>
    <t>OP54_attacking.png</t>
  </si>
  <si>
    <t>OP54_guarding.png</t>
  </si>
  <si>
    <t>OP54_gaining.png</t>
  </si>
  <si>
    <t>OP54_damaged.png</t>
  </si>
  <si>
    <t>OP54_defeated.png</t>
  </si>
  <si>
    <t>OP55_neutral.png</t>
  </si>
  <si>
    <t>OP55_attacking.png</t>
  </si>
  <si>
    <t>OP55_guarding.png</t>
  </si>
  <si>
    <t>OP55_gaining.png</t>
  </si>
  <si>
    <t>OP55_damaged.png</t>
  </si>
  <si>
    <t>OP55_defeated.png</t>
  </si>
  <si>
    <t>OP56_neutral.png</t>
  </si>
  <si>
    <t>OP56_attacking.png</t>
  </si>
  <si>
    <t>OP56_guarding.png</t>
  </si>
  <si>
    <t>OP56_gaining.png</t>
  </si>
  <si>
    <t>OP56_damaged.png</t>
  </si>
  <si>
    <t>OP56_defeated.png</t>
  </si>
  <si>
    <t>OP57_neutral.png</t>
  </si>
  <si>
    <t>OP57_attacking.png</t>
  </si>
  <si>
    <t>OP57_guarding.png</t>
  </si>
  <si>
    <t>OP57_gaining.png</t>
  </si>
  <si>
    <t>OP57_damaged.png</t>
  </si>
  <si>
    <t>OP57_defeated.png</t>
  </si>
  <si>
    <t>OP58_neutral.png</t>
  </si>
  <si>
    <t>OP58_attacking.png</t>
  </si>
  <si>
    <t>OP58_guarding.png</t>
  </si>
  <si>
    <t>OP58_gaining.png</t>
  </si>
  <si>
    <t>OP58_damaged.png</t>
  </si>
  <si>
    <t>OP58_defeated.png</t>
  </si>
  <si>
    <t>OP59_neutral.png</t>
  </si>
  <si>
    <t>OP59_attacking.png</t>
  </si>
  <si>
    <t>OP59_guarding.png</t>
  </si>
  <si>
    <t>OP59_gaining.png</t>
  </si>
  <si>
    <t>OP59_damaged.png</t>
  </si>
  <si>
    <t>OP59_defeated.png</t>
  </si>
  <si>
    <t>OP60_neutral.png</t>
  </si>
  <si>
    <t>OP60_attacking.png</t>
  </si>
  <si>
    <t>OP60_guarding.png</t>
  </si>
  <si>
    <t>OP60_gaining.png</t>
  </si>
  <si>
    <t>OP60_damaged.png</t>
  </si>
  <si>
    <t>OP60_defeated.png</t>
  </si>
  <si>
    <t>OP61_neutral.png</t>
  </si>
  <si>
    <t>OP61_attacking.png</t>
  </si>
  <si>
    <t>OP61_guarding.png</t>
  </si>
  <si>
    <t>OP61_gaining.png</t>
  </si>
  <si>
    <t>OP61_damaged.png</t>
  </si>
  <si>
    <t>OP61_defeated.png</t>
  </si>
  <si>
    <t>OP62_neutral.png</t>
  </si>
  <si>
    <t>OP62_attacking.png</t>
  </si>
  <si>
    <t>OP62_guarding.png</t>
  </si>
  <si>
    <t>OP62_gaining.png</t>
  </si>
  <si>
    <t>OP62_damaged.png</t>
  </si>
  <si>
    <t>OP62_defeated.png</t>
  </si>
  <si>
    <t>OP63_neutral.png</t>
  </si>
  <si>
    <t>OP63_attacking.png</t>
  </si>
  <si>
    <t>OP63_guarding.png</t>
  </si>
  <si>
    <t>OP63_gaining.png</t>
  </si>
  <si>
    <t>OP63_damaged.png</t>
  </si>
  <si>
    <t>OP63_defeated.png</t>
  </si>
  <si>
    <t>OP64_neutral.png</t>
  </si>
  <si>
    <t>OP64_attacking.png</t>
  </si>
  <si>
    <t>OP64_guarding.png</t>
  </si>
  <si>
    <t>OP64_gaining.png</t>
  </si>
  <si>
    <t>OP64_damaged.png</t>
  </si>
  <si>
    <t>OP64_defeated.png</t>
  </si>
  <si>
    <t>OP65_neutral.png</t>
  </si>
  <si>
    <t>OP65_attacking.png</t>
  </si>
  <si>
    <t>OP65_guarding.png</t>
  </si>
  <si>
    <t>OP65_gaining.png</t>
  </si>
  <si>
    <t>OP65_damaged.png</t>
  </si>
  <si>
    <t>OP65_defeated.png</t>
  </si>
  <si>
    <t>OP66_neutral.png</t>
  </si>
  <si>
    <t>OP66_attacking.png</t>
  </si>
  <si>
    <t>OP66_guarding.png</t>
  </si>
  <si>
    <t>OP66_gaining.png</t>
  </si>
  <si>
    <t>OP66_damaged.png</t>
  </si>
  <si>
    <t>OP66_defeated.png</t>
  </si>
  <si>
    <t>OP67_neutral.png</t>
  </si>
  <si>
    <t>OP67_attacking.png</t>
  </si>
  <si>
    <t>OP67_guarding.png</t>
  </si>
  <si>
    <t>OP67_gaining.png</t>
  </si>
  <si>
    <t>OP67_damaged.png</t>
  </si>
  <si>
    <t>OP67_defeated.png</t>
  </si>
  <si>
    <t>OP68_neutral.png</t>
  </si>
  <si>
    <t>OP68_attacking.png</t>
  </si>
  <si>
    <t>OP68_guarding.png</t>
  </si>
  <si>
    <t>OP68_gaining.png</t>
  </si>
  <si>
    <t>OP68_damaged.png</t>
  </si>
  <si>
    <t>OP68_defeated.png</t>
  </si>
  <si>
    <t>OP69_neutral.png</t>
  </si>
  <si>
    <t>OP69_attacking.png</t>
  </si>
  <si>
    <t>OP69_guarding.png</t>
  </si>
  <si>
    <t>OP69_gaining.png</t>
  </si>
  <si>
    <t>OP69_damaged.png</t>
  </si>
  <si>
    <t>OP69_defeated.png</t>
  </si>
  <si>
    <t>OP70_neutral.png</t>
  </si>
  <si>
    <t>OP70_attacking.png</t>
  </si>
  <si>
    <t>OP70_guarding.png</t>
  </si>
  <si>
    <t>OP70_gaining.png</t>
  </si>
  <si>
    <t>OP70_damaged.png</t>
  </si>
  <si>
    <t>OP70_defeated.png</t>
  </si>
  <si>
    <t>OP71_neutral.png</t>
  </si>
  <si>
    <t>OP71_attacking.png</t>
  </si>
  <si>
    <t>OP71_guarding.png</t>
  </si>
  <si>
    <t>OP71_gaining.png</t>
  </si>
  <si>
    <t>OP71_damaged.png</t>
  </si>
  <si>
    <t>OP71_defeated.png</t>
  </si>
  <si>
    <t>OP72_neutral.png</t>
  </si>
  <si>
    <t>OP72_attacking.png</t>
  </si>
  <si>
    <t>OP72_guarding.png</t>
  </si>
  <si>
    <t>OP72_gaining.png</t>
  </si>
  <si>
    <t>OP72_damaged.png</t>
  </si>
  <si>
    <t>OP72_defeated.png</t>
  </si>
  <si>
    <t>OP73_neutral.png</t>
  </si>
  <si>
    <t>OP73_attacking.png</t>
  </si>
  <si>
    <t>OP73_guarding.png</t>
  </si>
  <si>
    <t>OP73_gaining.png</t>
  </si>
  <si>
    <t>OP73_damaged.png</t>
  </si>
  <si>
    <t>OP73_defeated.png</t>
  </si>
  <si>
    <t>OP74_neutral.png</t>
  </si>
  <si>
    <t>OP74_attacking.png</t>
  </si>
  <si>
    <t>OP74_guarding.png</t>
  </si>
  <si>
    <t>OP74_gaining.png</t>
  </si>
  <si>
    <t>OP74_damaged.png</t>
  </si>
  <si>
    <t>OP74_defeated.png</t>
  </si>
  <si>
    <t>OP75_neutral.png</t>
  </si>
  <si>
    <t>OP75_attacking.png</t>
  </si>
  <si>
    <t>OP75_guarding.png</t>
  </si>
  <si>
    <t>OP75_gaining.png</t>
  </si>
  <si>
    <t>OP75_damaged.png</t>
  </si>
  <si>
    <t>OP75_defeated.png</t>
  </si>
  <si>
    <t>OP76_neutral.png</t>
  </si>
  <si>
    <t>OP76_attacking.png</t>
  </si>
  <si>
    <t>OP76_guarding.png</t>
  </si>
  <si>
    <t>OP76_gaining.png</t>
  </si>
  <si>
    <t>OP76_damaged.png</t>
  </si>
  <si>
    <t>OP76_defeated.png</t>
  </si>
  <si>
    <t>OP77_neutral.png</t>
  </si>
  <si>
    <t>OP77_attacking.png</t>
  </si>
  <si>
    <t>OP77_guarding.png</t>
  </si>
  <si>
    <t>OP77_gaining.png</t>
  </si>
  <si>
    <t>OP77_damaged.png</t>
  </si>
  <si>
    <t>OP77_defeated.png</t>
  </si>
  <si>
    <t>OP78_neutral.png</t>
  </si>
  <si>
    <t>OP78_attacking.png</t>
  </si>
  <si>
    <t>OP78_guarding.png</t>
  </si>
  <si>
    <t>OP78_gaining.png</t>
  </si>
  <si>
    <t>OP78_damaged.png</t>
  </si>
  <si>
    <t>OP78_defeated.png</t>
  </si>
  <si>
    <t>OP79_neutral.png</t>
  </si>
  <si>
    <t>OP79_attacking.png</t>
  </si>
  <si>
    <t>OP79_guarding.png</t>
  </si>
  <si>
    <t>OP79_gaining.png</t>
  </si>
  <si>
    <t>OP79_damaged.png</t>
  </si>
  <si>
    <t>OP79_defeated.png</t>
  </si>
  <si>
    <t>OP80_neutral.png</t>
  </si>
  <si>
    <t>OP80_attacking.png</t>
  </si>
  <si>
    <t>OP80_guarding.png</t>
  </si>
  <si>
    <t>OP80_gaining.png</t>
  </si>
  <si>
    <t>OP80_damaged.png</t>
  </si>
  <si>
    <t>OP80_defeated.png</t>
  </si>
  <si>
    <t>OP81_neutral.png</t>
  </si>
  <si>
    <t>OP81_attacking.png</t>
  </si>
  <si>
    <t>OP81_guarding.png</t>
  </si>
  <si>
    <t>OP81_gaining.png</t>
  </si>
  <si>
    <t>OP81_damaged.png</t>
  </si>
  <si>
    <t>OP81_defeated.png</t>
  </si>
  <si>
    <t>Tama Tsujikonou</t>
  </si>
  <si>
    <t>OP82_neutral.png</t>
  </si>
  <si>
    <t>OP82_attacking.png</t>
  </si>
  <si>
    <t>OP82_guarding.png</t>
  </si>
  <si>
    <t>OP82_gaining.png</t>
  </si>
  <si>
    <t>OP82_damaged.png</t>
  </si>
  <si>
    <t>OP82_defeated.png</t>
  </si>
  <si>
    <t>Teinei Macmillan</t>
  </si>
  <si>
    <t>OP83_neutral.png</t>
  </si>
  <si>
    <t>OP83_attacking.png</t>
  </si>
  <si>
    <t>OP83_guarding.png</t>
  </si>
  <si>
    <t>OP83_gaining.png</t>
  </si>
  <si>
    <t>OP83_damaged.png</t>
  </si>
  <si>
    <t>OP83_defeated.png</t>
  </si>
  <si>
    <t>OP84_neutral.png</t>
  </si>
  <si>
    <t>OP84_attacking.png</t>
  </si>
  <si>
    <t>OP84_guarding.png</t>
  </si>
  <si>
    <t>OP84_gaining.png</t>
  </si>
  <si>
    <t>OP84_damaged.png</t>
  </si>
  <si>
    <t>OP84_defeated.png</t>
  </si>
  <si>
    <t>OP85_neutral.png</t>
  </si>
  <si>
    <t>OP85_attacking.png</t>
  </si>
  <si>
    <t>OP85_guarding.png</t>
  </si>
  <si>
    <t>OP85_gaining.png</t>
  </si>
  <si>
    <t>OP85_damaged.png</t>
  </si>
  <si>
    <t>OP85_defeated.png</t>
  </si>
  <si>
    <t>OP86_neutral.png</t>
  </si>
  <si>
    <t>OP86_attacking.png</t>
  </si>
  <si>
    <t>OP86_guarding.png</t>
  </si>
  <si>
    <t>OP86_gaining.png</t>
  </si>
  <si>
    <t>OP86_damaged.png</t>
  </si>
  <si>
    <t>OP86_defeated.png</t>
  </si>
  <si>
    <t>OP87_neutral.png</t>
  </si>
  <si>
    <t>OP87_attacking.png</t>
  </si>
  <si>
    <t>OP87_guarding.png</t>
  </si>
  <si>
    <t>OP87_gaining.png</t>
  </si>
  <si>
    <t>OP87_damaged.png</t>
  </si>
  <si>
    <t>OP87_defeated.png</t>
  </si>
  <si>
    <t>OP88_neutral.png</t>
  </si>
  <si>
    <t>OP88_attacking.png</t>
  </si>
  <si>
    <t>OP88_guarding.png</t>
  </si>
  <si>
    <t>OP88_gaining.png</t>
  </si>
  <si>
    <t>OP88_damaged.png</t>
  </si>
  <si>
    <t>OP88_defeated.png</t>
  </si>
  <si>
    <t>OP89_neutral.png</t>
  </si>
  <si>
    <t>OP89_attacking.png</t>
  </si>
  <si>
    <t>OP89_guarding.png</t>
  </si>
  <si>
    <t>OP89_gaining.png</t>
  </si>
  <si>
    <t>OP89_damaged.png</t>
  </si>
  <si>
    <t>OP89_defeated.png</t>
  </si>
  <si>
    <t>OP90_neutral.png</t>
  </si>
  <si>
    <t>OP90_attacking.png</t>
  </si>
  <si>
    <t>OP90_guarding.png</t>
  </si>
  <si>
    <t>OP90_gaining.png</t>
  </si>
  <si>
    <t>OP90_damaged.png</t>
  </si>
  <si>
    <t>OP90_defeated.png</t>
  </si>
  <si>
    <t>OP91_neutral.png</t>
  </si>
  <si>
    <t>OP91_attacking.png</t>
  </si>
  <si>
    <t>OP91_guarding.png</t>
  </si>
  <si>
    <t>OP91_gaining.png</t>
  </si>
  <si>
    <t>OP91_damaged.png</t>
  </si>
  <si>
    <t>OP91_defeated.png</t>
  </si>
  <si>
    <t>OP92_neutral.png</t>
  </si>
  <si>
    <t>OP92_attacking.png</t>
  </si>
  <si>
    <t>OP92_guarding.png</t>
  </si>
  <si>
    <t>OP92_gaining.png</t>
  </si>
  <si>
    <t>OP92_damaged.png</t>
  </si>
  <si>
    <t>OP92_defeated.png</t>
  </si>
  <si>
    <t>OP93_neutral.png</t>
  </si>
  <si>
    <t>OP93_attacking.png</t>
  </si>
  <si>
    <t>OP93_guarding.png</t>
  </si>
  <si>
    <t>OP93_gaining.png</t>
  </si>
  <si>
    <t>OP93_damaged.png</t>
  </si>
  <si>
    <t>OP93_defeated.png</t>
  </si>
  <si>
    <t>OP94_neutral.png</t>
  </si>
  <si>
    <t>OP94_attacking.png</t>
  </si>
  <si>
    <t>OP94_guarding.png</t>
  </si>
  <si>
    <t>OP94_gaining.png</t>
  </si>
  <si>
    <t>OP94_damaged.png</t>
  </si>
  <si>
    <t>OP94_defeated.png</t>
  </si>
  <si>
    <t>OP95_neutral.png</t>
  </si>
  <si>
    <t>OP95_attacking.png</t>
  </si>
  <si>
    <t>OP95_guarding.png</t>
  </si>
  <si>
    <t>OP95_gaining.png</t>
  </si>
  <si>
    <t>OP95_damaged.png</t>
  </si>
  <si>
    <t>OP95_defeated.png</t>
  </si>
  <si>
    <t>OP96_neutral.png</t>
  </si>
  <si>
    <t>OP96_attacking.png</t>
  </si>
  <si>
    <t>OP96_guarding.png</t>
  </si>
  <si>
    <t>OP96_gaining.png</t>
  </si>
  <si>
    <t>OP96_damaged.png</t>
  </si>
  <si>
    <t>OP96_defeated.png</t>
  </si>
  <si>
    <t>OP97_neutral.png</t>
  </si>
  <si>
    <t>OP97_attacking.png</t>
  </si>
  <si>
    <t>OP97_guarding.png</t>
  </si>
  <si>
    <t>OP97_gaining.png</t>
  </si>
  <si>
    <t>OP97_damaged.png</t>
  </si>
  <si>
    <t>OP97_defeated.png</t>
  </si>
  <si>
    <t>OP98_neutral.png</t>
  </si>
  <si>
    <t>OP98_attacking.png</t>
  </si>
  <si>
    <t>OP98_guarding.png</t>
  </si>
  <si>
    <t>OP98_gaining.png</t>
  </si>
  <si>
    <t>OP98_damaged.png</t>
  </si>
  <si>
    <t>OP98_defeated.png</t>
  </si>
  <si>
    <t>OP99_neutral.png</t>
  </si>
  <si>
    <t>OP99_attacking.png</t>
  </si>
  <si>
    <t>OP99_guarding.png</t>
  </si>
  <si>
    <t>OP99_gaining.png</t>
  </si>
  <si>
    <t>OP99_damaged.png</t>
  </si>
  <si>
    <t>OP99_defeated.png</t>
  </si>
  <si>
    <t>JR_A</t>
  </si>
  <si>
    <t>Reporter</t>
  </si>
  <si>
    <t>Reporter A</t>
  </si>
  <si>
    <t>JR_A_neutral.png</t>
  </si>
  <si>
    <t>{JOURNALIST_ID}_{expression}.png</t>
  </si>
  <si>
    <t>assets/characters/journalists/</t>
  </si>
  <si>
    <t>The reporter asking questions in a press conference or media ambush (OpponentPresenter._show_journalist).</t>
  </si>
  <si>
    <t>Only expression the game asks for today — a reporter asking a question doesn't emote.</t>
  </si>
  <si>
    <t>JR_B</t>
  </si>
  <si>
    <t>Reporter B</t>
  </si>
  <si>
    <t>JR_B_neutral.png</t>
  </si>
  <si>
    <t>JR_C</t>
  </si>
  <si>
    <t>Reporter C</t>
  </si>
  <si>
    <t>JR_C_neutral.png</t>
  </si>
  <si>
    <t>JR_D</t>
  </si>
  <si>
    <t>Reporter D</t>
  </si>
  <si>
    <t>JR_D_neutral.png</t>
  </si>
  <si>
    <t>JR_E</t>
  </si>
  <si>
    <t>Reporter E</t>
  </si>
  <si>
    <t>JR_E_neutral.png</t>
  </si>
  <si>
    <t>Visitor</t>
  </si>
  <si>
    <t>VI01_neutral.png</t>
  </si>
  <si>
    <t>{VISITOR_ID}_{expression}.png</t>
  </si>
  <si>
    <t>assets/characters/visitors/</t>
  </si>
  <si>
    <t>The visitor's own face in Office Hours (VisitorPresenter), reacting to whether your answer was right.</t>
  </si>
  <si>
    <t>Shown while the visitor is waiting on an answer.</t>
  </si>
  <si>
    <t>VI01_gaining.png</t>
  </si>
  <si>
    <t>Shown after a correct answer.</t>
  </si>
  <si>
    <t>VI01_damaged.png</t>
  </si>
  <si>
    <t>Shown after a wrong answer.</t>
  </si>
  <si>
    <t>VI02_neutral.png</t>
  </si>
  <si>
    <t>VI02_gaining.png</t>
  </si>
  <si>
    <t>VI02_damaged.png</t>
  </si>
  <si>
    <t>VI03_neutral.png</t>
  </si>
  <si>
    <t>VI03_gaining.png</t>
  </si>
  <si>
    <t>VI03_damaged.png</t>
  </si>
  <si>
    <t>SF01–SF21</t>
  </si>
  <si>
    <t>Staff (reserved)</t>
  </si>
  <si>
    <t>21 staff candidates</t>
  </si>
  <si>
    <t>{STAFF_ID}_{expression}.png (once wired)</t>
  </si>
  <si>
    <t>{STAFF_ID}_{expression}.png</t>
  </si>
  <si>
    <t>assets/characters/staff/</t>
  </si>
  <si>
    <t>Reserved for Staff hiring — the folder and naming convention are ready, the same five expressions as any other character, but no screen shows a Staff portrait yet (the hiring panel in Office Management is text-only today).</t>
  </si>
  <si>
    <t>Not currently needed — listed so the slot isn't forgotten once hiring gets a face.</t>
  </si>
  <si>
    <t>Card art</t>
  </si>
  <si>
    <t>C02.png</t>
  </si>
  <si>
    <t>{CARD_ID}.png</t>
  </si>
  <si>
    <t>assets/cards/art/</t>
  </si>
  <si>
    <t>The picture in a card's window — the hand view and the zoomed-open view both crop the same file to their own frame's window.</t>
  </si>
  <si>
    <t>1024 x 768 px</t>
  </si>
  <si>
    <t>C05.png</t>
  </si>
  <si>
    <t>C09.png</t>
  </si>
  <si>
    <t>C14.png</t>
  </si>
  <si>
    <t>C19.png</t>
  </si>
  <si>
    <t>C23.png</t>
  </si>
  <si>
    <t>C07.png</t>
  </si>
  <si>
    <t>C17.png</t>
  </si>
  <si>
    <t>C22.png</t>
  </si>
  <si>
    <t>C26.png</t>
  </si>
  <si>
    <t>C28.png</t>
  </si>
  <si>
    <t>C30.png</t>
  </si>
  <si>
    <t>C33.png</t>
  </si>
  <si>
    <t>C38.png</t>
  </si>
  <si>
    <t>C43.png</t>
  </si>
  <si>
    <t>C01.png</t>
  </si>
  <si>
    <t>C03.png</t>
  </si>
  <si>
    <t>C06.png</t>
  </si>
  <si>
    <t>C10.png</t>
  </si>
  <si>
    <t>C11.png</t>
  </si>
  <si>
    <t>C12.png</t>
  </si>
  <si>
    <t>C13.png</t>
  </si>
  <si>
    <t>C15.png</t>
  </si>
  <si>
    <t>C18.png</t>
  </si>
  <si>
    <t>C20.png</t>
  </si>
  <si>
    <t>C21.png</t>
  </si>
  <si>
    <t>C24.png</t>
  </si>
  <si>
    <t>C25.png</t>
  </si>
  <si>
    <t>C27.png</t>
  </si>
  <si>
    <t>C31.png</t>
  </si>
  <si>
    <t>C32.png</t>
  </si>
  <si>
    <t>C34.png</t>
  </si>
  <si>
    <t>C35.png</t>
  </si>
  <si>
    <t>C36.png</t>
  </si>
  <si>
    <t>C40.png</t>
  </si>
  <si>
    <t>C42.png</t>
  </si>
  <si>
    <t>C45.png</t>
  </si>
  <si>
    <t>C46.png</t>
  </si>
  <si>
    <t>C47.png</t>
  </si>
  <si>
    <t>C48.png</t>
  </si>
  <si>
    <t>C50.png</t>
  </si>
  <si>
    <t>C51.png</t>
  </si>
  <si>
    <t>C52.png</t>
  </si>
  <si>
    <t>C54.png</t>
  </si>
  <si>
    <t>C04.png</t>
  </si>
  <si>
    <t>C08.png</t>
  </si>
  <si>
    <t>C16.png</t>
  </si>
  <si>
    <t>C29.png</t>
  </si>
  <si>
    <t>C37.png</t>
  </si>
  <si>
    <t>C39.png</t>
  </si>
  <si>
    <t>C41.png</t>
  </si>
  <si>
    <t>C44.png</t>
  </si>
  <si>
    <t>C49.png</t>
  </si>
  <si>
    <t>C53.png</t>
  </si>
  <si>
    <t>FRAME_EARNEST</t>
  </si>
  <si>
    <t>Card frame (front)</t>
  </si>
  <si>
    <t>Earnest — sumo template</t>
  </si>
  <si>
    <t>front_sumo.png</t>
  </si>
  <si>
    <t>front_{template}.png (frame_front_shoji.png for Data Driven)</t>
  </si>
  <si>
    <t>assets/cards/</t>
  </si>
  <si>
    <t>The card's furniture (cost disc, name bar, art window, text box) for the hand view — one per suit, already drawn (CardView.gd).</t>
  </si>
  <si>
    <t>1429 x 2000 px (2:3)</t>
  </si>
  <si>
    <t>FRAME_EARNEST_BACK</t>
  </si>
  <si>
    <t>Card frame (zoom)</t>
  </si>
  <si>
    <t>back_sumo.png</t>
  </si>
  <si>
    <t>back_{template}.png (frame_back_shoji.png for Data Driven)</t>
  </si>
  <si>
    <t>The same furniture for the zoomed-open card view — one per suit, already drawn (CardBackView.gd).</t>
  </si>
  <si>
    <t>FRAME_EMOTIONAL</t>
  </si>
  <si>
    <t>Emotional — sakura template</t>
  </si>
  <si>
    <t>front_sakura.png</t>
  </si>
  <si>
    <t>FRAME_EMOTIONAL_BACK</t>
  </si>
  <si>
    <t>back_sakura.png</t>
  </si>
  <si>
    <t>FRAME_APPEAL</t>
  </si>
  <si>
    <t>Appeal — ukiyoe template</t>
  </si>
  <si>
    <t>front_ukiyoe.png</t>
  </si>
  <si>
    <t>FRAME_APPEAL_BACK</t>
  </si>
  <si>
    <t>back_ukiyoe.png</t>
  </si>
  <si>
    <t>FRAME_DATA_DRIVEN</t>
  </si>
  <si>
    <t>Data Driven — shoji template</t>
  </si>
  <si>
    <t>frame_front_shoji.png</t>
  </si>
  <si>
    <t>FRAME_DATA_DRIVEN_BACK</t>
  </si>
  <si>
    <t>frame_back_shoji.png</t>
  </si>
  <si>
    <t>FRAME_DIVISIVE</t>
  </si>
  <si>
    <t>Divisive — castle template</t>
  </si>
  <si>
    <t>front_castle.png</t>
  </si>
  <si>
    <t>FRAME_DIVISIVE_BACK</t>
  </si>
  <si>
    <t>back_castle.png</t>
  </si>
  <si>
    <t>FRAME_DUPLICITOUS</t>
  </si>
  <si>
    <t>Duplicitous — ninja template</t>
  </si>
  <si>
    <t>front_ninja.png</t>
  </si>
  <si>
    <t>FRAME_DUPLICITOUS_BACK</t>
  </si>
  <si>
    <t>back_ninja.png</t>
  </si>
  <si>
    <t>CARD_PLACEHOLDER</t>
  </si>
  <si>
    <t>Card art (shared fallback)</t>
  </si>
  <si>
    <t>Undrawn cards</t>
  </si>
  <si>
    <t>card_temporary_image.png</t>
  </si>
  <si>
    <t>card_temporary_image.png (fixed name)</t>
  </si>
  <si>
    <t>Shown by every card with no art of its own yet, so a hand looks like a set rather than a row of mismatched blanks (CardView.PLACEHOLDER_CARD_ART).</t>
  </si>
  <si>
    <t>OFFICE</t>
  </si>
  <si>
    <t>Background</t>
  </si>
  <si>
    <t>OFFICE.png</t>
  </si>
  <si>
    <t>{STAGE_ID}.png, or OFFICE.png for the Office</t>
  </si>
  <si>
    <t>assets/backgrounds/</t>
  </si>
  <si>
    <t>The full-screen backdrop behind everything else on the room's own screen.</t>
  </si>
  <si>
    <t>1080 x 2340 px (portrait, matches the game's own canvas)</t>
  </si>
  <si>
    <t>TITLE</t>
  </si>
  <si>
    <t>Intro (title) screen</t>
  </si>
  <si>
    <t>TITLE.png</t>
  </si>
  <si>
    <t>{STAGE_ID}.png, or TITLE.png for the Intro screen</t>
  </si>
  <si>
    <t>A generated template square stands in today (2026-09-26) — illustrative only, not real art; square art gets cropped hard on a portrait screen, so draw the real one at the portrait size above.</t>
  </si>
  <si>
    <t>ST01.png</t>
  </si>
  <si>
    <t>ST02.png</t>
  </si>
  <si>
    <t>ST03.png</t>
  </si>
  <si>
    <t>ST04.png</t>
  </si>
  <si>
    <t>ST05.png</t>
  </si>
  <si>
    <t>ST06.png</t>
  </si>
  <si>
    <t>ST07.png</t>
  </si>
  <si>
    <t>ST08.png</t>
  </si>
  <si>
    <t>ST09.png</t>
  </si>
  <si>
    <t>ST10.png</t>
  </si>
  <si>
    <t>ST11.png</t>
  </si>
  <si>
    <t>ST12.png</t>
  </si>
  <si>
    <t>ST13.png</t>
  </si>
  <si>
    <t>ST14.png</t>
  </si>
  <si>
    <t>ST15.png</t>
  </si>
  <si>
    <t>ST16.png</t>
  </si>
  <si>
    <t>ST17.png</t>
  </si>
  <si>
    <t>ST18.png</t>
  </si>
  <si>
    <t>ST19.png</t>
  </si>
  <si>
    <t>ST20.png</t>
  </si>
  <si>
    <t>ST21.png</t>
  </si>
  <si>
    <t>Organisation icon</t>
  </si>
  <si>
    <t>BO01.png</t>
  </si>
  <si>
    <t>{BOOSTER_ID}.png</t>
  </si>
  <si>
    <t>assets/icons/</t>
  </si>
  <si>
    <t>The organisation's icon in the Office's Organisations panel and anywhere its standing is shown.</t>
  </si>
  <si>
    <t>256 x 256 px</t>
  </si>
  <si>
    <t>BO02.png</t>
  </si>
  <si>
    <t>BO03.png</t>
  </si>
  <si>
    <t>BO04.png</t>
  </si>
  <si>
    <t>BO05.png</t>
  </si>
  <si>
    <t>BO06.png</t>
  </si>
  <si>
    <t>BO07.png</t>
  </si>
  <si>
    <t>BO08.png</t>
  </si>
  <si>
    <t>BO09.png</t>
  </si>
  <si>
    <t>BO10.png</t>
  </si>
  <si>
    <t>Students</t>
  </si>
  <si>
    <t>BO11.png</t>
  </si>
  <si>
    <t>Families</t>
  </si>
  <si>
    <t>BO12.png</t>
  </si>
  <si>
    <t>Artisans</t>
  </si>
  <si>
    <t>BO13.png</t>
  </si>
  <si>
    <t>Commuters</t>
  </si>
  <si>
    <t>BO14.png</t>
  </si>
  <si>
    <t>Traditionalists</t>
  </si>
  <si>
    <t>BO15.png</t>
  </si>
  <si>
    <t>Modernists</t>
  </si>
  <si>
    <t>BO16.png</t>
  </si>
  <si>
    <t>Item icon</t>
  </si>
  <si>
    <t>policy_research.png</t>
  </si>
  <si>
    <t>{Shop tab's Icon column}.png</t>
  </si>
  <si>
    <t>The item's icon in Supplies and the Inventory grid (InventoryPanel/ArtLoader.item_icon).</t>
  </si>
  <si>
    <t>press_engagement.png</t>
  </si>
  <si>
    <t>district_engagement.png</t>
  </si>
  <si>
    <t>coffee.png</t>
  </si>
  <si>
    <t>tea.png</t>
  </si>
  <si>
    <t>paperwork_automation.png</t>
  </si>
  <si>
    <t>wristwatch.png</t>
  </si>
  <si>
    <t>meditation.png</t>
  </si>
  <si>
    <t>blue_profile.png</t>
  </si>
  <si>
    <t>red_profile.png</t>
  </si>
  <si>
    <t>blue_background.png</t>
  </si>
  <si>
    <t>red_background.png</t>
  </si>
  <si>
    <t>unlock_level_t1.png</t>
  </si>
  <si>
    <t>unlock_level_t2.png</t>
  </si>
  <si>
    <t>unlock_card_t1.png</t>
  </si>
  <si>
    <t>unlock_card_t2.png</t>
  </si>
  <si>
    <t>unlock_card_t3.png</t>
  </si>
  <si>
    <t>staff_tier.png</t>
  </si>
  <si>
    <t>funds_cap.png</t>
  </si>
  <si>
    <t>buff_draw.png</t>
  </si>
  <si>
    <t>buff_energy.png</t>
  </si>
  <si>
    <t>buff_guard.png</t>
  </si>
  <si>
    <t>buff_gaffe_cap.png</t>
  </si>
  <si>
    <t>buff_turn.png</t>
  </si>
  <si>
    <t>booster_dinner.png</t>
  </si>
  <si>
    <t>walking_tour.png</t>
  </si>
  <si>
    <t>buy_card_t1.png</t>
  </si>
  <si>
    <t>buy_card_t2.png</t>
  </si>
  <si>
    <t>buy_card_t3.png</t>
  </si>
  <si>
    <t>Party ID</t>
  </si>
  <si>
    <t>Party Name</t>
  </si>
  <si>
    <t>R</t>
  </si>
  <si>
    <t>G</t>
  </si>
  <si>
    <t>B</t>
  </si>
  <si>
    <t>Leader Opp ID</t>
  </si>
  <si>
    <t>PT01</t>
  </si>
  <si>
    <t>PT02</t>
  </si>
  <si>
    <t>PT03</t>
  </si>
  <si>
    <t>PT04</t>
  </si>
  <si>
    <t>PT05</t>
  </si>
  <si>
    <t>PT06</t>
  </si>
  <si>
    <t>Bill Name (EN)</t>
  </si>
  <si>
    <t>Bill Description (EN)</t>
  </si>
  <si>
    <t>Favorability Delta (Supportive)</t>
  </si>
  <si>
    <t>Favorability Delta (Opposed)</t>
  </si>
  <si>
    <t>Favorability Delta (Neutral)</t>
  </si>
  <si>
    <t>Votes Yes</t>
  </si>
  <si>
    <t>Votes No</t>
  </si>
  <si>
    <t>Votes Abstain</t>
  </si>
  <si>
    <t>Disposition</t>
  </si>
  <si>
    <t>Cue Text</t>
  </si>
  <si>
    <t>Ainu Heritage and Language Act</t>
  </si>
  <si>
    <t>Grants Ainu co-official status in willing municipalities, funds language schools, and opens a claims process for ancestral land.</t>
  </si>
  <si>
    <t>Agricultural Price Stabilization Act</t>
  </si>
  <si>
    <t>Guarantees direct payments to rice and dairy farmers whenever market prices fall below a national floor.</t>
  </si>
  <si>
    <t>Special Economic Zones Act</t>
  </si>
  <si>
    <t>Creates deregulated investment zones around Sapporo, Tomakomai, and Hakodate with streamlined permits and labor rules.</t>
  </si>
  <si>
    <t>Hokkaido Shinkansen Acceleration Act</t>
  </si>
  <si>
    <t>Moves up the Sapporo extension timeline and funds freight upgrades between Aomori and Hakodate.</t>
  </si>
  <si>
    <t>Chishima Coastal Defense Modernization Act</t>
  </si>
  <si>
    <t>Funds new patrol vessels and radar stations across the Chishima islands in response to Russian exercises offshore.</t>
  </si>
  <si>
    <t>Specified Skilled Worker Visa Act</t>
  </si>
  <si>
    <t>Creates five-year work visas for foreign workers in agriculture, fisheries, construction, and tourism.</t>
  </si>
  <si>
    <t>Grid Resilience and Renewable Energy Act</t>
  </si>
  <si>
    <t>After the Iburi earthquake blackout, funds grid interconnection and local wind and geothermal generation.</t>
  </si>
  <si>
    <t>Consumption Tax Rate Act</t>
  </si>
  <si>
    <t>Raises the consumption tax from 8% to 10%, with all new revenue earmarked for pensions and elder care.</t>
  </si>
  <si>
    <t>Prefectural Fiscal Devolution Act</t>
  </si>
  <si>
    <t>Transfers revenue-raising and budget authority to the Hokkaido, Aomori, and Chishima prefectural assemblies.</t>
  </si>
  <si>
    <t>Candidate Gender Parity Act</t>
  </si>
  <si>
    <t>Requires parties to make efforts to field equal numbers of men and women as candidates.</t>
  </si>
  <si>
    <t>Tsugaru Strait Joint Commission Act</t>
  </si>
  <si>
    <t>Establishes a standing Yezo–Japan commission on strait shipping, shared fisheries, and ferry customs.</t>
  </si>
  <si>
    <t>Judicial Appointments Commission Act</t>
  </si>
  <si>
    <t>Moves Supreme Court nominations from the Cabinet to an independent appointments commission.</t>
  </si>
  <si>
    <t>Temple and Shrine Heritage Act</t>
  </si>
  <si>
    <t>Provides tax relief and restoration grants for historic temples and shrines.</t>
  </si>
  <si>
    <t>Constituency Development Grants Act</t>
  </si>
  <si>
    <t>Gives each Assembly member an annual grant to direct toward projects in their own district.</t>
  </si>
  <si>
    <t>Digital Economy Promotion Act</t>
  </si>
  <si>
    <t>Offers tax incentives for data centers and cold-climate tech firms, and creates a national digital agency.</t>
  </si>
  <si>
    <t>Organized Crime Conspiracy Act</t>
  </si>
  <si>
    <t>Criminalizes the planning of serious organized crimes and expands police wiretap authority.</t>
  </si>
  <si>
    <t>Partnership Registration Act</t>
  </si>
  <si>
    <t>Creates a national registry granting same-sex couples partnership rights, extending Sapporo's local system nationwide.</t>
  </si>
  <si>
    <t>National Emergency Powers Act</t>
  </si>
  <si>
    <t>After the Iburi earthquake, lets the Prime Minister declare a 30-day national emergency and govern by decree.</t>
  </si>
  <si>
    <t>Yezo–US Security Consultation Agreement</t>
  </si>
  <si>
    <t>Commits Yezo to annual defense consultations and joint exercises with the United States, without permanent bases.</t>
  </si>
  <si>
    <t>Yezo–EU Economic Partnership Agreement</t>
  </si>
  <si>
    <t>Cuts tariffs with the European Union on dairy, wine, machinery, and autos.</t>
  </si>
  <si>
    <t>Strategic Land and Port Screening Act</t>
  </si>
  <si>
    <t>Requires government review of foreign purchases of land near ports, water sources, and defense sites.</t>
  </si>
  <si>
    <t>Inbound Tourism Visa Waiver Act</t>
  </si>
  <si>
    <t>Grants visa-free entry to tourists from Korea, Taiwan, and Southeast Asia.</t>
  </si>
  <si>
    <t>Chishima Joint Economic Activity Act</t>
  </si>
  <si>
    <t>Opens joint fishing and tourism zones with Russia on the disputed southern Chishima islands.</t>
  </si>
  <si>
    <t>Tomari Nuclear Restart Act</t>
  </si>
  <si>
    <t>Authorizes the restart of the Tomari nuclear plant, shut since 2011, to prevent another blackout.</t>
  </si>
  <si>
    <t>Integrated Resort Act</t>
  </si>
  <si>
    <t>Licenses a single integrated casino resort, with Tomakomai the leading candidate site.</t>
  </si>
  <si>
    <t>Civil Service Merit Act</t>
  </si>
  <si>
    <t>Requires competitive exams for all public-sector hiring and bans member referrals for government posts.</t>
  </si>
  <si>
    <t>Regional Minimum Wage Act</t>
  </si>
  <si>
    <t>Raises the minimum wage and sets a single rate across Hokkaido, Aomori, and Chishima.</t>
  </si>
  <si>
    <t>Independent Election Commission Act</t>
  </si>
  <si>
    <t>Creates a nonpartisan commission to draw districts and enforce campaign finance rules.</t>
  </si>
  <si>
    <t>Moral Education Curriculum Act</t>
  </si>
  <si>
    <t>Makes graded ethics classes compulsory in schools, covering filial duty, civic virtue, and national heritage.</t>
  </si>
  <si>
    <t>Foreign Resident Local Suffrage Act</t>
  </si>
  <si>
    <t>Lets long-term permanent residents vote in municipal elections.</t>
  </si>
  <si>
    <t>Party Name (reference only)</t>
  </si>
  <si>
    <t>Neutral</t>
  </si>
  <si>
    <t>Heritage matters, but this needs more thought.</t>
  </si>
  <si>
    <t>Supportive</t>
  </si>
  <si>
    <t>Our ancestors' tongue returns to its own land.</t>
  </si>
  <si>
    <t>Opposed</t>
  </si>
  <si>
    <t>Rural towns cannot fund another mandate.</t>
  </si>
  <si>
    <t>Our districts never asked for this.</t>
  </si>
  <si>
    <t>Good intentions, poorly drafted law.</t>
  </si>
  <si>
    <t>One Yezo, one people, one law.</t>
  </si>
  <si>
    <t>Those who feed us deserve stability.</t>
  </si>
  <si>
    <t>The land sustains us; we sustain it.</t>
  </si>
  <si>
    <t>Finally, the farmer comes first!</t>
  </si>
  <si>
    <t>We'll see what our growers say.</t>
  </si>
  <si>
    <t>Price floors only postpone the reckoning.</t>
  </si>
  <si>
    <t>Rural Yezo built this nation.</t>
  </si>
  <si>
    <t>Loosening rules invites exploitation.</t>
  </si>
  <si>
    <t>Sapporo profits, the countryside pays.</t>
  </si>
  <si>
    <t>Show us what the farm towns get.</t>
  </si>
  <si>
    <t>Undecided until our towns see details.</t>
  </si>
  <si>
    <t>Open the doors and let Yezo compete!</t>
  </si>
  <si>
    <t>Build factories, build jobs, build now.</t>
  </si>
  <si>
    <t>Rail over roads is the gentler path.</t>
  </si>
  <si>
    <t>Connect the north without leaving it behind.</t>
  </si>
  <si>
    <t>Every station stop is a lifeline.</t>
  </si>
  <si>
    <t>Hakodate has waited long enough.</t>
  </si>
  <si>
    <t>Infrastructure that actually pays for itself.</t>
  </si>
  <si>
    <t>Steel, concrete, and Yezo pride!</t>
  </si>
  <si>
    <t>Weapons invite the very danger they fear.</t>
  </si>
  <si>
    <t>Chishima needs harbors, not warships.</t>
  </si>
  <si>
    <t>Our fishermen deserve protection at sea.</t>
  </si>
  <si>
    <t>Reasonable, if the islands get the contracts.</t>
  </si>
  <si>
    <t>Security matters; so does the budget.</t>
  </si>
  <si>
    <t>Moscow must see we will not bend.</t>
  </si>
  <si>
    <t>Welcome them, but protect them first.</t>
  </si>
  <si>
    <t>Train our own youth before importing workers.</t>
  </si>
  <si>
    <t>Our harvests rot without more hands.</t>
  </si>
  <si>
    <t>Our hotels and boats need workers.</t>
  </si>
  <si>
    <t>A shrinking nation cannot close its doors.</t>
  </si>
  <si>
    <t>Yezo jobs belong to Yezo workers!</t>
  </si>
  <si>
    <t>Never again should Yezo go dark.</t>
  </si>
  <si>
    <t>Clean power, built by local hands.</t>
  </si>
  <si>
    <t>Farms can't milk cows by candlelight.</t>
  </si>
  <si>
    <t>Resilience first; our towns went dark.</t>
  </si>
  <si>
    <t>Let utilities compete, not ministries plan.</t>
  </si>
  <si>
    <t>Another blank check dressed as green policy.</t>
  </si>
  <si>
    <t>Caring for elders is a shared duty.</t>
  </si>
  <si>
    <t>Our aging villages need this care.</t>
  </si>
  <si>
    <t>Painful, but our pensioners come first.</t>
  </si>
  <si>
    <t>Fine, if elder care reaches every town.</t>
  </si>
  <si>
    <t>Reform spending first, then talk taxes.</t>
  </si>
  <si>
    <t>Hands off the shopkeeper's register!</t>
  </si>
  <si>
    <t>Local power, yes, but who guards fairness?</t>
  </si>
  <si>
    <t>Decisions belong where people actually live.</t>
  </si>
  <si>
    <t>Sapporo bureaucrats don't know our valleys.</t>
  </si>
  <si>
    <t>Our towns, our money, our choices.</t>
  </si>
  <si>
    <t>Three budgets means three times the waste.</t>
  </si>
  <si>
    <t>We'll wait to see who really gains.</t>
  </si>
  <si>
    <t>Wisdom has never belonged to one gender.</t>
  </si>
  <si>
    <t>Farm women have always carried half.</t>
  </si>
  <si>
    <t>Fair enough, as long as it's voluntary.</t>
  </si>
  <si>
    <t>Talent wasted is growth wasted.</t>
  </si>
  <si>
    <t>Parties choose candidates, not quotas.</t>
  </si>
  <si>
    <t>Good neighbors share their waters.</t>
  </si>
  <si>
    <t>Tokyo's hand reaches north again.</t>
  </si>
  <si>
    <t>Fine for Aomori; unclear for us.</t>
  </si>
  <si>
    <t>Ferries and fish, sensible enough.</t>
  </si>
  <si>
    <t>Cooperation, yes; creeping reunification, no.</t>
  </si>
  <si>
    <t>Closer to Japan, stronger together.</t>
  </si>
  <si>
    <t>Independence, yes, but accountable to whom?</t>
  </si>
  <si>
    <t>Unelected judges have rarely protected us.</t>
  </si>
  <si>
    <t>Courts shouldn't answer to the Cabinet.</t>
  </si>
  <si>
    <t>No party should own the courts.</t>
  </si>
  <si>
    <t>Rule of law is Yezo's best asset.</t>
  </si>
  <si>
    <t>Judges should answer to the people.</t>
  </si>
  <si>
    <t>These halls hold Yezo's soul.</t>
  </si>
  <si>
    <t>Sacred places deserve protection, all of them.</t>
  </si>
  <si>
    <t>Village temples anchor village life.</t>
  </si>
  <si>
    <t>Our temples are fine as they are.</t>
  </si>
  <si>
    <t>Heritage is worthy; tax breaks are debatable.</t>
  </si>
  <si>
    <t>Tradition, yes; subsidies, we'll see.</t>
  </si>
  <si>
    <t>Small grants reach where ministries don't.</t>
  </si>
  <si>
    <t>Money finally reaching the villages.</t>
  </si>
  <si>
    <t>Every district deserves its fair share.</t>
  </si>
  <si>
    <t>This is exactly why we're here!</t>
  </si>
  <si>
    <t>Awkward, but our districts will thank us.</t>
  </si>
  <si>
    <t>Better we spend it than Sapporo does.</t>
  </si>
  <si>
    <t>Progress, perhaps, but at whose cost?</t>
  </si>
  <si>
    <t>Servers don't need our land; farms do.</t>
  </si>
  <si>
    <t>Will any of this reach the valleys?</t>
  </si>
  <si>
    <t>Our districts see little in this.</t>
  </si>
  <si>
    <t>Yezo's future runs on cold air and code.</t>
  </si>
  <si>
    <t>Real jobs are in factories, not server farms.</t>
  </si>
  <si>
    <t>Punishing thoughts is not justice.</t>
  </si>
  <si>
    <t>Our coasts need protection from smuggling rings.</t>
  </si>
  <si>
    <t>This chills every kitchen-table conversation.</t>
  </si>
  <si>
    <t>Our constituents fear surveillance, not gangs.</t>
  </si>
  <si>
    <t>Liberty doesn't survive vague criminal laws.</t>
  </si>
  <si>
    <t>Criminals should fear Yezo, not the reverse.</t>
  </si>
  <si>
    <t>Compassion recognizes every loving household.</t>
  </si>
  <si>
    <t>Families are for communities to define.</t>
  </si>
  <si>
    <t>Neighbors are neighbors, whoever they love.</t>
  </si>
  <si>
    <t>Sapporo did this already; it works.</t>
  </si>
  <si>
    <t>The state should treat every citizen equally.</t>
  </si>
  <si>
    <t>Family means what it has always meant.</t>
  </si>
  <si>
    <t>Crisis is no excuse to silence the Assembly.</t>
  </si>
  <si>
    <t>Emergencies are always declared from Sapporo.</t>
  </si>
  <si>
    <t>Our towns handled the quake without decrees.</t>
  </si>
  <si>
    <t>No one person should hold that power.</t>
  </si>
  <si>
    <t>When the lights go out, someone must decide.</t>
  </si>
  <si>
    <t>A strong nation needs a strong hand.</t>
  </si>
  <si>
    <t>Alliances drag small nations into large wars.</t>
  </si>
  <si>
    <t>Foreign troops on our land? Never again.</t>
  </si>
  <si>
    <t>Show us what it means for farmers.</t>
  </si>
  <si>
    <t>Washington can wait for our districts' answer.</t>
  </si>
  <si>
    <t>Our freedom depends on reliable friends.</t>
  </si>
  <si>
    <t>Yezo defends itself; we'll hear the terms.</t>
  </si>
  <si>
    <t>Europe shares our values on climate.</t>
  </si>
  <si>
    <t>Cheap European cheese buries our dairies.</t>
  </si>
  <si>
    <t>Our dairy farmers need answers first.</t>
  </si>
  <si>
    <t>Our districts see little in Brussels.</t>
  </si>
  <si>
    <t>A continent of customers is waiting!</t>
  </si>
  <si>
    <t>Brussels writes rules; Yezo pays.</t>
  </si>
  <si>
    <t>Our watersheds are not for sale.</t>
  </si>
  <si>
    <t>Ancestral land must stay in local hands.</t>
  </si>
  <si>
    <t>Protect the farmland before it's gone.</t>
  </si>
  <si>
    <t>Our towns deserve a say on buyers.</t>
  </si>
  <si>
    <t>Scaring investors away helps no one.</t>
  </si>
  <si>
    <t>Yezo soil belongs to Yezo!</t>
  </si>
  <si>
    <t>Friendship across Asia begins with open doors.</t>
  </si>
  <si>
    <t>Tourists crowd our lands; profits flow elsewhere.</t>
  </si>
  <si>
    <t>Visitors fill farm stays and hot springs.</t>
  </si>
  <si>
    <t>Niseko and Hakodate will thank us.</t>
  </si>
  <si>
    <t>Fine idea; the details need work.</t>
  </si>
  <si>
    <t>Secure the borders before opening them.</t>
  </si>
  <si>
    <t>Moscow's hand is never offered freely.</t>
  </si>
  <si>
    <t>Island families finally reconnect across the water.</t>
  </si>
  <si>
    <t>Fishing rights first, then we'll talk.</t>
  </si>
  <si>
    <t>Chishima towns desperately need this trade.</t>
  </si>
  <si>
    <t>Investing under Russian law is reckless.</t>
  </si>
  <si>
    <t>Not one inch of Chishima for Moscow.</t>
  </si>
  <si>
    <t>The earth shook; do not tempt it.</t>
  </si>
  <si>
    <t>Our fishing grounds cannot risk a meltdown.</t>
  </si>
  <si>
    <t>Reliable power matters, but so do fields.</t>
  </si>
  <si>
    <t>Our towns are divided on Tomari.</t>
  </si>
  <si>
    <t>Industry cannot run on hope.</t>
  </si>
  <si>
    <t>Power the factories, power the nation!</t>
  </si>
  <si>
    <t>Jobs and tourists; Tomakomai needs both.</t>
  </si>
  <si>
    <t>A world-class resort puts Yezo on the map.</t>
  </si>
  <si>
    <t>Exams can't measure a caring heart.</t>
  </si>
  <si>
    <t>Tests favor Sapporo graduates, not our youth.</t>
  </si>
  <si>
    <t>Local knowledge outranks any exam score.</t>
  </si>
  <si>
    <t>This strips our towns of their voice!</t>
  </si>
  <si>
    <t>Right goal, clumsy and costly method.</t>
  </si>
  <si>
    <t>More bureaucrats grading bureaucrats. No.</t>
  </si>
  <si>
    <t>A day's work deserves a dignified wage.</t>
  </si>
  <si>
    <t>Aomori workers deserve Sapporo's wages.</t>
  </si>
  <si>
    <t>Good for workers, hard on small farms.</t>
  </si>
  <si>
    <t>Our shopkeepers and workers disagree.</t>
  </si>
  <si>
    <t>Price workers out, and jobs disappear.</t>
  </si>
  <si>
    <t>Small businesses will close their doors.</t>
  </si>
  <si>
    <t>Fair elections, yes; another agency, perhaps.</t>
  </si>
  <si>
    <t>Who draws the lines matters to us.</t>
  </si>
  <si>
    <t>Citizens should choose us, not maps.</t>
  </si>
  <si>
    <t>Our districts work fine as drawn.</t>
  </si>
  <si>
    <t>Worthy aim; show us the budget.</t>
  </si>
  <si>
    <t>Unelected referees for elected leaders? No.</t>
  </si>
  <si>
    <t>Children must learn kindness and reverence.</t>
  </si>
  <si>
    <t>Let our elders' teachings reach classrooms.</t>
  </si>
  <si>
    <t>Leave curriculum to our local boards.</t>
  </si>
  <si>
    <t>Pride and discipline, taught from childhood.</t>
  </si>
  <si>
    <t>Neighbors who pay in should have a voice.</t>
  </si>
  <si>
    <t>Our villages must weigh this carefully.</t>
  </si>
  <si>
    <t>Every resident of our towns deserves a voice.</t>
  </si>
  <si>
    <t>Only citizens decide Yezo's future!</t>
  </si>
  <si>
    <t>The Inaka needs to prioritize long-rooted residents.</t>
  </si>
  <si>
    <t>Bill Name</t>
  </si>
  <si>
    <t>Total</t>
  </si>
  <si>
    <t>Result (51 Yes)</t>
  </si>
  <si>
    <t>Yes Surplus (+) / Shortfall (−) vs 51</t>
  </si>
  <si>
    <t>Swing: 1 vote (51-Yes rule)</t>
  </si>
  <si>
    <t>Result (votes cast)</t>
  </si>
  <si>
    <t>Totals check</t>
  </si>
  <si>
    <t>Swing rules: 51-Yes rule flags Yes = 51 (one defection fails it) or Yes = 50 (one convert passes it). Votes-cast rule flags a pass with Yes−No ≤ 2 or a fail with No−Yes ≤ 1. 'Within 2' flags Yes between 49 and 52.</t>
  </si>
  <si>
    <t>Residency alone is not fully investing one's future here.</t>
  </si>
  <si>
    <t>This Prime Minister dictating ethics? Vote no.</t>
  </si>
  <si>
    <t>A common foundation to unite us all could work.</t>
  </si>
  <si>
    <t>One-Time (Yes/No)</t>
  </si>
  <si>
    <t>A Grand Bargain</t>
  </si>
  <si>
    <t>A Main Street Infrastructure Bill</t>
  </si>
  <si>
    <t>A Neighborhood Family Compact</t>
  </si>
  <si>
    <t>A Small Business Coalition</t>
  </si>
  <si>
    <t>A Metro Infrastructure Push</t>
  </si>
  <si>
    <t>BI01</t>
  </si>
  <si>
    <t>BI02</t>
  </si>
  <si>
    <t>BI03</t>
  </si>
  <si>
    <t>BI04</t>
  </si>
  <si>
    <t>BI05</t>
  </si>
  <si>
    <t>BI06</t>
  </si>
  <si>
    <t>BI07</t>
  </si>
  <si>
    <t>BI08</t>
  </si>
  <si>
    <t>BI09</t>
  </si>
  <si>
    <t>BI10</t>
  </si>
  <si>
    <t>Our communities decide that for themseBIes.</t>
  </si>
  <si>
    <t>BI11</t>
  </si>
  <si>
    <t>BI12</t>
  </si>
  <si>
    <t>BI13</t>
  </si>
  <si>
    <t>BI14</t>
  </si>
  <si>
    <t>BI15</t>
  </si>
  <si>
    <t>BI16</t>
  </si>
  <si>
    <t>BI17</t>
  </si>
  <si>
    <t>BI18</t>
  </si>
  <si>
    <t>BI19</t>
  </si>
  <si>
    <t>BI20</t>
  </si>
  <si>
    <t>BI21</t>
  </si>
  <si>
    <t>BI22</t>
  </si>
  <si>
    <t>BI23</t>
  </si>
  <si>
    <t>BI24</t>
  </si>
  <si>
    <t>BI25</t>
  </si>
  <si>
    <t>BI26</t>
  </si>
  <si>
    <t>BI27</t>
  </si>
  <si>
    <t>BI28</t>
  </si>
  <si>
    <t>BI29</t>
  </si>
  <si>
    <t>BI30</t>
  </si>
  <si>
    <t>LV31</t>
  </si>
  <si>
    <t>LV32</t>
  </si>
  <si>
    <t>LV33</t>
  </si>
  <si>
    <t>LV34</t>
  </si>
  <si>
    <t>LV35</t>
  </si>
  <si>
    <t>LV36</t>
  </si>
  <si>
    <t>LV37</t>
  </si>
  <si>
    <t>LV38</t>
  </si>
  <si>
    <t>LV39</t>
  </si>
  <si>
    <t>LV40</t>
  </si>
  <si>
    <t>LV41</t>
  </si>
  <si>
    <t>LV42</t>
  </si>
  <si>
    <t>LV43</t>
  </si>
  <si>
    <t>LV44</t>
  </si>
  <si>
    <t>LV45</t>
  </si>
  <si>
    <t>LV46</t>
  </si>
  <si>
    <t>LV47</t>
  </si>
  <si>
    <t>LV48</t>
  </si>
  <si>
    <t>LV49</t>
  </si>
  <si>
    <t>LV50</t>
  </si>
  <si>
    <t>LV51</t>
  </si>
  <si>
    <t>LV52</t>
  </si>
  <si>
    <t>LV53</t>
  </si>
  <si>
    <t>LV54</t>
  </si>
  <si>
    <t>LV55</t>
  </si>
  <si>
    <t>LV56</t>
  </si>
  <si>
    <t>LV57</t>
  </si>
  <si>
    <t>LV58</t>
  </si>
  <si>
    <t>LV59</t>
  </si>
  <si>
    <t>LV60</t>
  </si>
  <si>
    <t>Agricultural Supply Chain Act</t>
  </si>
  <si>
    <t>Bill ID</t>
  </si>
  <si>
    <t>Tomakomai may gain but the Inaka won't.</t>
  </si>
  <si>
    <t>We can take foreign cash and keep it here.</t>
  </si>
  <si>
    <t>Gambling addiction is a buffet on which suffering feeds.</t>
  </si>
  <si>
    <t>The Tomakomai proposal might work.</t>
  </si>
  <si>
    <t>Seats</t>
  </si>
  <si>
    <t>Starting Standing</t>
  </si>
  <si>
    <t>Vote influence: default threshold</t>
  </si>
  <si>
    <t>Vote swing: resistance default</t>
  </si>
  <si>
    <t>% of a party's own seats immune to the influence swing by default. A party's own Vote Resistance column (Parties tab) overrides this.</t>
  </si>
  <si>
    <t>Vote Resistance</t>
  </si>
  <si>
    <t>Influence Bonus (Reputation)</t>
  </si>
  <si>
    <t>Influence Bonus (Party support)</t>
  </si>
  <si>
    <t>Question: strong multiplier</t>
  </si>
  <si>
    <t>Question: weak multiplier</t>
  </si>
  <si>
    <t>ST19; ST04</t>
  </si>
  <si>
    <t>ST11; ST02; ST06</t>
  </si>
  <si>
    <t>ST10; ST18; ST02; ST06</t>
  </si>
  <si>
    <t>reward.if_lost</t>
  </si>
  <si>
    <t>Office — level briefing, per stage</t>
  </si>
  <si>
    <t>If you lose: {changes}</t>
  </si>
  <si>
    <t>changes</t>
  </si>
  <si>
    <t>The stage's own loss penalties, from its Loss Δ columns.</t>
  </si>
  <si>
    <t>outcome.reason.conference_short</t>
  </si>
  <si>
    <t>Battle — outcome panel</t>
  </si>
  <si>
    <t>{stage} closed on {count} {unit}, short of the {threshold} it needed.</t>
  </si>
  <si>
    <t>stage, count, unit, threshold</t>
  </si>
  <si>
    <t>Press conference: all questions answered, below its Win Threshold.</t>
  </si>
  <si>
    <t>outcome.reason.conference_reached</t>
  </si>
  <si>
    <t>{stage} closed on {count} {unit}, past the {threshold} it needed.</t>
  </si>
  <si>
    <t>Press conference: all questions answered, at or above its Win Threshold.</t>
  </si>
  <si>
    <t>office.rhetoric_training</t>
  </si>
  <si>
    <t>Office — management menu</t>
  </si>
  <si>
    <t>Rhetoric Training</t>
  </si>
  <si>
    <t>Where new cards come from.</t>
  </si>
  <si>
    <t>rhetoric.blurb</t>
  </si>
  <si>
    <t>Office — Rhetoric Training</t>
  </si>
  <si>
    <t>Book a session with a speaking coach. You are shown up to three cards, one at a time: pass on the first two if you like, but you leave having learned one of them.</t>
  </si>
  <si>
    <t>rhetoric.session</t>
  </si>
  <si>
    <t>Office — Rhetoric Training, one row</t>
  </si>
  <si>
    <t>Tier {tier} session  —  {price}</t>
  </si>
  <si>
    <t>tier, price</t>
  </si>
  <si>
    <t>rhetoric.see_card</t>
  </si>
  <si>
    <t>Office — Rhetoric Training, button</t>
  </si>
  <si>
    <t>See a card</t>
  </si>
  <si>
    <t>Shows a random card of that tier. Nothing is paid yet.</t>
  </si>
  <si>
    <t>rhetoric.offer_title</t>
  </si>
  <si>
    <t>Office — Rhetoric Training, card pop-up</t>
  </si>
  <si>
    <t>Your coach suggests</t>
  </si>
  <si>
    <t>rhetoric.learn</t>
  </si>
  <si>
    <t>Learn it ({price})</t>
  </si>
  <si>
    <t>price</t>
  </si>
  <si>
    <t>Pays and adds the card to your collection.</t>
  </si>
  <si>
    <t>rhetoric.pass</t>
  </si>
  <si>
    <t>Pass</t>
  </si>
  <si>
    <t>Closes without paying.</t>
  </si>
  <si>
    <t>rhetoric.counter</t>
  </si>
  <si>
    <t>{number}/{total}</t>
  </si>
  <si>
    <t>Which card of the draw this is. The total is rules.json card_training_looks.</t>
  </si>
  <si>
    <t>rhetoric.draw_in_progress</t>
  </si>
  <si>
    <t>Office — Rhetoric Training, refusal</t>
  </si>
  <si>
    <t>You already have a session in progress — finish that one first.</t>
  </si>
  <si>
    <t>Shown when 'See a card' is tapped on a different session while a draw is already open; only one draw can be in progress at a time.</t>
  </si>
  <si>
    <t>office.your_record</t>
  </si>
  <si>
    <t>Office — main screen, button + panel title</t>
  </si>
  <si>
    <t>Your Record</t>
  </si>
  <si>
    <t>The Office's new stats page: bills flipped by the Floor Vote influence swing, and level/tier clear counts.</t>
  </si>
  <si>
    <t>office.record_bills_heading</t>
  </si>
  <si>
    <t>Office — Your Record</t>
  </si>
  <si>
    <t>Bills you've flipped</t>
  </si>
  <si>
    <t>office.record_bills_empty</t>
  </si>
  <si>
    <t>None yet — a strong enough influence swing can flip a close vote.</t>
  </si>
  <si>
    <t>office.record_levels_heading</t>
  </si>
  <si>
    <t>Levels cleared</t>
  </si>
  <si>
    <t>office.record_level_line</t>
  </si>
  <si>
    <t>Office — Your Record, one row per cleared level</t>
  </si>
  <si>
    <t>{level} — cleared {count}×</t>
  </si>
  <si>
    <t>level, count</t>
  </si>
  <si>
    <t>office.record_levels_empty</t>
  </si>
  <si>
    <t>No levels cleared yet.</t>
  </si>
  <si>
    <t>office.record_tiers_heading</t>
  </si>
  <si>
    <t>Tiers cleared</t>
  </si>
  <si>
    <t>office.record_tier_line</t>
  </si>
  <si>
    <t>Office — Your Record, one row per tier</t>
  </si>
  <si>
    <t>Tier {tier}: {count} clears</t>
  </si>
  <si>
    <t>tier, count</t>
  </si>
  <si>
    <t>office.cosmetics</t>
  </si>
  <si>
    <t>Office — Cosmetics button + panel title</t>
  </si>
  <si>
    <t>Appearance and Music</t>
  </si>
  <si>
    <t>office.cosmetics_blurb</t>
  </si>
  <si>
    <t>Office — Cosmetics panel intro</t>
  </si>
  <si>
    <t>Purely decorative — an outfit, an office look, and music, all yours to mix and match.</t>
  </si>
  <si>
    <t>office.cosmetics_owned_heading</t>
  </si>
  <si>
    <t>Office — Cosmetics panel, owned section</t>
  </si>
  <si>
    <t>Equip</t>
  </si>
  <si>
    <t>office.cosmetics_slot_outfit</t>
  </si>
  <si>
    <t>Office — Cosmetics panel, slot heading</t>
  </si>
  <si>
    <t>Outfit</t>
  </si>
  <si>
    <t>office.cosmetics_slot_background</t>
  </si>
  <si>
    <t>Office Background</t>
  </si>
  <si>
    <t>office.cosmetics_slot_music</t>
  </si>
  <si>
    <t>Music</t>
  </si>
  <si>
    <t>office.cosmetics_default</t>
  </si>
  <si>
    <t>Office — Cosmetics panel, equip option (the base game look)</t>
  </si>
  <si>
    <t>Default</t>
  </si>
  <si>
    <t>office.cosmetics_active</t>
  </si>
  <si>
    <t>Office — Cosmetics panel, equip button when this is already active</t>
  </si>
  <si>
    <t>Equipped</t>
  </si>
  <si>
    <t>card.question_strong</t>
  </si>
  <si>
    <t>Card zoom — the drawn question's own effect on this card (2026-09-28)</t>
  </si>
  <si>
    <t>This question plays right into your hands.</t>
  </si>
  <si>
    <t>card.question_medium</t>
  </si>
  <si>
    <t>This question doesn't care how you answer it.</t>
  </si>
  <si>
    <t>card.question_weak</t>
  </si>
  <si>
    <t>This question works against you here.</t>
  </si>
  <si>
    <t>outcome.displeased</t>
  </si>
  <si>
    <t>Annoyed: {names}.</t>
  </si>
  <si>
    <t>Which organisations a weak answer annoyed.</t>
  </si>
  <si>
    <t>office.record_sanban_heading</t>
  </si>
  <si>
    <t>Office — Your Record panel, heading above the current Sanban values</t>
  </si>
  <si>
    <t>office.marketplace</t>
  </si>
  <si>
    <t>Office — Marketplace button + panel title (2026-09-28: inventory + Supplies shop together)</t>
  </si>
  <si>
    <t>Marketplace</t>
  </si>
  <si>
    <t>item.used_with_outcome</t>
  </si>
  <si>
    <t>Message after using an item whose grant landed on a random organisation or segment (Commission items, SH01-03)</t>
  </si>
  <si>
    <t>{name} used — {outcome}.</t>
  </si>
  <si>
    <t>name, outcome</t>
  </si>
  <si>
    <t>item.queued_with_outcome</t>
  </si>
  <si>
    <t>Message after using a Stage item in the Office whose grant also landed on a random organisation or segment</t>
  </si>
  <si>
    <t>{name} is ready for your next stage — {outcome}.</t>
  </si>
  <si>
    <t>item.queued_level_with_outcome</t>
  </si>
  <si>
    <t>Message after using a Level item in the Office whose grant also landed on a random organisation or segment</t>
  </si>
  <si>
    <t>{name} will last through your next level — {outcome}.</t>
  </si>
  <si>
    <t>outcome.crushed</t>
  </si>
  <si>
    <t>Argued out of the room: {names}.</t>
  </si>
  <si>
    <t>Which organisations had a member argued down to zero support this stage.</t>
  </si>
  <si>
    <t>ticker_id</t>
  </si>
  <si>
    <t>TK01</t>
  </si>
  <si>
    <t>always</t>
  </si>
  <si>
    <t>TK02</t>
  </si>
  <si>
    <t>TK03</t>
  </si>
  <si>
    <t>TK04</t>
  </si>
  <si>
    <t>30</t>
  </si>
  <si>
    <t>TK05</t>
  </si>
  <si>
    <t>&gt;</t>
  </si>
  <si>
    <t>TK06</t>
  </si>
  <si>
    <t>Enabled</t>
  </si>
  <si>
    <t>Threshold</t>
  </si>
  <si>
    <t>Outcome Direction</t>
  </si>
  <si>
    <t>Package ID</t>
  </si>
  <si>
    <t>Cost (XP)</t>
  </si>
  <si>
    <t>Cost (Yen)</t>
  </si>
  <si>
    <t>Outfit Variant</t>
  </si>
  <si>
    <t>Background Variant</t>
  </si>
  <si>
    <t>Music: Office Sound</t>
  </si>
  <si>
    <t>Music: Battle Sound</t>
  </si>
  <si>
    <t>Members of Parliament</t>
  </si>
  <si>
    <t>Hee-seop Han</t>
  </si>
  <si>
    <t>Hyun-jae Hyeong</t>
  </si>
  <si>
    <t>Tae-jun Jung</t>
  </si>
  <si>
    <t>Lee-min Seong</t>
  </si>
  <si>
    <t>Lean: Party Support Delta</t>
  </si>
  <si>
    <t>Show Transition</t>
  </si>
  <si>
    <t>Transition Speaker Count</t>
  </si>
  <si>
    <t>outcome.reason.player_argued_out</t>
  </si>
  <si>
    <t>You were argued out of the room.</t>
  </si>
  <si>
    <t/>
  </si>
  <si>
    <t>Combat stage, 2026-10-01: the player’s own support driven to 0 ends the stage in a loss, the mirror of outcome.reason.all_argued_out for the opponent.</t>
  </si>
  <si>
    <t>level_intro.lean_support</t>
  </si>
  <si>
    <t>Level Intro screen — bill lean choice</t>
  </si>
  <si>
    <t>Lean Support</t>
  </si>
  <si>
    <t>2026-10-01: one of the two Level Intro lean buttons on a bill level.</t>
  </si>
  <si>
    <t>level_intro.lean_oppose</t>
  </si>
  <si>
    <t>Lean Oppose</t>
  </si>
  <si>
    <t>2026-10-01: the other Level Intro lean button on a bill level.</t>
  </si>
  <si>
    <t>stage_transition.continue</t>
  </si>
  <si>
    <t>Stage Transition screen — footer button</t>
  </si>
  <si>
    <t>2026-10-01: the Stage Transition screen's own footer button, between two stages of a level.</t>
  </si>
  <si>
    <t>card.room_greatly_enhanced</t>
  </si>
  <si>
    <t>Card zoom — stage affinity line</t>
  </si>
  <si>
    <t>Being greatly enhanced by supporters.</t>
  </si>
  <si>
    <t>2026-10-01 audit: was BattleScreen.describe_room_for()'s own hardcoded text.</t>
  </si>
  <si>
    <t>card.room_enhanced</t>
  </si>
  <si>
    <t>Being enhanced by supporters.</t>
  </si>
  <si>
    <t>card.room_neutral</t>
  </si>
  <si>
    <t>Landing as written here.</t>
  </si>
  <si>
    <t>card.room_suppressed</t>
  </si>
  <si>
    <t>Being suppressed by detractors.</t>
  </si>
  <si>
    <t>card.room_greatly_suppressed</t>
  </si>
  <si>
    <t>Being greatly suppressed by opponents.</t>
  </si>
  <si>
    <t>battle.gaffes_status</t>
  </si>
  <si>
    <t>Battle screen — status row</t>
  </si>
  <si>
    <t>Gaffes {current} / {limit}</t>
  </si>
  <si>
    <t>current, limit</t>
  </si>
  <si>
    <t>2026-10-01 audit: was hardcoded in BattleScreen.gd.</t>
  </si>
  <si>
    <t>battle.you_name</t>
  </si>
  <si>
    <t>Battle screen — details panel</t>
  </si>
  <si>
    <t>You: {name}</t>
  </si>
  <si>
    <t>battle.opponent_name</t>
  </si>
  <si>
    <t>Opponent: {name}</t>
  </si>
  <si>
    <t>battle.room_mix</t>
  </si>
  <si>
    <t>In the room: {mix}.</t>
  </si>
  <si>
    <t>mix</t>
  </si>
  <si>
    <t>battle.shared_pool_rules</t>
  </si>
  <si>
    <t>Winning over somebody undecided takes one point. Somebody already against you takes one, two or three — you find out which as you go, and points you cannot spend are lost.</t>
  </si>
  <si>
    <t>Shown only for a shared-pool bar.</t>
  </si>
  <si>
    <t>battle.question_invites</t>
  </si>
  <si>
    <t>This question invites a {suit} answer.</t>
  </si>
  <si>
    <t>suit</t>
  </si>
  <si>
    <t>battle.nobody_pleased</t>
  </si>
  <si>
    <t>Nobody pleased yet.</t>
  </si>
  <si>
    <t>battle.pleased_so_far</t>
  </si>
  <si>
    <t>Pleased so far: {names}.</t>
  </si>
  <si>
    <t>battle.annoyed_so_far</t>
  </si>
  <si>
    <t>Annoyed so far: {names}.</t>
  </si>
  <si>
    <t>ui.back</t>
  </si>
  <si>
    <t>Every overlay panel — default footer button</t>
  </si>
  <si>
    <t>Back</t>
  </si>
  <si>
    <t>2026-10-01 audit: the default Back label every Overlay.gd panel in the game uses.</t>
  </si>
  <si>
    <t>level_intro.continue</t>
  </si>
  <si>
    <t>Level Intro screen — footer button</t>
  </si>
  <si>
    <t>Let's go</t>
  </si>
  <si>
    <t>2026-10-01 audit: was hardcoded in LevelIntroScreen.gd; its own sibling, stage_transition.continue, already did this.</t>
  </si>
  <si>
    <t>office.title_named</t>
  </si>
  <si>
    <t>Office screen — header</t>
  </si>
  <si>
    <t>{name}'s Office</t>
  </si>
  <si>
    <t>Shown only when the protagonist has a name but (for some reason) no party.</t>
  </si>
  <si>
    <t>office.subtitle_jp</t>
  </si>
  <si>
    <t>Office screen — header, the small accent under the title</t>
  </si>
  <si>
    <t>2026-10-01 audit: was hardcoded in OfficeScreen.gd. 陳情 (petitions/requests) — Cameron's to reword.</t>
  </si>
  <si>
    <t>office.levels_blurb</t>
  </si>
  <si>
    <t>Office screen — Levels list</t>
  </si>
  <si>
    <t>Each level is a run of stages. Pick one and you will see what it holds before you commit.</t>
  </si>
  <si>
    <t>reward.stage_not_set</t>
  </si>
  <si>
    <t>Office screen — level briefing, per stage</t>
  </si>
  <si>
    <t>What winning this is worth has not been set yet.</t>
  </si>
  <si>
    <t>Distinct from reward.nothing_set, which is for a whole level with nothing set at all.</t>
  </si>
  <si>
    <t>office.briefing_fallback_title</t>
  </si>
  <si>
    <t>Office screen — level briefing</t>
  </si>
  <si>
    <t>Before you go in</t>
  </si>
  <si>
    <t>A fallback only — every real level has its own description, so this cannot currently show.</t>
  </si>
  <si>
    <t>office.go_in</t>
  </si>
  <si>
    <t>Office screen — level briefing button</t>
  </si>
  <si>
    <t>Go in</t>
  </si>
  <si>
    <t>office.levels_title</t>
  </si>
  <si>
    <t>Office screen — Levels panel</t>
  </si>
  <si>
    <t>office.tier_heading</t>
  </si>
  <si>
    <t>Tier {tier}</t>
  </si>
  <si>
    <t>office.level_cannot_start</t>
  </si>
  <si>
    <t>This level cannot start:
• {problems}</t>
  </si>
  <si>
    <t>Protagonist — Cosmetic Outfit (CP01)</t>
  </si>
  <si>
    <t>Hiro (Neon Ambition outfit)</t>
  </si>
  <si>
    <t>PC01_RED_neutral.png</t>
  </si>
  <si>
    <t>{PROTAGONIST_ID}_{outfit_variant}_{expression}.png</t>
  </si>
  <si>
    <t>CP01's own Outfit piece — worn only when equipped (ArtLoader._outfit_variant()), in place of the plain look. Falls back to the plain file when not drawn.</t>
  </si>
  <si>
    <t>Flat RGB drawing, matted with rembg's U2Net model to match the transparent-background convention (2026-09-28).</t>
  </si>
  <si>
    <t>PC01_RED_attacking.png</t>
  </si>
  <si>
    <t>PC01_RED_guarding.png</t>
  </si>
  <si>
    <t>PC01_RED_gaining.png</t>
  </si>
  <si>
    <t>PC01_RED_damaged.png</t>
  </si>
  <si>
    <t>PC01_RED_victory.png</t>
  </si>
  <si>
    <t>Background — Cosmetic Variant (CP01)</t>
  </si>
  <si>
    <t>The Office (Neon Ambition upgrade)</t>
  </si>
  <si>
    <t>OFFICE_UPGRADED.png</t>
  </si>
  <si>
    <t>{STAGE_ID}_{background_variant}.png</t>
  </si>
  <si>
    <t>CP01's own Office Background piece — a modern glass office, worn only when equipped (ArtLoader._background_variant(), OFFICE only). Falls back to OFFICE.png when not drawn.</t>
  </si>
  <si>
    <t>ST22.png</t>
  </si>
  <si>
    <t>ST23.png</t>
  </si>
  <si>
    <t>(pattern)</t>
  </si>
  <si>
    <t>Naming Pattern (reference)</t>
  </si>
  <si>
    <t>Stage outfit (any character)</t>
  </si>
  <si>
    <t>any</t>
  </si>
  <si>
    <t>e.g. OP03_ST04_attacking.png</t>
  </si>
  <si>
    <t>{CHARACTER_ID}_{STAGE_ID}_{expression}.png</t>
  </si>
  <si>
    <t>that character's own folder (protagonists/opponents/staff/visitors)</t>
  </si>
  <si>
    <t>A one-off look for a single room — tried before that character's own plain expression file, but after any equipped cosmetic outfit. Entirely optional: nothing is drawn by default, and none is required for the room to work.</t>
  </si>
  <si>
    <t>Not counted by tools/art_checklist.py. See CLAUDE.md §13, “Stage outfits.”</t>
  </si>
  <si>
    <t>Cosmetic outfit variant</t>
  </si>
  <si>
    <t>e.g. PC01_RED_neutral.png</t>
  </si>
  <si>
    <t>{CHARACTER_ID}_{outfit_variant}_{STAGE_ID}_{expression}.png, falling back to {CHARACTER_ID}_{outfit_variant}_{expression}.png</t>
  </si>
  <si>
    <t>that character's own folder</t>
  </si>
  <si>
    <t>A bought-and-equipped Cosmetic Package's own Outfit piece — only ever tried for the CURRENT PROTAGONIST'S OWN ID (ArtLoader._outfit_variant()), so no other character can wear it by accident. Beats even a stage outfit when equipped; falls through to the plain file when not drawn.</t>
  </si>
  <si>
    <t>The {outfit_variant} token is that package's own “Outfit Variant” cell on the Cosmetic Packages tab — e.g. CP01's own “RED.”</t>
  </si>
  <si>
    <t>Cosmetic background variant</t>
  </si>
  <si>
    <t>e.g. OFFICE_UPGRADED.png</t>
  </si>
  <si>
    <t>A bought-and-equipped Cosmetic Package's own Background piece (ArtLoader._background_variant()) — only ever tried for OFFICE today, extending to other stages is a deliberate, small follow-up, not yet built. Falls through to the plain stage background when not drawn.</t>
  </si>
  <si>
    <t>The {background_variant} token is that package's own “Background Variant” cell — e.g. CP01's own “UPGRADED.”</t>
  </si>
  <si>
    <t>Thought Text</t>
  </si>
  <si>
    <t>Transition Cast ID</t>
  </si>
  <si>
    <t>Character ID</t>
  </si>
  <si>
    <t>Transition Background ID</t>
  </si>
  <si>
    <t>Background ID</t>
  </si>
  <si>
    <t>Transition Dialogue ID</t>
  </si>
  <si>
    <t>Character Line (EN)</t>
  </si>
  <si>
    <t>Player Reply (EN)</t>
  </si>
  <si>
    <t xml:space="preserve">How much a Strong-graded answer boosts the card's own self_plus/opp_minus this round, on top of stage affinity. Still pleases the asking organisation as before. </t>
  </si>
  <si>
    <t>How much a Weak-graded answer penalizes the card's own self_plus/opp_minus this round, on top of stage affinity. No tone cost at all any more.</t>
  </si>
  <si>
    <t>First-draft Party support ± when the Level Intro screen’s bill-lean choice agrees with or disagrees with your own party’s disposition toward the level’s bill.</t>
  </si>
  <si>
    <t>Floor Vote influence swing (§7.7): how high an enabled trigger variable in the Vote Influence Triggers tab must be to pass the gate.</t>
  </si>
  <si>
    <t>pool</t>
  </si>
  <si>
    <t>Your next card this turn gets +2.</t>
  </si>
  <si>
    <t>Guard 5 this turn. Gaffe +1.</t>
  </si>
  <si>
    <t>Applies to Parties</t>
  </si>
  <si>
    <t>PT06; PT03</t>
  </si>
  <si>
    <t>PT03; PT02; PT06</t>
  </si>
  <si>
    <t>PT06; PT02</t>
  </si>
  <si>
    <t>PT02; PT03</t>
  </si>
  <si>
    <t>PT04; PT05</t>
  </si>
  <si>
    <t>PT01; PT02; PT03</t>
  </si>
  <si>
    <t>TK07</t>
  </si>
  <si>
    <t>TK08</t>
  </si>
  <si>
    <t>TK09</t>
  </si>
  <si>
    <t>TK10</t>
  </si>
  <si>
    <t>TK11</t>
  </si>
  <si>
    <t>TK12</t>
  </si>
  <si>
    <t>TK13</t>
  </si>
  <si>
    <t>&lt;=</t>
  </si>
  <si>
    <t>=</t>
  </si>
  <si>
    <t>Press Secretary</t>
  </si>
  <si>
    <t>“The National Assembly returns, but is Prime Minister Rono losing steam?” - Sapporo Digital Networks ☼</t>
  </si>
  <si>
    <t>Yumi Satou-san will interview new Assembly Members this evening on Sapporo Broadcasting Center. ☼</t>
  </si>
  <si>
    <t>“Reporters following the National Assembly are eager for breaking news, but the walls of parliament are not budging.” - Sapporo Digital Networks ☼</t>
  </si>
  <si>
    <t>“Parliament insiders say that their new colleague needs to plan rather than rush through their work.” - Sapporo Digital Networks ☼</t>
  </si>
  <si>
    <t>“Can a reputation improve? Yes. However, it frequently requires a Member of Parliament to step back and consider the cards they can play, figuratively speaking.” - Yezo Political Insider ☼</t>
  </si>
  <si>
    <t>“A sinking reputation will be troublesome for that new Member of Parliament...” - Yezo Political Insider ☼</t>
  </si>
  <si>
    <t>“People like winners. Neighborhood groups, associations, and others won’t reward an Assembly Member with a low reputation.” - Sapporo Digital Networks ☼</t>
  </si>
  <si>
    <t>“A middling reputation is not bad.” - Sapporo Digital Networks ☼</t>
  </si>
  <si>
    <t>“That one Member of Parliament had a handful of decent speeches and a recognizable presence in committee.” - Yezo Political Insider ☼</t>
  </si>
  <si>
    <t>“Among the top five Assembly Members? Minister Haibi, certainly. Because of the idol fame.” - Yezo Political Insider ☼</t>
  </si>
  <si>
    <t>TK14</t>
  </si>
  <si>
    <t>TK15</t>
  </si>
  <si>
    <t>“Minister Resu is not as popular inside the building as outside.” - Yezo Political Insider ☼</t>
  </si>
  <si>
    <t>“Supposedly, five or six Members of Parliament are punching above their weight in committees.” - Sapporo Digital Networks ☼</t>
  </si>
  <si>
    <t>TK16</t>
  </si>
  <si>
    <t>TK17</t>
  </si>
  <si>
    <t>“財務大臣拝眉氏が昨日またサイン会をさせられました.” - Otaru Radio 今日  ☼</t>
  </si>
  <si>
    <t>“政党は弱くなって続けるので後援会での講演会が予定を交換しています.” - Yezo Political Insider ☼</t>
  </si>
  <si>
    <t>“政治家のチームは大事な規定.” - 青森の青空109.9! ☼</t>
  </si>
  <si>
    <t>“The newest university graduates to earn a chance working for the government tell us about needing to find fax machines to file their applications.” - Aomori’s Morning Mori ☼</t>
  </si>
  <si>
    <t>TK18</t>
  </si>
  <si>
    <t>TK19</t>
  </si>
  <si>
    <t>“Rumor has it a certain Member of Parliament is broke.” - Aomori’s Morning Mori ☼</t>
  </si>
  <si>
    <t>TK20</t>
  </si>
  <si>
    <t>TK21</t>
  </si>
  <si>
    <t>TK22</t>
  </si>
  <si>
    <t>The evening broadcast will gather a panel of former chiefs of staff to discuss why a political office's budget cannot plummet to zero. - Sapporo Digital Networks ☼</t>
  </si>
  <si>
    <t>TK23</t>
  </si>
  <si>
    <t>TK24</t>
  </si>
  <si>
    <t>TK25</t>
  </si>
  <si>
    <t>TK26</t>
  </si>
  <si>
    <t>TK27</t>
  </si>
  <si>
    <t>TK28</t>
  </si>
  <si>
    <t>TK29</t>
  </si>
  <si>
    <t>TK30</t>
  </si>
  <si>
    <t>TK31</t>
  </si>
  <si>
    <t>TK32</t>
  </si>
  <si>
    <t>“政治家が私たちのお金を盗んでいませんか.” - 青森の青空109.9! ☼</t>
  </si>
  <si>
    <t>“Why do we have legislators hoarding funds?” - Aomori’s Morning Mori ☼</t>
  </si>
  <si>
    <t>Yezo Political Insider reporters are cataloging Members of Parliament's office funds and what these funds are buying. ☼</t>
  </si>
  <si>
    <t>This evening, our broadcasters will further discuss calls from constituents about legislators withholding office funds. - Sapporo Digital Networks ☼</t>
  </si>
  <si>
    <t>Sources say Party Leader Hideriai is criticizing legislators who focus on raising funds rather than raising Yezo’s cultural heritage. - Sapporo Digital Networks ☼</t>
  </si>
  <si>
    <t>Sources say ministers sparsely attended this week’s cabinet session. - Sapporo Digital Networks ☼</t>
  </si>
  <si>
    <t>{player}'s latest speech is spreading across social media. - Aomori’s Morning Mori ☼</t>
  </si>
  <si>
    <t>"We need to see more meaningful rhetoric from {player}." - Aomori’s Morning Mori ☼</t>
  </si>
  <si>
    <t>TK33</t>
  </si>
  <si>
    <t>TK34</t>
  </si>
  <si>
    <t>TK35</t>
  </si>
  <si>
    <t>TK36</t>
  </si>
  <si>
    <t>TK37</t>
  </si>
  <si>
    <t>TK38</t>
  </si>
  <si>
    <t>TK39</t>
  </si>
  <si>
    <t>"Sources indicate growing respect for {player} within the National Assembly." - Yezo Political Insider ☼</t>
  </si>
  <si>
    <t>Yumi Satou-san will interview Butsutou Party Leader Utemaru Naizen again this week for an ongoing discussion about ethics in political office spending. - Sapporo Broadcasting Center ☼</t>
  </si>
  <si>
    <t>Otaru Radio 今日 is reporting that {player}’s party leaders are continuing to sour on earlier expectations. ☼</t>
  </si>
  <si>
    <t>“{player} is establishing their presence in the higher-tier of influential Assembly Members.” - Yezo Political Insider ☼</t>
  </si>
  <si>
    <t>Tomorrow morning, our breakfast show will hear from {player}’s press secretary about recent speeches and meetings. - Aomori’s Morning Mori ☼</t>
  </si>
  <si>
    <t>“A politician who refuses to hire staff and meet with the press is dodging transparency and truth!” - Sapporo Digital Networks ☼</t>
  </si>
  <si>
    <t>TK40</t>
  </si>
  <si>
    <t>TK41</t>
  </si>
  <si>
    <t>Yumi Satou-san will interview {player}’s party members regarding recent performance and what it means for the party’s reputation. - Sapporo Broadcasting Center ☼</t>
  </si>
  <si>
    <t>Yumi Satou-san will broadcast from the National Assembly with a panel of insiders about the rising profile of {player}. - Sapporo Broadcasting Center ☼</t>
  </si>
  <si>
    <t>“I hear voters are souring on their new Assembly Member.” - Otaru Radio 今日 ☼</t>
  </si>
  <si>
    <t>“I would rather be one of those no-name Members of Parliament than the Prime Minister right now.” - Otaru Radio 今日 ☼</t>
  </si>
  <si>
    <t>Minister of Ethics and Prosecution Naizen speaks out against bloated office funds. - Otaru Radio 今日 ☼</t>
  </si>
  <si>
    <t>Minister of Ethics and Prosecution Naizen speaks out against political offices that accumulate wealth without intending to fund local projects and wellbeing programs. “Stealing from future generations,” alleged the minister. - Otaru Radio 今日 ☼</t>
  </si>
  <si>
    <t>“Our requests to hear from {player} remain unanswered. Is there anyone working in that office?” - Otaru Radio 今日 ☼</t>
  </si>
  <si>
    <t>Constituents of {player} call in to ask, “Who did we vote for?” - Otaru Radio 今日 ☼</t>
  </si>
  <si>
    <t>{player}の後援会は「庶民の成功のための勝利」と言っていました - 青森の青空109.9! ☼</t>
  </si>
  <si>
    <t>Yezo Political Insider is reporting that {player} has secured a formidable base of support among district voters. ☼</t>
  </si>
  <si>
    <t>TK42</t>
  </si>
  <si>
    <t>TK43</t>
  </si>
  <si>
    <t>Flipped to Pass</t>
  </si>
  <si>
    <t>Flipped to Fail</t>
  </si>
  <si>
    <t>You pushed against the grain on Ainu rights. Prime Minister Rono voiced appreciation.</t>
  </si>
  <si>
    <t>Other Members of Parliament came around to the unintended consequences, even if their constituents will be angry.</t>
  </si>
  <si>
    <t>This was too much change without sufficient policy study or stakeholder consultation.</t>
  </si>
  <si>
    <t>The status quo works. Moreover, Yezo needs to invest funding elsewhere.</t>
  </si>
  <si>
    <t>Other Assembly Members started to think that Russia was simply posturing, and that there was no threat emerging.</t>
  </si>
  <si>
    <t>Party leaders resisted any rule on candidate selection. Enough members agreed that this belongs to the parties.</t>
  </si>
  <si>
    <t>Members were unwilling to give up the Cabinet's say over who sits on the bench.</t>
  </si>
  <si>
    <t>Members questioned using public money on religious institutions, and the bill lost its momentum.</t>
  </si>
  <si>
    <t>Members decided that handing themselves district money looked bad, and the optics won out.</t>
  </si>
  <si>
    <t>Your pitch about cold-climate servers and new jobs landed. Members decided Yezo should not miss the boat.</t>
  </si>
  <si>
    <t>Members were persuaded that police needed the tools. Civil liberties concerns were set aside for now.</t>
  </si>
  <si>
    <t>Members from conservative districts held firm. A national registry was a step too far for them.</t>
  </si>
  <si>
    <t>The memory of the earthquake faded against the fear of rule by decree, and members pulled back.</t>
  </si>
  <si>
    <t>You convinced members that consulting Washington is not the same as hosting bases. The agreement moved forward.</t>
  </si>
  <si>
    <t>Dairy and wine producers made their case. Members would not trade away farm protections.</t>
  </si>
  <si>
    <t>Members worried that screening would scare off investors and chose not to take the risk.</t>
  </si>
  <si>
    <t>Members feared security gaps and crowded tourist towns, and decided to keep the current rules.</t>
  </si>
  <si>
    <t>Your argument that shared fish and visitors could thaw the dispute won over wary members.</t>
  </si>
  <si>
    <t>With the blackout still fresh, members decided that keeping the lights on outweighed their nuclear fears.</t>
  </si>
  <si>
    <t>Members grew uneasy about gambling's social costs and decided Tomakomai could do without a casino.</t>
  </si>
  <si>
    <t>Members who once leaned on referrals chose to stand on the side of merit. The reform got the votes it needed.</t>
  </si>
  <si>
    <t>Members decided a single wage floor was worth the burden on small employers.</t>
  </si>
  <si>
    <t>Members accepted that giving up control of district lines was the price of public trust.</t>
  </si>
  <si>
    <t>Members balked at the state teaching values to schoolchildren, and the curriculum stalled.</t>
  </si>
  <si>
    <t>Members came around to the view that long-term neighbors deserve a voice in local government.</t>
  </si>
  <si>
    <t>Members worried about wages and integration. They wanted a robust study over language training capacity, too.</t>
  </si>
  <si>
    <t>The price tag for new interconnection lines and procurement concerns stalled the momentum for this bill.</t>
  </si>
  <si>
    <t>Members of Parliament got cold feet after constituent backlash and resolute speeches about taxing households squeezed by rising grocery bills.</t>
  </si>
  <si>
    <t>Members feared a patchwork of fiscal rules and decided taxing power should remain within their scope.</t>
  </si>
  <si>
    <t>You made the case that coherence with Japan is a strategic necessity. Members agreed that a dedicated forum with Japan is worth having.</t>
  </si>
  <si>
    <t>CP01</t>
  </si>
  <si>
    <t>クール・ビズ</t>
  </si>
  <si>
    <t>Workplace Casual</t>
  </si>
  <si>
    <t>A business casual feel.</t>
  </si>
  <si>
    <t>{Workplace_Casual}</t>
  </si>
  <si>
    <t>RED</t>
  </si>
  <si>
    <t>Modern Workplace</t>
  </si>
  <si>
    <t>現代の職場</t>
  </si>
  <si>
    <t>An updated office.</t>
  </si>
  <si>
    <t>{Workplace_Modern}</t>
  </si>
  <si>
    <t>UPGRADED</t>
  </si>
  <si>
    <t>CP02</t>
  </si>
  <si>
    <t xml:space="preserve">Meeting with the public is always a unique experience. </t>
  </si>
  <si>
    <t>Nothing like people paid to keep asking you for favors.</t>
  </si>
  <si>
    <t>Simply a series of questions and dialogue. This is not about commitments or promises.</t>
  </si>
  <si>
    <t>Party leaders have lower expectations for a performance in the Committee on the Environment.</t>
  </si>
  <si>
    <t>The press is hungry for a misspoken word or awkward phrase.</t>
  </si>
  <si>
    <t>Party leaders are asking for some help moving legislation. A good chance to build rapport with the party.</t>
  </si>
  <si>
    <t>The party caucus needs more junior members to help while senior members are working elsewhere.</t>
  </si>
  <si>
    <t>Working the committee circuit helps generate appreciation from party members.</t>
  </si>
  <si>
    <t>Market pressure are mounting and this can help preserve our local shops.</t>
  </si>
  <si>
    <t>Students are lively and passionate. And unrealistic.</t>
  </si>
  <si>
    <t>Families feel economic and social pressure from every angle.</t>
  </si>
  <si>
    <t>The regional craftwork is whay makes Yezo special.</t>
  </si>
  <si>
    <t>Busy trains and busy streets make for poor mental health.</t>
  </si>
  <si>
    <t>Looking back in history can teach us lessons applicable for modern challenges.</t>
  </si>
  <si>
    <t>These are colleagues with the energy to push forward policy.</t>
  </si>
  <si>
    <t>Shopkeepers and commuters share the same sidewalks but rarely the same priorities.</t>
  </si>
  <si>
    <t>Young people want openings and the unions want protections. Both feel overlooked.</t>
  </si>
  <si>
    <t>Households talk to each other long before anyone talks to the Assembly.</t>
  </si>
  <si>
    <t>Every coalition starts with one conversation and a lot of listening.</t>
  </si>
  <si>
    <t>Young people in the countryside keep leaving for the city. The towns they leave behind notice.</t>
  </si>
  <si>
    <t>A member's kōenkai is part support group, part family. Loyalty there runs deep.</t>
  </si>
  <si>
    <t>Potholes and shuttered storefronts tell the same story from different angles.</t>
  </si>
  <si>
    <t>Everyone at this table wants something. Few want to be the first to give something up.</t>
  </si>
  <si>
    <t>The Ainu were here long before the Assembly. The question of what is owed is long overdue.</t>
  </si>
  <si>
    <t>Rice and dairy farmers feed the island, and they live at the mercy of the market.</t>
  </si>
  <si>
    <t>Investors see opportunity in open ports and light rules. Workers see what gets traded away.</t>
  </si>
  <si>
    <t>A faster train to Sapporo is a long-held dream with a very large price tag.</t>
  </si>
  <si>
    <t>Russian ships keep appearing off the islands. Nobody agrees on what that means.</t>
  </si>
  <si>
    <t>Two points of tax is a small number to an accountant and a big one at the checkout.</t>
  </si>
  <si>
    <t>The prefectures want to hold their own purse. The capital likes holding it.</t>
  </si>
  <si>
    <t>Parties guard their candidate lists the way families guard recipes.</t>
  </si>
  <si>
    <t>Ferries, fish, and customs forms cross the strait every day. The rules haven't kept up.</t>
  </si>
  <si>
    <t>Old roofs and old beams need money. So does nearly everything else.</t>
  </si>
  <si>
    <t>Every member knows what their district needs. Voters know what a grant looks like.</t>
  </si>
  <si>
    <t>Cold air makes cheap cooling for servers, and this island has plenty of it.</t>
  </si>
  <si>
    <t>The police want more tools. Others wonder who those tools will be used on.</t>
  </si>
  <si>
    <t>The earthquake showed how slowly a government can move. It also raised the question of how fast one could overreach.</t>
  </si>
  <si>
    <t>Washington wants a regular seat at the table. The neighbors are watching who else gets invited.</t>
  </si>
  <si>
    <t>Who owns the land by the harbor is a question with a long memory.</t>
  </si>
  <si>
    <t>Tourists fill the hotels and restaurants. They also fill the streets and trains.</t>
  </si>
  <si>
    <t>The plant has sat idle since 2011. Neither the fear nor the blackout is easy to forget.</t>
  </si>
  <si>
    <t>A casino promises jobs and tax revenue. It also promises arguments.</t>
  </si>
  <si>
    <t>Plenty of people in this chamber got where they are through a friend of a friend.</t>
  </si>
  <si>
    <t>One wage across three regions. Living costs do not match across them.</t>
  </si>
  <si>
    <t>Members drawing their own district lines is a bit like a referee picking the teams.</t>
  </si>
  <si>
    <t>Everyone remembers their school ethics lessons. Nobody agrees on what they should have said.</t>
  </si>
  <si>
    <t>Long-term residents pay taxes and send their kids to school here. The ballot is another matter.</t>
  </si>
  <si>
    <t>If allegiances remain static, then opportunities to influence legislation are static, too.</t>
  </si>
  <si>
    <t>The veterans remember why decisions landed as they did. Newcomers need to know to shape policy.</t>
  </si>
  <si>
    <t>Small business owners know every customer by name and how our policies impact their lives.</t>
  </si>
  <si>
    <t>Yezo's roads and rails strain a little more each winter. Everyone has a stake in fixing them.</t>
  </si>
  <si>
    <t>The post-war creation of Yezo tried to erase what made our people distinct.</t>
  </si>
  <si>
    <t>Either we ride the wave or get drawn underneath.</t>
  </si>
  <si>
    <t>Fish don't know about borders. So how do we make this work?</t>
  </si>
  <si>
    <t>Europe's cheese and wine on our shelves?</t>
  </si>
  <si>
    <t>Sapporo already accomodates these couples. The rest of Yezo has yet to decide.</t>
  </si>
  <si>
    <t>A blackout is about more than lights going out. Medicine and food in the fridge need that power.</t>
  </si>
  <si>
    <t>Farms, fishing boats, and building sites are short of hands. Personnel and personalities keep this topic boiling.</t>
  </si>
  <si>
    <t>Picking justices on the Court is a power that outlasts the career of most politicians.</t>
  </si>
  <si>
    <t>Soon! I'm working on it personally.</t>
  </si>
  <si>
    <t>Will you buy my new invention? It's a steam shovel. Great for our community!</t>
  </si>
  <si>
    <t>D</t>
  </si>
  <si>
    <t>When will we get to fly from Yezo to Mongolia directly?</t>
  </si>
  <si>
    <t>Hanako Okuda</t>
  </si>
  <si>
    <t>奥田花子</t>
  </si>
  <si>
    <t>Neighborhood Association Chair</t>
  </si>
  <si>
    <t>BO06 +1-3; BO03 +1</t>
  </si>
  <si>
    <t>BO06 -1</t>
  </si>
  <si>
    <t>Gen Tsukamoto</t>
  </si>
  <si>
    <t>塚本玄</t>
  </si>
  <si>
    <t>Fisherman</t>
  </si>
  <si>
    <t>BO07 +1-3; BO04 +1</t>
  </si>
  <si>
    <t>BO07 -1</t>
  </si>
  <si>
    <t>Saki Mori</t>
  </si>
  <si>
    <t>森さき</t>
  </si>
  <si>
    <t>BO08 +1-3</t>
  </si>
  <si>
    <t>BO08 -1; BO01 -1</t>
  </si>
  <si>
    <t>Ryo Kawabata</t>
  </si>
  <si>
    <t>川端亮</t>
  </si>
  <si>
    <t>Union Representative</t>
  </si>
  <si>
    <t>BO09 +1-3; BO12 +1</t>
  </si>
  <si>
    <t>BO09 -1</t>
  </si>
  <si>
    <t>VI05</t>
  </si>
  <si>
    <t>Fumiko Sugawara</t>
  </si>
  <si>
    <t>菅原ふみ子</t>
  </si>
  <si>
    <t>Dairy Farmer</t>
  </si>
  <si>
    <t>BO10 +1-3; BO04 +1</t>
  </si>
  <si>
    <t>BO10 -1</t>
  </si>
  <si>
    <t>VI06</t>
  </si>
  <si>
    <t>Kaito Nishimura</t>
  </si>
  <si>
    <t>西村海斗</t>
  </si>
  <si>
    <t>Student Council President</t>
  </si>
  <si>
    <t>BO11 +1-3; BO08 +1</t>
  </si>
  <si>
    <t>BO11 -1</t>
  </si>
  <si>
    <t>VI07</t>
  </si>
  <si>
    <t>Yuri Hasegawa</t>
  </si>
  <si>
    <t>長谷川ゆり</t>
  </si>
  <si>
    <t>Parent</t>
  </si>
  <si>
    <t>BO12 +1-3; BO06 +1</t>
  </si>
  <si>
    <t>BO12 -1</t>
  </si>
  <si>
    <t>VI08</t>
  </si>
  <si>
    <t>Daigo Ishikari</t>
  </si>
  <si>
    <t>石狩大吾</t>
  </si>
  <si>
    <t>Woodcarver</t>
  </si>
  <si>
    <t>BO13 +1-3; BO15 +1</t>
  </si>
  <si>
    <t>BO13 -1</t>
  </si>
  <si>
    <t>VI09</t>
  </si>
  <si>
    <t>Emi Takasugi</t>
  </si>
  <si>
    <t>高杉えみ</t>
  </si>
  <si>
    <t>Commuter</t>
  </si>
  <si>
    <t>BO14 +1-3; BO05 +1</t>
  </si>
  <si>
    <t>BO14 -1</t>
  </si>
  <si>
    <t>VI10</t>
  </si>
  <si>
    <t>Hiroshi Wada</t>
  </si>
  <si>
    <t>和田宏</t>
  </si>
  <si>
    <t>Shrine Priest</t>
  </si>
  <si>
    <t>BO15 +1-3; BO06 +1</t>
  </si>
  <si>
    <t>BO15 -1</t>
  </si>
  <si>
    <t>VI11</t>
  </si>
  <si>
    <t>Leo Aoyama</t>
  </si>
  <si>
    <t>青山レオ</t>
  </si>
  <si>
    <t>Reo Aoyama</t>
  </si>
  <si>
    <t>Startup Founder</t>
  </si>
  <si>
    <t>BO16 +1-3; BO05 +1</t>
  </si>
  <si>
    <t>BO16 -1</t>
  </si>
  <si>
    <t>VI12</t>
  </si>
  <si>
    <t>Kiyoshi Murata</t>
  </si>
  <si>
    <t>村田清</t>
  </si>
  <si>
    <t>Town Mayor</t>
  </si>
  <si>
    <t>BO04 +1-3; BO10 +1</t>
  </si>
  <si>
    <t>BO04 -1</t>
  </si>
  <si>
    <t>VI13</t>
  </si>
  <si>
    <t>Tomoko Ide</t>
  </si>
  <si>
    <t>井出智子</t>
  </si>
  <si>
    <t>Shop Owner</t>
  </si>
  <si>
    <t>BO05 +1-3; BO06 +1</t>
  </si>
  <si>
    <t>BO05 -1</t>
  </si>
  <si>
    <t>VI14</t>
  </si>
  <si>
    <t>Shuhei Sakurai</t>
  </si>
  <si>
    <t>桜井周平</t>
  </si>
  <si>
    <t>BO01 +1-3; BO03 +1</t>
  </si>
  <si>
    <t>VI15</t>
  </si>
  <si>
    <t>Shinji Ogawa</t>
  </si>
  <si>
    <t>小川真司</t>
  </si>
  <si>
    <t>Faction Boss</t>
  </si>
  <si>
    <t>BO02 +1-3; BO01 +1</t>
  </si>
  <si>
    <t>BO02 -1</t>
  </si>
  <si>
    <t>VI16</t>
  </si>
  <si>
    <t>Yuki Kirishima</t>
  </si>
  <si>
    <t>霧島ユキ</t>
  </si>
  <si>
    <t>BO08 +1-3; BO12 +1</t>
  </si>
  <si>
    <t>BO08 -1</t>
  </si>
  <si>
    <t>VI17</t>
  </si>
  <si>
    <t>Haruto Ebina</t>
  </si>
  <si>
    <t>蝦名春人</t>
  </si>
  <si>
    <t>Ski Resort Owner</t>
  </si>
  <si>
    <t>BO05 +1-3; BO14 +1</t>
  </si>
  <si>
    <t>VI18</t>
  </si>
  <si>
    <t>Granny Chiyo</t>
  </si>
  <si>
    <t>千代ばあちゃん</t>
  </si>
  <si>
    <t>Chiyo Baachan</t>
  </si>
  <si>
    <t>BO03 +1-3; BO06 +1</t>
  </si>
  <si>
    <t>BO03 -1</t>
  </si>
  <si>
    <t>VI19</t>
  </si>
  <si>
    <t>Sora Kudo</t>
  </si>
  <si>
    <t>工藤そら</t>
  </si>
  <si>
    <t>Ferry Captain</t>
  </si>
  <si>
    <t>BO14 +1-3; BO07 +1</t>
  </si>
  <si>
    <t>VI20</t>
  </si>
  <si>
    <t>Akemi Ito</t>
  </si>
  <si>
    <t>伊藤明美</t>
  </si>
  <si>
    <t>University Professor</t>
  </si>
  <si>
    <t>BO11 +1-3; BO16 +1</t>
  </si>
  <si>
    <t>VI21</t>
  </si>
  <si>
    <t>VI22</t>
  </si>
  <si>
    <t>VI23</t>
  </si>
  <si>
    <t>VI24</t>
  </si>
  <si>
    <t>The streetlight on our corner has been out since spring. Can you help?</t>
  </si>
  <si>
    <t>I'll call the ward office myself today.</t>
  </si>
  <si>
    <t>Have you tried calling the city?</t>
  </si>
  <si>
    <t>It's probably just the bulb.</t>
  </si>
  <si>
    <t>Honestly, the dark keeps the street quiet.</t>
  </si>
  <si>
    <t>Finally, someone who writes it down!</t>
  </si>
  <si>
    <t>That's what the last person said.</t>
  </si>
  <si>
    <t>Jots it in a small notebook.</t>
  </si>
  <si>
    <t>Taps the clipboard impatiently.</t>
  </si>
  <si>
    <t>VI01; VI18</t>
  </si>
  <si>
    <t>Who is going to shovel the sidewalks for the elderly this winter?</t>
  </si>
  <si>
    <t>Everyone shovels their own, that's the rule.</t>
  </si>
  <si>
    <t>They can stay inside until spring.</t>
  </si>
  <si>
    <t>That's not really an Assembly matter.</t>
  </si>
  <si>
    <t>Now that is a neighborly idea.</t>
  </si>
  <si>
    <t>In my day we looked after each other.</t>
  </si>
  <si>
    <t>Nods slowly and smiles.</t>
  </si>
  <si>
    <t>Pulls her scarf tighter and frowns.</t>
  </si>
  <si>
    <t>VI01; VI07</t>
  </si>
  <si>
    <t>Can we get a crosswalk and a crossing guard near the elementary school?</t>
  </si>
  <si>
    <t>Traffic studies take time.</t>
  </si>
  <si>
    <t>Parents should walk the kids themselves.</t>
  </si>
  <si>
    <t>I'll push for both, starting this month.</t>
  </si>
  <si>
    <t>Kids are quick, they'll manage.</t>
  </si>
  <si>
    <t>C</t>
  </si>
  <si>
    <t>Thank you. That's all we're asking.</t>
  </si>
  <si>
    <t>Please don't joke about this.</t>
  </si>
  <si>
    <t>Lets out a long breath of relief.</t>
  </si>
  <si>
    <t>Stares at you, appalled.</t>
  </si>
  <si>
    <t>Russian patrol boats keep shadowing our boats. Will you stand with the fleet?</t>
  </si>
  <si>
    <t>I'm sure it's nothing.</t>
  </si>
  <si>
    <t>Stay out of those waters, then.</t>
  </si>
  <si>
    <t>That's a matter for the diplomats.</t>
  </si>
  <si>
    <t>Your safety at sea comes first, and I'll say so publicly.</t>
  </si>
  <si>
    <t>The sea remembers who showed up.</t>
  </si>
  <si>
    <t>Easy to say that from dry land.</t>
  </si>
  <si>
    <t>Grips your hand with a weathered palm.</t>
  </si>
  <si>
    <t>Spits out a laugh without humor.</t>
  </si>
  <si>
    <t>VQ05</t>
  </si>
  <si>
    <t>VI02; VI19</t>
  </si>
  <si>
    <t>Fuel prices are eating us alive. Can you do something?</t>
  </si>
  <si>
    <t>I'll ask for fuel relief for fishing and ferry crews.</t>
  </si>
  <si>
    <t>Prices go up and down, that's life.</t>
  </si>
  <si>
    <t>Have you thought about smaller boats?</t>
  </si>
  <si>
    <t>I'll look into it, eventually.</t>
  </si>
  <si>
    <t>That would keep a few of us afloat.</t>
  </si>
  <si>
    <t>We've heard "eventually" before.</t>
  </si>
  <si>
    <t>Gives a gruff thumbs up.</t>
  </si>
  <si>
    <t>Folds his arms like a net closing.</t>
  </si>
  <si>
    <t>VQ06</t>
  </si>
  <si>
    <t>VI02; VI12</t>
  </si>
  <si>
    <t>Our harbor is silting up. Will you carry the dredging request to the capital?</t>
  </si>
  <si>
    <t>Dredging is expensive.</t>
  </si>
  <si>
    <t>I'll carry it there and keep asking.</t>
  </si>
  <si>
    <t>Maybe the boats could get smaller.</t>
  </si>
  <si>
    <t>Put it in writing and wait your turn.</t>
  </si>
  <si>
    <t>A harbor is worth more than its paperwork.</t>
  </si>
  <si>
    <t>Boats will wait but the tide won't.</t>
  </si>
  <si>
    <t>Taps the table twice in approval.</t>
  </si>
  <si>
    <t>Looks out the window, unconvinced.</t>
  </si>
  <si>
    <t>VQ07</t>
  </si>
  <si>
    <t>Off the record, do you agree with party leadership on everything?</t>
  </si>
  <si>
    <t>Off the record doesn't exist.</t>
  </si>
  <si>
    <t>Of course I do. Every word.</t>
  </si>
  <si>
    <t>I agree where I do, and I'll say so when I don't.</t>
  </si>
  <si>
    <t>No comment, and that's a comment.</t>
  </si>
  <si>
    <t>That's a rare quote. Thank you.</t>
  </si>
  <si>
    <t>That's a headline, and not a flattering one.</t>
  </si>
  <si>
    <t>Scribbles something and smiles.</t>
  </si>
  <si>
    <t>Looks up from the notepad, eyebrow raised.</t>
  </si>
  <si>
    <t>VQ08</t>
  </si>
  <si>
    <t>VI03; VI16</t>
  </si>
  <si>
    <t>Can I quote you on that?</t>
  </si>
  <si>
    <t>Yes, as long as you print all of it.</t>
  </si>
  <si>
    <t>Only if I get to approve the quote.</t>
  </si>
  <si>
    <t>Please don't.</t>
  </si>
  <si>
    <t>I never said anything.</t>
  </si>
  <si>
    <t>Fair deal. Honest quotes make good copy.</t>
  </si>
  <si>
    <t>I'll write what I heard.</t>
  </si>
  <si>
    <t>Clicks pen and nods.</t>
  </si>
  <si>
    <t>Lowers the recorder with a sigh.</t>
  </si>
  <si>
    <t>VQ09</t>
  </si>
  <si>
    <t>What have you actually accomplished so far?</t>
  </si>
  <si>
    <t>More than my critics think.</t>
  </si>
  <si>
    <t>Ask my staff, they keep the list.</t>
  </si>
  <si>
    <t>It's a long list, I assure you.</t>
  </si>
  <si>
    <t>Less than I'd like. Here's my list and what's next.</t>
  </si>
  <si>
    <t>Rare to hear honesty. I'll check the list.</t>
  </si>
  <si>
    <t>That's a lot of words with no content.</t>
  </si>
  <si>
    <t>Raises eyebrows, impressed.</t>
  </si>
  <si>
    <t>Flips to a blank page.</t>
  </si>
  <si>
    <t>VQ10</t>
  </si>
  <si>
    <t>Will you support a living wage for working people?</t>
  </si>
  <si>
    <t>Business owners would never allow it.</t>
  </si>
  <si>
    <t>Workers deserve a living wage, and I'll hear every plan for it.</t>
  </si>
  <si>
    <t>Wages find their own level.</t>
  </si>
  <si>
    <t>I'll think about it after the budget.</t>
  </si>
  <si>
    <t>Good. Say it again where the bosses can hear.</t>
  </si>
  <si>
    <t>Words are cheap. We pay rent with wages.</t>
  </si>
  <si>
    <t>Gives a short, firm nod.</t>
  </si>
  <si>
    <t>Pulls a union pin straight, glaring.</t>
  </si>
  <si>
    <t>VQ11</t>
  </si>
  <si>
    <t>VI04; VI13</t>
  </si>
  <si>
    <t>Workers and owners don't talk. Would you join a roundtable?</t>
  </si>
  <si>
    <t>Yes. Let's put them at one table.</t>
  </si>
  <si>
    <t>Only if the press stays away.</t>
  </si>
  <si>
    <t>They've never agreed before.</t>
  </si>
  <si>
    <t>I'm too busy for that.</t>
  </si>
  <si>
    <t>Finally, a table with enough chairs.</t>
  </si>
  <si>
    <t>Then nothing changes, does it?</t>
  </si>
  <si>
    <t>Smiles and straightens up.</t>
  </si>
  <si>
    <t>Shrugs and looks away.</t>
  </si>
  <si>
    <t>VQ12</t>
  </si>
  <si>
    <t>Will you walk the picket line with us?</t>
  </si>
  <si>
    <t>I can't be seen taking sides.</t>
  </si>
  <si>
    <t>Send me a flyer.</t>
  </si>
  <si>
    <t>I'll come, listen, and bring coffee.</t>
  </si>
  <si>
    <t>Pickets are bad for business.</t>
  </si>
  <si>
    <t>Coffee is a good start.</t>
  </si>
  <si>
    <t>We'll remember who stayed home.</t>
  </si>
  <si>
    <t>Laughs and slaps your shoulder.</t>
  </si>
  <si>
    <t>Mutters something under his breath.</t>
  </si>
  <si>
    <t>VQ13</t>
  </si>
  <si>
    <t>Milk prices keep falling. What will you do?</t>
  </si>
  <si>
    <t>Farmers have to adapt to markets.</t>
  </si>
  <si>
    <t>You could always sell the cows.</t>
  </si>
  <si>
    <t>Maybe try making cheese?</t>
  </si>
  <si>
    <t>Farmers shouldn't carry market swings alone. I'll fight for support.</t>
  </si>
  <si>
    <t>You'd make a good dairy farmer.</t>
  </si>
  <si>
    <t>Tell that to the cows.</t>
  </si>
  <si>
    <t>Pats your arm, almost a hug.</t>
  </si>
  <si>
    <t>Snorts and looks at her boots.</t>
  </si>
  <si>
    <t>VQ14</t>
  </si>
  <si>
    <t>VI05; VI12</t>
  </si>
  <si>
    <t>Will you protect rural bus routes? Some villages have one a day.</t>
  </si>
  <si>
    <t>Routes that lose money should close.</t>
  </si>
  <si>
    <t>Rural routes are lifelines. I'll defend them.</t>
  </si>
  <si>
    <t>People can drive.</t>
  </si>
  <si>
    <t>It's a prefectural issue.</t>
  </si>
  <si>
    <t>Without the bus, there's no village.</t>
  </si>
  <si>
    <t>You clearly haven't waited at that stop.</t>
  </si>
  <si>
    <t>Smiles broadly and bows.</t>
  </si>
  <si>
    <t>Shakes her head sadly.</t>
  </si>
  <si>
    <t>VQ15</t>
  </si>
  <si>
    <t>Would you try my cheese on camera?</t>
  </si>
  <si>
    <t>I'd be honored. Give me the sharpest one.</t>
  </si>
  <si>
    <t>I'm lactose sensitive, sorry.</t>
  </si>
  <si>
    <t>Only if my staff taste it first.</t>
  </si>
  <si>
    <t>Will the cameras show me chewing?</t>
  </si>
  <si>
    <t>Ha! You'll cry, but I'll put it on posters.</t>
  </si>
  <si>
    <t>Hm. Cheese is serious business.</t>
  </si>
  <si>
    <t>Cuts a thick wedge, grinning.</t>
  </si>
  <si>
    <t>Wraps the cheese back up slowly.</t>
  </si>
  <si>
    <t>VQ16</t>
  </si>
  <si>
    <t>Why should students trust politicians?</t>
  </si>
  <si>
    <t>Because I said so.</t>
  </si>
  <si>
    <t>They shouldn't, they should vote.</t>
  </si>
  <si>
    <t>They shouldn't blindly. Hold me to account.</t>
  </si>
  <si>
    <t>Students aren't voters yet. Trust is premature.</t>
  </si>
  <si>
    <t>Okay. That's more honest than I expected.</t>
  </si>
  <si>
    <t>Great. Another adult who talks down to us.</t>
  </si>
  <si>
    <t>Eyes widen, then a small nod.</t>
  </si>
  <si>
    <t>Rolls his eyes and checks his phone.</t>
  </si>
  <si>
    <t>VQ17</t>
  </si>
  <si>
    <t>VI06; VI20</t>
  </si>
  <si>
    <t>Would you come to campus for an open debate?</t>
  </si>
  <si>
    <t>I'm very busy this term.</t>
  </si>
  <si>
    <t>I'll come and take the hard questions.</t>
  </si>
  <si>
    <t>Sure, if the questions are pre-screened.</t>
  </si>
  <si>
    <t>Send me the questions first.</t>
  </si>
  <si>
    <t>We'll save you a seat. A front one.</t>
  </si>
  <si>
    <t>We'll ask the hard ones anyway.</t>
  </si>
  <si>
    <t>Writes the date on his hand.</t>
  </si>
  <si>
    <t>Closes the folder with a snap.</t>
  </si>
  <si>
    <t>VQ18</t>
  </si>
  <si>
    <t>Will you hire student interns in your office?</t>
  </si>
  <si>
    <t>Interns only do photocopying.</t>
  </si>
  <si>
    <t>Maybe, if they work for free.</t>
  </si>
  <si>
    <t>We'll see.</t>
  </si>
  <si>
    <t>Yes, paid positions.</t>
  </si>
  <si>
    <t>That's rare. I'll send you three names.</t>
  </si>
  <si>
    <t>Everyone says "exposure."</t>
  </si>
  <si>
    <t>Gives an enthusiastic double thumbs up.</t>
  </si>
  <si>
    <t>Sighs and slumps.</t>
  </si>
  <si>
    <t>VQ19</t>
  </si>
  <si>
    <t>What are you doing about childcare waitlists?</t>
  </si>
  <si>
    <t>Waitlists are too long. I'll push for more spaces.</t>
  </si>
  <si>
    <t>Families should plan ahead.</t>
  </si>
  <si>
    <t>Grandparents can help.</t>
  </si>
  <si>
    <t>Waitlists show how popular daycare is.</t>
  </si>
  <si>
    <t>You can't imagine what that means to us.</t>
  </si>
  <si>
    <t>Not everyone has grandparents nearby.</t>
  </si>
  <si>
    <t>Presses a hand to her heart.</t>
  </si>
  <si>
    <t>Closes her eyes and shakes her head.</t>
  </si>
  <si>
    <t>VQ20</t>
  </si>
  <si>
    <t>VI07; VI18</t>
  </si>
  <si>
    <t>Would you back a community center that serves both families and seniors?</t>
  </si>
  <si>
    <t>It sounds noisy.</t>
  </si>
  <si>
    <t>Seniors and kids don't mix.</t>
  </si>
  <si>
    <t>Yes. Kids and grandparents belong together.</t>
  </si>
  <si>
    <t>It would be too expensive.</t>
  </si>
  <si>
    <t>Oh, I can already picture it.</t>
  </si>
  <si>
    <t>My kids need more than that.</t>
  </si>
  <si>
    <t>Smiles wistfully.</t>
  </si>
  <si>
    <t>Looks disappointed.</t>
  </si>
  <si>
    <t>VQ21</t>
  </si>
  <si>
    <t>You look thin. Are you eating properly?</t>
  </si>
  <si>
    <t>I'm fine, Obaachan.</t>
  </si>
  <si>
    <t>Not enough. Will you teach me your recipe?</t>
  </si>
  <si>
    <t>I live on coffee.</t>
  </si>
  <si>
    <t>I don't have time for that.</t>
  </si>
  <si>
    <t>Come on Sunday. I'll make too much.</t>
  </si>
  <si>
    <t>Hmph. Young people these days.</t>
  </si>
  <si>
    <t>Pinches your cheek fondly.</t>
  </si>
  <si>
    <t>Tuts and shakes a finger.</t>
  </si>
  <si>
    <t>VQ22</t>
  </si>
  <si>
    <t>Would you display local craftwork in your office?</t>
  </si>
  <si>
    <t>It wouldn't match the furniture.</t>
  </si>
  <si>
    <t>Maybe a small piece.</t>
  </si>
  <si>
    <t>I don't have room.</t>
  </si>
  <si>
    <t>Gladly. I want to show off Yezo's best.</t>
  </si>
  <si>
    <t>A wise choice. Come see the workshop.</t>
  </si>
  <si>
    <t>Mass-produced is fine, I suppose.</t>
  </si>
  <si>
    <t>Runs a thumb over the grain proudly.</t>
  </si>
  <si>
    <t>Puts down the chisel, disappointed.</t>
  </si>
  <si>
    <t>VQ23</t>
  </si>
  <si>
    <t>VI08; VI10</t>
  </si>
  <si>
    <t>Will you defend funding for traditional crafts and heritage sites?</t>
  </si>
  <si>
    <t>Yes. They're what make Yezo, Yezo.</t>
  </si>
  <si>
    <t>Modern projects are more urgent.</t>
  </si>
  <si>
    <t>It depends on the budget.</t>
  </si>
  <si>
    <t>Tradition is expensive.</t>
  </si>
  <si>
    <t>Good. The roof leaks and so does the budget.</t>
  </si>
  <si>
    <t>Fashion fades but tradition... you'll see.</t>
  </si>
  <si>
    <t>Bows deeply.</t>
  </si>
  <si>
    <t>Lets out a long, quiet breath.</t>
  </si>
  <si>
    <t>VQ24</t>
  </si>
  <si>
    <t>Young people won't apprentice with us. What can be done?</t>
  </si>
  <si>
    <t>Maybe automation can help.</t>
  </si>
  <si>
    <t>It's not a government problem.</t>
  </si>
  <si>
    <t>Make apprenticeships respectable, with stipends.</t>
  </si>
  <si>
    <t>Teach them on video.</t>
  </si>
  <si>
    <t>A craft needs hands, and hands need food.</t>
  </si>
  <si>
    <t>You can't teach grain by video.</t>
  </si>
  <si>
    <t>Nods, rubbing a calloused thumb.</t>
  </si>
  <si>
    <t>Goes quiet and picks up a plane.</t>
  </si>
  <si>
    <t>VQ25</t>
  </si>
  <si>
    <t>When do we get more train cars on the morning line?</t>
  </si>
  <si>
    <t>Packed trains are a sign of success.</t>
  </si>
  <si>
    <t>Take the bus.</t>
  </si>
  <si>
    <t>Leave earlier.</t>
  </si>
  <si>
    <t>I'll press for more cars at rush hour.</t>
  </si>
  <si>
    <t>You've clearly never stood on the 7:40.</t>
  </si>
  <si>
    <t>I'll tell the other forty people in my car.</t>
  </si>
  <si>
    <t>Straightens her tie, relieved.</t>
  </si>
  <si>
    <t>Sighs into her coffee.</t>
  </si>
  <si>
    <t>VQ26</t>
  </si>
  <si>
    <t>VI09; VI17</t>
  </si>
  <si>
    <t>Will you push for a faster rail link to the airport?</t>
  </si>
  <si>
    <t>Yes. Everyone benefits from a faster connection.</t>
  </si>
  <si>
    <t>It's too expensive.</t>
  </si>
  <si>
    <t>The road is fine.</t>
  </si>
  <si>
    <t>I'll leave it to the railway.</t>
  </si>
  <si>
    <t>Thank you. My time is worth something.</t>
  </si>
  <si>
    <t>That's the same answer as five years ago.</t>
  </si>
  <si>
    <t>Looks up from her phone, hopeful.</t>
  </si>
  <si>
    <t>Returns to her phone.</t>
  </si>
  <si>
    <t>VQ27</t>
  </si>
  <si>
    <t>Would you ride the 7:40 with me one morning?</t>
  </si>
  <si>
    <t>I'm not a morning person.</t>
  </si>
  <si>
    <t>I could send a deputy.</t>
  </si>
  <si>
    <t>I travel by car.</t>
  </si>
  <si>
    <t>You'll learn more in 40 minutes than in a hearing.</t>
  </si>
  <si>
    <t>It figures.</t>
  </si>
  <si>
    <t>Smiles for the first time today.</t>
  </si>
  <si>
    <t>Mutters about "car people."</t>
  </si>
  <si>
    <t>VQ28</t>
  </si>
  <si>
    <t>VI01; VI10</t>
  </si>
  <si>
    <t>Our festival needs a road closure permit. Can you smooth it over?</t>
  </si>
  <si>
    <t>I can't interfere with traffic rules.</t>
  </si>
  <si>
    <t>I'll make a call. The festival matters.</t>
  </si>
  <si>
    <t>Festivals cause a lot of litter.</t>
  </si>
  <si>
    <t>Maybe move it to a parking lot?</t>
  </si>
  <si>
    <t>The kami will remember your kindness.</t>
  </si>
  <si>
    <t>Even the gods notice red tape.</t>
  </si>
  <si>
    <t>Claps hands twice in thanks.</t>
  </si>
  <si>
    <t>Gazes at the sky, resigned.</t>
  </si>
  <si>
    <t>VQ29</t>
  </si>
  <si>
    <t>Will you join us for the New Year's first shrine visit?</t>
  </si>
  <si>
    <t>I'm not religious.</t>
  </si>
  <si>
    <t>I'll be out of town.</t>
  </si>
  <si>
    <t>Is it a long line?</t>
  </si>
  <si>
    <t>I'd be honored. Early morning, I suppose?</t>
  </si>
  <si>
    <t>It's cold, but warm company helps.</t>
  </si>
  <si>
    <t>Perhaps another year.</t>
  </si>
  <si>
    <t>Folds his hands and bows.</t>
  </si>
  <si>
    <t>Smiles politely but stiffly.</t>
  </si>
  <si>
    <t>VQ30</t>
  </si>
  <si>
    <t>VI11; VI13</t>
  </si>
  <si>
    <t>Permits take months. Can government work faster?</t>
  </si>
  <si>
    <t>Permits should take days, not months.</t>
  </si>
  <si>
    <t>The process exists for a reason.</t>
  </si>
  <si>
    <t>Hire more clerks.</t>
  </si>
  <si>
    <t>Your business plan is the problem.</t>
  </si>
  <si>
    <t>That alone would change everything.</t>
  </si>
  <si>
    <t>You've never filled out the forms.</t>
  </si>
  <si>
    <t>Pulls out a business card.</t>
  </si>
  <si>
    <t>Looks at his watch.</t>
  </si>
  <si>
    <t>VQ31</t>
  </si>
  <si>
    <t>VI11; VI20</t>
  </si>
  <si>
    <t>Would you back funding for university spin-off companies?</t>
  </si>
  <si>
    <t>Universities should stick to teaching.</t>
  </si>
  <si>
    <t>Only if it makes money quickly.</t>
  </si>
  <si>
    <t>Yes. Ideas should leave the lab.</t>
  </si>
  <si>
    <t>Too risky for public money.</t>
  </si>
  <si>
    <t>Great. We have too many ideas stuck in drawers.</t>
  </si>
  <si>
    <t>Then those ideas go to Tokyo.</t>
  </si>
  <si>
    <t>Eyes light up.</t>
  </si>
  <si>
    <t>Slumps back in the chair.</t>
  </si>
  <si>
    <t>VQ32</t>
  </si>
  <si>
    <t>Winter is a branding problem. Can we sell the cold?</t>
  </si>
  <si>
    <t>Nobody wants to be cold.</t>
  </si>
  <si>
    <t>Cold is an asset. Let's sell it.</t>
  </si>
  <si>
    <t>Maybe on ice cream.</t>
  </si>
  <si>
    <t>Warmer places will always win.</t>
  </si>
  <si>
    <t>Cold data centers, cold beer, cold cash. Yes.</t>
  </si>
  <si>
    <t>Okay. Let me know when you thaw.</t>
  </si>
  <si>
    <t>Starts typing notes on his phone.</t>
  </si>
  <si>
    <t>Pockets the phone.</t>
  </si>
  <si>
    <t>VQ33</t>
  </si>
  <si>
    <t>Will you back more say for local towns over local money?</t>
  </si>
  <si>
    <t>Tokyo knows best.</t>
  </si>
  <si>
    <t>We have a system.</t>
  </si>
  <si>
    <t>I'm not a tax expert.</t>
  </si>
  <si>
    <t>Towns that know their needs deserve a say.</t>
  </si>
  <si>
    <t>Spoken like someone who has visited a village.</t>
  </si>
  <si>
    <t>Easy for the capital to say.</t>
  </si>
  <si>
    <t>Smiles and pours the tea.</t>
  </si>
  <si>
    <t>Puts down the teapot.</t>
  </si>
  <si>
    <t>VQ34</t>
  </si>
  <si>
    <t>Our shopping arcade is half empty. What would you do?</t>
  </si>
  <si>
    <t>Fill it with events and lower the rents.</t>
  </si>
  <si>
    <t>Let it adapt or close.</t>
  </si>
  <si>
    <t>Convert it to parking.</t>
  </si>
  <si>
    <t>Malls are the future.</t>
  </si>
  <si>
    <t>A busy arcade is a happy arcade.</t>
  </si>
  <si>
    <t>We'll try to survive without you.</t>
  </si>
  <si>
    <t>Wipes flour from her hands, smiling.</t>
  </si>
  <si>
    <t>Starts stacking boxes.</t>
  </si>
  <si>
    <t>VQ35</t>
  </si>
  <si>
    <t>Can the party count on your vote this session?</t>
  </si>
  <si>
    <t>I vote my own way.</t>
  </si>
  <si>
    <t>Only if the polls are favorable.</t>
  </si>
  <si>
    <t>On what we agree on, yes, and I'll tell you early where not.</t>
  </si>
  <si>
    <t>I haven't read the bills yet.</t>
  </si>
  <si>
    <t>That's how a partnership works.</t>
  </si>
  <si>
    <t>I'll tell leadership you were noncommittal.</t>
  </si>
  <si>
    <t>Makes a note in his planner.</t>
  </si>
  <si>
    <t>Capped pen clicks twice.</t>
  </si>
  <si>
    <t>VQ36</t>
  </si>
  <si>
    <t>VI14; VI15</t>
  </si>
  <si>
    <t>Can we count on you at the party rally?</t>
  </si>
  <si>
    <t>I have other plans.</t>
  </si>
  <si>
    <t>Yes. I'll bring supporters.</t>
  </si>
  <si>
    <t>I'll make a short appearance.</t>
  </si>
  <si>
    <t>Rallies are noisy.</t>
  </si>
  <si>
    <t>We like members who bring friends.</t>
  </si>
  <si>
    <t>We'll look for someone else.</t>
  </si>
  <si>
    <t>Slaps the table, pleased.</t>
  </si>
  <si>
    <t>Frowns and checks a list.</t>
  </si>
  <si>
    <t>VQ37</t>
  </si>
  <si>
    <t>Will you help at the party donor dinner?</t>
  </si>
  <si>
    <t>I don't do fundraising.</t>
  </si>
  <si>
    <t>I'll be busy.</t>
  </si>
  <si>
    <t>Send an invitation.</t>
  </si>
  <si>
    <t>I'll attend and be gracious to everyone.</t>
  </si>
  <si>
    <t>Good. Donors are like cats. They like attention.</t>
  </si>
  <si>
    <t>Leadership will remember that.</t>
  </si>
  <si>
    <t>Smiles thinly, ticking a box.</t>
  </si>
  <si>
    <t>Draws a line through your name.</t>
  </si>
  <si>
    <t>VQ38</t>
  </si>
  <si>
    <t>Whose side are you on, the faction's or the party's?</t>
  </si>
  <si>
    <t>I'm a team player, and your faction is a big part of the team.</t>
  </si>
  <si>
    <t>I make up my own mind.</t>
  </si>
  <si>
    <t>Whoever is winning.</t>
  </si>
  <si>
    <t>I haven't decided.</t>
  </si>
  <si>
    <t>Good answer. The faction remembers friends.</t>
  </si>
  <si>
    <t>The faction remembers everything else too.</t>
  </si>
  <si>
    <t>Leans back, satisfied.</t>
  </si>
  <si>
    <t>Steeples his fingers coldly.</t>
  </si>
  <si>
    <t>VQ39</t>
  </si>
  <si>
    <t>A word of advice: pick a mentor early. Who will it be?</t>
  </si>
  <si>
    <t>I don't need one.</t>
  </si>
  <si>
    <t>I'll pick whoever has the best office.</t>
  </si>
  <si>
    <t>Please advise. Whom should I listen to?</t>
  </si>
  <si>
    <t>I'll ask the voters.</t>
  </si>
  <si>
    <t>Wise young one. Come to dinner.</t>
  </si>
  <si>
    <t>Pride is expensive.</t>
  </si>
  <si>
    <t>Pours you a drink.</t>
  </si>
  <si>
    <t>Pours only for himself.</t>
  </si>
  <si>
    <t>VQ40</t>
  </si>
  <si>
    <t>Will you appear on my show?</t>
  </si>
  <si>
    <t>I'm not very photogenic.</t>
  </si>
  <si>
    <t>Of course. What should I wear?</t>
  </si>
  <si>
    <t>Only if I get the questions.</t>
  </si>
  <si>
    <t>Television is beneath me.</t>
  </si>
  <si>
    <t>Darling, you'll be fabulous.</t>
  </si>
  <si>
    <t>How very serious of you.</t>
  </si>
  <si>
    <t>Claps her hands.</t>
  </si>
  <si>
    <t>Examines her nails.</t>
  </si>
  <si>
    <t>VQ41</t>
  </si>
  <si>
    <t>VI16; VI17</t>
  </si>
  <si>
    <t>Will you help promote Yezo tourism abroad?</t>
  </si>
  <si>
    <t>Gladly. Yezo deserves a bigger audience.</t>
  </si>
  <si>
    <t>Tourists are already crowding us.</t>
  </si>
  <si>
    <t>Tell them to visit Honshu.</t>
  </si>
  <si>
    <t>Let the tourism board handle it.</t>
  </si>
  <si>
    <t>Yezo will be on every screen.</t>
  </si>
  <si>
    <t>Then who will sell the snow?</t>
  </si>
  <si>
    <t>Strikes a pose, delighted.</t>
  </si>
  <si>
    <t>Looks away, bored.</t>
  </si>
  <si>
    <t>VQ42</t>
  </si>
  <si>
    <t>Seasonal staff are hard to find. Any ideas?</t>
  </si>
  <si>
    <t>Pay them more.</t>
  </si>
  <si>
    <t>Hire locals only.</t>
  </si>
  <si>
    <t>Streamline seasonal worker rules and housing.</t>
  </si>
  <si>
    <t>Close in off-peak months.</t>
  </si>
  <si>
    <t>That would keep our lifts running.</t>
  </si>
  <si>
    <t>We can't ski on promises.</t>
  </si>
  <si>
    <t>Nods, jotting notes.</t>
  </si>
  <si>
    <t>Looks out at an empty slope.</t>
  </si>
  <si>
    <t>VQ43</t>
  </si>
  <si>
    <t>The customs line on the strait is slow. Will you push for faster ferry clearance?</t>
  </si>
  <si>
    <t>Customs has its reasons.</t>
  </si>
  <si>
    <t>Take it up with the ferry company.</t>
  </si>
  <si>
    <t>I'll find the right office.</t>
  </si>
  <si>
    <t>I'll push for faster clearance, no excuses.</t>
  </si>
  <si>
    <t>Time on the dock is money lost.</t>
  </si>
  <si>
    <t>We've sat in that line too long.</t>
  </si>
  <si>
    <t>Slaps the railing in approval.</t>
  </si>
  <si>
    <t>Stares at the horizon.</t>
  </si>
  <si>
    <t>VQ44</t>
  </si>
  <si>
    <t>Would you cross with me on the night ferry to see the delays yourself?</t>
  </si>
  <si>
    <t>I'll read the report.</t>
  </si>
  <si>
    <t>Do you have a cabin?</t>
  </si>
  <si>
    <t>I get seasick.</t>
  </si>
  <si>
    <t>Absolutely. I'll bring a thermos.</t>
  </si>
  <si>
    <t>Bring a thick coat. The strait doesn't care who you are.</t>
  </si>
  <si>
    <t>Reports don't get cold.</t>
  </si>
  <si>
    <t>Salutes with two fingers.</t>
  </si>
  <si>
    <t>Turns back to the wheel.</t>
  </si>
  <si>
    <t>VQ45</t>
  </si>
  <si>
    <t>Policy should follow evidence. Will you read my report?</t>
  </si>
  <si>
    <t>I'll read it carefully.</t>
  </si>
  <si>
    <t>I don't have time for long documents.</t>
  </si>
  <si>
    <t>Just give me the summary.</t>
  </si>
  <si>
    <t>I prefer my own judgment.</t>
  </si>
  <si>
    <t>Page twelve is the important one.</t>
  </si>
  <si>
    <t>That's rather the problem.</t>
  </si>
  <si>
    <t>Adjusts her glasses, pleased.</t>
  </si>
  <si>
    <t>Sighs and closes her briefcase.</t>
  </si>
  <si>
    <t>I'd be glad to. Where should we meet?</t>
  </si>
  <si>
    <t>Let's set up a volunteer group with city support.</t>
  </si>
  <si>
    <t>VQ46</t>
  </si>
  <si>
    <t>VQ47</t>
  </si>
  <si>
    <t>VQ48</t>
  </si>
  <si>
    <t>VQ49</t>
  </si>
  <si>
    <t>Local Party Activist</t>
  </si>
  <si>
    <t>VI25</t>
  </si>
  <si>
    <t>Masato Fujimoto</t>
  </si>
  <si>
    <t>藤本正人</t>
  </si>
  <si>
    <t>BO01 +1-3; BO02 +1</t>
  </si>
  <si>
    <t>VI26</t>
  </si>
  <si>
    <t>Rera Kayano</t>
  </si>
  <si>
    <t>茅野レラ</t>
  </si>
  <si>
    <t>Party Youth Wing Leader</t>
  </si>
  <si>
    <t>BO01 +1-3</t>
  </si>
  <si>
    <t>VI27</t>
  </si>
  <si>
    <t>Caroline Whitfield</t>
  </si>
  <si>
    <t>キャロライン・ホイットフィールド</t>
  </si>
  <si>
    <t>Kyarorain Whitfield</t>
  </si>
  <si>
    <t>Campaign Consultant</t>
  </si>
  <si>
    <t>VI28</t>
  </si>
  <si>
    <t>Kenji Arai-Mitchell</t>
  </si>
  <si>
    <t>荒井健二・ミッチェル</t>
  </si>
  <si>
    <t>Party Treasurer</t>
  </si>
  <si>
    <t>VI29</t>
  </si>
  <si>
    <t>Tomoe Sakamoto</t>
  </si>
  <si>
    <t>坂本朋恵</t>
  </si>
  <si>
    <t>VI30</t>
  </si>
  <si>
    <t>Pirika Nolan</t>
  </si>
  <si>
    <t>ピリカ・ノーラン</t>
  </si>
  <si>
    <t>Party Pollster</t>
  </si>
  <si>
    <t>VI31</t>
  </si>
  <si>
    <t>Daniel Ikeda-Brooks</t>
  </si>
  <si>
    <t>ダニエル・池田ブルックス</t>
  </si>
  <si>
    <t>Candidate Recruiter</t>
  </si>
  <si>
    <t>VI32</t>
  </si>
  <si>
    <t>Yoshiko Tanabe</t>
  </si>
  <si>
    <t>田辺良子</t>
  </si>
  <si>
    <t>Party Elder Stateswoman</t>
  </si>
  <si>
    <t>VI33</t>
  </si>
  <si>
    <t>Shiro Kannari</t>
  </si>
  <si>
    <t>金成四郎</t>
  </si>
  <si>
    <t>Faction Elder</t>
  </si>
  <si>
    <t>BO02 +1-3</t>
  </si>
  <si>
    <t>VI34</t>
  </si>
  <si>
    <t>Gordon Hale-Takeda</t>
  </si>
  <si>
    <t>ゴードン・竹田ヘイル</t>
  </si>
  <si>
    <t>Faction Fundraiser</t>
  </si>
  <si>
    <t>VI35</t>
  </si>
  <si>
    <t>Haruka Chiri</t>
  </si>
  <si>
    <t>知里ハルカ</t>
  </si>
  <si>
    <t>Faction Strategist</t>
  </si>
  <si>
    <t>VI36</t>
  </si>
  <si>
    <t>Walter Kimura</t>
  </si>
  <si>
    <t>ウォルター・木村</t>
  </si>
  <si>
    <t>Veteran Faction Member</t>
  </si>
  <si>
    <t>VI37</t>
  </si>
  <si>
    <t>Yukiko Rowan-Sato</t>
  </si>
  <si>
    <t>ユキコ・ローワン佐藤</t>
  </si>
  <si>
    <t>BO02 -1; BO01 -1</t>
  </si>
  <si>
    <t>VI38</t>
  </si>
  <si>
    <t>Tetsuo Aoki</t>
  </si>
  <si>
    <t>青木哲夫</t>
  </si>
  <si>
    <t>VI39</t>
  </si>
  <si>
    <t>Ray Kaizawa-Mercer</t>
  </si>
  <si>
    <t>レイ・貝沢マーサー</t>
  </si>
  <si>
    <t>Rei Kaizawa-Mercer</t>
  </si>
  <si>
    <t>Assistant Party Whip</t>
  </si>
  <si>
    <t>Assistant Chief of Staff to the Secretary-General</t>
  </si>
  <si>
    <t>Rival Faction Advisor</t>
  </si>
  <si>
    <t>Former Ministerial Aide</t>
  </si>
  <si>
    <t>Party Faction Negotiator</t>
  </si>
  <si>
    <t>The Secretary-General has a minute for you. What do you want him to know?</t>
  </si>
  <si>
    <t>That I'm a reliable vote.</t>
  </si>
  <si>
    <t>That I need a bigger office.</t>
  </si>
  <si>
    <t>That I'm ready to be useful, whatever is needed.</t>
  </si>
  <si>
    <t>Nothing. I'll wait to be asked.</t>
  </si>
  <si>
    <t>Good. Useful people get remembered.</t>
  </si>
  <si>
    <t>He's heard that one before.</t>
  </si>
  <si>
    <t>Glances at his watch, then nods.</t>
  </si>
  <si>
    <t>Quietly closes his folder.</t>
  </si>
  <si>
    <t>Headquarters sends talking points every week. Do you read them?</t>
  </si>
  <si>
    <t>Every word, and I'll tell you what doesn't land at home.</t>
  </si>
  <si>
    <t>I skim them.</t>
  </si>
  <si>
    <t>I prefer my own words.</t>
  </si>
  <si>
    <t>My staff reads them.</t>
  </si>
  <si>
    <t>That feedback is worth more than you know.</t>
  </si>
  <si>
    <t>We noticed.</t>
  </si>
  <si>
    <t>Makes a note on his tablet.</t>
  </si>
  <si>
    <t>Raises an eyebrow.</t>
  </si>
  <si>
    <t>A reporter reaches you before headquarters does. What do you do?</t>
  </si>
  <si>
    <t>Answer everything.</t>
  </si>
  <si>
    <t>Say nothing at all.</t>
  </si>
  <si>
    <t>Say you'll call back, then call headquarters.</t>
  </si>
  <si>
    <t>Hang up.</t>
  </si>
  <si>
    <t>Thirty seconds of coordination saves a week of cleanup.</t>
  </si>
  <si>
    <t>That's how small stories become big ones.</t>
  </si>
  <si>
    <t>Allows himself a small smile.</t>
  </si>
  <si>
    <t>Pinches the bridge of his nose.</t>
  </si>
  <si>
    <t>Young members feel invisible in this party. Why should they stay?</t>
  </si>
  <si>
    <t>Because change is made from the inside.</t>
  </si>
  <si>
    <t>They should be patient.</t>
  </si>
  <si>
    <t>Visibility is overrated.</t>
  </si>
  <si>
    <t>I never said they should.</t>
  </si>
  <si>
    <t>Then help us make it true.</t>
  </si>
  <si>
    <t>We've heard "be patient" our whole lives.</t>
  </si>
  <si>
    <t>Sits up straighter.</t>
  </si>
  <si>
    <t>Looks down at her shoes.</t>
  </si>
  <si>
    <t>VQ50</t>
  </si>
  <si>
    <t>Would you mentor one of our younger members?</t>
  </si>
  <si>
    <t>I'm too busy.</t>
  </si>
  <si>
    <t>Only if they're well connected.</t>
  </si>
  <si>
    <t>Headquarters should handle that.</t>
  </si>
  <si>
    <t>Send them my way. I'll learn as much as I teach.</t>
  </si>
  <si>
    <t>They'll be thrilled. So will I.</t>
  </si>
  <si>
    <t>Mentors who rush don't help anyone.</t>
  </si>
  <si>
    <t>Grins and writes down your number.</t>
  </si>
  <si>
    <t>Folds her arms.</t>
  </si>
  <si>
    <t>VQ51</t>
  </si>
  <si>
    <t>The elders speak and we're expected to nod. How do you handle that?</t>
  </si>
  <si>
    <t>Nod. It's tradition.</t>
  </si>
  <si>
    <t>Listen respectfully, then speak up.</t>
  </si>
  <si>
    <t>Ignore the elders.</t>
  </si>
  <si>
    <t>Wait until they retire.</t>
  </si>
  <si>
    <t>That's exactly what frustrates us.</t>
  </si>
  <si>
    <t>Nods slowly, thinking.</t>
  </si>
  <si>
    <t>VQ52</t>
  </si>
  <si>
    <t>Every candidate thinks they're a natural on camera. Are you?</t>
  </si>
  <si>
    <t>Absolutely.</t>
  </si>
  <si>
    <t>No. Coach me and I'll practice.</t>
  </si>
  <si>
    <t>I never use cameras.</t>
  </si>
  <si>
    <t>That's what staff are for.</t>
  </si>
  <si>
    <t>Self-awareness. You're ahead of half the party.</t>
  </si>
  <si>
    <t>I've heard that before, right before a disaster.</t>
  </si>
  <si>
    <t>Smiles and flips open her notebook.</t>
  </si>
  <si>
    <t>Winces slightly.</t>
  </si>
  <si>
    <t>VQ53</t>
  </si>
  <si>
    <t>We have a bad news cycle coming. How do you want to handle it?</t>
  </si>
  <si>
    <t>Wait and hope it passes.</t>
  </si>
  <si>
    <t>Blame the media.</t>
  </si>
  <si>
    <t>Change the subject.</t>
  </si>
  <si>
    <t>Get ahead of it and tell the truth.</t>
  </si>
  <si>
    <t>Now we can work with that.</t>
  </si>
  <si>
    <t>Silence only makes headlines longer.</t>
  </si>
  <si>
    <t>Taps her pen approvingly.</t>
  </si>
  <si>
    <t>Rubs her temples.</t>
  </si>
  <si>
    <t>VQ54</t>
  </si>
  <si>
    <t>Campaigns run on volunteers. How will you keep yours?</t>
  </si>
  <si>
    <t>Free pizza.</t>
  </si>
  <si>
    <t>I don't need volunteers.</t>
  </si>
  <si>
    <t>Thank them by name and show up where they work.</t>
  </si>
  <si>
    <t>Promise them jobs.</t>
  </si>
  <si>
    <t>People remember who remembered them.</t>
  </si>
  <si>
    <t>Pizza only lasts one night.</t>
  </si>
  <si>
    <t>Laughs and nods.</t>
  </si>
  <si>
    <t>Shakes her head.</t>
  </si>
  <si>
    <t>VQ55</t>
  </si>
  <si>
    <t>Party dues are late again. Is yours paid up?</t>
  </si>
  <si>
    <t>Paid in full and on time.</t>
  </si>
  <si>
    <t>Check with my secretary.</t>
  </si>
  <si>
    <t>Dues feel optional.</t>
  </si>
  <si>
    <t>I'll pay after I'm re-elected.</t>
  </si>
  <si>
    <t>You'd be surprised how rare that is.</t>
  </si>
  <si>
    <t>The ledger doesn't lie.</t>
  </si>
  <si>
    <t>Ticks a box with relief.</t>
  </si>
  <si>
    <t>Circles your name in red.</t>
  </si>
  <si>
    <t>VQ56</t>
  </si>
  <si>
    <t>A generous donor wants a private word. How do you respond?</t>
  </si>
  <si>
    <t>Only if no one is watching.</t>
  </si>
  <si>
    <t>No way. Never.</t>
  </si>
  <si>
    <t>Let them wait.</t>
  </si>
  <si>
    <t>Gladly, as long as everything is above board.</t>
  </si>
  <si>
    <t>Open books keep everyone out of trouble.</t>
  </si>
  <si>
    <t>That's how headlines start.</t>
  </si>
  <si>
    <t>Adjusts his glasses, satisfied.</t>
  </si>
  <si>
    <t>Closes the ledger with a thud.</t>
  </si>
  <si>
    <t>VQ57</t>
  </si>
  <si>
    <t>We're short this quarter. Where should the party cut?</t>
  </si>
  <si>
    <t>Cut the staff.</t>
  </si>
  <si>
    <t>Cut your salary first.</t>
  </si>
  <si>
    <t>Cut the speeches.</t>
  </si>
  <si>
    <t>Share the sacrifice, starting with my own office.</t>
  </si>
  <si>
    <t>That's a leader's answer.</t>
  </si>
  <si>
    <t>Easy to say, hard to do.</t>
  </si>
  <si>
    <t>Looks up, pleasantly surprised.</t>
  </si>
  <si>
    <t>Sighs and rubs his eyes.</t>
  </si>
  <si>
    <t>VQ58</t>
  </si>
  <si>
    <t>I count votes for a living. Where do you stand?</t>
  </si>
  <si>
    <t>I'll tell you the day of.</t>
  </si>
  <si>
    <t>With the party, and I'll warn you early if I can't be.</t>
  </si>
  <si>
    <t>Wherever my conscience takes me.</t>
  </si>
  <si>
    <t>With whoever asks nicely.</t>
  </si>
  <si>
    <t>Early warnings are worth gold.</t>
  </si>
  <si>
    <t>Surprises are my least favorite thing.</t>
  </si>
  <si>
    <t>Marks a check on her list.</t>
  </si>
  <si>
    <t>Frowns and flips a page.</t>
  </si>
  <si>
    <t>VQ59</t>
  </si>
  <si>
    <t>You'll miss a vote for a family event. What do you do?</t>
  </si>
  <si>
    <t>Skip it. Nobody will notice.</t>
  </si>
  <si>
    <t>Tell me early so we can arrange a pair.</t>
  </si>
  <si>
    <t>Text me at midnight.</t>
  </si>
  <si>
    <t>Family comes first. End of discussion.</t>
  </si>
  <si>
    <t>Thank you. That's all I ask.</t>
  </si>
  <si>
    <t>I notice everything.</t>
  </si>
  <si>
    <t>Smiles with relief.</t>
  </si>
  <si>
    <t>Taps her pen on the desk.</t>
  </si>
  <si>
    <t>VQ60</t>
  </si>
  <si>
    <t>Someone in your group wants to break ranks. What do you do?</t>
  </si>
  <si>
    <t>Report them.</t>
  </si>
  <si>
    <t>Ignore it.</t>
  </si>
  <si>
    <t>Join them.</t>
  </si>
  <si>
    <t>Talk with them first and try to understand.</t>
  </si>
  <si>
    <t>Understanding goes further than threats.</t>
  </si>
  <si>
    <t>We'll see how that turns out.</t>
  </si>
  <si>
    <t>Gives a small, approving nod.</t>
  </si>
  <si>
    <t>Looks unimpressed.</t>
  </si>
  <si>
    <t>VQ61</t>
  </si>
  <si>
    <t>The polls say you're unpopular in your district. Your reaction?</t>
  </si>
  <si>
    <t>Polls are wrong.</t>
  </si>
  <si>
    <t>Tell me what I'm missing and I'll go listen.</t>
  </si>
  <si>
    <t>Fire the pollster.</t>
  </si>
  <si>
    <t>Wait for the next poll.</t>
  </si>
  <si>
    <t>That's what the numbers are for.</t>
  </si>
  <si>
    <t>You can't argue with a sample.</t>
  </si>
  <si>
    <t>Leans in with interest.</t>
  </si>
  <si>
    <t>Closes her laptop.</t>
  </si>
  <si>
    <t>VQ62</t>
  </si>
  <si>
    <t>Would you rather be popular or respected?</t>
  </si>
  <si>
    <t>Popular.</t>
  </si>
  <si>
    <t>Neither, just elected.</t>
  </si>
  <si>
    <t>Respected. Popularity follows or it doesn't.</t>
  </si>
  <si>
    <t>Both, obviously.</t>
  </si>
  <si>
    <t>Funny, the data agrees.</t>
  </si>
  <si>
    <t>Everyone says both.</t>
  </si>
  <si>
    <t>Smiles knowingly.</t>
  </si>
  <si>
    <t>Shrugs and looks at her chart.</t>
  </si>
  <si>
    <t>VQ63</t>
  </si>
  <si>
    <t>A focus group hated your speech. What now?</t>
  </si>
  <si>
    <t>They were the wrong group.</t>
  </si>
  <si>
    <t>Say it again, louder.</t>
  </si>
  <si>
    <t>Cut the speech.</t>
  </si>
  <si>
    <t>Rewrite it, with their notes in hand.</t>
  </si>
  <si>
    <t>Good. That's what they're for.</t>
  </si>
  <si>
    <t>Louder rarely helps.</t>
  </si>
  <si>
    <t>Nods and scrolls her notes.</t>
  </si>
  <si>
    <t>Sighs quietly.</t>
  </si>
  <si>
    <t>VQ64</t>
  </si>
  <si>
    <t>We're recruiting for the next election. Anyone you'd recommend?</t>
  </si>
  <si>
    <t>Nobody I know is interested.</t>
  </si>
  <si>
    <t>My cousin, he needs a job.</t>
  </si>
  <si>
    <t>Let me ask around and send names, no strings.</t>
  </si>
  <si>
    <t>Run the ones who ask.</t>
  </si>
  <si>
    <t>Good candidates don't usually volunteer.</t>
  </si>
  <si>
    <t>We need better than that.</t>
  </si>
  <si>
    <t>Writes something down quickly.</t>
  </si>
  <si>
    <t>Lowers his pen.</t>
  </si>
  <si>
    <t>VQ65</t>
  </si>
  <si>
    <t>Why would a good person ever want this job?</t>
  </si>
  <si>
    <t>They wouldn't.</t>
  </si>
  <si>
    <t>For the money.</t>
  </si>
  <si>
    <t>For the glamour.</t>
  </si>
  <si>
    <t>Because someone has to do it well.</t>
  </si>
  <si>
    <t>That's the pitch I try to make.</t>
  </si>
  <si>
    <t>Then no wonder we struggle to recruit.</t>
  </si>
  <si>
    <t>Smiles tiredly.</t>
  </si>
  <si>
    <t>Shakes his head.</t>
  </si>
  <si>
    <t>VQ66</t>
  </si>
  <si>
    <t>A promising newcomer is nervous about running. What do you tell them?</t>
  </si>
  <si>
    <t>It's hard and it's worth it. I'll help.</t>
  </si>
  <si>
    <t>Don't.</t>
  </si>
  <si>
    <t>Everyone gets nervous.</t>
  </si>
  <si>
    <t>Ask headquarters.</t>
  </si>
  <si>
    <t>They need to hear exactly that.</t>
  </si>
  <si>
    <t>That would lose them in a heartbeat.</t>
  </si>
  <si>
    <t>Gives a warm thumbs up.</t>
  </si>
  <si>
    <t>Winces.</t>
  </si>
  <si>
    <t>VQ67</t>
  </si>
  <si>
    <t>I've seen a dozen leaders come and go. What lasts?</t>
  </si>
  <si>
    <t>Polls.</t>
  </si>
  <si>
    <t>Money.</t>
  </si>
  <si>
    <t>Slogans.</t>
  </si>
  <si>
    <t>Trust, built one favor at a time.</t>
  </si>
  <si>
    <t>Few ever learn that in time.</t>
  </si>
  <si>
    <t>They said that, too.</t>
  </si>
  <si>
    <t>Pats your hand.</t>
  </si>
  <si>
    <t>Looks out the window.</t>
  </si>
  <si>
    <t>VQ68</t>
  </si>
  <si>
    <t>How should a member treat the opposition?</t>
  </si>
  <si>
    <t>Firmly, but never as enemies.</t>
  </si>
  <si>
    <t>As enemies.</t>
  </si>
  <si>
    <t>Ignore them.</t>
  </si>
  <si>
    <t>Befriend them completely.</t>
  </si>
  <si>
    <t>Today's opponent may be tomorrow's partner.</t>
  </si>
  <si>
    <t>We've seen what that attitude costs.</t>
  </si>
  <si>
    <t>Smiles with approval.</t>
  </si>
  <si>
    <t>Frowns gently.</t>
  </si>
  <si>
    <t>VQ69</t>
  </si>
  <si>
    <t>I'd like your view on the party's future. Be honest.</t>
  </si>
  <si>
    <t>It's bright, nothing to fix.</t>
  </si>
  <si>
    <t>It's in trouble.</t>
  </si>
  <si>
    <t>No comment.</t>
  </si>
  <si>
    <t>It needs to listen more, and I'd like to help.</t>
  </si>
  <si>
    <t>Honesty and willingness. A rare pair.</t>
  </si>
  <si>
    <t>Neither flattery nor despair is useful.</t>
  </si>
  <si>
    <t>Nods thoughtfully.</t>
  </si>
  <si>
    <t>Takes a slow sip of tea.</t>
  </si>
  <si>
    <t>VQ70</t>
  </si>
  <si>
    <t>In this faction, loyalty is a debt that never closes. Do you understand?</t>
  </si>
  <si>
    <t>Debts can be repaid.</t>
  </si>
  <si>
    <t>I understand, and I'll remember who stood by me.</t>
  </si>
  <si>
    <t>I owe nobody anything.</t>
  </si>
  <si>
    <t>Loyalty is for fools.</t>
  </si>
  <si>
    <t>Then you have the makings of one of us.</t>
  </si>
  <si>
    <t>The faction has a long memory.</t>
  </si>
  <si>
    <t>Lowers his head in approval.</t>
  </si>
  <si>
    <t>Looks at you in silence.</t>
  </si>
  <si>
    <t>VQ71</t>
  </si>
  <si>
    <t>Our elders told stories of this land long before parties existed. Do you listen?</t>
  </si>
  <si>
    <t>Stories don't win votes.</t>
  </si>
  <si>
    <t>Only when they're brief.</t>
  </si>
  <si>
    <t>I make the time. Old stories carry old lessons.</t>
  </si>
  <si>
    <t>That's history.</t>
  </si>
  <si>
    <t>Then you are wiser than you look.</t>
  </si>
  <si>
    <t>Forgetting is the beginning of losing.</t>
  </si>
  <si>
    <t>Sets the cup down slowly.</t>
  </si>
  <si>
    <t>VQ72</t>
  </si>
  <si>
    <t>A younger member is rising too fast. How do we handle it?</t>
  </si>
  <si>
    <t>Find ways to work with them.</t>
  </si>
  <si>
    <t>Block them.</t>
  </si>
  <si>
    <t>Praise them publicly and undermine them quietly.</t>
  </si>
  <si>
    <t>A tree grows better with company.</t>
  </si>
  <si>
    <t>Cutting things down rarely grows anything.</t>
  </si>
  <si>
    <t>Nods slowly.</t>
  </si>
  <si>
    <t>Sighs and shakes his head.</t>
  </si>
  <si>
    <t>VQ73</t>
  </si>
  <si>
    <t>The faction supports its members. What will you give back?</t>
  </si>
  <si>
    <t>My vote.</t>
  </si>
  <si>
    <t>My loyalty, and my time at your events.</t>
  </si>
  <si>
    <t>Nothing. It's a gift.</t>
  </si>
  <si>
    <t>Whatever's convenient.</t>
  </si>
  <si>
    <t>That's a fair trade, and an honest one.</t>
  </si>
  <si>
    <t>That's not how this works.</t>
  </si>
  <si>
    <t>Raises his glass.</t>
  </si>
  <si>
    <t>Sets it down untouched.</t>
  </si>
  <si>
    <t>VQ74</t>
  </si>
  <si>
    <t>A donor wants a photo with you. Do you mind?</t>
  </si>
  <si>
    <t>Only if they pay.</t>
  </si>
  <si>
    <t>I'm camera-shy.</t>
  </si>
  <si>
    <t>Happily, and I'll thank them properly.</t>
  </si>
  <si>
    <t>Not with strangers.</t>
  </si>
  <si>
    <t>Ten seconds of grace, ten years of goodwill.</t>
  </si>
  <si>
    <t>Donors remember a cold shoulder.</t>
  </si>
  <si>
    <t>Claps you on the back.</t>
  </si>
  <si>
    <t>Checks his phone.</t>
  </si>
  <si>
    <t>VQ75</t>
  </si>
  <si>
    <t>Our fundraising dinner needs a speaker. Can we count on you?</t>
  </si>
  <si>
    <t>Book me. I'll keep it short and good.</t>
  </si>
  <si>
    <t>I'm no speaker.</t>
  </si>
  <si>
    <t>Ask someone else.</t>
  </si>
  <si>
    <t>Only if there's a fee.</t>
  </si>
  <si>
    <t>Short and good is all we ask.</t>
  </si>
  <si>
    <t>The room fills when the speaker shows.</t>
  </si>
  <si>
    <t>Grins and writes you in.</t>
  </si>
  <si>
    <t>Crosses your name off.</t>
  </si>
  <si>
    <t>VQ76</t>
  </si>
  <si>
    <t>The faction needs seats, not speeches. What's your plan to win yours?</t>
  </si>
  <si>
    <t>Hope.</t>
  </si>
  <si>
    <t>Knock on every door in my district.</t>
  </si>
  <si>
    <t>Rely on the party name.</t>
  </si>
  <si>
    <t>Wait for the other side to fail.</t>
  </si>
  <si>
    <t>Doors win elections. Always have.</t>
  </si>
  <si>
    <t>Hope isn't a strategy.</t>
  </si>
  <si>
    <t>Smiles for the first time.</t>
  </si>
  <si>
    <t>Taps her map in frustration.</t>
  </si>
  <si>
    <t>VQ77</t>
  </si>
  <si>
    <t>When two factions clash, where do you stand?</t>
  </si>
  <si>
    <t>Neutral, always.</t>
  </si>
  <si>
    <t>With the strongest.</t>
  </si>
  <si>
    <t>With the faction that brought me, but I'll keep bridges open.</t>
  </si>
  <si>
    <t>With whoever pays.</t>
  </si>
  <si>
    <t>Loyal and open. That's rare.</t>
  </si>
  <si>
    <t>That won't get you far in either camp.</t>
  </si>
  <si>
    <t>Nods, impressed.</t>
  </si>
  <si>
    <t>Folds her map shut.</t>
  </si>
  <si>
    <t>VQ78</t>
  </si>
  <si>
    <t>I have a plan, but it needs someone willing to take a risk. Are you?</t>
  </si>
  <si>
    <t>Not unless it's safe.</t>
  </si>
  <si>
    <t>Explain the risk first, and then I'll decide.</t>
  </si>
  <si>
    <t>Sure, any risk.</t>
  </si>
  <si>
    <t>Smart. Reckless people end up in the news.</t>
  </si>
  <si>
    <t>Fearless and careless are not the same.</t>
  </si>
  <si>
    <t>Slides the folder across the table.</t>
  </si>
  <si>
    <t>Pulls the folder back.</t>
  </si>
  <si>
    <t>VQ79</t>
  </si>
  <si>
    <t>I've been in this chamber thirty years. What can I teach you?</t>
  </si>
  <si>
    <t>Nothing. Times have changed.</t>
  </si>
  <si>
    <t>Everything about shortcuts.</t>
  </si>
  <si>
    <t>How to stay humble and still win.</t>
  </si>
  <si>
    <t>Where the best lunch spots are.</t>
  </si>
  <si>
    <t>Then sit. We have a lot to cover.</t>
  </si>
  <si>
    <t>Times change. People don't.</t>
  </si>
  <si>
    <t>Chuckles warmly.</t>
  </si>
  <si>
    <t>Raises one bushy eyebrow.</t>
  </si>
  <si>
    <t>VQ80</t>
  </si>
  <si>
    <t>Back in my day we settled things over a drink. Will you join me?</t>
  </si>
  <si>
    <t>I only drink with friends.</t>
  </si>
  <si>
    <t>I have a meeting.</t>
  </si>
  <si>
    <t>Alcohol and politics don't mix.</t>
  </si>
  <si>
    <t>I'd be glad to. First round's mine.</t>
  </si>
  <si>
    <t>Now you're talking like a colleague.</t>
  </si>
  <si>
    <t>Suit yourself.</t>
  </si>
  <si>
    <t>Slaps the bar happily.</t>
  </si>
  <si>
    <t>Turns back to his glass.</t>
  </si>
  <si>
    <t>VQ81</t>
  </si>
  <si>
    <t>Young members rarely call me. Why should I help you?</t>
  </si>
  <si>
    <t>Because it's your duty.</t>
  </si>
  <si>
    <t>Because I'm important.</t>
  </si>
  <si>
    <t>Because I'll listen, and I won't only call when I need something.</t>
  </si>
  <si>
    <t>Because I'll mention you in my memoir.</t>
  </si>
  <si>
    <t>That's more than most offer.</t>
  </si>
  <si>
    <t>Duty doesn't pick up the phone.</t>
  </si>
  <si>
    <t>Smiles and tucks your card away.</t>
  </si>
  <si>
    <t>VQ82</t>
  </si>
  <si>
    <t>My faction would like a word. Are you open to talking?</t>
  </si>
  <si>
    <t>Never.</t>
  </si>
  <si>
    <t>Always open, though no promises.</t>
  </si>
  <si>
    <t>Only if I get something.</t>
  </si>
  <si>
    <t>Only in secret.</t>
  </si>
  <si>
    <t>Fair enough. Talking costs nothing.</t>
  </si>
  <si>
    <t>Then we've wasted each other's time.</t>
  </si>
  <si>
    <t>Smiles politely and sits.</t>
  </si>
  <si>
    <t>Stands to leave.</t>
  </si>
  <si>
    <t>VQ83</t>
  </si>
  <si>
    <t>You'll hear offers from every side. How will you decide?</t>
  </si>
  <si>
    <t>Highest bidder.</t>
  </si>
  <si>
    <t>Coin toss.</t>
  </si>
  <si>
    <t>Whoever flatters me most.</t>
  </si>
  <si>
    <t>By the principles I came in with.</t>
  </si>
  <si>
    <t>Principles are the one thing we can't buy.</t>
  </si>
  <si>
    <t>Then you're easy to read.</t>
  </si>
  <si>
    <t>Raises an eyebrow, impressed.</t>
  </si>
  <si>
    <t>Smirks and checks her watch.</t>
  </si>
  <si>
    <t>VQ84</t>
  </si>
  <si>
    <t>Would you ever change factions?</t>
  </si>
  <si>
    <t>Only if my values changed, and I'd tell everyone first.</t>
  </si>
  <si>
    <t>Whenever it's convenient.</t>
  </si>
  <si>
    <t>Never, no matter what.</t>
  </si>
  <si>
    <t>Ask me after the election.</t>
  </si>
  <si>
    <t>Honest about the line. I respect that.</t>
  </si>
  <si>
    <t>No one believes "never." Or "convenient."</t>
  </si>
  <si>
    <t>Closes her notebook.</t>
  </si>
  <si>
    <t>VQ85</t>
  </si>
  <si>
    <t>I held a ministry once. The first lesson: nobody tells you the truth. How will you find it?</t>
  </si>
  <si>
    <t>Trust my staff completely.</t>
  </si>
  <si>
    <t>Read the newspapers.</t>
  </si>
  <si>
    <t>Ask more than one person, then ask again.</t>
  </si>
  <si>
    <t>Trust my gut.</t>
  </si>
  <si>
    <t>Spoken like someone who has been lied to before.</t>
  </si>
  <si>
    <t>Truth takes more than one source.</t>
  </si>
  <si>
    <t>Tips his cup toward you.</t>
  </si>
  <si>
    <t>Looks over his glasses.</t>
  </si>
  <si>
    <t>VQ86</t>
  </si>
  <si>
    <t>A scandal hit my staff. How would you handle it?</t>
  </si>
  <si>
    <t>Deny everything.</t>
  </si>
  <si>
    <t>Own it fast, fix it, and say what changed.</t>
  </si>
  <si>
    <t>Blame the intern.</t>
  </si>
  <si>
    <t>Wait for it to pass.</t>
  </si>
  <si>
    <t>Fast and honest is the only formula that works.</t>
  </si>
  <si>
    <t>Waiting is how small stories grow.</t>
  </si>
  <si>
    <t>Leans back with a satisfied nod.</t>
  </si>
  <si>
    <t>Sighs from experience.</t>
  </si>
  <si>
    <t>VQ87</t>
  </si>
  <si>
    <t>What do you want to be remembered for?</t>
  </si>
  <si>
    <t>Being re-elected.</t>
  </si>
  <si>
    <t>Being rich.</t>
  </si>
  <si>
    <t>Being quiet.</t>
  </si>
  <si>
    <t>Leaving things better than I found them.</t>
  </si>
  <si>
    <t>That's a good start. It takes a lifetime.</t>
  </si>
  <si>
    <t>That won't fill many pages.</t>
  </si>
  <si>
    <t>Smiles softly.</t>
  </si>
  <si>
    <t>Stares into his tea.</t>
  </si>
  <si>
    <t>VQ88</t>
  </si>
  <si>
    <t>I make leaders. What do I get for making you?</t>
  </si>
  <si>
    <t>A lifelong friend, and an honest one.</t>
  </si>
  <si>
    <t>Nothing.</t>
  </si>
  <si>
    <t>Your pick of my staff.</t>
  </si>
  <si>
    <t>A statue.</t>
  </si>
  <si>
    <t>Friends are the rarest currency here.</t>
  </si>
  <si>
    <t>Flattery is cheap. I deal in loyalty.</t>
  </si>
  <si>
    <t>Chuckles and pours a drink.</t>
  </si>
  <si>
    <t>Gazes at you silently.</t>
  </si>
  <si>
    <t>VQ89</t>
  </si>
  <si>
    <t>Two candidates for leadership, both friends. Who do you back?</t>
  </si>
  <si>
    <t>Whoever wins.</t>
  </si>
  <si>
    <t>Neither, and I'll say so openly.</t>
  </si>
  <si>
    <t>Whoever's behind in the polls.</t>
  </si>
  <si>
    <t>Whoever buys lunch.</t>
  </si>
  <si>
    <t>Honest neutrality. I can respect that.</t>
  </si>
  <si>
    <t>Everyone says "whoever wins."</t>
  </si>
  <si>
    <t>Raises his glass slightly.</t>
  </si>
  <si>
    <t>Sets it down.</t>
  </si>
  <si>
    <t>VQ90</t>
  </si>
  <si>
    <t>Power is a hot stove. How do you avoid being burned?</t>
  </si>
  <si>
    <t>Wear gloves.</t>
  </si>
  <si>
    <t>Stay away from power.</t>
  </si>
  <si>
    <t>Keep my hands open and my word honest.</t>
  </si>
  <si>
    <t>Let someone else touch it.</t>
  </si>
  <si>
    <t>Gloves don't keep a reputation.</t>
  </si>
  <si>
    <t>Smiles slowly.</t>
  </si>
  <si>
    <t>Looks away with a shrug.</t>
  </si>
  <si>
    <t>VQ91</t>
  </si>
  <si>
    <t>VQ92</t>
  </si>
  <si>
    <t>VQ93</t>
  </si>
  <si>
    <t>VQ94</t>
  </si>
  <si>
    <t>Without burnt hands you may go far.</t>
  </si>
  <si>
    <t>That's the balance I am trying to find.</t>
  </si>
  <si>
    <t>Why should we support you?</t>
  </si>
  <si>
    <t>T21</t>
  </si>
  <si>
    <t>T22</t>
  </si>
  <si>
    <t>T23</t>
  </si>
  <si>
    <t>T24</t>
  </si>
  <si>
    <t>T25</t>
  </si>
  <si>
    <t>Are you telling your colleagues about our local issues?</t>
  </si>
  <si>
    <t>How do you uplift our voices within the National Assembly?</t>
  </si>
  <si>
    <t>Will you protect jobs in our area?</t>
  </si>
  <si>
    <t>Are you working for us or for conglomerates?</t>
  </si>
  <si>
    <t>Can you explain the bills you are working on?</t>
  </si>
  <si>
    <t>Are you giving lobbyists and journalists more attention than us?</t>
  </si>
  <si>
    <t>What are you doing to protect our traditional culture?</t>
  </si>
  <si>
    <t>Do you even know who we are anymore, after we elected you?</t>
  </si>
  <si>
    <t>T26</t>
  </si>
  <si>
    <t>T27</t>
  </si>
  <si>
    <t>T28</t>
  </si>
  <si>
    <t>T29</t>
  </si>
  <si>
    <t>How are you addressing the need to curtail tourist behavior?</t>
  </si>
  <si>
    <t>When will Parliament restore long-term working visas for the service industry?</t>
  </si>
  <si>
    <t>What are you doing about cultural and linguistic assimilation?</t>
  </si>
  <si>
    <t>Are you pursuing any legislation about broadband and connectivity?</t>
  </si>
  <si>
    <t>T30</t>
  </si>
  <si>
    <t>T31</t>
  </si>
  <si>
    <t>T32</t>
  </si>
  <si>
    <t>Do you support Prime Minister Rono?</t>
  </si>
  <si>
    <t>Can you do more to fund senior care centers?</t>
  </si>
  <si>
    <t>There are aliens watching us from the trees. We need you to send in the military and restore our nation!</t>
  </si>
  <si>
    <t>T33</t>
  </si>
  <si>
    <t>Children are making noise in my neighborhood park. Can you push a bill to prohibit the annoying use of my local parks?</t>
  </si>
  <si>
    <t>Representation</t>
  </si>
  <si>
    <t>Identity</t>
  </si>
  <si>
    <t>Disconnect</t>
  </si>
  <si>
    <t>Community strain</t>
  </si>
  <si>
    <t>Care</t>
  </si>
  <si>
    <t>Shared space</t>
  </si>
  <si>
    <t>Why are groceries, fuel, and rent rising faster than our pay?</t>
  </si>
  <si>
    <t>Cost of living</t>
  </si>
  <si>
    <t>Will you give households tax relief that actually reaches the checkout?</t>
  </si>
  <si>
    <t>Tax relief</t>
  </si>
  <si>
    <t>Would you cut the tax on food, and where would the money come from?</t>
  </si>
  <si>
    <t>Food tax</t>
  </si>
  <si>
    <t>If the food tax is suspended, what gets cut or paid for another way?</t>
  </si>
  <si>
    <t>Funding</t>
  </si>
  <si>
    <t>How much more debt can Yezo take before our children carry the bill?</t>
  </si>
  <si>
    <t>Public debt</t>
  </si>
  <si>
    <t>When do short-term boosts become a long-term burden?</t>
  </si>
  <si>
    <t>Fiscal discipline</t>
  </si>
  <si>
    <t>Why should families pay more for defense before basic costs are under control?</t>
  </si>
  <si>
    <t>Defense spending</t>
  </si>
  <si>
    <t>What safeguards will govern armed drones and artificial intelligence?</t>
  </si>
  <si>
    <t>Defense technology</t>
  </si>
  <si>
    <t>Are we changing our security plans because Yezo needs it or because allies are asking?</t>
  </si>
  <si>
    <t>Security strategy</t>
  </si>
  <si>
    <t>How would a crisis across the strait affect people in Yezo?</t>
  </si>
  <si>
    <t>Regional security</t>
  </si>
  <si>
    <t>What would changing the constitution mean for the limits on military power?</t>
  </si>
  <si>
    <t>Constitution</t>
  </si>
  <si>
    <t>Who decides when emergency powers are used, and what stops them from being abused?</t>
  </si>
  <si>
    <t>Emergency powers</t>
  </si>
  <si>
    <t>Are you keeping Yezo out of nuclear weapons, or moving us closer to them?</t>
  </si>
  <si>
    <t>Nuclear posture</t>
  </si>
  <si>
    <t>What protection do we get in return for changing our nuclear principles?</t>
  </si>
  <si>
    <t>Nuclear deterrence</t>
  </si>
  <si>
    <t>How will you fill labor gaps without leaving newcomers on their own?</t>
  </si>
  <si>
    <t>Immigration</t>
  </si>
  <si>
    <t>What rules will protect residents and workers when more people come from abroad?</t>
  </si>
  <si>
    <t>Integration</t>
  </si>
  <si>
    <t>What will make it possible for people who want children to afford them?</t>
  </si>
  <si>
    <t>Family support</t>
  </si>
  <si>
    <t>How will smaller communities keep workers when young people have to leave?</t>
  </si>
  <si>
    <t>Workforce</t>
  </si>
  <si>
    <t>Can pensions, health care, and long-term care all be funded without making older people choose?</t>
  </si>
  <si>
    <t>Aging</t>
  </si>
  <si>
    <t>Who pays when care needs grow faster than the people available to provide it?</t>
  </si>
  <si>
    <t>Care funding</t>
  </si>
  <si>
    <t>Will power bills go down if reactors restart, and who carries the risk if something goes wrong?</t>
  </si>
  <si>
    <t>How will you keep renewable power affordable without weakening safety or waste rules?</t>
  </si>
  <si>
    <t>Energy transition</t>
  </si>
  <si>
    <t>What happens to local jobs if Yezo cannot get the chips and materials it needs?</t>
  </si>
  <si>
    <t>Economic security</t>
  </si>
  <si>
    <t>How will you secure essential supplies without simply moving dependence somewhere else?</t>
  </si>
  <si>
    <t>Supply chains</t>
  </si>
  <si>
    <t>Why should we trust party money rules if insiders keep finding ways around them?</t>
  </si>
  <si>
    <t>Political funds</t>
  </si>
  <si>
    <t>Will the public see who is funding political campaigns and what they expect in return?</t>
  </si>
  <si>
    <t>Why should the law tell married people what name their family must use?</t>
  </si>
  <si>
    <t>Family law</t>
  </si>
  <si>
    <t>What will you do when people are treated unfairly because of their gender or who they love?</t>
  </si>
  <si>
    <t>Equal rights</t>
  </si>
  <si>
    <t>Why should communities near bases carry risks that the rest of Yezo does not?</t>
  </si>
  <si>
    <t>Base burden</t>
  </si>
  <si>
    <t>Who gets the final say when security projects change a community's land or coastline?</t>
  </si>
  <si>
    <t>Local autonomy</t>
  </si>
  <si>
    <t>What are you doing about visitors driving up rents and crowding out local people in Hokkaido?</t>
  </si>
  <si>
    <t>Overtourism</t>
  </si>
  <si>
    <t>Will you back limits on short-term rentals when neighborhoods are losing homes?</t>
  </si>
  <si>
    <t>Housing and tourism</t>
  </si>
  <si>
    <t>How will rural communities keep a clinic, a school, and a bus route when population falls?</t>
  </si>
  <si>
    <t>Rural services</t>
  </si>
  <si>
    <t>What can Aomori count on when the last shop or rail link is at risk?</t>
  </si>
  <si>
    <t>Rural decline</t>
  </si>
  <si>
    <t>Are evacuation plans built for the people who cannot leave quickly?</t>
  </si>
  <si>
    <t>Disaster readiness</t>
  </si>
  <si>
    <t>Who is accountable when aging roads, bridges, or flood defenses fail?</t>
  </si>
  <si>
    <t>Infrastructure</t>
  </si>
  <si>
    <t>Will you stop a large solar project if it threatens wetlands in Hokkaido?</t>
  </si>
  <si>
    <t>Conservation</t>
  </si>
  <si>
    <t>How will local people have a real say before major energy projects are approved?</t>
  </si>
  <si>
    <t>Consent</t>
  </si>
  <si>
    <t>What will keep redevelopment from pricing long-time residents out of their neighborhood?</t>
  </si>
  <si>
    <t>Housing</t>
  </si>
  <si>
    <t>Will you fix empty homes before backing another expensive redevelopment project?</t>
  </si>
  <si>
    <t>Vacant homes</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</si>
  <si>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</si>
  <si>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</si>
  <si>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</si>
  <si>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</si>
  <si>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</si>
  <si>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</si>
  <si>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</si>
  <si>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</si>
  <si>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</si>
  <si>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</si>
  <si>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</si>
  <si>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</si>
  <si>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</si>
  <si>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</si>
  <si>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</si>
  <si>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</si>
  <si>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</si>
  <si>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</si>
  <si>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</si>
  <si>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</si>
  <si>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</si>
  <si>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</si>
  <si>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</si>
  <si>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</si>
  <si>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</si>
  <si>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</si>
  <si>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</si>
  <si>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</si>
  <si>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</si>
  <si>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</si>
  <si>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</si>
  <si>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</si>
  <si>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</si>
  <si>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</si>
  <si>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</si>
  <si>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</si>
  <si>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</si>
  <si>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</si>
  <si>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</si>
  <si>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</si>
  <si>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L21</t>
  </si>
  <si>
    <t>Families in our district are skipping meals to pay rent. What will you do?</t>
  </si>
  <si>
    <t>L22</t>
  </si>
  <si>
    <t>The weak yen has erased a decade of wage gains. What's your plan?</t>
  </si>
  <si>
    <t>Wages</t>
  </si>
  <si>
    <t>L23</t>
  </si>
  <si>
    <t>Will you back suspending the consumption tax on food?</t>
  </si>
  <si>
    <t>Tax Relief</t>
  </si>
  <si>
    <t>L24</t>
  </si>
  <si>
    <t>If the food tax is cut, who pays for it?</t>
  </si>
  <si>
    <t>L25</t>
  </si>
  <si>
    <t>Would you support more stimulus even if the debt keeps growing?</t>
  </si>
  <si>
    <t>Stimulus</t>
  </si>
  <si>
    <t>L26</t>
  </si>
  <si>
    <t>Bond markets are nervous. Will you hold the line on the budget?</t>
  </si>
  <si>
    <t>L27</t>
  </si>
  <si>
    <t>Defense Budget</t>
  </si>
  <si>
    <t>L28</t>
  </si>
  <si>
    <t>Do you support counterstrike missiles, drones, and AI-enabled weapons?</t>
  </si>
  <si>
    <t>Capabilities</t>
  </si>
  <si>
    <t>L29</t>
  </si>
  <si>
    <t>Should Yezo revise its security strategy if our allies ask us to?</t>
  </si>
  <si>
    <t>Alliance</t>
  </si>
  <si>
    <t>L30</t>
  </si>
  <si>
    <t>Arms Trade</t>
  </si>
  <si>
    <t>L31</t>
  </si>
  <si>
    <t>L32</t>
  </si>
  <si>
    <t>Should the Self-Defense Forces and emergency powers be written into the constitution?</t>
  </si>
  <si>
    <t>Emergency Powers</t>
  </si>
  <si>
    <t>L33</t>
  </si>
  <si>
    <t>Principles</t>
  </si>
  <si>
    <t>L34</t>
  </si>
  <si>
    <t>Would you accept closer nuclear deterrence arrangements with our allies?</t>
  </si>
  <si>
    <t>Deterrence</t>
  </si>
  <si>
    <t>L35</t>
  </si>
  <si>
    <t>Our industry can't find workers. Will you open the door wider?</t>
  </si>
  <si>
    <t>Labor</t>
  </si>
  <si>
    <t>L36</t>
  </si>
  <si>
    <t>Should there be a cap on foreign residents?</t>
  </si>
  <si>
    <t>L37</t>
  </si>
  <si>
    <t>Will you fund childcare so young couples can afford children?</t>
  </si>
  <si>
    <t>Childcare</t>
  </si>
  <si>
    <t>L38</t>
  </si>
  <si>
    <t>Who fills the jobs if the workforce keeps shrinking?</t>
  </si>
  <si>
    <t>L39</t>
  </si>
  <si>
    <t>Will you protect pensions without raising premiums?</t>
  </si>
  <si>
    <t>Pensions</t>
  </si>
  <si>
    <t>L40</t>
  </si>
  <si>
    <t>Elder Care</t>
  </si>
  <si>
    <t>L41</t>
  </si>
  <si>
    <t>Will you support restarting idled nuclear reactors?</t>
  </si>
  <si>
    <t>Nuclear Energy</t>
  </si>
  <si>
    <t>L42</t>
  </si>
  <si>
    <t>Power Prices</t>
  </si>
  <si>
    <t>L43</t>
  </si>
  <si>
    <t>Will you subsidize domestic semiconductor production?</t>
  </si>
  <si>
    <t>Subsidy</t>
  </si>
  <si>
    <t>L44</t>
  </si>
  <si>
    <t>Can we reduce our dependence on imported rare earths?</t>
  </si>
  <si>
    <t>Supply Chains</t>
  </si>
  <si>
    <t>L45</t>
  </si>
  <si>
    <t>Will you support banning corporate donations to parties?</t>
  </si>
  <si>
    <t>Funding Reform</t>
  </si>
  <si>
    <t>L46</t>
  </si>
  <si>
    <t>Would you publish every donation you've received?</t>
  </si>
  <si>
    <t>L47</t>
  </si>
  <si>
    <t>Will you let married couples keep separate surnames?</t>
  </si>
  <si>
    <t>Family Law</t>
  </si>
  <si>
    <t>L48</t>
  </si>
  <si>
    <t>Should the imperial succession be opened to women?</t>
  </si>
  <si>
    <t>Succession</t>
  </si>
  <si>
    <t>L49</t>
  </si>
  <si>
    <t>Chishima has carried the base burden for generations. Will you stand with it?</t>
  </si>
  <si>
    <t>Base Burden</t>
  </si>
  <si>
    <t>L50</t>
  </si>
  <si>
    <t>Will you back relocating the Chishima air base over local objections?</t>
  </si>
  <si>
    <t>Relocation</t>
  </si>
  <si>
    <t>L51</t>
  </si>
  <si>
    <t>Hokkaido is overrun with visitors. Will you support a higher tourist tax?</t>
  </si>
  <si>
    <t>Tourism Tax</t>
  </si>
  <si>
    <t>L52</t>
  </si>
  <si>
    <t>Should short-term rentals be capped in our resort towns?</t>
  </si>
  <si>
    <t>Short-Term Rentals</t>
  </si>
  <si>
    <t>L53</t>
  </si>
  <si>
    <t>Aomori's hospitals and schools are closing. Will you keep them open?</t>
  </si>
  <si>
    <t>Rural Services</t>
  </si>
  <si>
    <t>L54</t>
  </si>
  <si>
    <t>Can rural bus and rail links survive without subsidies?</t>
  </si>
  <si>
    <t>Transit</t>
  </si>
  <si>
    <t>L55</t>
  </si>
  <si>
    <t>Preparedness</t>
  </si>
  <si>
    <t>L56</t>
  </si>
  <si>
    <t>Who pays to rebuild after the next quake?</t>
  </si>
  <si>
    <t>Reconstruction</t>
  </si>
  <si>
    <t>L57</t>
  </si>
  <si>
    <t>Will you back a mega-solar project beside the Kushiro Wetlands?</t>
  </si>
  <si>
    <t>Solar Siting</t>
  </si>
  <si>
    <t>L58</t>
  </si>
  <si>
    <t>Should local communities hold a veto over solar projects?</t>
  </si>
  <si>
    <t>Local Consent</t>
  </si>
  <si>
    <t>L59</t>
  </si>
  <si>
    <t>Will you speed approvals for redevelopment around major stations?</t>
  </si>
  <si>
    <t>Redevelopment</t>
  </si>
  <si>
    <t>L60</t>
  </si>
  <si>
    <t>Rents are climbing while homes sit empty. What will you do?</t>
  </si>
  <si>
    <t>How will long-term care be paid for as Yezo ages? More business taxes?</t>
  </si>
  <si>
    <t>Will you revisit the Three Non-Nuclear Principles?</t>
  </si>
  <si>
    <t>Will you support revising export laws limiting our munitions industry?</t>
  </si>
  <si>
    <t>Will you vote to revise Ainu quota rules for non-profit boards?</t>
  </si>
  <si>
    <t>Will you vote to increase overseas spending?</t>
  </si>
  <si>
    <t>Will you fund flood mitigation installation programs for coastal factories and warehouses?</t>
  </si>
  <si>
    <t>Power bills are crushing our members. Will you back faster renewables or raise natural gas import quotas?</t>
  </si>
  <si>
    <t>Protagonist A</t>
  </si>
  <si>
    <t>Sapporo Broadcasting Center's commentators are asking for the rationale behind your statements. - ☼</t>
  </si>
  <si>
    <t>My question is why you are asking irrelevant questions.</t>
  </si>
  <si>
    <t>Look closer at where the money comes from. Trust me.</t>
  </si>
  <si>
    <t xml:space="preserve">We'd like it. But, we don't need your support. </t>
  </si>
  <si>
    <t>The majority stands with me.</t>
  </si>
  <si>
    <t>Hear me out. One on one.</t>
  </si>
  <si>
    <t>continuous</t>
  </si>
  <si>
    <t>stream</t>
  </si>
  <si>
    <t>shop.funds_cap_maxed</t>
  </si>
  <si>
    <t>The Funds cap is already at its maximum.</t>
  </si>
  <si>
    <t>office.resume_choice_title</t>
  </si>
  <si>
    <t>Office, a level was still in progress when the app reopened</t>
  </si>
  <si>
    <t>A level was in progress</t>
  </si>
  <si>
    <t>office.resume_choice_body</t>
  </si>
  <si>
    <t>Office, the resume/abandon choice</t>
  </si>
  <si>
    <t>Pick up where you left off, or set this level aside and start fresh from the Office.</t>
  </si>
  <si>
    <t>office.abandon_level</t>
  </si>
  <si>
    <t>Abandon level</t>
  </si>
  <si>
    <t>Sets the level aside without recording a win or a loss. It stays available to play again later.</t>
  </si>
  <si>
    <t>Organisation</t>
  </si>
  <si>
    <t>Why (Claude's reasoning - correct freely)</t>
  </si>
  <si>
    <t>Fisheries Cooperative cares who gets access to grounds, quotas, and markets.</t>
  </si>
  <si>
    <t>National Media's whole job is holding officials accountable.</t>
  </si>
  <si>
    <t>Family Network tracks how an aging population strains families directly.</t>
  </si>
  <si>
    <t>Members of Parliament weigh what an alliance commitment binds the chamber to.</t>
  </si>
  <si>
    <t>Chamber of Commerce represents the defense-industry members affected.</t>
  </si>
  <si>
    <t>Neighborhood Associations are the ones asking for help for residents.</t>
  </si>
  <si>
    <t>Mayors' Network governs the municipalities that host the bases.</t>
  </si>
  <si>
    <t>Neighborhood Associations track who actually benefits from a program.</t>
  </si>
  <si>
    <t>Mayors' Network carries the burden of unfunded mandates.</t>
  </si>
  <si>
    <t>Chamber of Commerce speaks for the manufacturers who'd supply them.</t>
  </si>
  <si>
    <t>Family Network represents the families carrying the care burden.</t>
  </si>
  <si>
    <t>Family Network is built around exactly this: affording to raise kids.</t>
  </si>
  <si>
    <t>Neighborhood Associations need plain answers to explain to residents.</t>
  </si>
  <si>
    <t>Party Headquarters cares whether you keep your commitments to the line.</t>
  </si>
  <si>
    <t>Neighborhood Associations are the first to report strain on local services.</t>
  </si>
  <si>
    <t>National Media judges officials on competence.</t>
  </si>
  <si>
    <t>Chamber of Commerce cares about a level competitive field for members.</t>
  </si>
  <si>
    <t>Party Faction brokers the internal compromises that hold a vote together.</t>
  </si>
  <si>
    <t>Neighborhood Associations are who local consent actually represents.</t>
  </si>
  <si>
    <t>Neighborhood Associations raise the local environmental objection.</t>
  </si>
  <si>
    <t>Local Kōenkai exists to speak for the constituents directly.</t>
  </si>
  <si>
    <t>Members of Parliament are the ones who would actually amend it.</t>
  </si>
  <si>
    <t>Mayors' Network expects to be consulted before a policy lands on them.</t>
  </si>
  <si>
    <t>Local Kōenkai wants to see you actually believe what you're voting.</t>
  </si>
  <si>
    <t>Party Faction needs cooperation to hold its own bloc together.</t>
  </si>
  <si>
    <t>Mayors' Network has to coordinate delivery across municipalities.</t>
  </si>
  <si>
    <t>Chamber of Commerce tracks the cost side of every policy.</t>
  </si>
  <si>
    <t>Constituency Voters are living the cost-of-living squeeze.</t>
  </si>
  <si>
    <t>National Media stakes its own credibility on reporting yours straight.</t>
  </si>
  <si>
    <t>National Media is the one printing the criticism.</t>
  </si>
  <si>
    <t>National Media chases cronyism stories hardest.</t>
  </si>
  <si>
    <t>Chamber of Commerce tracks defense spending as industrial policy.</t>
  </si>
  <si>
    <t>Innovation Society follows where defense R&amp;D money goes.</t>
  </si>
  <si>
    <t>Labor Federation lives or dies on how a regulation's terms are defined.</t>
  </si>
  <si>
    <t>Members of Parliament own the constitutional question of deterrence posture.</t>
  </si>
  <si>
    <t>Mayors' Network runs municipal disaster planning.</t>
  </si>
  <si>
    <t>Party Headquarters enforces caucus discipline.</t>
  </si>
  <si>
    <t>Local Kōenkai is the first to feel a constituency feeling unheard.</t>
  </si>
  <si>
    <t>Labor Federation reviews bill drafting for how it will actually apply.</t>
  </si>
  <si>
    <t>Chamber of Commerce tracks supply security as a business risk.</t>
  </si>
  <si>
    <t>Family Network represents families caring for aging relatives.</t>
  </si>
  <si>
    <t>Members of Parliament are the ones who'd have those powers used around them.</t>
  </si>
  <si>
    <t>Innovation Society follows energy policy as its core beat.</t>
  </si>
  <si>
    <t>Labor Federation wants to know if a rule is actually enforced.</t>
  </si>
  <si>
    <t>Our Traditional Society is the organised voice weighing in on social change.</t>
  </si>
  <si>
    <t>National Media calls out an evasive answer fastest.</t>
  </si>
  <si>
    <t>Labor Federation wants the evidence behind a regulatory claim.</t>
  </si>
  <si>
    <t>Family Network has a direct stake in how family law is written.</t>
  </si>
  <si>
    <t>Family Network is the natural audience for family-support policy.</t>
  </si>
  <si>
    <t>National Media covers what the public is afraid of.</t>
  </si>
  <si>
    <t>Mayors' Network has to actually deliver whatever gets promised.</t>
  </si>
  <si>
    <t>Chamber of Commerce wants sound public finances for a stable market.</t>
  </si>
  <si>
    <t>Chamber of Commerce wants flexibility built into how rules apply to business.</t>
  </si>
  <si>
    <t>Constituency Voters feel a tax change at the checkout first.</t>
  </si>
  <si>
    <t>Constituency Voters want to know who actually pays.</t>
  </si>
  <si>
    <t>Party Headquarters owns the party's own finance rules.</t>
  </si>
  <si>
    <t>Neighborhood Associations see hardship first, at the household level.</t>
  </si>
  <si>
    <t>National Media's beat is whether an answer is honest.</t>
  </si>
  <si>
    <t>Constituency Voters feel housing cost and availability directly.</t>
  </si>
  <si>
    <t>Constituency Voters are the ones being priced out.</t>
  </si>
  <si>
    <t>National Media is quickest to flag hypocrisy.</t>
  </si>
  <si>
    <t>Our Traditional Society exists to speak for cultural continuity.</t>
  </si>
  <si>
    <t>Our Traditional Society is the organised voice on immigration policy.</t>
  </si>
  <si>
    <t>Neighborhood Associations feel the real-world impact of a bill.</t>
  </si>
  <si>
    <t>Mayors' Network is who actually implements a policy on the ground.</t>
  </si>
  <si>
    <t>Agricultural Cooperatives respond to whatever inducement is on offer.</t>
  </si>
  <si>
    <t>National Media covers who is really pulling the strings.</t>
  </si>
  <si>
    <t>Mayors' Network owns the roads, bridges, and flood defenses in question.</t>
  </si>
  <si>
    <t>Our Traditional Society weighs in on how newcomers are integrated.</t>
  </si>
  <si>
    <t>Party Faction tracks who is being frozen out of the room.</t>
  </si>
  <si>
    <t>Labor Federation represents the workforce directly.</t>
  </si>
  <si>
    <t>Labor Federation cares whether a rule will hold up legally.</t>
  </si>
  <si>
    <t>Agricultural Cooperatives weigh what leverage a deal actually gives them.</t>
  </si>
  <si>
    <t>Chamber of Commerce cares where the limits on a rule are drawn.</t>
  </si>
  <si>
    <t>Fisheries Cooperative's whole stake is livelihood.</t>
  </si>
  <si>
    <t>Mayors' Network is the body whose autonomy is actually in question.</t>
  </si>
  <si>
    <t>Party Headquarters is the one keeping score on loyalty.</t>
  </si>
  <si>
    <t>Labor Federation wants hard metrics, not a promise.</t>
  </si>
  <si>
    <t>Chamber of Commerce follows the money in any policy.</t>
  </si>
  <si>
    <t>National Media digs for motive behind a position.</t>
  </si>
  <si>
    <t>Local Kōenkai is quickest to feel a constituency being neglected.</t>
  </si>
  <si>
    <t>Members of Parliament own the constitutional question of nuclear posture.</t>
  </si>
  <si>
    <t>Innovation Society follows the restart debate closely.</t>
  </si>
  <si>
    <t>National Media is the one asking for openness.</t>
  </si>
  <si>
    <t>National Media is a standing check on official oversight.</t>
  </si>
  <si>
    <t>Constituency Voters live with the crowding and rent pressure.</t>
  </si>
  <si>
    <t>Local Kōenkai measures how much constituents actually get to participate.</t>
  </si>
  <si>
    <t>Labor Federation represents the workers whose pensions are at stake.</t>
  </si>
  <si>
    <t>Party Faction is who has to be persuaded to hold the line.</t>
  </si>
  <si>
    <t>Party Headquarters cares where you land on the official position.</t>
  </si>
  <si>
    <t>Chamber of Commerce represents the members paying the power bill.</t>
  </si>
  <si>
    <t>Chamber of Commerce tracks price effects on members directly.</t>
  </si>
  <si>
    <t>Members of Parliament are custodians of the Three Non-Nuclear Principles.</t>
  </si>
  <si>
    <t>Local Kōenkai wants to know where their issue ranks.</t>
  </si>
  <si>
    <t>Labor Federation wants a rule's purpose spelled out plainly.</t>
  </si>
  <si>
    <t>Mayors' Network leads disaster reconstruction on the ground.</t>
  </si>
  <si>
    <t>Mayors' Network approves and plans local redevelopment.</t>
  </si>
  <si>
    <t>Members of Parliament weigh regional security as a chamber-level question.</t>
  </si>
  <si>
    <t>Mayors' Network is party to any base relocation decision.</t>
  </si>
  <si>
    <t>Local Kōenkai exists specifically to carry constituents' voice up the chain.</t>
  </si>
  <si>
    <t>Party Faction is watching for real resolve, not a hedge.</t>
  </si>
  <si>
    <t>Mayors' Network needs the resources to match any new mandate.</t>
  </si>
  <si>
    <t>Labor Federation weighs the risk a rule shifts onto workers.</t>
  </si>
  <si>
    <t>Mayors' Network administers the rural municipalities in decline.</t>
  </si>
  <si>
    <t>Mayors' Network runs the clinics, schools, and routes at risk.</t>
  </si>
  <si>
    <t>National Media's bread and butter is a scandal.</t>
  </si>
  <si>
    <t>Labor Federation reads the fine print on a rule's scope.</t>
  </si>
  <si>
    <t>National Media exists to pierce official secrecy.</t>
  </si>
  <si>
    <t>Members of Parliament set security strategy through the chamber.</t>
  </si>
  <si>
    <t>Neighborhood Associations mediate exactly these local-space disputes.</t>
  </si>
  <si>
    <t>Constituency Voters are the ones losing housing stock to it.</t>
  </si>
  <si>
    <t>Party Faction reads your vote as a signal about where you stand.</t>
  </si>
  <si>
    <t>Chamber of Commerce wants a rule simple enough to actually comply with.</t>
  </si>
  <si>
    <t>Innovation Society represents the renewable-energy developers.</t>
  </si>
  <si>
    <t>Neighborhood Associations feel the stakes locally first.</t>
  </si>
  <si>
    <t>Chamber of Commerce weighs a stimulus against the debt it creates.</t>
  </si>
  <si>
    <t>Chamber of Commerce represents the industries a subsidy would reach.</t>
  </si>
  <si>
    <t>Our Traditional Society holds a direct interest in imperial succession rules.</t>
  </si>
  <si>
    <t>Chamber of Commerce tracks supply-chain exposure directly.</t>
  </si>
  <si>
    <t>Agricultural Cooperatives measure a policy by the support it offers them.</t>
  </si>
  <si>
    <t>Constituency Voters weigh a tourist tax against their own cost of living.</t>
  </si>
  <si>
    <t>Commuter Committee exists specifically for transit questions.</t>
  </si>
  <si>
    <t>National Media's core demand is transparency.</t>
  </si>
  <si>
    <t>Local Kōenkai is built entirely on constituent trust.</t>
  </si>
  <si>
    <t>Party Headquarters wants a unified front in public.</t>
  </si>
  <si>
    <t>Constituency Voters want empty homes addressed before new building.</t>
  </si>
  <si>
    <t>National Media delivers the public verdict.</t>
  </si>
  <si>
    <t>Party Headquarters counts votes before anyone else does.</t>
  </si>
  <si>
    <t>Neighborhood Associations speak for the most vulnerable residents.</t>
  </si>
  <si>
    <t>Labor Federation represents the workers whose wages are at stake.</t>
  </si>
  <si>
    <t>Viewer Interest</t>
  </si>
  <si>
    <t>ON05</t>
  </si>
  <si>
    <t>ON06</t>
  </si>
  <si>
    <t>ON07</t>
  </si>
  <si>
    <t>ON08</t>
  </si>
  <si>
    <t>ON09</t>
  </si>
  <si>
    <t>ON10</t>
  </si>
  <si>
    <t>ON11</t>
  </si>
  <si>
    <t>ON12</t>
  </si>
  <si>
    <t>ON13</t>
  </si>
  <si>
    <t>{staff} is reviewing committee minutes and reports.</t>
  </si>
  <si>
    <t>No one is reviewing new policy reports.</t>
  </si>
  <si>
    <t>{staff} is answering questions from reporters.</t>
  </si>
  <si>
    <t>Calls from the press are going unanswered.</t>
  </si>
  <si>
    <t>Few visitors are seeking out your office.</t>
  </si>
  <si>
    <t>The office is using a waitlist for visitors.</t>
  </si>
  <si>
    <t>Veteran journalists are visiting the office for a profile piece.</t>
  </si>
  <si>
    <t>A volunteer student journalist recently visited the office.</t>
  </si>
  <si>
    <t>No party colleagues have visited to chat.</t>
  </si>
  <si>
    <t>Party members who want to take you to lunch can now use a scheduling system.</t>
  </si>
  <si>
    <t>ON14</t>
  </si>
  <si>
    <t>ON15</t>
  </si>
  <si>
    <t>ON16</t>
  </si>
  <si>
    <t>ON17</t>
  </si>
  <si>
    <t>ON18</t>
  </si>
  <si>
    <t>Security removed a constituent for shouting obscenities.</t>
  </si>
  <si>
    <t>A constituent, allegedly, intended to graffiti on your office door.</t>
  </si>
  <si>
    <t>An elderly constituent visited and left a gift basket for the office.</t>
  </si>
  <si>
    <t>A family from your district visited to take a picture with you.</t>
  </si>
  <si>
    <t>A benefactor stopped by the office to deliver a 100,000円 check for use during the next election campaign.</t>
  </si>
  <si>
    <t>A former campaign donor left a note demanding the refund of 200,000円.</t>
  </si>
  <si>
    <t>Cabinet Legislation Bureau Chief Rika Ashikaga personally delivered the latest bill analysis reports.</t>
  </si>
  <si>
    <t>A committee intern brought you a stack of outdated committee reports.</t>
  </si>
  <si>
    <t>ON19</t>
  </si>
  <si>
    <t>ON20</t>
  </si>
  <si>
    <t>Office Fund Bank Limit Petition</t>
  </si>
  <si>
    <t>Staff Training Consultancy Session</t>
  </si>
  <si>
    <t>Commission a Speech Trainer</t>
  </si>
  <si>
    <t>Kaiju Sized “ね3” Coffee</t>
  </si>
  <si>
    <t>Automated Dear Colleague Letters</t>
  </si>
  <si>
    <t>Personalized Dear Colleague Letter</t>
  </si>
  <si>
    <t>Kaiju Sized “ミレニ姫” Tea</t>
  </si>
  <si>
    <t>AI Powered Clock</t>
  </si>
  <si>
    <t>Host a Dinner for a National Booster</t>
  </si>
  <si>
    <t>Host a District Walking Tour for a Constituency Booster</t>
  </si>
  <si>
    <t>Starter deck: Tier 0 cards</t>
  </si>
  <si>
    <t>Opening deck recipe: how many Tier 0 cards a new run starts with (at most one per suit, so 6 at most).</t>
  </si>
  <si>
    <t>Starter deck: Tier 1 cards</t>
  </si>
  <si>
    <t>Opening deck recipe: how many Tier 1 cards.</t>
  </si>
  <si>
    <t>Starter deck: Tier 2 cards</t>
  </si>
  <si>
    <t>Opening deck recipe: how many Tier 2 cards. Any slot left over (deck size minus these three) is a flex slot: Tier 2, or Tier 3 by the chance below.</t>
  </si>
  <si>
    <t>Starter deck: Tier 3 chance (%)</t>
  </si>
  <si>
    <t>Each flex slot becomes a Tier 3 card with this percent chance, otherwise Tier 2.</t>
  </si>
  <si>
    <t>Starter deck: Max Tier 3 cards</t>
  </si>
  <si>
    <t>Hard cap on Tier 3 cards in the opening deck.</t>
  </si>
  <si>
    <t>Starter deck: Max gaffe cards (%)</t>
  </si>
  <si>
    <t>No more than this percent of the opening deck may be gaffe cards (cards that add to your gaffe meter). 50 on a 15-card deck means at most 7.</t>
  </si>
  <si>
    <t>Jyurou Nishihara</t>
  </si>
  <si>
    <t>intro.how_to_play</t>
  </si>
  <si>
    <t>Title screen — button</t>
  </si>
  <si>
    <t>How to Play</t>
  </si>
  <si>
    <t>The button on the title screen that opens the How to Play guide.</t>
  </si>
  <si>
    <t>office.how_to_play</t>
  </si>
  <si>
    <t>Office — button</t>
  </si>
  <si>
    <t>The button on the Office screen that opens the How to Play guide.</t>
  </si>
  <si>
    <t>how_to_play.title</t>
  </si>
  <si>
    <t>How to Play — panel title</t>
  </si>
  <si>
    <t>The heading at the top of the guide.</t>
  </si>
  <si>
    <t>how_to_play.empty</t>
  </si>
  <si>
    <t>How to Play — nothing written yet</t>
  </si>
  <si>
    <t>The guide has not been written yet.</t>
  </si>
  <si>
    <t>Shown when the How To Play tab has no rows.</t>
  </si>
  <si>
    <t>how_to_play.watch</t>
  </si>
  <si>
    <t>How to Play — video button</t>
  </si>
  <si>
    <t>Watch the demo</t>
  </si>
  <si>
    <t>The button under an entry that has a Video.</t>
  </si>
  <si>
    <t>how_to_play.stop</t>
  </si>
  <si>
    <t>Stop the demo</t>
  </si>
  <si>
    <t>The button that stops a playing video.</t>
  </si>
  <si>
    <t>Entry ID</t>
  </si>
  <si>
    <t>Order</t>
  </si>
  <si>
    <t>Group</t>
  </si>
  <si>
    <t>Heading (EN)</t>
  </si>
  <si>
    <t>Heading (JP)</t>
  </si>
  <si>
    <t>Body (EN)</t>
  </si>
  <si>
    <t>Screenshot</t>
  </si>
  <si>
    <t>Caption</t>
  </si>
  <si>
    <t>Video</t>
  </si>
  <si>
    <t>HT01</t>
  </si>
  <si>
    <t>The Goal</t>
  </si>
  <si>
    <t>You are a legislator</t>
  </si>
  <si>
    <t>Fight rhetorical battles in Yezo's parliament using a hand of argument cards. Battles chain into levels, and your standing carries from one to the next.</t>
  </si>
  <si>
    <t>HT02</t>
  </si>
  <si>
    <t>How a turn works</t>
  </si>
  <si>
    <t>See what your opponent plans, spend your energy to play cards, then end your turn. The opponent acts, and you draw a new hand.</t>
  </si>
  <si>
    <t>HT03</t>
  </si>
  <si>
    <t>Winning and Losing</t>
  </si>
  <si>
    <t>Winning a debate</t>
  </si>
  <si>
    <t>Push your support up to the win mark before time runs out. The Floor Debate needs {majority} of {seats} seats. Argue your opponent's support down to nothing and you win at once.</t>
  </si>
  <si>
    <t>HT04</t>
  </si>
  <si>
    <t>Losing a debate</t>
  </si>
  <si>
    <t>You lose if your gaffe meter fills, if time runs out, or if your own support falls to nothing. Losing costs you standing, and usually ends the level.</t>
  </si>
  <si>
    <t>HT05</t>
  </si>
  <si>
    <t>Press conferences</t>
  </si>
  <si>
    <t>There is no race. You answer a set of questions, and your tone is judged after the last one. Skipping a question costs you tone.</t>
  </si>
  <si>
    <t>HT06</t>
  </si>
  <si>
    <t>TV debates</t>
  </si>
  <si>
    <t>Stay at or above the win mark at the end of every turn.</t>
  </si>
  <si>
    <t>HT07</t>
  </si>
  <si>
    <t>Several opponents</t>
  </si>
  <si>
    <t>Committees, Town Halls, Caucuses and Floor Debates make you beat several opponents in a row. A committee resets everything between opponents. The others keep your clock running.</t>
  </si>
  <si>
    <t>HT08</t>
  </si>
  <si>
    <t>Energy and cost</t>
  </si>
  <si>
    <t>Every card costs energy. Unspent energy does not carry over. Ending a turn without playing a card costs you {pass_penalty} energy next turn.</t>
  </si>
  <si>
    <t>HT09</t>
  </si>
  <si>
    <t>Suits and rooms</t>
  </si>
  <si>
    <t>There are six suits of rhetoric. Each room favours some suits and suppresses others. Tap a card to see how this room treats it.</t>
  </si>
  <si>
    <t>HT10</t>
  </si>
  <si>
    <t>Some cards add to your gaffe meter. Fill it and the debate is lost. The limit changes from room to room, from {gaffe_min} to {gaffe_max}, and is shown on the battle screen.</t>
  </si>
  <si>
    <t>HT11</t>
  </si>
  <si>
    <t>Guard soaks up attacks, stacks up to {guard_cap}, and carries between turns.</t>
  </si>
  <si>
    <t>HT12</t>
  </si>
  <si>
    <t>Answering questions</t>
  </si>
  <si>
    <t>In rooms that ask questions, the invited suit earns a bonus and pleases the organisation asking. A weak answer weakens your card and annoys them.</t>
  </si>
  <si>
    <t>HT13</t>
  </si>
  <si>
    <t>Between Battles</t>
  </si>
  <si>
    <t>Your four standings</t>
  </si>
  <si>
    <t>Constituency support, Reputation, Funds and Party support. Stages move them. If Constituency support gets very low, a Town Hall is forced on you. If Party support hits zero, your Funds stop coming in.</t>
  </si>
  <si>
    <t>HT14</t>
  </si>
  <si>
    <t>Organisations remember how you treated them. Pleasing one helps you later.</t>
  </si>
  <si>
    <t>HT15</t>
  </si>
  <si>
    <t>XP and cards</t>
  </si>
  <si>
    <t>XP buys Rhetoric Training sessions, where you draw a card and decide whether to learn it. Build your deck on the deck screen.</t>
  </si>
  <si>
    <t>HT16</t>
  </si>
  <si>
    <t>Marketplace and staff</t>
  </si>
  <si>
    <t>Spend Funds and XP on supplies and hires that help you in a stage or across a whole level.</t>
  </si>
  <si>
    <t>HT17</t>
  </si>
  <si>
    <t>Office Hours and Floor Votes</t>
  </si>
  <si>
    <t>Office Hours are conversations with visitors. A Floor Vote is a single Yes, No or Abstain decision that changes how parties see you.</t>
  </si>
  <si>
    <t>HT18</t>
  </si>
  <si>
    <t>Saving</t>
  </si>
  <si>
    <t>Resume or abandon</t>
  </si>
  <si>
    <t>The game saves after each stage. Reopen it mid-level and you can resume or abandon the level. A stage in progress starts over.</t>
  </si>
  <si>
    <t>{question}</t>
  </si>
  <si>
    <t>Choose your champion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</si>
</sst>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x"/>
    <numFmt numFmtId="165" formatCode="\+0;\−0;0"/>
  </numFmts>
  <fonts count="45">
    <font>
      <sz val="11"/>
      <color theme="1"/>
      <name val="Calibri"/>
      <family val="2"/>
      <charset val="1"/>
    </font>
    <font>
      <sz val="11"/>
      <color theme="1"/>
      <name val="Calibri"/>
      <family val="2"/>
      <scheme val="minor"/>
    </font>
    <font>
      <sz val="11"/>
      <color theme="1"/>
      <name val="Calibri"/>
      <family val="2"/>
      <scheme val="minor"/>
    </font>
    <font>
      <sz val="11"/>
      <color rgb="FF0000FF"/>
      <name val="Arial"/>
      <family val="2"/>
    </font>
    <font>
      <b/>
      <sz val="11"/>
      <color rgb="FFFFFFFF"/>
      <name val="Arial"/>
      <family val="2"/>
    </font>
    <font>
      <sz val="11"/>
      <color rgb="FF000000"/>
      <name val="Arial"/>
      <family val="2"/>
    </font>
    <font>
      <sz val="11"/>
      <color rgb="FF0000FF"/>
      <name val="Noto Sans CJK SC"/>
      <family val="2"/>
      <charset val="1"/>
    </font>
    <font>
      <sz val="11"/>
      <color rgb="FF0000FF"/>
      <name val="Noto Sans CJK SC"/>
      <family val="2"/>
    </font>
    <font>
      <b/>
      <sz val="11"/>
      <color rgb="FFFFFFFF"/>
      <name val="Noto Sans CJK SC"/>
      <family val="2"/>
      <charset val="1"/>
    </font>
    <font>
      <i/>
      <sz val="11"/>
      <name val="Arial"/>
      <family val="2"/>
    </font>
    <font>
      <b/>
      <sz val="11"/>
      <name val="Calibri"/>
      <family val="2"/>
    </font>
    <font>
      <b/>
      <sz val="10"/>
      <color rgb="FFFFFFFF"/>
      <name val="Arial"/>
      <family val="2"/>
    </font>
    <font>
      <b/>
      <sz val="10"/>
      <name val="Arial"/>
      <family val="2"/>
    </font>
    <font>
      <sz val="10"/>
      <name val="Arial"/>
      <family val="2"/>
    </font>
    <font>
      <sz val="9"/>
      <color rgb="FF404040"/>
      <name val="Arial"/>
      <family val="2"/>
    </font>
    <font>
      <b/>
      <sz val="12"/>
      <name val="Arial"/>
      <family val="2"/>
    </font>
    <font>
      <i/>
      <sz val="9"/>
      <color rgb="FF808080"/>
      <name val="Arial"/>
      <family val="2"/>
    </font>
    <font>
      <i/>
      <sz val="9"/>
      <color rgb="FF404040"/>
      <name val="Arial"/>
      <family val="2"/>
    </font>
    <font>
      <sz val="11"/>
      <color rgb="FF0000FF"/>
      <name val="Arial"/>
      <family val="2"/>
    </font>
    <font>
      <b/>
      <sz val="11"/>
      <color theme="1"/>
      <name val="Calibri"/>
      <family val="2"/>
      <charset val="1"/>
    </font>
    <font>
      <sz val="8"/>
      <name val="Calibri"/>
      <family val="2"/>
      <charset val="1"/>
    </font>
    <font>
      <b/>
      <sz val="11"/>
      <color rgb="FFFFFFFF"/>
      <name val="Arial"/>
      <family val="2"/>
    </font>
    <font>
      <sz val="11"/>
      <color rgb="FF000000"/>
      <name val="Arial"/>
      <family val="2"/>
    </font>
    <font>
      <sz val="11"/>
      <color theme="6"/>
      <name val="Arial"/>
      <family val="2"/>
    </font>
    <font>
      <sz val="11"/>
      <color rgb="FF0000FF"/>
      <name val="Calibri"/>
      <family val="2"/>
      <charset val="1"/>
    </font>
    <font>
      <sz val="11"/>
      <color rgb="FF0000FF"/>
      <name val="Arial"/>
      <family val="2"/>
    </font>
    <font>
      <sz val="11"/>
      <color rgb="FF0000FF"/>
      <name val="Noto Sans CJK SC"/>
    </font>
    <font>
      <b/>
      <sz val="11"/>
      <color rgb="FFFFFFFF"/>
      <name val="Calibri"/>
      <family val="2"/>
    </font>
    <font>
      <b/>
      <sz val="11"/>
      <color rgb="FFFFFFFF"/>
      <name val="Arial"/>
      <family val="2"/>
    </font>
    <font>
      <sz val="11"/>
      <color rgb="FF000000"/>
      <name val="Calibri"/>
      <family val="2"/>
    </font>
    <font>
      <sz val="11"/>
      <color rgb="FF0000FF"/>
      <name val="Calibri"/>
      <family val="2"/>
    </font>
    <font>
      <b/>
      <sz val="11"/>
      <color rgb="FFFFFFFF"/>
      <name val="Calibri"/>
      <family val="2"/>
    </font>
    <font>
      <sz val="11"/>
      <color rgb="FF000000"/>
      <name val="Calibri"/>
      <family val="2"/>
    </font>
    <font>
      <sz val="10"/>
      <color theme="1"/>
      <name val="Arial"/>
      <family val="2"/>
    </font>
    <font>
      <sz val="11"/>
      <color rgb="FF0000FF"/>
      <name val="Calibri"/>
    </font>
    <font>
      <sz val="11"/>
      <name val="Calibri"/>
    </font>
    <font>
      <b/>
      <sz val="14"/>
      <name val="Calibri"/>
    </font>
    <font>
      <sz val="10"/>
      <name val="Calibri"/>
    </font>
    <font>
      <b/>
      <sz val="10"/>
      <name val="Calibri"/>
    </font>
    <font>
      <sz val="11"/>
      <color rgb="FF008000"/>
      <name val="Calibri"/>
    </font>
    <font>
      <b/>
      <sz val="11"/>
      <color rgb="FFFFFFFF"/>
      <name val="Arial"/>
      <charset val="1"/>
    </font>
    <font>
      <b/>
      <sz val="11"/>
      <name val="Arial"/>
      <charset val="1"/>
    </font>
    <font>
      <sz val="11"/>
      <name val="Arial"/>
      <charset val="1"/>
    </font>
    <font>
      <b/>
      <sz val="11"/>
      <color theme="1"/>
      <name val="Calibri"/>
      <family val="2"/>
    </font>
    <font>
      <sz val="10"/>
      <color rgb="FF1F2937"/>
      <name val="Arial"/>
      <family val="2"/>
    </font>
  </fonts>
  <fills count="17">
    <fill>
      <patternFill patternType="none"/>
    </fill>
    <fill>
      <patternFill patternType="gray125"/>
    </fill>
    <fill>
      <patternFill patternType="solid">
        <fgColor rgb="FFF2F2F2"/>
        <bgColor rgb="FFFFFFFF"/>
      </patternFill>
    </fill>
    <fill>
      <patternFill patternType="solid">
        <fgColor rgb="FF7A1F2B"/>
        <bgColor rgb="FF800000"/>
      </patternFill>
    </fill>
    <fill>
      <patternFill patternType="solid">
        <fgColor rgb="FF1F3864"/>
        <bgColor rgb="FF333399"/>
      </patternFill>
    </fill>
    <fill>
      <patternFill patternType="solid">
        <fgColor rgb="FF595959"/>
        <bgColor rgb="FF404040"/>
      </patternFill>
    </fill>
    <fill>
      <patternFill patternType="solid">
        <fgColor rgb="FFE8F1FB"/>
        <bgColor rgb="FFEEEEEE"/>
      </patternFill>
    </fill>
    <fill>
      <patternFill patternType="solid">
        <fgColor rgb="FFFDEDEC"/>
        <bgColor rgb="FFF4ECF7"/>
      </patternFill>
    </fill>
    <fill>
      <patternFill patternType="solid">
        <fgColor rgb="FFEAF4EA"/>
        <bgColor rgb="FFEEEEEE"/>
      </patternFill>
    </fill>
    <fill>
      <patternFill patternType="solid">
        <fgColor rgb="FFFFF7E6"/>
        <bgColor rgb="FFFDEDEC"/>
      </patternFill>
    </fill>
    <fill>
      <patternFill patternType="solid">
        <fgColor rgb="FFF4ECF7"/>
        <bgColor rgb="FFEEEEEE"/>
      </patternFill>
    </fill>
    <fill>
      <patternFill patternType="solid">
        <fgColor rgb="FFEEEEEE"/>
        <bgColor rgb="FFF4ECF7"/>
      </patternFill>
    </fill>
    <fill>
      <patternFill patternType="solid">
        <fgColor rgb="FF7A1F2B"/>
      </patternFill>
    </fill>
    <fill>
      <patternFill patternType="solid">
        <fgColor rgb="FFF2F2F2"/>
      </patternFill>
    </fill>
    <fill>
      <patternFill patternType="solid">
        <fgColor rgb="FFFFFF00"/>
      </patternFill>
    </fill>
    <fill>
      <patternFill patternType="solid">
        <fgColor rgb="FF1F3864"/>
        <bgColor rgb="FF333333"/>
      </patternFill>
    </fill>
    <fill>
      <patternFill patternType="solid">
        <fgColor rgb="FFD9D9D9"/>
        <bgColor rgb="FFF8CBAD"/>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right/>
      <top style="medium">
        <color rgb="FFE5E7EB"/>
      </top>
      <bottom style="medium">
        <color rgb="FFE5E7EB"/>
      </bottom>
      <diagonal/>
    </border>
    <border>
      <left/>
      <right style="medium">
        <color rgb="FFFFFFFF"/>
      </right>
      <top style="medium">
        <color rgb="FFE5E7EB"/>
      </top>
      <bottom style="medium">
        <color rgb="FFE5E7EB"/>
      </bottom>
      <diagonal/>
    </border>
    <border>
      <left/>
      <right/>
      <top style="medium">
        <color rgb="FFE5E7EB"/>
      </top>
      <bottom style="medium">
        <color rgb="FFCBD5E1"/>
      </bottom>
      <diagonal/>
    </border>
    <border>
      <left/>
      <right style="medium">
        <color rgb="FFFFFFFF"/>
      </right>
      <top style="medium">
        <color rgb="FFE5E7EB"/>
      </top>
      <bottom style="medium">
        <color rgb="FFCBD5E1"/>
      </bottom>
      <diagonal/>
    </border>
    <border>
      <left style="thin">
        <color rgb="FFBFBFBF"/>
      </left>
      <right/>
      <top/>
      <bottom/>
      <diagonal/>
    </border>
  </borders>
  <cellStyleXfs count="5">
    <xf numFmtId="0" fontId="0" fillId="0" borderId="0"/>
    <xf numFmtId="0" fontId="2" fillId="0" borderId="0"/>
    <xf numFmtId="0" fontId="2" fillId="0" borderId="0"/>
    <xf numFmtId="0" fontId="1" fillId="0" borderId="0"/>
    <xf numFmtId="0" fontId="1" fillId="0" borderId="0"/>
  </cellStyleXfs>
  <cellXfs count="141">
    <xf numFmtId="0" fontId="0" fillId="0" borderId="0" xfId="0"/>
    <xf numFmtId="0" fontId="3" fillId="0" borderId="0" xfId="0" applyFont="1" applyAlignment="1">
      <alignment vertical="top" wrapText="1"/>
    </xf>
    <xf numFmtId="0" fontId="4" fillId="3" borderId="1" xfId="0" applyFont="1" applyFill="1" applyBorder="1" applyAlignment="1">
      <alignment vertical="center" wrapText="1"/>
    </xf>
    <xf numFmtId="0" fontId="5" fillId="0" borderId="1" xfId="0" applyFont="1" applyBorder="1" applyAlignment="1">
      <alignment vertical="top" wrapText="1"/>
    </xf>
    <xf numFmtId="0" fontId="3" fillId="0" borderId="1" xfId="0" applyFont="1" applyBorder="1" applyAlignment="1">
      <alignment vertical="top" wrapText="1"/>
    </xf>
    <xf numFmtId="9" fontId="3" fillId="0" borderId="1" xfId="0" applyNumberFormat="1" applyFont="1" applyBorder="1" applyAlignment="1">
      <alignment vertical="top" wrapText="1"/>
    </xf>
    <xf numFmtId="0" fontId="6" fillId="0" borderId="1" xfId="0" applyFont="1" applyBorder="1" applyAlignment="1">
      <alignment vertical="top" wrapText="1"/>
    </xf>
    <xf numFmtId="0" fontId="8" fillId="3" borderId="1" xfId="0" applyFont="1" applyFill="1" applyBorder="1" applyAlignment="1">
      <alignment vertical="center" wrapText="1"/>
    </xf>
    <xf numFmtId="164" fontId="3" fillId="0" borderId="1" xfId="0" applyNumberFormat="1" applyFont="1" applyBorder="1" applyAlignment="1">
      <alignment vertical="top" wrapText="1"/>
    </xf>
    <xf numFmtId="0" fontId="9" fillId="0" borderId="1" xfId="0" applyFont="1" applyBorder="1" applyAlignment="1">
      <alignment vertical="top" wrapText="1"/>
    </xf>
    <xf numFmtId="164" fontId="5" fillId="0" borderId="1" xfId="0" applyNumberFormat="1" applyFont="1" applyBorder="1" applyAlignment="1">
      <alignment vertical="top" wrapText="1"/>
    </xf>
    <xf numFmtId="0" fontId="7" fillId="0" borderId="1" xfId="0" applyFont="1" applyBorder="1" applyAlignment="1">
      <alignment vertical="top" wrapText="1"/>
    </xf>
    <xf numFmtId="0" fontId="10" fillId="0" borderId="0" xfId="0" applyFont="1"/>
    <xf numFmtId="0" fontId="0" fillId="0" borderId="0" xfId="0" applyAlignment="1">
      <alignment vertical="top" wrapText="1"/>
    </xf>
    <xf numFmtId="0" fontId="11" fillId="4" borderId="0" xfId="0" applyFont="1" applyFill="1" applyAlignment="1">
      <alignment horizontal="center" vertical="center" wrapText="1"/>
    </xf>
    <xf numFmtId="0" fontId="11" fillId="5" borderId="0" xfId="0" applyFont="1" applyFill="1" applyAlignment="1">
      <alignment horizontal="center" vertical="center" wrapText="1"/>
    </xf>
    <xf numFmtId="0" fontId="12" fillId="0" borderId="0" xfId="0" applyFont="1"/>
    <xf numFmtId="0" fontId="13" fillId="6" borderId="0" xfId="0" applyFont="1" applyFill="1" applyAlignment="1">
      <alignment horizontal="center" vertical="top"/>
    </xf>
    <xf numFmtId="0" fontId="13" fillId="6" borderId="0" xfId="0" applyFont="1" applyFill="1" applyAlignment="1">
      <alignment horizontal="left" vertical="top"/>
    </xf>
    <xf numFmtId="0" fontId="13" fillId="6" borderId="0" xfId="0" applyFont="1" applyFill="1" applyAlignment="1">
      <alignment horizontal="left" vertical="top" wrapText="1"/>
    </xf>
    <xf numFmtId="0" fontId="14" fillId="0" borderId="0" xfId="0" applyFont="1"/>
    <xf numFmtId="0" fontId="13" fillId="7" borderId="0" xfId="0" applyFont="1" applyFill="1" applyAlignment="1">
      <alignment horizontal="center" vertical="top"/>
    </xf>
    <xf numFmtId="0" fontId="13" fillId="7" borderId="0" xfId="0" applyFont="1" applyFill="1" applyAlignment="1">
      <alignment horizontal="left" vertical="top"/>
    </xf>
    <xf numFmtId="0" fontId="13" fillId="7" borderId="0" xfId="0" applyFont="1" applyFill="1" applyAlignment="1">
      <alignment horizontal="left" vertical="top" wrapText="1"/>
    </xf>
    <xf numFmtId="0" fontId="13" fillId="8" borderId="0" xfId="0" applyFont="1" applyFill="1" applyAlignment="1">
      <alignment horizontal="center" vertical="top"/>
    </xf>
    <xf numFmtId="0" fontId="13" fillId="8" borderId="0" xfId="0" applyFont="1" applyFill="1" applyAlignment="1">
      <alignment horizontal="left" vertical="top"/>
    </xf>
    <xf numFmtId="0" fontId="13" fillId="8" borderId="0" xfId="0" applyFont="1" applyFill="1" applyAlignment="1">
      <alignment horizontal="left" vertical="top" wrapText="1"/>
    </xf>
    <xf numFmtId="0" fontId="13" fillId="9" borderId="0" xfId="0" applyFont="1" applyFill="1" applyAlignment="1">
      <alignment horizontal="center" vertical="top"/>
    </xf>
    <xf numFmtId="0" fontId="13" fillId="9" borderId="0" xfId="0" applyFont="1" applyFill="1" applyAlignment="1">
      <alignment horizontal="left" vertical="top"/>
    </xf>
    <xf numFmtId="0" fontId="13" fillId="9" borderId="0" xfId="0" applyFont="1" applyFill="1" applyAlignment="1">
      <alignment horizontal="left" vertical="top" wrapText="1"/>
    </xf>
    <xf numFmtId="0" fontId="13" fillId="10" borderId="0" xfId="0" applyFont="1" applyFill="1" applyAlignment="1">
      <alignment horizontal="center" vertical="top"/>
    </xf>
    <xf numFmtId="0" fontId="13" fillId="10" borderId="0" xfId="0" applyFont="1" applyFill="1" applyAlignment="1">
      <alignment horizontal="left" vertical="top"/>
    </xf>
    <xf numFmtId="0" fontId="13" fillId="10" borderId="0" xfId="0" applyFont="1" applyFill="1" applyAlignment="1">
      <alignment horizontal="left" vertical="top" wrapText="1"/>
    </xf>
    <xf numFmtId="0" fontId="13" fillId="11" borderId="0" xfId="0" applyFont="1" applyFill="1" applyAlignment="1">
      <alignment horizontal="center" vertical="top"/>
    </xf>
    <xf numFmtId="0" fontId="13" fillId="11" borderId="0" xfId="0" applyFont="1" applyFill="1" applyAlignment="1">
      <alignment horizontal="left" vertical="top"/>
    </xf>
    <xf numFmtId="0" fontId="13" fillId="11" borderId="0" xfId="0" applyFont="1" applyFill="1" applyAlignment="1">
      <alignment horizontal="left" vertical="top" wrapText="1"/>
    </xf>
    <xf numFmtId="0" fontId="15" fillId="0" borderId="0" xfId="0" applyFont="1"/>
    <xf numFmtId="0" fontId="16" fillId="0" borderId="0" xfId="0" applyFont="1"/>
    <xf numFmtId="0" fontId="11" fillId="4" borderId="0" xfId="0" applyFont="1" applyFill="1"/>
    <xf numFmtId="0" fontId="12" fillId="6" borderId="0" xfId="0" applyFont="1" applyFill="1" applyAlignment="1">
      <alignment vertical="top" wrapText="1"/>
    </xf>
    <xf numFmtId="0" fontId="13" fillId="6" borderId="0" xfId="0" applyFont="1" applyFill="1" applyAlignment="1">
      <alignment vertical="top" wrapText="1"/>
    </xf>
    <xf numFmtId="0" fontId="12" fillId="7" borderId="0" xfId="0" applyFont="1" applyFill="1" applyAlignment="1">
      <alignment vertical="top" wrapText="1"/>
    </xf>
    <xf numFmtId="0" fontId="13" fillId="7" borderId="0" xfId="0" applyFont="1" applyFill="1" applyAlignment="1">
      <alignment vertical="top" wrapText="1"/>
    </xf>
    <xf numFmtId="0" fontId="12" fillId="8" borderId="0" xfId="0" applyFont="1" applyFill="1" applyAlignment="1">
      <alignment vertical="top" wrapText="1"/>
    </xf>
    <xf numFmtId="0" fontId="13" fillId="8" borderId="0" xfId="0" applyFont="1" applyFill="1" applyAlignment="1">
      <alignment vertical="top" wrapText="1"/>
    </xf>
    <xf numFmtId="0" fontId="12" fillId="9" borderId="0" xfId="0" applyFont="1" applyFill="1" applyAlignment="1">
      <alignment vertical="top" wrapText="1"/>
    </xf>
    <xf numFmtId="0" fontId="13" fillId="9" borderId="0" xfId="0" applyFont="1" applyFill="1" applyAlignment="1">
      <alignment vertical="top" wrapText="1"/>
    </xf>
    <xf numFmtId="0" fontId="12" fillId="10" borderId="0" xfId="0" applyFont="1" applyFill="1" applyAlignment="1">
      <alignment vertical="top" wrapText="1"/>
    </xf>
    <xf numFmtId="0" fontId="13" fillId="10" borderId="0" xfId="0" applyFont="1" applyFill="1" applyAlignment="1">
      <alignment vertical="top" wrapText="1"/>
    </xf>
    <xf numFmtId="0" fontId="12" fillId="11" borderId="0" xfId="0" applyFont="1" applyFill="1" applyAlignment="1">
      <alignment vertical="top" wrapText="1"/>
    </xf>
    <xf numFmtId="0" fontId="13" fillId="11" borderId="0" xfId="0" applyFont="1" applyFill="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13" fillId="0" borderId="0" xfId="0" applyFont="1" applyAlignment="1">
      <alignment horizontal="center" vertical="top"/>
    </xf>
    <xf numFmtId="0" fontId="12" fillId="0" borderId="0" xfId="0" applyFont="1" applyAlignment="1">
      <alignment horizontal="left" vertical="top" wrapText="1"/>
    </xf>
    <xf numFmtId="0" fontId="13" fillId="0" borderId="0" xfId="0" applyFont="1" applyAlignment="1">
      <alignment horizontal="left" vertical="top"/>
    </xf>
    <xf numFmtId="0" fontId="13" fillId="0" borderId="0" xfId="0" applyFont="1" applyAlignment="1">
      <alignment horizontal="left" vertical="top" wrapText="1"/>
    </xf>
    <xf numFmtId="0" fontId="12" fillId="0" borderId="0" xfId="0" applyFont="1" applyAlignment="1">
      <alignment horizontal="center"/>
    </xf>
    <xf numFmtId="0" fontId="17" fillId="0" borderId="0" xfId="0" applyFont="1"/>
    <xf numFmtId="0" fontId="18" fillId="0" borderId="1" xfId="0" applyFont="1" applyBorder="1" applyAlignment="1">
      <alignment vertical="top" wrapText="1"/>
    </xf>
    <xf numFmtId="0" fontId="19" fillId="0" borderId="0" xfId="0" applyFont="1" applyAlignment="1">
      <alignment horizontal="center" vertical="center" wrapText="1"/>
    </xf>
    <xf numFmtId="0" fontId="0" fillId="0" borderId="0" xfId="0" applyAlignment="1">
      <alignment vertical="center" wrapText="1"/>
    </xf>
    <xf numFmtId="0" fontId="18" fillId="0" borderId="2" xfId="0" applyFont="1" applyBorder="1" applyAlignment="1">
      <alignment vertical="top" wrapText="1"/>
    </xf>
    <xf numFmtId="0" fontId="21" fillId="3" borderId="1" xfId="0" applyFont="1" applyFill="1" applyBorder="1" applyAlignment="1">
      <alignment vertical="center" wrapText="1"/>
    </xf>
    <xf numFmtId="0" fontId="0" fillId="0" borderId="0" xfId="0" applyAlignment="1">
      <alignment horizontal="right" vertical="center" wrapText="1"/>
    </xf>
    <xf numFmtId="0" fontId="19" fillId="0" borderId="0" xfId="0" applyFont="1" applyAlignment="1">
      <alignment horizontal="right" vertical="center" wrapText="1"/>
    </xf>
    <xf numFmtId="0" fontId="19" fillId="0" borderId="0" xfId="0" applyFont="1" applyAlignment="1">
      <alignment vertical="center" wrapText="1"/>
    </xf>
    <xf numFmtId="3" fontId="3" fillId="0" borderId="1" xfId="0" applyNumberFormat="1" applyFont="1" applyBorder="1" applyAlignment="1">
      <alignment vertical="top" wrapText="1"/>
    </xf>
    <xf numFmtId="0" fontId="22" fillId="0" borderId="1" xfId="0" applyFont="1" applyBorder="1" applyAlignment="1">
      <alignment vertical="top" wrapText="1"/>
    </xf>
    <xf numFmtId="49" fontId="3" fillId="0" borderId="1" xfId="0" applyNumberFormat="1" applyFont="1" applyBorder="1" applyAlignment="1">
      <alignment vertical="top" wrapText="1"/>
    </xf>
    <xf numFmtId="49" fontId="5" fillId="0" borderId="1" xfId="0" applyNumberFormat="1" applyFont="1" applyBorder="1" applyAlignment="1">
      <alignment vertical="top" wrapText="1"/>
    </xf>
    <xf numFmtId="49" fontId="18" fillId="0" borderId="1" xfId="0" applyNumberFormat="1" applyFont="1" applyBorder="1" applyAlignment="1">
      <alignment vertical="top" wrapText="1"/>
    </xf>
    <xf numFmtId="49" fontId="22" fillId="0" borderId="1" xfId="0" applyNumberFormat="1" applyFont="1" applyBorder="1" applyAlignment="1">
      <alignment vertical="top" wrapText="1"/>
    </xf>
    <xf numFmtId="1" fontId="3" fillId="0" borderId="1" xfId="0" applyNumberFormat="1" applyFont="1" applyBorder="1" applyAlignment="1">
      <alignment vertical="top" wrapText="1"/>
    </xf>
    <xf numFmtId="0" fontId="23" fillId="0" borderId="1" xfId="0" applyFont="1" applyBorder="1" applyAlignment="1">
      <alignment vertical="top" wrapText="1"/>
    </xf>
    <xf numFmtId="0" fontId="24" fillId="0" borderId="0" xfId="0" applyFont="1"/>
    <xf numFmtId="0" fontId="3" fillId="0" borderId="2" xfId="0" applyFont="1" applyBorder="1" applyAlignment="1">
      <alignment vertical="top" wrapText="1"/>
    </xf>
    <xf numFmtId="0" fontId="24" fillId="0" borderId="0" xfId="0" applyFont="1" applyAlignment="1">
      <alignment vertical="center" wrapText="1"/>
    </xf>
    <xf numFmtId="0" fontId="30" fillId="0" borderId="0" xfId="0" applyFont="1"/>
    <xf numFmtId="0" fontId="28" fillId="12" borderId="1" xfId="0" applyFont="1" applyFill="1" applyBorder="1" applyAlignment="1">
      <alignment vertical="center" wrapText="1"/>
    </xf>
    <xf numFmtId="0" fontId="27" fillId="12" borderId="0" xfId="0" applyFont="1" applyFill="1"/>
    <xf numFmtId="49" fontId="25" fillId="0" borderId="1" xfId="0" applyNumberFormat="1" applyFont="1" applyBorder="1" applyAlignment="1">
      <alignment vertical="top" wrapText="1"/>
    </xf>
    <xf numFmtId="49" fontId="25" fillId="0" borderId="0" xfId="0" applyNumberFormat="1" applyFont="1"/>
    <xf numFmtId="49" fontId="25" fillId="0" borderId="2" xfId="0" applyNumberFormat="1" applyFont="1" applyBorder="1" applyAlignment="1">
      <alignment vertical="top" wrapText="1"/>
    </xf>
    <xf numFmtId="0" fontId="25" fillId="0" borderId="0" xfId="0" applyFont="1"/>
    <xf numFmtId="0" fontId="29" fillId="0" borderId="0" xfId="0" applyFont="1"/>
    <xf numFmtId="9" fontId="25" fillId="0" borderId="1" xfId="0" applyNumberFormat="1" applyFont="1" applyBorder="1" applyAlignment="1">
      <alignment vertical="top" wrapText="1"/>
    </xf>
    <xf numFmtId="1" fontId="25" fillId="0" borderId="1" xfId="0" applyNumberFormat="1" applyFont="1" applyBorder="1" applyAlignment="1">
      <alignment vertical="top" wrapText="1"/>
    </xf>
    <xf numFmtId="9" fontId="26" fillId="0" borderId="1" xfId="0" applyNumberFormat="1" applyFont="1" applyBorder="1" applyAlignment="1">
      <alignment vertical="top" wrapText="1"/>
    </xf>
    <xf numFmtId="0" fontId="26" fillId="0" borderId="0" xfId="0" applyFont="1"/>
    <xf numFmtId="1" fontId="25" fillId="0" borderId="0" xfId="0" applyNumberFormat="1" applyFont="1"/>
    <xf numFmtId="0" fontId="25" fillId="0" borderId="1" xfId="0" applyFont="1" applyBorder="1" applyAlignment="1">
      <alignment vertical="top" wrapText="1"/>
    </xf>
    <xf numFmtId="0" fontId="25" fillId="2" borderId="1" xfId="0" applyFont="1" applyFill="1" applyBorder="1" applyAlignment="1">
      <alignment vertical="top" wrapText="1"/>
    </xf>
    <xf numFmtId="0" fontId="31" fillId="12" borderId="0" xfId="0" applyFont="1" applyFill="1" applyAlignment="1">
      <alignment vertical="center" wrapText="1"/>
    </xf>
    <xf numFmtId="3" fontId="30" fillId="0" borderId="0" xfId="0" applyNumberFormat="1" applyFont="1"/>
    <xf numFmtId="0" fontId="32" fillId="0" borderId="0" xfId="0" applyFont="1"/>
    <xf numFmtId="0" fontId="33" fillId="0" borderId="3" xfId="0" applyFont="1" applyBorder="1" applyAlignment="1">
      <alignment wrapText="1"/>
    </xf>
    <xf numFmtId="0" fontId="33" fillId="0" borderId="0" xfId="0" applyFont="1" applyAlignment="1">
      <alignment wrapText="1"/>
    </xf>
    <xf numFmtId="49" fontId="24" fillId="0" borderId="1" xfId="0" applyNumberFormat="1" applyFont="1" applyBorder="1" applyAlignment="1">
      <alignment vertical="top"/>
    </xf>
    <xf numFmtId="0" fontId="0" fillId="0" borderId="3" xfId="0" applyBorder="1"/>
    <xf numFmtId="0" fontId="27" fillId="12" borderId="0" xfId="1" applyFont="1" applyFill="1" applyAlignment="1">
      <alignment vertical="center" wrapText="1"/>
    </xf>
    <xf numFmtId="0" fontId="30" fillId="0" borderId="0" xfId="1" applyFont="1" applyAlignment="1">
      <alignment vertical="top" wrapText="1"/>
    </xf>
    <xf numFmtId="3" fontId="30" fillId="0" borderId="0" xfId="1" applyNumberFormat="1" applyFont="1" applyAlignment="1">
      <alignment vertical="top" wrapText="1"/>
    </xf>
    <xf numFmtId="0" fontId="29" fillId="0" borderId="0" xfId="1" applyFont="1" applyAlignment="1">
      <alignment vertical="top" wrapText="1"/>
    </xf>
    <xf numFmtId="0" fontId="34" fillId="0" borderId="0" xfId="0" applyFont="1" applyAlignment="1">
      <alignment vertical="top" wrapText="1"/>
    </xf>
    <xf numFmtId="0" fontId="34" fillId="0" borderId="1" xfId="0" applyFont="1" applyBorder="1" applyAlignment="1">
      <alignment vertical="top" wrapText="1"/>
    </xf>
    <xf numFmtId="0" fontId="34" fillId="0" borderId="1" xfId="0" applyFont="1" applyBorder="1"/>
    <xf numFmtId="0" fontId="34" fillId="0" borderId="3" xfId="0" applyFont="1" applyBorder="1" applyAlignment="1">
      <alignment wrapText="1"/>
    </xf>
    <xf numFmtId="0" fontId="34" fillId="0" borderId="0" xfId="0" applyFont="1" applyAlignment="1">
      <alignment wrapText="1"/>
    </xf>
    <xf numFmtId="0" fontId="34" fillId="0" borderId="0" xfId="0" applyFont="1"/>
    <xf numFmtId="0" fontId="36" fillId="0" borderId="0" xfId="0" applyFont="1"/>
    <xf numFmtId="0" fontId="35" fillId="0" borderId="0" xfId="0" applyFont="1"/>
    <xf numFmtId="0" fontId="37" fillId="0" borderId="0" xfId="0" applyFont="1"/>
    <xf numFmtId="0" fontId="38" fillId="13" borderId="0" xfId="0" applyFont="1" applyFill="1"/>
    <xf numFmtId="0" fontId="35" fillId="13" borderId="0" xfId="0" applyFont="1" applyFill="1"/>
    <xf numFmtId="0" fontId="39" fillId="0" borderId="0" xfId="0" applyFont="1"/>
    <xf numFmtId="0" fontId="35" fillId="14" borderId="0" xfId="0" applyFont="1" applyFill="1"/>
    <xf numFmtId="0" fontId="27" fillId="12" borderId="0" xfId="0" applyFont="1" applyFill="1" applyAlignment="1">
      <alignment vertical="center" wrapText="1"/>
    </xf>
    <xf numFmtId="49" fontId="24" fillId="0" borderId="0" xfId="0" applyNumberFormat="1" applyFont="1" applyAlignment="1">
      <alignment vertical="top"/>
    </xf>
    <xf numFmtId="49" fontId="3" fillId="0" borderId="0" xfId="0" applyNumberFormat="1" applyFont="1" applyAlignment="1">
      <alignment vertical="top" wrapText="1"/>
    </xf>
    <xf numFmtId="0" fontId="40" fillId="15" borderId="1" xfId="0" applyFont="1" applyFill="1" applyBorder="1" applyAlignment="1">
      <alignment vertical="center" wrapText="1"/>
    </xf>
    <xf numFmtId="0" fontId="0" fillId="0" borderId="1" xfId="0" applyBorder="1" applyAlignment="1">
      <alignment vertical="top" wrapText="1"/>
    </xf>
    <xf numFmtId="165" fontId="0" fillId="0" borderId="1" xfId="0" applyNumberFormat="1" applyBorder="1" applyAlignment="1">
      <alignment vertical="top" wrapText="1"/>
    </xf>
    <xf numFmtId="0" fontId="41" fillId="16" borderId="1" xfId="0" applyFont="1" applyFill="1" applyBorder="1" applyAlignment="1">
      <alignment vertical="center" wrapText="1"/>
    </xf>
    <xf numFmtId="0" fontId="0" fillId="16" borderId="1" xfId="0" applyFill="1" applyBorder="1" applyAlignment="1">
      <alignment vertical="top" wrapText="1"/>
    </xf>
    <xf numFmtId="0" fontId="41" fillId="0" borderId="0" xfId="0" applyFont="1"/>
    <xf numFmtId="0" fontId="42" fillId="0" borderId="0" xfId="0" applyFont="1"/>
    <xf numFmtId="49" fontId="3" fillId="0" borderId="0" xfId="0" applyNumberFormat="1" applyFont="1"/>
    <xf numFmtId="0" fontId="3" fillId="0" borderId="0" xfId="0" applyFont="1"/>
    <xf numFmtId="3" fontId="0" fillId="0" borderId="0" xfId="0" applyNumberFormat="1"/>
    <xf numFmtId="0" fontId="43" fillId="0" borderId="0" xfId="0" applyFont="1"/>
    <xf numFmtId="0" fontId="44" fillId="0" borderId="4" xfId="0" applyFont="1" applyBorder="1" applyAlignment="1">
      <alignment horizontal="center" vertical="center"/>
    </xf>
    <xf numFmtId="0" fontId="44" fillId="0" borderId="5" xfId="0" applyFont="1" applyBorder="1" applyAlignment="1">
      <alignment horizontal="center" vertical="center"/>
    </xf>
    <xf numFmtId="0" fontId="44" fillId="0" borderId="6" xfId="0" applyFont="1" applyBorder="1" applyAlignment="1">
      <alignment horizontal="center" vertical="center"/>
    </xf>
    <xf numFmtId="0" fontId="44" fillId="0" borderId="7" xfId="0" applyFont="1" applyBorder="1" applyAlignment="1">
      <alignment horizontal="center" vertical="center"/>
    </xf>
    <xf numFmtId="0" fontId="44" fillId="0" borderId="4" xfId="0" applyFont="1" applyBorder="1" applyAlignment="1">
      <alignment vertical="center"/>
    </xf>
    <xf numFmtId="0" fontId="44" fillId="0" borderId="6" xfId="0" applyFont="1" applyBorder="1" applyAlignment="1">
      <alignment vertical="center"/>
    </xf>
    <xf numFmtId="0" fontId="44" fillId="0" borderId="4" xfId="0" applyFont="1" applyBorder="1" applyAlignment="1">
      <alignment vertical="center" wrapText="1"/>
    </xf>
    <xf numFmtId="0" fontId="44" fillId="0" borderId="6" xfId="0" applyFont="1" applyBorder="1" applyAlignment="1">
      <alignment vertical="center" wrapText="1"/>
    </xf>
    <xf numFmtId="0" fontId="3" fillId="0" borderId="8" xfId="0" applyFont="1" applyBorder="1" applyAlignment="1">
      <alignment vertical="top" wrapText="1"/>
    </xf>
    <xf numFmtId="0" fontId="42" fillId="0" borderId="0" xfId="0" applyFont="1" applyAlignment="1">
      <alignment wrapText="1"/>
    </xf>
  </cellXfs>
  <cellStyles count="5">
    <cellStyle name="Normal" xfId="0" builtinId="0"/>
    <cellStyle name="Normal 2" xfId="1" xr:uid="{00000000-0005-0000-0000-000001000000}"/>
    <cellStyle name="Normal 2 2" xfId="2" xr:uid="{00000000-0005-0000-0000-000002000000}"/>
    <cellStyle name="Normal 2 2 2" xfId="4" xr:uid="{1B51571E-AB9E-4953-952B-6EC7A8999BBA}"/>
    <cellStyle name="Normal 2 3" xfId="3" xr:uid="{4BA7910D-4B31-4D83-BD13-495263AE2661}"/>
  </cellStyles>
  <dxfs count="1">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A1F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49" Type="http://schemas.openxmlformats.org/officeDocument/2006/relationships/worksheet" Target="worksheets/sheet44.xml"/><Relationship Id="rId50" Type="http://schemas.openxmlformats.org/officeDocument/2006/relationships/worksheet" Target="worksheets/sheet45.xml"/><Relationship Id="rId51" Type="http://schemas.openxmlformats.org/officeDocument/2006/relationships/worksheet" Target="worksheets/sheet46.xml"/><Relationship Id="rId52" Type="http://schemas.openxmlformats.org/officeDocument/2006/relationships/worksheet" Target="worksheets/sheet47.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0"/>
  <sheetViews>
    <sheetView zoomScaleNormal="100" workbookViewId="0">
      <selection activeCell="E27" sqref="E27"/>
    </sheetView>
  </sheetViews>
  <sheetFormatPr defaultColWidth="8.7109375" defaultRowHeight="15"/>
  <cols>
    <col min="1" max="1" width="24" customWidth="1"/>
    <col min="2" max="2" width="95" customWidth="1"/>
  </cols>
  <sheetData>
    <row r="1" spans="1:2" ht="17.25" customHeight="1">
      <c r="A1" s="110" t="s">
        <v>393</v>
      </c>
      <c r="B1" s="111"/>
    </row>
    <row r="2" spans="1:2" ht="26.25" customHeight="1">
      <c r="A2" s="112" t="s">
        <v>394</v>
      </c>
      <c r="B2" s="111" t="s">
        <v>395</v>
      </c>
    </row>
    <row r="3" ht="26.25" customHeight="1">
      <c r="A3" s="112" t="s">
        <v>396</v>
      </c>
      <c r="B3" s="111" t="inlineStr">
        <is>
          <t xml:space="preserve">MASTER (v9.22.26 lineage), refreshed 2026-10-13 (Batch 1 adopted: eight topic rooms ST24-ST31, levels LV61-LV62, transitions switched on). Every Combat stage has at least one opponent; ST07 (Office Hours) and ST22 (Party Steering Committee Check-In) are Non-combat and ST23 (National Assembly Floor Voting) is a Vote. Fields not yet final are marked as drafts in their own Note/Why cells; the header of every column carries a note saying what it means and what blank does.</t>
        </is>
      </c>
    </row>
    <row r="4" spans="1:2" ht="15" customHeight="1">
      <c r="A4" s="111"/>
      <c r="B4" s="111"/>
    </row>
    <row r="5" spans="1:2" ht="15" customHeight="1">
      <c r="A5" s="113" t="s">
        <v>398</v>
      </c>
      <c r="B5" s="114"/>
    </row>
    <row r="6" spans="1:2" ht="26.25" customHeight="1">
      <c r="A6" s="112" t="s">
        <v>399</v>
      </c>
      <c r="B6" s="111" t="inlineStr">
        <is>
          <t xml:space="preserve">Global tuning levers (starting deck recipe, XP/Yen scaling, question multipliers, vote influence, party opinion weights). 24 levers.</t>
        </is>
      </c>
    </row>
    <row r="7" spans="1:2" ht="15" customHeight="1">
      <c r="A7" s="112" t="s">
        <v>401</v>
      </c>
      <c r="B7" s="111" t="s">
        <v>402</v>
      </c>
    </row>
    <row r="8" ht="15" customHeight="1">
      <c r="A8" s="112" t="s">
        <v>403</v>
      </c>
      <c r="B8" s="111" t="inlineStr">
        <is>
          <t xml:space="preserve">31 stages (ST01–ST31): 28 Combat, 2 Non-combat (ST07 Office Hours, ST22 Party Steering Committee Check-In) and 1 Vote (ST23 Floor Voting). Per-stage combat stats, audience-segment mix, favored suit (formula, reads Affinity), sequence mode, and win/loss deltas to Jiban/Yen/Reputation/XP/Party support.</t>
        </is>
      </c>
    </row>
    <row r="9" ht="15" customHeight="1">
      <c r="A9" s="112" t="s">
        <v>405</v>
      </c>
      <c r="B9" s="111" t="inlineStr">
        <is>
          <t xml:space="preserve">60 levels (LV01–LV60): LV01–LV30 are the ordinary levels, LV31–LV60 are one-time Floor Vote levels built around bills BI01–BI30, and LV61–LV62 are topic levels (rail fares, fishing quotas) with no bill. Sequences 1–10 stage slots (an STxx, or a BIxx for a Floor Vote), XP unlock cost by Policy Research Assistant tier, bonus win-reward ranges, and per-level Win Δ for each organisation.</t>
        </is>
      </c>
    </row>
    <row r="10" spans="1:2" ht="15" customHeight="1">
      <c r="A10" s="112" t="s">
        <v>407</v>
      </c>
      <c r="B10" s="111" t="s">
        <v>408</v>
      </c>
    </row>
    <row r="11" spans="1:2" ht="29.25" customHeight="1">
      <c r="A11" s="112" t="s">
        <v>409</v>
      </c>
      <c r="B11" s="111" t="s">
        <v>410</v>
      </c>
    </row>
    <row r="12" spans="1:2" ht="15" customHeight="1">
      <c r="A12" s="112" t="s">
        <v>411</v>
      </c>
      <c r="B12" s="111" t="s">
        <v>412</v>
      </c>
    </row>
    <row r="13" spans="1:2" ht="16.5" customHeight="1">
      <c r="A13" s="112" t="s">
        <v>413</v>
      </c>
      <c r="B13" s="111" t="inlineStr">
        <is>
          <t xml:space="preserve">29 modifiers (M01–M31, with gaps where some were retired), one or more per organisation. Effect is the human-readable description; Effect Type/Target/Value are the machine-readable columns the game reads instead of parsing the prose.</t>
        </is>
      </c>
    </row>
    <row r="14" spans="1:2" ht="15" customHeight="1">
      <c r="A14" s="112" t="s">
        <v>415</v>
      </c>
      <c r="B14" s="111" t="inlineStr">
        <is>
          <t xml:space="preserve">30 booster/organization groups (BO01–BO30) across Party/Constituency/National tiers, each with a comma-separated Linked modifiers list pointing into Modifiers and an optional Starting Standing.</t>
        </is>
      </c>
    </row>
    <row r="15" spans="1:2" ht="15" customHeight="1">
      <c r="A15" s="112" t="s">
        <v>417</v>
      </c>
      <c r="B15" s="111" t="inlineStr">
        <is>
          <t xml:space="preserve">20 shop items (SH01–SH20): XP-cost, Yen-cost and up to two free-text Bonus Condition fields (staff-tier discounts, stacking buffs, etc.).</t>
        </is>
      </c>
    </row>
    <row r="16" spans="1:2" ht="16.5" customHeight="1">
      <c r="A16" s="112" t="s">
        <v>419</v>
      </c>
      <c r="B16" s="111" t="s">
        <v>420</v>
      </c>
    </row>
    <row r="17" spans="1:2" ht="15" customHeight="1">
      <c r="A17" s="112" t="s">
        <v>421</v>
      </c>
      <c r="B17" s="111" t="inlineStr">
        <is>
          <t xml:space="preserve">125 opponents (OP01–OP125, journalists included): Title/Gender/Party/Affiliation, up to 3 ranked suits, and Intent Pattern Range for Attack/Gain/Block (range-string battle AI, '0' = never uses that move). Stage is a semicolon-separated list; most opponents fight in several stages.</t>
        </is>
      </c>
    </row>
    <row r="18" spans="1:2" ht="15" customHeight="1">
      <c r="A18" s="112" t="s">
        <v>423</v>
      </c>
      <c r="B18" s="111" t="s">
        <v>424</v>
      </c>
    </row>
    <row r="19" spans="1:2" ht="15" customHeight="1">
      <c r="A19" s="112" t="s">
        <v>425</v>
      </c>
      <c r="B19" s="111" t="inlineStr">
        <is>
          <t xml:space="preserve">397-row string catalog (Key/Where/English/Placeholders/Notes): every sentence the game says, with {placeholder} tokens.</t>
        </is>
      </c>
    </row>
    <row r="20" spans="1:2" ht="15" customHeight="1">
      <c r="A20" s="112" t="s">
        <v>427</v>
      </c>
      <c r="B20" s="111" t="s">
        <v>428</v>
      </c>
    </row>
    <row r="21" spans="1:2" ht="15" customHeight="1">
      <c r="A21" s="112" t="s">
        <v>429</v>
      </c>
      <c r="B21" s="111" t="s">
        <v>430</v>
      </c>
    </row>
    <row r="22" spans="1:2" ht="15" customHeight="1">
      <c r="A22" s="112" t="s">
        <v>431</v>
      </c>
      <c r="B22" s="111" t="inlineStr">
        <is>
          <t xml:space="preserve">34 press-conference questions (Q01–Q34) with per-suit S/M/W fit grades, an optional Asked By Party, and live formulas (Strong suits count, word count, sample answers pulling from Cards).</t>
        </is>
      </c>
    </row>
    <row r="23" spans="1:2" ht="15" customHeight="1">
      <c r="A23" s="112" t="s">
        <v>433</v>
      </c>
      <c r="B23" s="111" t="inlineStr">
        <is>
          <t xml:space="preserve">Same structure as Press Questions, for the Town Hall (104 questions, T01–T104).</t>
        </is>
      </c>
    </row>
    <row r="24" spans="1:2" ht="15" customHeight="1">
      <c r="A24" s="112" t="s">
        <v>435</v>
      </c>
      <c r="B24" s="111" t="inlineStr">
        <is>
          <t xml:space="preserve">Same structure as Press Questions, for the Lobbyist Meeting (77 questions, L01–L78; L63 is not used).</t>
        </is>
      </c>
    </row>
    <row r="25" spans="1:2" ht="15" customHeight="1">
      <c r="A25" s="112" t="s">
        <v>437</v>
      </c>
      <c r="B25" s="111" t="inlineStr">
        <is>
          <t xml:space="preserve">Same structure as Press Questions, for the Policy Study Session (30 questions, B01–B30).</t>
        </is>
      </c>
    </row>
    <row r="26">
      <c r="A26" s="112" t="s">
        <v>439</v>
      </c>
      <c r="B26" s="111" t="inlineStr">
        <is>
          <t xml:space="preserve">Same structure as Press Questions, for the Media Ambush (33 questions, A01–A33).</t>
        </is>
      </c>
    </row>
    <row r="27">
      <c r="A27" s="112" t="s">
        <v>441</v>
      </c>
      <c r="B27" s="111" t="inlineStr">
        <is>
          <t xml:space="preserve">212 question themes, each linked to the organisation(s) a Strong answer pleases (Organisation, semicolon list) and, optionally, those it sets back (Annoys).</t>
        </is>
      </c>
    </row>
    <row r="28" spans="1:2">
      <c r="A28" s="111"/>
      <c r="B28" s="111"/>
    </row>
    <row r="29" spans="1:2">
      <c r="A29" s="113" t="s">
        <v>443</v>
      </c>
      <c r="B29" s="114"/>
    </row>
    <row r="30" spans="1:2">
      <c r="A30" s="112" t="s">
        <v>444</v>
      </c>
      <c r="B30" s="109" t="s">
        <v>445</v>
      </c>
    </row>
    <row r="31" spans="1:2">
      <c r="A31" s="112" t="s">
        <v>446</v>
      </c>
      <c r="B31" s="111" t="s">
        <v>447</v>
      </c>
    </row>
    <row r="32" spans="1:2">
      <c r="A32" s="112" t="s">
        <v>448</v>
      </c>
      <c r="B32" s="115" t="s">
        <v>449</v>
      </c>
    </row>
    <row r="33" spans="1:2">
      <c r="A33" s="112" t="s">
        <v>450</v>
      </c>
      <c r="B33" s="116" t="s">
        <v>451</v>
      </c>
    </row>
    <row r="34" spans="1:2">
      <c r="A34" s="111"/>
      <c r="B34" s="111"/>
    </row>
    <row r="35" spans="1:2">
      <c r="A35" s="113" t="s">
        <v>452</v>
      </c>
      <c r="B35" s="114"/>
    </row>
    <row r="36" spans="1:2">
      <c r="A36" s="112" t="inlineStr">
        <is>
          <t xml:space="preserve">Repeated suits</t>
        </is>
      </c>
      <c r="B36" s="111" t="inlineStr">
        <is>
          <t xml:space="preserve">19 opponents list the same suit more than once in Suit 1–3. Left as is on purpose: it simply weights that suit.</t>
        </is>
      </c>
    </row>
    <row r="37" spans="1:2">
      <c r="A37" s="112" t="inlineStr">
        <is>
          <t xml:space="preserve">Unused question ID</t>
        </is>
      </c>
      <c r="B37" s="111" t="inlineStr">
        <is>
          <t xml:space="preserve">Lobbyist Questions has no L63 (IDs run L01–L78). Harmless; the ID is simply unused.</t>
        </is>
      </c>
    </row>
    <row r="38" spans="1:2">
      <c r="A38" s="112" t="inlineStr">
        <is>
          <t xml:space="preserve">Questions with no Weak grade</t>
        </is>
      </c>
      <c r="B38" s="111" t="inlineStr">
        <is>
          <t xml:space="preserve">About 37 room questions have no W for any suit. The room tabs' footer rules allow it (at least 2 S, at most 2 W), so they are left; a W on each makes the choice of suit matter more.</t>
        </is>
      </c>
    </row>
    <row r="39" spans="1:2">
      <c r="A39" s="112" t="inlineStr">
        <is>
          <t xml:space="preserve">Newer tabs</t>
        </is>
      </c>
      <c r="B39" s="111" t="inlineStr">
        <is>
          <t xml:space="preserve">Tabs added after this guide (Player Cues, Stage Questions, Party Standing, Law Effects, Vote Influence Triggers/Cues, Level Intro Cues/Thoughts, Transition tabs, How To Play, Office Ticker and others) are described by the notes on their column headers; hover a header cell.</t>
        </is>
      </c>
    </row>
    <row r="40" spans="1:2">
      <c r="A40" s="111"/>
      <c r="B40" s="111"/>
    </row>
    <row r="41" spans="1:2">
      <c r="A41" s="111"/>
      <c r="B41" s="111"/>
    </row>
    <row r="42" spans="1:2">
      <c r="A42" s="111"/>
      <c r="B42" s="111"/>
    </row>
    <row r="43" spans="1:2">
      <c r="A43" s="111"/>
      <c r="B43" s="111"/>
    </row>
    <row r="44" spans="1:2">
      <c r="A44" s="111"/>
      <c r="B44" s="111"/>
    </row>
    <row r="45" spans="1:2">
      <c r="A45" s="111"/>
      <c r="B45" s="111"/>
    </row>
    <row r="46" spans="1:2">
      <c r="A46" s="111"/>
      <c r="B46" s="111"/>
    </row>
    <row r="47" spans="1:2">
      <c r="A47" s="111"/>
      <c r="B47" s="111"/>
    </row>
    <row r="48" spans="1:2">
      <c r="A48" s="111"/>
      <c r="B48" s="111"/>
    </row>
    <row r="49" spans="1:2">
      <c r="A49" s="111"/>
      <c r="B49" s="111"/>
    </row>
    <row r="50" spans="1:2">
      <c r="A50" s="111"/>
      <c r="B50" s="111"/>
    </row>
    <row r="51" spans="1:2">
      <c r="A51" s="111"/>
      <c r="B51" s="111"/>
    </row>
    <row r="52" spans="1:2">
      <c r="A52" s="111"/>
      <c r="B52" s="111"/>
    </row>
    <row r="53" spans="1:2">
      <c r="A53" s="111"/>
      <c r="B53" s="111"/>
    </row>
    <row r="54" spans="1:2">
      <c r="A54" s="111"/>
      <c r="B54" s="111"/>
    </row>
    <row r="55" spans="1:2">
      <c r="A55" s="111"/>
      <c r="B55" s="111"/>
    </row>
    <row r="56" spans="1:2">
      <c r="A56" s="111"/>
      <c r="B56" s="111"/>
    </row>
    <row r="57" spans="1:2">
      <c r="A57" s="111"/>
      <c r="B57" s="111"/>
    </row>
    <row r="58" spans="1:2">
      <c r="A58" s="111"/>
      <c r="B58" s="111"/>
    </row>
    <row r="59" spans="1:2">
      <c r="A59" s="111"/>
      <c r="B59" s="111"/>
    </row>
    <row r="60" spans="1:2">
      <c r="A60" s="111"/>
      <c r="B60" s="11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7"/>
  <sheetViews>
    <sheetView zoomScaleNormal="100" workbookViewId="0">
      <pane ySplit="1" topLeftCell="A7" activePane="bottomLeft" state="frozen"/>
      <selection pane="bottomLeft" activeCell="C25" sqref="C25"/>
    </sheetView>
  </sheetViews>
  <sheetFormatPr defaultColWidth="8.7109375" defaultRowHeight="15"/>
  <cols>
    <col min="1" max="1" width="30" customWidth="1"/>
    <col min="2" max="2" width="12" customWidth="1"/>
    <col min="3" max="3" width="70" customWidth="1"/>
  </cols>
  <sheetData>
    <row r="1" spans="1:3" ht="31.5" customHeight="1">
      <c r="A1" s="2" t="s">
        <v>461</v>
      </c>
      <c r="B1" s="2" t="s">
        <v>462</v>
      </c>
      <c r="C1" s="2" t="s">
        <v>463</v>
      </c>
    </row>
    <row r="2" spans="1:3" ht="15" customHeight="1">
      <c r="A2" s="3" t="s">
        <v>474</v>
      </c>
      <c r="B2" s="4">
        <v>15</v>
      </c>
      <c r="C2" s="3" t="s">
        <v>475</v>
      </c>
    </row>
    <row r="3" spans="1:3" ht="15" customHeight="1">
      <c r="A3" s="3" t="s">
        <v>480</v>
      </c>
      <c r="B3" s="4">
        <v>15</v>
      </c>
      <c r="C3" s="3" t="s">
        <v>481</v>
      </c>
    </row>
    <row r="4" spans="1:3" ht="15" customHeight="1">
      <c r="A4" s="3" t="s">
        <v>482</v>
      </c>
      <c r="B4" s="4">
        <v>0</v>
      </c>
      <c r="C4" s="3" t="s">
        <v>483</v>
      </c>
    </row>
    <row r="5" spans="1:3" ht="15" customHeight="1">
      <c r="A5" s="3" t="s">
        <v>484</v>
      </c>
      <c r="B5" s="4">
        <v>25</v>
      </c>
      <c r="C5" s="3" t="s">
        <v>485</v>
      </c>
    </row>
    <row r="6" spans="1:3" ht="15" customHeight="1">
      <c r="A6" s="3" t="s">
        <v>486</v>
      </c>
      <c r="B6" s="4">
        <v>75</v>
      </c>
      <c r="C6" s="3" t="s">
        <v>487</v>
      </c>
    </row>
    <row r="7" spans="1:3" ht="15" customHeight="1">
      <c r="A7" s="3" t="s">
        <v>490</v>
      </c>
      <c r="B7" s="4">
        <v>50</v>
      </c>
      <c r="C7" s="3" t="s">
        <v>491</v>
      </c>
    </row>
    <row r="8" spans="1:3" ht="15" customHeight="1">
      <c r="A8" s="3" t="s">
        <v>492</v>
      </c>
      <c r="B8" s="4">
        <v>-15</v>
      </c>
      <c r="C8" s="3" t="s">
        <v>493</v>
      </c>
    </row>
    <row r="9" spans="1:3" ht="15" customHeight="1">
      <c r="A9" s="3" t="s">
        <v>4850</v>
      </c>
      <c r="B9" s="4">
        <v>85</v>
      </c>
      <c r="C9" s="3" t="s">
        <v>5141</v>
      </c>
    </row>
    <row r="10" spans="1:3" ht="15" customHeight="1">
      <c r="A10" s="3" t="s">
        <v>4851</v>
      </c>
      <c r="B10" s="4">
        <v>85</v>
      </c>
      <c r="C10" s="3" t="s">
        <v>4852</v>
      </c>
    </row>
    <row r="11" spans="1:3">
      <c r="A11" t="s">
        <v>4856</v>
      </c>
      <c r="B11">
        <v>1.3</v>
      </c>
      <c r="C11" t="s">
        <v>5138</v>
      </c>
    </row>
    <row r="12" spans="1:3">
      <c r="A12" t="s">
        <v>4857</v>
      </c>
      <c r="B12">
        <v>0.7</v>
      </c>
      <c r="C12" t="s">
        <v>5139</v>
      </c>
    </row>
    <row r="13" spans="1:3">
      <c r="A13" t="s">
        <v>5004</v>
      </c>
      <c r="B13">
        <v>2</v>
      </c>
      <c r="C13" t="s">
        <v>5140</v>
      </c>
    </row>
    <row r="14" spans="1:3" ht="28.5">
      <c r="A14" s="3" t="s">
        <v>6896</v>
      </c>
      <c r="B14" s="4">
        <v>4</v>
      </c>
      <c r="C14" s="3" t="s">
        <v>6897</v>
      </c>
    </row>
    <row r="15" spans="1:3">
      <c r="A15" s="3" t="s">
        <v>6898</v>
      </c>
      <c r="B15" s="4">
        <v>4</v>
      </c>
      <c r="C15" s="3" t="s">
        <v>6899</v>
      </c>
    </row>
    <row r="16" spans="1:3" ht="42.75">
      <c r="A16" s="3" t="s">
        <v>6900</v>
      </c>
      <c r="B16" s="4">
        <v>6</v>
      </c>
      <c r="C16" s="3" t="s">
        <v>6901</v>
      </c>
    </row>
    <row r="17" spans="1:3" ht="28.5">
      <c r="A17" s="3" t="s">
        <v>6902</v>
      </c>
      <c r="B17" s="4">
        <v>25</v>
      </c>
      <c r="C17" s="3" t="s">
        <v>6903</v>
      </c>
    </row>
    <row r="18" spans="1:3">
      <c r="A18" s="3" t="s">
        <v>6904</v>
      </c>
      <c r="B18" s="4">
        <v>1</v>
      </c>
      <c r="C18" s="3" t="s">
        <v>6905</v>
      </c>
    </row>
    <row r="19" spans="1:3" ht="42.75">
      <c r="A19" s="3" t="s">
        <v>6906</v>
      </c>
      <c r="B19" s="4">
        <v>50</v>
      </c>
      <c r="C19" s="3" t="s">
        <v>6907</v>
      </c>
    </row>
    <row r="20">
      <c r="A20" t="inlineStr">
        <is>
          <t xml:space="preserve">Party opinion: Direct Weight</t>
        </is>
      </c>
      <c r="B20">
        <v>50</v>
      </c>
      <c r="C20" t="inlineStr">
        <is>
          <t xml:space="preserve">Share of a party's opinion of you that comes from votes, rewards and leans (Party support for your own party). Blended 50/50 with stakeholders by default.</t>
        </is>
      </c>
    </row>
    <row r="21">
      <c r="A21" t="inlineStr">
        <is>
          <t xml:space="preserve">Party opinion: Stakeholder Weight</t>
        </is>
      </c>
      <c r="B21">
        <v>50</v>
      </c>
      <c r="C21" t="inlineStr">
        <is>
          <t xml:space="preserve">Share that comes from how the organisations tied to the party (Party Standing tab) feel about you.</t>
        </is>
      </c>
    </row>
    <row r="22">
      <c r="A22" t="inlineStr">
        <is>
          <t xml:space="preserve">Party opinion: Hostile Below</t>
        </is>
      </c>
      <c r="B22">
        <v>20</v>
      </c>
      <c r="C22" t="inlineStr">
        <is>
          <t xml:space="preserve">An opinion under this reads Hostile.</t>
        </is>
      </c>
    </row>
    <row r="23">
      <c r="A23" t="inlineStr">
        <is>
          <t xml:space="preserve">Party opinion: Cold Below</t>
        </is>
      </c>
      <c r="B23">
        <v>40</v>
      </c>
      <c r="C23" t="inlineStr">
        <is>
          <t xml:space="preserve">Under this reads Cold.</t>
        </is>
      </c>
    </row>
    <row r="24">
      <c r="A24" t="inlineStr">
        <is>
          <t xml:space="preserve">Party opinion: Neutral Below</t>
        </is>
      </c>
      <c r="B24">
        <v>60</v>
      </c>
      <c r="C24" t="inlineStr">
        <is>
          <t xml:space="preserve">Under this reads Neutral.</t>
        </is>
      </c>
    </row>
    <row r="25">
      <c r="A25" t="inlineStr">
        <is>
          <t xml:space="preserve">Party opinion: Warm Below</t>
        </is>
      </c>
      <c r="B25">
        <v>80</v>
      </c>
      <c r="C25" t="inlineStr">
        <is>
          <t xml:space="preserve">Under this reads Warm; at or above it reads Allied.</t>
        </is>
      </c>
    </row>
    <row r="26">
      <c r="A26" t="inlineStr">
        <is>
          <t xml:space="preserve">Law lean: Party-tier Pass Delta</t>
        </is>
      </c>
      <c r="B26">
        <v>3</v>
      </c>
      <c r="C26" t="inlineStr">
        <is>
          <t xml:space="preserve">Party Headquarters and Party Faction (the Boosters tab's tier "Party") move by this when a bill passes, from where the PLAYER'S OWN party stood on it: up if the party backed it, down if it opposed it. A Neutral party moves nothing. Replaces fixed Law Effects rows for those two organisations.</t>
        </is>
      </c>
    </row>
    <row r="27">
      <c r="A27" t="inlineStr">
        <is>
          <t xml:space="preserve">Law lean: Party-tier Fail Delta</t>
        </is>
      </c>
      <c r="B27">
        <v>1</v>
      </c>
      <c r="C27" t="inlineStr">
        <is>
          <t xml:space="preserve">The same, when the bill fails (a bill the party opposed failing pleases them; one it backed failing annoys them).</t>
        </is>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
  <sheetViews>
    <sheetView workbookViewId="0">
      <selection activeCell="E12" sqref="E12"/>
    </sheetView>
  </sheetViews>
  <sheetFormatPr defaultRowHeight="15"/>
  <sheetData>
    <row r="1" spans="1:17">
      <c r="A1" t="s">
        <v>494</v>
      </c>
      <c r="B1" t="s">
        <v>495</v>
      </c>
      <c r="C1" t="s">
        <v>496</v>
      </c>
      <c r="D1" t="s">
        <v>497</v>
      </c>
      <c r="E1" t="s">
        <v>498</v>
      </c>
      <c r="F1" t="s">
        <v>499</v>
      </c>
      <c r="G1" t="s">
        <v>500</v>
      </c>
      <c r="H1" t="s">
        <v>501</v>
      </c>
      <c r="I1" t="s">
        <v>502</v>
      </c>
      <c r="J1" t="s">
        <v>503</v>
      </c>
      <c r="K1" t="s">
        <v>504</v>
      </c>
      <c r="L1" t="s">
        <v>505</v>
      </c>
      <c r="M1" t="s">
        <v>506</v>
      </c>
      <c r="N1" t="s">
        <v>507</v>
      </c>
      <c r="O1" t="s">
        <v>508</v>
      </c>
      <c r="P1" t="s">
        <v>509</v>
      </c>
      <c r="Q1" t="s">
        <v>510</v>
      </c>
    </row>
    <row r="2" spans="1:17">
      <c r="A2" t="s">
        <v>511</v>
      </c>
      <c r="B2" t="s">
        <v>512</v>
      </c>
      <c r="C2" t="s">
        <v>513</v>
      </c>
      <c r="D2" t="s">
        <v>514</v>
      </c>
      <c r="E2">
        <v>35</v>
      </c>
      <c r="F2">
        <v>25</v>
      </c>
      <c r="G2">
        <v>100000</v>
      </c>
      <c r="H2">
        <v>40</v>
      </c>
      <c r="I2">
        <v>60</v>
      </c>
      <c r="J2" t="s">
        <v>515</v>
      </c>
      <c r="K2" t="s">
        <v>516</v>
      </c>
      <c r="L2" t="s">
        <v>517</v>
      </c>
      <c r="M2" t="s">
        <v>16</v>
      </c>
      <c r="N2" t="s">
        <v>80</v>
      </c>
      <c r="O2" t="s">
        <v>518</v>
      </c>
      <c r="P2" t="s">
        <v>519</v>
      </c>
      <c r="Q2" t="s">
        <v>520</v>
      </c>
    </row>
    <row r="3" spans="1:17">
      <c r="A3" t="s">
        <v>521</v>
      </c>
      <c r="B3" t="s">
        <v>522</v>
      </c>
      <c r="C3" t="s">
        <v>513</v>
      </c>
      <c r="D3" t="s">
        <v>523</v>
      </c>
      <c r="E3">
        <v>20</v>
      </c>
      <c r="F3">
        <v>15</v>
      </c>
      <c r="G3">
        <v>50000</v>
      </c>
      <c r="H3">
        <v>10</v>
      </c>
      <c r="I3">
        <v>30</v>
      </c>
      <c r="J3" t="s">
        <v>524</v>
      </c>
      <c r="K3" t="s">
        <v>525</v>
      </c>
      <c r="L3" t="s">
        <v>526</v>
      </c>
      <c r="M3" t="s">
        <v>16</v>
      </c>
      <c r="N3" t="s">
        <v>269</v>
      </c>
      <c r="O3" t="s">
        <v>527</v>
      </c>
      <c r="P3" t="s">
        <v>528</v>
      </c>
      <c r="Q3" t="s">
        <v>520</v>
      </c>
    </row>
    <row r="4" spans="1:17">
      <c r="A4" t="s">
        <v>529</v>
      </c>
      <c r="B4" t="s">
        <v>530</v>
      </c>
      <c r="C4" t="s">
        <v>531</v>
      </c>
      <c r="D4" t="s">
        <v>532</v>
      </c>
      <c r="E4">
        <v>10</v>
      </c>
      <c r="F4">
        <v>5</v>
      </c>
      <c r="G4">
        <v>25000</v>
      </c>
      <c r="H4">
        <v>15</v>
      </c>
      <c r="I4">
        <v>0</v>
      </c>
      <c r="J4" t="s">
        <v>524</v>
      </c>
      <c r="K4" t="s">
        <v>533</v>
      </c>
      <c r="L4" t="s">
        <v>534</v>
      </c>
      <c r="M4" t="s">
        <v>80</v>
      </c>
      <c r="N4" t="s">
        <v>205</v>
      </c>
      <c r="O4" t="s">
        <v>535</v>
      </c>
      <c r="P4" t="s">
        <v>536</v>
      </c>
      <c r="Q4" t="s">
        <v>537</v>
      </c>
    </row>
    <row r="5" spans="1:17">
      <c r="A5" t="s">
        <v>538</v>
      </c>
      <c r="B5" t="s">
        <v>6908</v>
      </c>
      <c r="C5" t="s">
        <v>540</v>
      </c>
      <c r="D5" t="s">
        <v>541</v>
      </c>
      <c r="E5">
        <v>5</v>
      </c>
      <c r="F5">
        <v>0</v>
      </c>
      <c r="G5">
        <v>10000</v>
      </c>
      <c r="H5">
        <v>0</v>
      </c>
      <c r="I5">
        <v>0</v>
      </c>
      <c r="J5" t="s">
        <v>515</v>
      </c>
      <c r="K5" t="s">
        <v>542</v>
      </c>
      <c r="L5" t="s">
        <v>543</v>
      </c>
      <c r="M5" t="s">
        <v>144</v>
      </c>
      <c r="N5" t="s">
        <v>333</v>
      </c>
      <c r="O5" t="s">
        <v>544</v>
      </c>
      <c r="P5" t="s">
        <v>545</v>
      </c>
      <c r="Q5" t="s">
        <v>537</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D26" sqref="D26"/>
    </sheetView>
  </sheetViews>
  <sheetFormatPr defaultRowHeight="15"/>
  <sheetData>
    <row r="1" spans="1:7">
      <c r="A1" t="s">
        <v>546</v>
      </c>
      <c r="B1" t="s">
        <v>547</v>
      </c>
      <c r="C1" t="s">
        <v>548</v>
      </c>
      <c r="D1" t="s">
        <v>549</v>
      </c>
      <c r="E1" t="s">
        <v>550</v>
      </c>
      <c r="F1" t="s">
        <v>551</v>
      </c>
      <c r="G1" t="s">
        <v>552</v>
      </c>
    </row>
    <row r="2" spans="1:7">
      <c r="A2" t="s">
        <v>553</v>
      </c>
      <c r="B2" t="s">
        <v>554</v>
      </c>
      <c r="C2" t="s">
        <v>555</v>
      </c>
      <c r="D2" t="s">
        <v>556</v>
      </c>
      <c r="E2" t="s">
        <v>557</v>
      </c>
      <c r="G2" t="s">
        <v>558</v>
      </c>
    </row>
    <row r="3" spans="1:7">
      <c r="A3" t="s">
        <v>559</v>
      </c>
      <c r="B3" t="s">
        <v>554</v>
      </c>
      <c r="C3" t="s">
        <v>555</v>
      </c>
      <c r="D3" t="s">
        <v>556</v>
      </c>
      <c r="E3" t="s">
        <v>560</v>
      </c>
      <c r="G3" t="s">
        <v>561</v>
      </c>
    </row>
    <row r="4" spans="1:7">
      <c r="A4" t="s">
        <v>562</v>
      </c>
      <c r="B4" t="s">
        <v>554</v>
      </c>
      <c r="C4" t="s">
        <v>555</v>
      </c>
      <c r="D4" t="s">
        <v>1452</v>
      </c>
      <c r="E4" t="s">
        <v>557</v>
      </c>
      <c r="G4" t="s">
        <v>6861</v>
      </c>
    </row>
    <row r="5" spans="1:7">
      <c r="A5" t="s">
        <v>566</v>
      </c>
      <c r="B5" t="s">
        <v>554</v>
      </c>
      <c r="C5" t="s">
        <v>555</v>
      </c>
      <c r="D5" t="s">
        <v>1452</v>
      </c>
      <c r="E5" t="s">
        <v>560</v>
      </c>
      <c r="G5" t="s">
        <v>6862</v>
      </c>
    </row>
    <row r="6" spans="1:7">
      <c r="A6" t="s">
        <v>6852</v>
      </c>
      <c r="B6" t="s">
        <v>554</v>
      </c>
      <c r="C6" t="s">
        <v>555</v>
      </c>
      <c r="D6" t="s">
        <v>1460</v>
      </c>
      <c r="E6" t="s">
        <v>557</v>
      </c>
      <c r="G6" t="s">
        <v>6863</v>
      </c>
    </row>
    <row r="7" spans="1:7">
      <c r="A7" t="s">
        <v>6853</v>
      </c>
      <c r="B7" t="s">
        <v>554</v>
      </c>
      <c r="C7" t="s">
        <v>555</v>
      </c>
      <c r="D7" t="s">
        <v>1460</v>
      </c>
      <c r="E7" t="s">
        <v>560</v>
      </c>
      <c r="G7" t="s">
        <v>6864</v>
      </c>
    </row>
    <row r="8" spans="1:7">
      <c r="A8" t="s">
        <v>6854</v>
      </c>
      <c r="B8" t="s">
        <v>563</v>
      </c>
      <c r="C8" t="s">
        <v>564</v>
      </c>
      <c r="D8" t="s">
        <v>499</v>
      </c>
      <c r="E8" t="s">
        <v>565</v>
      </c>
      <c r="F8">
        <v>30</v>
      </c>
      <c r="G8" t="s">
        <v>6865</v>
      </c>
    </row>
    <row r="9" spans="1:7">
      <c r="A9" t="s">
        <v>6855</v>
      </c>
      <c r="B9" t="s">
        <v>563</v>
      </c>
      <c r="C9" t="s">
        <v>564</v>
      </c>
      <c r="D9" t="s">
        <v>499</v>
      </c>
      <c r="E9" t="s">
        <v>567</v>
      </c>
      <c r="F9">
        <v>60</v>
      </c>
      <c r="G9" t="s">
        <v>6866</v>
      </c>
    </row>
    <row r="10" spans="1:7">
      <c r="A10" t="s">
        <v>6856</v>
      </c>
      <c r="B10" t="s">
        <v>563</v>
      </c>
      <c r="C10" t="s">
        <v>564</v>
      </c>
      <c r="D10" t="s">
        <v>1156</v>
      </c>
      <c r="E10" t="s">
        <v>565</v>
      </c>
      <c r="F10">
        <v>30</v>
      </c>
      <c r="G10" t="s">
        <v>6868</v>
      </c>
    </row>
    <row r="11" spans="1:7">
      <c r="A11" t="s">
        <v>6857</v>
      </c>
      <c r="B11" t="s">
        <v>563</v>
      </c>
      <c r="C11" t="s">
        <v>564</v>
      </c>
      <c r="D11" t="s">
        <v>1156</v>
      </c>
      <c r="E11" t="s">
        <v>567</v>
      </c>
      <c r="F11">
        <v>60</v>
      </c>
      <c r="G11" t="s">
        <v>6867</v>
      </c>
    </row>
    <row r="12" spans="1:7">
      <c r="A12" t="s">
        <v>6858</v>
      </c>
      <c r="B12" t="s">
        <v>563</v>
      </c>
      <c r="C12" t="s">
        <v>564</v>
      </c>
      <c r="D12" t="s">
        <v>1160</v>
      </c>
      <c r="E12" t="s">
        <v>565</v>
      </c>
      <c r="F12">
        <v>25</v>
      </c>
      <c r="G12" t="s">
        <v>6869</v>
      </c>
    </row>
    <row r="13" spans="1:7">
      <c r="A13" t="s">
        <v>6859</v>
      </c>
      <c r="B13" t="s">
        <v>563</v>
      </c>
      <c r="C13" t="s">
        <v>564</v>
      </c>
      <c r="D13" t="s">
        <v>1160</v>
      </c>
      <c r="E13" t="s">
        <v>567</v>
      </c>
      <c r="F13">
        <v>60</v>
      </c>
      <c r="G13" t="s">
        <v>6870</v>
      </c>
    </row>
    <row r="14" spans="1:7">
      <c r="A14" t="s">
        <v>6860</v>
      </c>
      <c r="B14" t="s">
        <v>563</v>
      </c>
      <c r="C14" t="s">
        <v>564</v>
      </c>
      <c r="D14" t="s">
        <v>1164</v>
      </c>
      <c r="E14" t="s">
        <v>565</v>
      </c>
      <c r="F14">
        <v>10</v>
      </c>
      <c r="G14" t="s">
        <v>6876</v>
      </c>
    </row>
    <row r="15" spans="1:7">
      <c r="A15" t="s">
        <v>6871</v>
      </c>
      <c r="B15" t="s">
        <v>563</v>
      </c>
      <c r="C15" t="s">
        <v>564</v>
      </c>
      <c r="D15" t="s">
        <v>1164</v>
      </c>
      <c r="E15" t="s">
        <v>565</v>
      </c>
      <c r="F15">
        <v>25</v>
      </c>
      <c r="G15" t="s">
        <v>6877</v>
      </c>
    </row>
    <row r="16" spans="1:7">
      <c r="A16" t="s">
        <v>6872</v>
      </c>
      <c r="B16" t="s">
        <v>563</v>
      </c>
      <c r="C16" t="s">
        <v>564</v>
      </c>
      <c r="D16" t="s">
        <v>1164</v>
      </c>
      <c r="E16" t="s">
        <v>567</v>
      </c>
      <c r="F16">
        <v>60</v>
      </c>
      <c r="G16" t="s">
        <v>6878</v>
      </c>
    </row>
    <row r="17" spans="1:7">
      <c r="A17" t="s">
        <v>6873</v>
      </c>
      <c r="B17" t="s">
        <v>563</v>
      </c>
      <c r="C17" t="s">
        <v>564</v>
      </c>
      <c r="D17" t="s">
        <v>1164</v>
      </c>
      <c r="E17" t="s">
        <v>567</v>
      </c>
      <c r="F17">
        <v>80</v>
      </c>
      <c r="G17" t="s">
        <v>6879</v>
      </c>
    </row>
    <row r="18" spans="1:7">
      <c r="A18" t="s">
        <v>6874</v>
      </c>
      <c r="B18" t="s">
        <v>563</v>
      </c>
      <c r="C18" t="s">
        <v>564</v>
      </c>
      <c r="D18" t="s">
        <v>1168</v>
      </c>
      <c r="E18" t="s">
        <v>565</v>
      </c>
      <c r="F18">
        <v>30</v>
      </c>
      <c r="G18" t="s">
        <v>6881</v>
      </c>
    </row>
    <row r="19" spans="1:7">
      <c r="A19" t="s">
        <v>6875</v>
      </c>
      <c r="B19" t="s">
        <v>563</v>
      </c>
      <c r="C19" t="s">
        <v>564</v>
      </c>
      <c r="D19" t="s">
        <v>1168</v>
      </c>
      <c r="E19" t="s">
        <v>567</v>
      </c>
      <c r="F19">
        <v>70</v>
      </c>
      <c r="G19" t="s">
        <v>6880</v>
      </c>
    </row>
    <row r="20" spans="1:7">
      <c r="A20" t="s">
        <v>6884</v>
      </c>
      <c r="B20" t="s">
        <v>563</v>
      </c>
      <c r="C20" t="s">
        <v>564</v>
      </c>
      <c r="D20" t="s">
        <v>1172</v>
      </c>
      <c r="E20" t="s">
        <v>565</v>
      </c>
      <c r="F20">
        <v>20</v>
      </c>
      <c r="G20" t="s">
        <v>6883</v>
      </c>
    </row>
    <row r="21" spans="1:7">
      <c r="A21" t="s">
        <v>6885</v>
      </c>
      <c r="B21" t="s">
        <v>563</v>
      </c>
      <c r="C21" t="s">
        <v>564</v>
      </c>
      <c r="D21" t="s">
        <v>1172</v>
      </c>
      <c r="E21" t="s">
        <v>567</v>
      </c>
      <c r="F21">
        <v>80</v>
      </c>
      <c r="G21" t="s">
        <v>6882</v>
      </c>
    </row>
  </sheetData>
  <phoneticPr fontId="20" type="noConversion"/>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E7"/>
  <sheetViews>
    <sheetView zoomScaleNormal="100" workbookViewId="0">
      <pane xSplit="1" ySplit="1" topLeftCell="B2" activePane="bottomRight" state="frozen"/>
      <selection pane="topRight" activeCell="B1" sqref="B1"/>
      <selection pane="bottomLeft" activeCell="A2" sqref="A2"/>
      <selection pane="bottomRight" activeCell="D17" sqref="D17"/>
    </sheetView>
  </sheetViews>
  <sheetFormatPr defaultColWidth="8.7109375" defaultRowHeight="15"/>
  <cols>
    <col min="1" max="1" width="18" customWidth="1"/>
    <col min="2" max="3" width="12" customWidth="1"/>
    <col min="4" max="4" width="22" customWidth="1"/>
    <col min="5" max="5" width="10.5703125" customWidth="1"/>
  </cols>
  <sheetData>
    <row r="1" spans="1:5" ht="31.5" customHeight="1">
      <c r="A1" s="2" t="s">
        <v>568</v>
      </c>
      <c r="B1" s="2" t="s">
        <v>569</v>
      </c>
      <c r="C1" s="2" t="s">
        <v>570</v>
      </c>
      <c r="D1" s="2" t="s">
        <v>571</v>
      </c>
      <c r="E1" s="63" t="s">
        <v>572</v>
      </c>
    </row>
    <row r="2" spans="1:5" ht="16.5" customHeight="1">
      <c r="A2" s="4" t="s">
        <v>16</v>
      </c>
      <c r="B2" s="6" t="s">
        <v>573</v>
      </c>
      <c r="C2" s="4" t="s">
        <v>574</v>
      </c>
      <c r="D2" s="4" t="s">
        <v>575</v>
      </c>
      <c r="E2" s="59" t="s">
        <v>576</v>
      </c>
    </row>
    <row r="3" spans="1:5" ht="16.5" customHeight="1">
      <c r="A3" s="4" t="s">
        <v>80</v>
      </c>
      <c r="B3" s="6" t="s">
        <v>577</v>
      </c>
      <c r="C3" s="4" t="s">
        <v>578</v>
      </c>
      <c r="D3" s="4" t="s">
        <v>579</v>
      </c>
      <c r="E3" s="59" t="s">
        <v>580</v>
      </c>
    </row>
    <row r="4" spans="1:5" ht="16.5" customHeight="1">
      <c r="A4" s="4" t="s">
        <v>144</v>
      </c>
      <c r="B4" s="6" t="s">
        <v>581</v>
      </c>
      <c r="C4" s="4" t="s">
        <v>582</v>
      </c>
      <c r="D4" s="4" t="s">
        <v>583</v>
      </c>
      <c r="E4" s="59" t="s">
        <v>584</v>
      </c>
    </row>
    <row r="5" spans="1:5" ht="16.5" customHeight="1">
      <c r="A5" s="4" t="s">
        <v>205</v>
      </c>
      <c r="B5" s="6" t="s">
        <v>585</v>
      </c>
      <c r="C5" s="4" t="s">
        <v>586</v>
      </c>
      <c r="D5" s="4" t="s">
        <v>587</v>
      </c>
      <c r="E5" s="59" t="s">
        <v>588</v>
      </c>
    </row>
    <row r="6" spans="1:5" ht="16.5" customHeight="1">
      <c r="A6" s="4" t="s">
        <v>269</v>
      </c>
      <c r="B6" s="6" t="s">
        <v>589</v>
      </c>
      <c r="C6" s="4" t="s">
        <v>590</v>
      </c>
      <c r="D6" s="4" t="s">
        <v>591</v>
      </c>
      <c r="E6" s="59" t="s">
        <v>592</v>
      </c>
    </row>
    <row r="7" spans="1:5" ht="16.5" customHeight="1">
      <c r="A7" s="4" t="s">
        <v>333</v>
      </c>
      <c r="B7" s="6" t="s">
        <v>593</v>
      </c>
      <c r="C7" s="4" t="s">
        <v>594</v>
      </c>
      <c r="D7" s="4" t="s">
        <v>595</v>
      </c>
      <c r="E7" s="59" t="s">
        <v>596</v>
      </c>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T101"/>
  <sheetViews>
    <sheetView zoomScale="70" zoomScaleNormal="70" workbookViewId="0">
      <pane ySplit="1" topLeftCell="A2" activePane="bottomLeft" state="frozen"/>
      <selection activeCell="G1" sqref="G1"/>
      <selection pane="bottomLeft" activeCell="A8" sqref="A8"/>
    </sheetView>
  </sheetViews>
  <sheetFormatPr defaultColWidth="8.7109375" defaultRowHeight="15"/>
  <cols>
    <col min="1" max="1" width="9" customWidth="1"/>
    <col min="2" max="2" width="45.5703125" customWidth="1"/>
    <col min="3" max="3" width="11" customWidth="1"/>
    <col min="4" max="4" width="12" customWidth="1"/>
    <col min="5" max="5" width="11" customWidth="1"/>
    <col min="6" max="7" width="12" customWidth="1"/>
    <col min="8" max="8" width="8" customWidth="1"/>
    <col min="9" max="9" width="9" customWidth="1"/>
    <col min="10" max="10" width="8" customWidth="1"/>
    <col min="11" max="11" width="7" customWidth="1"/>
    <col min="12" max="12" width="10" customWidth="1"/>
    <col min="13" max="13" width="7" customWidth="1"/>
    <col min="14" max="18" width="8" customWidth="1"/>
    <col min="19" max="19" width="9" customWidth="1"/>
    <col min="20" max="20" width="8" customWidth="1"/>
    <col min="21" max="23" width="9" customWidth="1"/>
    <col min="24" max="24" width="13" customWidth="1"/>
    <col min="25" max="25" width="8" customWidth="1"/>
    <col min="26" max="26" width="9.28515625" customWidth="1"/>
    <col min="27" max="28" width="8" customWidth="1"/>
    <col min="29" max="29" width="10" customWidth="1"/>
  </cols>
  <sheetData>
    <row r="1" spans="1:46" ht="46.5" customHeight="1">
      <c r="A1" s="2" t="s">
        <v>597</v>
      </c>
      <c r="B1" s="63" t="s">
        <v>598</v>
      </c>
      <c r="C1" s="2" t="s">
        <v>599</v>
      </c>
      <c r="D1" s="2" t="s">
        <v>570</v>
      </c>
      <c r="E1" s="2" t="s">
        <v>600</v>
      </c>
      <c r="F1" s="2" t="s">
        <v>601</v>
      </c>
      <c r="G1" s="63" t="s">
        <v>602</v>
      </c>
      <c r="H1" s="2" t="s">
        <v>603</v>
      </c>
      <c r="I1" s="63" t="s">
        <v>604</v>
      </c>
      <c r="J1" s="2" t="s">
        <v>605</v>
      </c>
      <c r="K1" s="2" t="s">
        <v>606</v>
      </c>
      <c r="L1" s="7" t="s">
        <v>607</v>
      </c>
      <c r="M1" s="2" t="s">
        <v>608</v>
      </c>
      <c r="N1" s="7" t="s">
        <v>609</v>
      </c>
      <c r="O1" s="2" t="s">
        <v>610</v>
      </c>
      <c r="P1" s="2" t="s">
        <v>611</v>
      </c>
      <c r="Q1" s="2" t="s">
        <v>612</v>
      </c>
      <c r="R1" s="2" t="s">
        <v>613</v>
      </c>
      <c r="S1" s="2" t="s">
        <v>614</v>
      </c>
      <c r="T1" s="2" t="s">
        <v>615</v>
      </c>
      <c r="U1" s="2" t="s">
        <v>616</v>
      </c>
      <c r="V1" s="63" t="s">
        <v>617</v>
      </c>
      <c r="W1" s="2" t="s">
        <v>618</v>
      </c>
      <c r="X1" s="2" t="s">
        <v>619</v>
      </c>
      <c r="Y1" s="63" t="s">
        <v>620</v>
      </c>
      <c r="Z1" s="2" t="s">
        <v>621</v>
      </c>
      <c r="AA1" s="63" t="s">
        <v>622</v>
      </c>
      <c r="AB1" s="63" t="s">
        <v>623</v>
      </c>
      <c r="AC1" s="2" t="s">
        <v>624</v>
      </c>
      <c r="AD1" s="63" t="s">
        <v>625</v>
      </c>
      <c r="AE1" s="63" t="s">
        <v>626</v>
      </c>
      <c r="AF1" s="63" t="s">
        <v>627</v>
      </c>
      <c r="AG1" s="63" t="s">
        <v>628</v>
      </c>
      <c r="AH1" s="63" t="s">
        <v>629</v>
      </c>
      <c r="AI1" s="2" t="s">
        <v>630</v>
      </c>
      <c r="AJ1" s="2" t="s">
        <v>631</v>
      </c>
      <c r="AK1" s="2" t="s">
        <v>632</v>
      </c>
      <c r="AL1" s="2" t="s">
        <v>633</v>
      </c>
      <c r="AM1" s="2" t="s">
        <v>634</v>
      </c>
      <c r="AN1" s="2" t="s">
        <v>635</v>
      </c>
      <c r="AO1" s="2" t="s">
        <v>636</v>
      </c>
      <c r="AP1" s="2" t="s">
        <v>637</v>
      </c>
      <c r="AQ1" s="2" t="s">
        <v>638</v>
      </c>
      <c r="AR1" s="2" t="s">
        <v>5005</v>
      </c>
      <c r="AS1" s="2" t="s">
        <v>5006</v>
      </c>
      <c r="AT1" s="2" t="inlineStr">
        <is>
          <t xml:space="preserve">Own Party Only</t>
        </is>
      </c>
    </row>
    <row r="2" ht="26.25" customHeight="1">
      <c r="A2" s="4" t="s">
        <v>639</v>
      </c>
      <c r="B2" s="75" t="s">
        <v>640</v>
      </c>
      <c r="C2" s="75" t="s">
        <v>641</v>
      </c>
      <c r="D2" s="1" t="s">
        <v>642</v>
      </c>
      <c r="E2" s="4" t="s">
        <v>643</v>
      </c>
      <c r="F2" s="4" t="s">
        <v>644</v>
      </c>
      <c r="G2" s="4" t="s">
        <v>645</v>
      </c>
      <c r="H2" s="4">
        <v>35</v>
      </c>
      <c r="I2" s="4">
        <v>20</v>
      </c>
      <c r="J2" s="5">
        <f t="shared" ref="J2:J22" si="0">IF(AND(ISNUMBER(H2),ISNUMBER(I2)),IF(H2=0,"",I2/H2),"varies")</f>
        <v>0.5714285714285714</v>
      </c>
      <c r="K2">
        <v>7</v>
      </c>
      <c r="L2" s="4">
        <v>3</v>
      </c>
      <c r="M2" s="4">
        <v>5</v>
      </c>
      <c r="N2" s="4">
        <v>5</v>
      </c>
      <c r="O2" s="4">
        <v>1</v>
      </c>
      <c r="P2" s="4">
        <v>10</v>
      </c>
      <c r="Q2" s="5">
        <v>0.1</v>
      </c>
      <c r="R2" s="5">
        <v>0.4</v>
      </c>
      <c r="S2" s="5">
        <v>0</v>
      </c>
      <c r="T2" s="5">
        <v>0</v>
      </c>
      <c r="U2" s="5">
        <v>0.5</v>
      </c>
      <c r="V2" s="5">
        <v>0</v>
      </c>
      <c r="W2" s="5">
        <f t="shared" ref="W2:W22" si="1">SUM(Q2:V2)</f>
        <v>1</v>
      </c>
      <c r="X2" s="4" t="str">
        <f>IF(E2&lt;&gt;"Combat","—",IFERROR(INDEX(Affinity!$A$2:$A$7,MATCH(MAX(INDEX(Affinity!$B$2:$V$7,0,MATCH(A2,Affinity!$B$1:$V$1,0))),INDEX(Affinity!$B$2:$V$7,0,MATCH(A2,Affinity!$B$1:$V$1,0)),0)),"—"))</f>
        <v>Earnest</v>
      </c>
      <c r="Y2" s="4">
        <v>0</v>
      </c>
      <c r="Z2" s="67">
        <v>10000</v>
      </c>
      <c r="AA2" s="4">
        <v>0</v>
      </c>
      <c r="AB2" s="4">
        <v>50</v>
      </c>
      <c r="AC2" s="4">
        <v>0</v>
      </c>
      <c r="AD2" s="4">
        <v>0</v>
      </c>
      <c r="AE2" s="67">
        <v>1000</v>
      </c>
      <c r="AF2" s="4">
        <v>0</v>
      </c>
      <c r="AG2" s="4">
        <v>1</v>
      </c>
      <c r="AH2" s="4">
        <v>0</v>
      </c>
      <c r="AI2" s="4" t="s">
        <v>646</v>
      </c>
      <c r="AJ2" s="4" t="s">
        <v>647</v>
      </c>
      <c r="AL2" s="4" t="s">
        <v>648</v>
      </c>
      <c r="AM2" s="4">
        <v>2</v>
      </c>
      <c r="AO2" s="4" t="s">
        <v>650</v>
      </c>
      <c r="AR2" t="inlineStr">
        <is>
          <t xml:space="preserve">Yes</t>
        </is>
      </c>
    </row>
    <row r="3" ht="16.5" customHeight="1">
      <c r="A3" s="4" t="s">
        <v>651</v>
      </c>
      <c r="B3" s="4" t="s">
        <v>652</v>
      </c>
      <c r="C3" s="6" t="s">
        <v>653</v>
      </c>
      <c r="D3" s="4" t="s">
        <v>654</v>
      </c>
      <c r="E3" s="4" t="s">
        <v>643</v>
      </c>
      <c r="F3" s="4" t="s">
        <v>655</v>
      </c>
      <c r="G3" s="4" t="s">
        <v>645</v>
      </c>
      <c r="H3" s="4">
        <v>101</v>
      </c>
      <c r="I3" s="4">
        <v>51</v>
      </c>
      <c r="J3" s="5">
        <f t="shared" si="0"/>
        <v>0.50495049504950495</v>
      </c>
      <c r="K3">
        <v>10</v>
      </c>
      <c r="L3" s="4">
        <v>3</v>
      </c>
      <c r="M3" s="4">
        <v>5</v>
      </c>
      <c r="N3" s="4">
        <v>4</v>
      </c>
      <c r="O3" s="4">
        <v>25</v>
      </c>
      <c r="P3" s="4">
        <v>40</v>
      </c>
      <c r="Q3" s="5">
        <v>0.2</v>
      </c>
      <c r="R3" s="5">
        <v>0.35</v>
      </c>
      <c r="S3" s="5">
        <v>0.05</v>
      </c>
      <c r="T3" s="5">
        <v>0.15</v>
      </c>
      <c r="U3" s="5">
        <v>0.15</v>
      </c>
      <c r="V3" s="5">
        <v>0.1</v>
      </c>
      <c r="W3" s="5">
        <f t="shared" si="1"/>
        <v>1.0000000000000002</v>
      </c>
      <c r="X3" s="4" t="str">
        <f>IF(E3&lt;&gt;"Combat","—",IFERROR(INDEX(Affinity!$A$2:$A$7,MATCH(MAX(INDEX(Affinity!$B$2:$V$7,0,MATCH(A3,Affinity!$B$1:$V$1,0))),INDEX(Affinity!$B$2:$V$7,0,MATCH(A3,Affinity!$B$1:$V$1,0)),0)),"—"))</f>
        <v>Appeal</v>
      </c>
      <c r="Y3" s="4">
        <v>0</v>
      </c>
      <c r="Z3" s="67">
        <v>20000</v>
      </c>
      <c r="AA3" s="4">
        <v>0</v>
      </c>
      <c r="AB3" s="4">
        <v>50</v>
      </c>
      <c r="AC3" s="4">
        <v>0</v>
      </c>
      <c r="AD3" s="4">
        <v>0</v>
      </c>
      <c r="AE3" s="4">
        <v>0</v>
      </c>
      <c r="AF3" s="4">
        <v>0</v>
      </c>
      <c r="AG3" s="4">
        <v>5</v>
      </c>
      <c r="AH3" s="4">
        <v>0</v>
      </c>
      <c r="AI3" s="4" t="s">
        <v>646</v>
      </c>
      <c r="AJ3" s="4" t="s">
        <v>647</v>
      </c>
      <c r="AL3" s="4" t="s">
        <v>6706</v>
      </c>
      <c r="AM3" s="4">
        <v>2</v>
      </c>
      <c r="AO3" s="4" t="s">
        <v>650</v>
      </c>
      <c r="AR3" t="inlineStr">
        <is>
          <t xml:space="preserve">Yes</t>
        </is>
      </c>
    </row>
    <row r="4" ht="16.5" customHeight="1">
      <c r="A4" s="4" t="s">
        <v>658</v>
      </c>
      <c r="B4" s="4" t="s">
        <v>659</v>
      </c>
      <c r="C4" s="6" t="s">
        <v>660</v>
      </c>
      <c r="D4" s="4" t="s">
        <v>661</v>
      </c>
      <c r="E4" s="4" t="s">
        <v>643</v>
      </c>
      <c r="F4" s="4" t="s">
        <v>662</v>
      </c>
      <c r="G4" s="4" t="s">
        <v>663</v>
      </c>
      <c r="H4" s="4">
        <v>100</v>
      </c>
      <c r="I4" s="4">
        <v>60</v>
      </c>
      <c r="J4" s="5">
        <f t="shared" si="0"/>
        <v>0.6</v>
      </c>
      <c r="K4">
        <v>10</v>
      </c>
      <c r="L4" s="4">
        <v>3</v>
      </c>
      <c r="M4" s="4">
        <v>5</v>
      </c>
      <c r="N4" s="4">
        <v>5</v>
      </c>
      <c r="O4" s="4">
        <v>20</v>
      </c>
      <c r="P4" s="4">
        <v>40</v>
      </c>
      <c r="Q4" s="5">
        <v>0</v>
      </c>
      <c r="R4" s="5">
        <v>0.55000000000000004</v>
      </c>
      <c r="S4" s="5">
        <v>0</v>
      </c>
      <c r="T4" s="5">
        <v>0</v>
      </c>
      <c r="U4" s="5">
        <v>0</v>
      </c>
      <c r="V4" s="5">
        <v>0.45</v>
      </c>
      <c r="W4" s="5">
        <f t="shared" si="1"/>
        <v>1</v>
      </c>
      <c r="X4" s="4" t="str">
        <f>IF(E4&lt;&gt;"Combat","—",IFERROR(INDEX(Affinity!$A$2:$A$7,MATCH(MAX(INDEX(Affinity!$B$2:$V$7,0,MATCH(A4,Affinity!$B$1:$V$1,0))),INDEX(Affinity!$B$2:$V$7,0,MATCH(A4,Affinity!$B$1:$V$1,0)),0)),"—"))</f>
        <v>Divisive</v>
      </c>
      <c r="Y4" s="4">
        <v>0</v>
      </c>
      <c r="Z4" s="67">
        <v>10000</v>
      </c>
      <c r="AA4" s="4">
        <v>1</v>
      </c>
      <c r="AB4" s="4">
        <v>70</v>
      </c>
      <c r="AC4" s="4">
        <v>2</v>
      </c>
      <c r="AD4" s="76">
        <v>0</v>
      </c>
      <c r="AE4" s="4">
        <v>0</v>
      </c>
      <c r="AF4" s="76">
        <v>-1</v>
      </c>
      <c r="AG4" s="4">
        <v>1</v>
      </c>
      <c r="AH4" s="76">
        <v>-2</v>
      </c>
      <c r="AI4" s="4" t="s">
        <v>646</v>
      </c>
      <c r="AJ4" s="4" t="s">
        <v>647</v>
      </c>
      <c r="AL4" s="4" t="s">
        <v>6706</v>
      </c>
      <c r="AM4" s="4">
        <v>2</v>
      </c>
      <c r="AO4" s="4" t="s">
        <v>650</v>
      </c>
      <c r="AR4" t="inlineStr">
        <is>
          <t xml:space="preserve">Yes</t>
        </is>
      </c>
      <c r="AT4" t="inlineStr">
        <is>
          <t xml:space="preserve">Yes</t>
        </is>
      </c>
    </row>
    <row r="5" ht="26.25" customHeight="1">
      <c r="A5" s="4" t="s">
        <v>664</v>
      </c>
      <c r="B5" s="4" t="s">
        <v>665</v>
      </c>
      <c r="C5" s="6" t="s">
        <v>666</v>
      </c>
      <c r="D5" s="4" t="s">
        <v>667</v>
      </c>
      <c r="E5" s="4" t="s">
        <v>643</v>
      </c>
      <c r="F5" s="4" t="s">
        <v>668</v>
      </c>
      <c r="G5" s="4" t="s">
        <v>645</v>
      </c>
      <c r="H5" s="4">
        <v>100</v>
      </c>
      <c r="I5" s="4">
        <v>55</v>
      </c>
      <c r="J5" s="5">
        <f t="shared" si="0"/>
        <v>0.55000000000000004</v>
      </c>
      <c r="K5">
        <v>6</v>
      </c>
      <c r="L5" s="4">
        <v>3</v>
      </c>
      <c r="M5" s="4">
        <v>5</v>
      </c>
      <c r="N5" s="4">
        <v>4</v>
      </c>
      <c r="O5" s="4">
        <v>20</v>
      </c>
      <c r="P5" s="4">
        <v>45</v>
      </c>
      <c r="Q5" s="5">
        <v>0.9</v>
      </c>
      <c r="R5" s="5">
        <v>0</v>
      </c>
      <c r="S5" s="5">
        <v>0</v>
      </c>
      <c r="T5" s="5">
        <v>0</v>
      </c>
      <c r="U5" s="5">
        <v>0.05</v>
      </c>
      <c r="V5" s="5">
        <v>0.05</v>
      </c>
      <c r="W5" s="5">
        <f t="shared" si="1"/>
        <v>1</v>
      </c>
      <c r="X5" s="4" t="str">
        <f>IF(E5&lt;&gt;"Combat","—",IFERROR(INDEX(Affinity!$A$2:$A$7,MATCH(MAX(INDEX(Affinity!$B$2:$V$7,0,MATCH(A5,Affinity!$B$1:$V$1,0))),INDEX(Affinity!$B$2:$V$7,0,MATCH(A5,Affinity!$B$1:$V$1,0)),0)),"—"))</f>
        <v>Appeal</v>
      </c>
      <c r="Y5" s="4">
        <v>1</v>
      </c>
      <c r="Z5" s="67">
        <v>20000</v>
      </c>
      <c r="AA5" s="4">
        <v>1</v>
      </c>
      <c r="AB5" s="4">
        <v>30</v>
      </c>
      <c r="AC5" s="4">
        <v>1</v>
      </c>
      <c r="AD5" s="76">
        <v>0</v>
      </c>
      <c r="AE5" s="4">
        <v>0</v>
      </c>
      <c r="AF5" s="76">
        <v>-2</v>
      </c>
      <c r="AG5" s="4">
        <v>5</v>
      </c>
      <c r="AH5" s="76">
        <v>-2</v>
      </c>
      <c r="AI5" s="4" t="s">
        <v>669</v>
      </c>
      <c r="AJ5" s="4" t="s">
        <v>647</v>
      </c>
      <c r="AL5" s="4" t="s">
        <v>656</v>
      </c>
      <c r="AM5" s="4" t="s">
        <v>657</v>
      </c>
      <c r="AN5" s="4" t="s">
        <v>670</v>
      </c>
      <c r="AO5" s="4" t="s">
        <v>671</v>
      </c>
      <c r="AQ5" s="4" t="s">
        <v>650</v>
      </c>
      <c r="AR5" t="inlineStr">
        <is>
          <t xml:space="preserve">Yes</t>
        </is>
      </c>
    </row>
    <row r="6" ht="26.25" customHeight="1">
      <c r="A6" s="4" t="s">
        <v>672</v>
      </c>
      <c r="B6" s="4" t="s">
        <v>673</v>
      </c>
      <c r="C6" s="6" t="s">
        <v>674</v>
      </c>
      <c r="D6" s="4" t="s">
        <v>675</v>
      </c>
      <c r="E6" s="4" t="s">
        <v>643</v>
      </c>
      <c r="F6" s="4" t="s">
        <v>676</v>
      </c>
      <c r="G6" s="4" t="s">
        <v>663</v>
      </c>
      <c r="H6" s="4">
        <v>100</v>
      </c>
      <c r="I6" s="4">
        <v>60</v>
      </c>
      <c r="J6" s="5">
        <f t="shared" si="0"/>
        <v>0.6</v>
      </c>
      <c r="K6">
        <v>17</v>
      </c>
      <c r="L6" s="4">
        <v>3</v>
      </c>
      <c r="M6" s="4">
        <v>5</v>
      </c>
      <c r="N6" s="4">
        <v>6</v>
      </c>
      <c r="O6" s="4">
        <v>15</v>
      </c>
      <c r="P6" s="4">
        <v>20</v>
      </c>
      <c r="Q6" s="5">
        <v>0.1</v>
      </c>
      <c r="R6" s="5">
        <v>0.1</v>
      </c>
      <c r="S6" s="5">
        <v>0.7</v>
      </c>
      <c r="T6" s="5">
        <v>0.1</v>
      </c>
      <c r="U6" s="5">
        <v>0</v>
      </c>
      <c r="V6" s="5">
        <v>0</v>
      </c>
      <c r="W6" s="5">
        <f t="shared" si="1"/>
        <v>0.99999999999999989</v>
      </c>
      <c r="X6" s="4" t="str">
        <f>IF(E6&lt;&gt;"Combat","—",IFERROR(INDEX(Affinity!$A$2:$A$7,MATCH(MAX(INDEX(Affinity!$B$2:$V$7,0,MATCH(A6,Affinity!$B$1:$V$1,0))),INDEX(Affinity!$B$2:$V$7,0,MATCH(A6,Affinity!$B$1:$V$1,0)),0)),"—"))</f>
        <v>Earnest</v>
      </c>
      <c r="Y6" s="4">
        <v>5</v>
      </c>
      <c r="Z6" s="67">
        <v>35000</v>
      </c>
      <c r="AA6" s="4">
        <v>1</v>
      </c>
      <c r="AB6" s="4">
        <v>50</v>
      </c>
      <c r="AC6" s="4">
        <v>0</v>
      </c>
      <c r="AD6" s="76">
        <v>-5</v>
      </c>
      <c r="AE6" s="4">
        <v>0</v>
      </c>
      <c r="AF6" s="76">
        <v>-3</v>
      </c>
      <c r="AG6" s="4">
        <v>10</v>
      </c>
      <c r="AH6" s="76">
        <v>0</v>
      </c>
      <c r="AI6" s="4" t="s">
        <v>646</v>
      </c>
      <c r="AJ6" s="4" t="s">
        <v>647</v>
      </c>
      <c r="AL6" s="4" t="s">
        <v>6707</v>
      </c>
      <c r="AM6" s="4">
        <v>3</v>
      </c>
      <c r="AO6" s="4" t="s">
        <v>650</v>
      </c>
      <c r="AR6" t="inlineStr">
        <is>
          <t xml:space="preserve">Yes</t>
        </is>
      </c>
    </row>
    <row r="7" ht="26.25" customHeight="1">
      <c r="A7" s="4" t="s">
        <v>677</v>
      </c>
      <c r="B7" s="4" t="s">
        <v>678</v>
      </c>
      <c r="C7" s="6" t="s">
        <v>679</v>
      </c>
      <c r="D7" s="4" t="s">
        <v>680</v>
      </c>
      <c r="E7" s="4" t="s">
        <v>643</v>
      </c>
      <c r="F7" s="4" t="s">
        <v>6851</v>
      </c>
      <c r="G7" s="4" t="s">
        <v>645</v>
      </c>
      <c r="H7" s="4">
        <v>100</v>
      </c>
      <c r="I7" s="4">
        <v>65</v>
      </c>
      <c r="J7" s="5">
        <f t="shared" si="0"/>
        <v>0.65</v>
      </c>
      <c r="K7">
        <v>5</v>
      </c>
      <c r="L7" s="4">
        <v>5</v>
      </c>
      <c r="M7" s="4">
        <v>6</v>
      </c>
      <c r="N7" s="4">
        <v>5</v>
      </c>
      <c r="O7" s="4">
        <v>60</v>
      </c>
      <c r="P7" s="4">
        <v>50</v>
      </c>
      <c r="Q7" s="5">
        <v>0.8</v>
      </c>
      <c r="R7" s="5">
        <v>0</v>
      </c>
      <c r="S7" s="5">
        <v>0.2</v>
      </c>
      <c r="T7" s="5">
        <v>0</v>
      </c>
      <c r="U7" s="5">
        <v>0</v>
      </c>
      <c r="V7" s="5">
        <v>0</v>
      </c>
      <c r="W7" s="5">
        <f t="shared" si="1"/>
        <v>1</v>
      </c>
      <c r="X7" s="4" t="str">
        <f>IF(E7&lt;&gt;"Combat","—",IFERROR(INDEX(Affinity!$A$2:$A$7,MATCH(MAX(INDEX(Affinity!$B$2:$V$7,0,MATCH(A7,Affinity!$B$1:$V$1,0))),INDEX(Affinity!$B$2:$V$7,0,MATCH(A7,Affinity!$B$1:$V$1,0)),0)),"—"))</f>
        <v>Appeal</v>
      </c>
      <c r="Y7" s="4">
        <v>3</v>
      </c>
      <c r="Z7" s="67">
        <v>40000</v>
      </c>
      <c r="AA7" s="4">
        <v>2</v>
      </c>
      <c r="AB7" s="4">
        <v>70</v>
      </c>
      <c r="AC7" s="4">
        <v>2</v>
      </c>
      <c r="AD7" s="76">
        <v>-1</v>
      </c>
      <c r="AE7" s="4">
        <v>0</v>
      </c>
      <c r="AF7" s="76">
        <v>-3</v>
      </c>
      <c r="AG7" s="4">
        <v>0</v>
      </c>
      <c r="AH7" s="76">
        <v>-1</v>
      </c>
      <c r="AI7" s="4" t="s">
        <v>681</v>
      </c>
      <c r="AJ7" s="4" t="s">
        <v>647</v>
      </c>
      <c r="AL7" s="4" t="s">
        <v>656</v>
      </c>
      <c r="AM7" s="4" t="s">
        <v>657</v>
      </c>
      <c r="AO7" s="4" t="s">
        <v>671</v>
      </c>
      <c r="AR7" t="inlineStr">
        <is>
          <t xml:space="preserve">Yes</t>
        </is>
      </c>
    </row>
    <row r="8" spans="1:46" ht="26.25" customHeight="1">
      <c r="A8" s="4" t="s">
        <v>682</v>
      </c>
      <c r="B8" s="4" t="s">
        <v>683</v>
      </c>
      <c r="C8" s="6" t="s">
        <v>684</v>
      </c>
      <c r="D8" s="4" t="s">
        <v>685</v>
      </c>
      <c r="E8" s="4" t="s">
        <v>686</v>
      </c>
      <c r="F8" s="4" t="s">
        <v>687</v>
      </c>
      <c r="G8" s="4" t="s">
        <v>645</v>
      </c>
      <c r="H8" s="4">
        <v>10</v>
      </c>
      <c r="I8" s="4">
        <v>10</v>
      </c>
      <c r="J8" s="5">
        <f t="shared" si="0"/>
        <v>1</v>
      </c>
      <c r="K8">
        <v>9</v>
      </c>
      <c r="L8" s="4">
        <v>5</v>
      </c>
      <c r="M8" s="4">
        <v>5</v>
      </c>
      <c r="N8" s="4">
        <v>7</v>
      </c>
      <c r="O8" s="4">
        <v>0</v>
      </c>
      <c r="P8" s="4">
        <v>0</v>
      </c>
      <c r="Q8" s="5">
        <v>0</v>
      </c>
      <c r="R8" s="5">
        <v>0</v>
      </c>
      <c r="S8" s="5">
        <v>0.7</v>
      </c>
      <c r="T8" s="5">
        <v>0.3</v>
      </c>
      <c r="U8" s="5">
        <v>0</v>
      </c>
      <c r="V8" s="5">
        <v>0</v>
      </c>
      <c r="W8" s="5">
        <f t="shared" si="1"/>
        <v>1</v>
      </c>
      <c r="X8" s="4" t="str">
        <f>IF(E8&lt;&gt;"Combat","—",IFERROR(INDEX(Affinity!$A$2:$A$7,MATCH(MAX(INDEX(Affinity!$B$2:$V$7,0,MATCH(A8,Affinity!$B$1:$V$1,0))),INDEX(Affinity!$B$2:$V$7,0,MATCH(A8,Affinity!$B$1:$V$1,0)),0)),"—"))</f>
        <v>—</v>
      </c>
      <c r="Y8" s="4">
        <v>5</v>
      </c>
      <c r="Z8" s="67">
        <v>10000</v>
      </c>
      <c r="AA8" s="4">
        <v>0</v>
      </c>
      <c r="AB8" s="4">
        <v>50</v>
      </c>
      <c r="AC8" s="4">
        <v>0</v>
      </c>
      <c r="AD8" s="76">
        <v>0</v>
      </c>
      <c r="AE8" s="4">
        <v>0</v>
      </c>
      <c r="AF8" s="76">
        <v>0</v>
      </c>
      <c r="AG8" s="4">
        <v>0</v>
      </c>
      <c r="AH8" s="76">
        <v>0</v>
      </c>
      <c r="AI8" s="4" t="s">
        <v>646</v>
      </c>
      <c r="AJ8" s="4" t="s">
        <v>647</v>
      </c>
      <c r="AL8" s="4" t="s">
        <v>656</v>
      </c>
      <c r="AM8" s="4">
        <v>5</v>
      </c>
      <c r="AO8" s="4" t="s">
        <v>650</v>
      </c>
      <c r="AQ8" t="s">
        <v>650</v>
      </c>
    </row>
    <row r="9" ht="39" customHeight="1">
      <c r="A9" s="4" t="s">
        <v>688</v>
      </c>
      <c r="B9" s="4" t="s">
        <v>689</v>
      </c>
      <c r="C9" s="6" t="s">
        <v>690</v>
      </c>
      <c r="D9" s="4" t="s">
        <v>691</v>
      </c>
      <c r="E9" s="4" t="s">
        <v>643</v>
      </c>
      <c r="F9" s="4" t="s">
        <v>662</v>
      </c>
      <c r="G9" s="4" t="s">
        <v>663</v>
      </c>
      <c r="H9" s="4">
        <v>100</v>
      </c>
      <c r="I9" s="4">
        <v>60</v>
      </c>
      <c r="J9" s="5">
        <f t="shared" si="0"/>
        <v>0.6</v>
      </c>
      <c r="K9">
        <v>5</v>
      </c>
      <c r="L9" s="4">
        <v>3</v>
      </c>
      <c r="M9" s="4">
        <v>5</v>
      </c>
      <c r="N9" s="4">
        <v>5</v>
      </c>
      <c r="O9" s="4">
        <v>20</v>
      </c>
      <c r="P9" s="4">
        <v>50</v>
      </c>
      <c r="Q9" s="5">
        <v>0</v>
      </c>
      <c r="R9" s="5">
        <v>0.7</v>
      </c>
      <c r="S9" s="5">
        <v>0</v>
      </c>
      <c r="T9" s="5">
        <v>0</v>
      </c>
      <c r="U9" s="5">
        <v>0</v>
      </c>
      <c r="V9" s="5">
        <v>0.3</v>
      </c>
      <c r="W9" s="5">
        <f t="shared" si="1"/>
        <v>1</v>
      </c>
      <c r="X9" s="4" t="str">
        <f>IF(E9&lt;&gt;"Combat","—",IFERROR(INDEX(Affinity!$A$2:$A$7,MATCH(MAX(INDEX(Affinity!$B$2:$V$7,0,MATCH(A9,Affinity!$B$1:$V$1,0))),INDEX(Affinity!$B$2:$V$7,0,MATCH(A9,Affinity!$B$1:$V$1,0)),0)),"—"))</f>
        <v>Divisive</v>
      </c>
      <c r="Y9" s="4">
        <v>0</v>
      </c>
      <c r="Z9" s="67">
        <v>20000</v>
      </c>
      <c r="AA9" s="4">
        <v>2</v>
      </c>
      <c r="AB9" s="4">
        <v>70</v>
      </c>
      <c r="AC9" s="4">
        <v>5</v>
      </c>
      <c r="AD9" s="76">
        <v>0</v>
      </c>
      <c r="AE9" s="4">
        <v>0</v>
      </c>
      <c r="AF9" s="76">
        <v>-3</v>
      </c>
      <c r="AG9" s="4">
        <v>5</v>
      </c>
      <c r="AH9" s="75">
        <v>-5</v>
      </c>
      <c r="AI9" s="4" t="s">
        <v>646</v>
      </c>
      <c r="AJ9" s="4" t="s">
        <v>5142</v>
      </c>
      <c r="AK9" s="76">
        <v>8</v>
      </c>
      <c r="AL9" s="4" t="s">
        <v>656</v>
      </c>
      <c r="AM9" s="4" t="s">
        <v>657</v>
      </c>
      <c r="AO9" s="4" t="s">
        <v>650</v>
      </c>
      <c r="AR9" t="inlineStr">
        <is>
          <t xml:space="preserve">Yes</t>
        </is>
      </c>
      <c r="AT9" t="inlineStr">
        <is>
          <t xml:space="preserve">Yes</t>
        </is>
      </c>
    </row>
    <row r="10" ht="30" customHeight="1">
      <c r="A10" s="4" t="s">
        <v>692</v>
      </c>
      <c r="B10" s="75" t="s">
        <v>516</v>
      </c>
      <c r="C10" s="77" t="s">
        <v>693</v>
      </c>
      <c r="D10" s="77" t="s">
        <v>694</v>
      </c>
      <c r="E10" s="4" t="s">
        <v>643</v>
      </c>
      <c r="F10" s="4" t="s">
        <v>695</v>
      </c>
      <c r="G10" s="4" t="s">
        <v>663</v>
      </c>
      <c r="H10" s="4">
        <v>100</v>
      </c>
      <c r="I10" s="4">
        <v>60</v>
      </c>
      <c r="J10" s="5">
        <f t="shared" si="0"/>
        <v>0.6</v>
      </c>
      <c r="K10">
        <v>10</v>
      </c>
      <c r="L10" s="4">
        <v>5</v>
      </c>
      <c r="M10" s="4">
        <v>5</v>
      </c>
      <c r="N10" s="4">
        <v>5</v>
      </c>
      <c r="O10" s="4">
        <v>20</v>
      </c>
      <c r="P10" s="4">
        <v>30</v>
      </c>
      <c r="Q10" s="5">
        <v>0.35</v>
      </c>
      <c r="R10" s="5">
        <v>0.4</v>
      </c>
      <c r="S10" s="5">
        <v>0</v>
      </c>
      <c r="T10" s="5">
        <v>0</v>
      </c>
      <c r="U10" s="5">
        <v>0.1</v>
      </c>
      <c r="V10" s="5">
        <v>0.15</v>
      </c>
      <c r="W10" s="5">
        <f t="shared" si="1"/>
        <v>1</v>
      </c>
      <c r="X10" s="4" t="str">
        <f>IF(E10&lt;&gt;"Combat","—",IFERROR(INDEX(Affinity!$A$2:$A$7,MATCH(MAX(INDEX(Affinity!$B$2:$V$7,0,MATCH(A10,Affinity!$B$1:$V$1,0))),INDEX(Affinity!$B$2:$V$7,0,MATCH(A10,Affinity!$B$1:$V$1,0)),0)),"—"))</f>
        <v>Emotional</v>
      </c>
      <c r="Y10" s="4">
        <v>2</v>
      </c>
      <c r="Z10" s="67">
        <v>20000</v>
      </c>
      <c r="AA10" s="4">
        <v>2</v>
      </c>
      <c r="AB10" s="4">
        <v>50</v>
      </c>
      <c r="AC10" s="4">
        <v>2</v>
      </c>
      <c r="AD10" s="76">
        <v>0</v>
      </c>
      <c r="AE10" s="4">
        <v>0</v>
      </c>
      <c r="AF10" s="76">
        <v>0</v>
      </c>
      <c r="AG10" s="4">
        <v>0</v>
      </c>
      <c r="AH10" s="76">
        <v>0</v>
      </c>
      <c r="AI10" s="4" t="s">
        <v>646</v>
      </c>
      <c r="AJ10" s="4" t="s">
        <v>647</v>
      </c>
      <c r="AL10" s="4" t="s">
        <v>648</v>
      </c>
      <c r="AM10" s="4">
        <v>4</v>
      </c>
      <c r="AO10" s="4" t="s">
        <v>650</v>
      </c>
      <c r="AR10" t="inlineStr">
        <is>
          <t xml:space="preserve">Yes</t>
        </is>
      </c>
    </row>
    <row r="11" ht="30" customHeight="1">
      <c r="A11" s="4" t="s">
        <v>696</v>
      </c>
      <c r="B11" s="75" t="s">
        <v>697</v>
      </c>
      <c r="C11" s="77" t="s">
        <v>698</v>
      </c>
      <c r="D11" s="77" t="s">
        <v>699</v>
      </c>
      <c r="E11" s="4" t="s">
        <v>643</v>
      </c>
      <c r="F11" s="4" t="s">
        <v>695</v>
      </c>
      <c r="G11" s="4" t="s">
        <v>663</v>
      </c>
      <c r="H11" s="4">
        <v>100</v>
      </c>
      <c r="I11" s="4">
        <v>51</v>
      </c>
      <c r="J11" s="5">
        <f t="shared" si="0"/>
        <v>0.51</v>
      </c>
      <c r="K11">
        <v>10</v>
      </c>
      <c r="L11" s="4">
        <v>5</v>
      </c>
      <c r="M11" s="4">
        <v>5</v>
      </c>
      <c r="N11" s="4">
        <v>7</v>
      </c>
      <c r="O11" s="4">
        <v>30</v>
      </c>
      <c r="P11" s="4">
        <v>30</v>
      </c>
      <c r="Q11" s="5">
        <v>0</v>
      </c>
      <c r="R11" s="5">
        <v>0.1</v>
      </c>
      <c r="S11" s="5">
        <v>0.65</v>
      </c>
      <c r="T11" s="5">
        <v>0</v>
      </c>
      <c r="U11" s="5">
        <v>0.2</v>
      </c>
      <c r="V11" s="5">
        <v>0.05</v>
      </c>
      <c r="W11" s="5">
        <f t="shared" si="1"/>
        <v>1</v>
      </c>
      <c r="X11" s="4" t="str">
        <f>IF(E11&lt;&gt;"Combat","—",IFERROR(INDEX(Affinity!$A$2:$A$7,MATCH(MAX(INDEX(Affinity!$B$2:$V$7,0,MATCH(A11,Affinity!$B$1:$V$1,0))),INDEX(Affinity!$B$2:$V$7,0,MATCH(A11,Affinity!$B$1:$V$1,0)),0)),"—"))</f>
        <v>Earnest</v>
      </c>
      <c r="Y11" s="4">
        <v>2</v>
      </c>
      <c r="Z11" s="67">
        <v>10000</v>
      </c>
      <c r="AA11" s="4">
        <v>1</v>
      </c>
      <c r="AB11" s="4">
        <v>50</v>
      </c>
      <c r="AC11" s="4">
        <v>0</v>
      </c>
      <c r="AD11" s="4">
        <v>-1</v>
      </c>
      <c r="AE11" s="67">
        <v>1000</v>
      </c>
      <c r="AF11" s="4">
        <v>0</v>
      </c>
      <c r="AG11" s="4">
        <v>1</v>
      </c>
      <c r="AH11" s="4">
        <v>0</v>
      </c>
      <c r="AI11" s="4" t="s">
        <v>646</v>
      </c>
      <c r="AJ11" s="4" t="s">
        <v>647</v>
      </c>
      <c r="AL11" s="4" t="s">
        <v>648</v>
      </c>
      <c r="AM11" s="4">
        <v>2</v>
      </c>
      <c r="AO11" s="4" t="s">
        <v>650</v>
      </c>
      <c r="AR11" t="inlineStr">
        <is>
          <t xml:space="preserve">Yes</t>
        </is>
      </c>
    </row>
    <row r="12" ht="30" customHeight="1">
      <c r="A12" s="4" t="s">
        <v>700</v>
      </c>
      <c r="B12" s="75" t="s">
        <v>701</v>
      </c>
      <c r="C12" s="77" t="s">
        <v>702</v>
      </c>
      <c r="D12" s="77" t="s">
        <v>703</v>
      </c>
      <c r="E12" s="4" t="s">
        <v>643</v>
      </c>
      <c r="F12" s="4" t="s">
        <v>695</v>
      </c>
      <c r="G12" s="4" t="s">
        <v>663</v>
      </c>
      <c r="H12" s="4">
        <v>100</v>
      </c>
      <c r="I12" s="4">
        <v>55</v>
      </c>
      <c r="J12" s="5">
        <f t="shared" si="0"/>
        <v>0.55000000000000004</v>
      </c>
      <c r="K12">
        <v>10</v>
      </c>
      <c r="L12" s="4">
        <v>3</v>
      </c>
      <c r="M12" s="4">
        <v>5</v>
      </c>
      <c r="N12" s="4">
        <v>5</v>
      </c>
      <c r="O12" s="4">
        <v>25</v>
      </c>
      <c r="P12" s="4">
        <v>25</v>
      </c>
      <c r="Q12" s="5">
        <v>0.55000000000000004</v>
      </c>
      <c r="R12" s="5">
        <v>0</v>
      </c>
      <c r="S12" s="5">
        <v>0.05</v>
      </c>
      <c r="T12" s="5">
        <v>0.25</v>
      </c>
      <c r="U12" s="5">
        <v>0.15</v>
      </c>
      <c r="V12" s="5">
        <v>0</v>
      </c>
      <c r="W12" s="5">
        <f t="shared" si="1"/>
        <v>1</v>
      </c>
      <c r="X12" s="4" t="str">
        <f>IF(E12&lt;&gt;"Combat","—",IFERROR(INDEX(Affinity!$A$2:$A$7,MATCH(MAX(INDEX(Affinity!$B$2:$V$7,0,MATCH(A12,Affinity!$B$1:$V$1,0))),INDEX(Affinity!$B$2:$V$7,0,MATCH(A12,Affinity!$B$1:$V$1,0)),0)),"—"))</f>
        <v>Divisive</v>
      </c>
      <c r="Y12" s="4">
        <v>0</v>
      </c>
      <c r="Z12" s="67">
        <v>10000</v>
      </c>
      <c r="AA12" s="4">
        <v>1</v>
      </c>
      <c r="AB12" s="4">
        <v>30</v>
      </c>
      <c r="AC12" s="4">
        <v>2</v>
      </c>
      <c r="AD12" s="76">
        <v>0</v>
      </c>
      <c r="AE12" s="4">
        <v>0</v>
      </c>
      <c r="AF12" s="76">
        <v>0</v>
      </c>
      <c r="AG12" s="4">
        <v>1</v>
      </c>
      <c r="AH12" s="76">
        <v>0</v>
      </c>
      <c r="AI12" s="4" t="s">
        <v>646</v>
      </c>
      <c r="AJ12" s="4" t="s">
        <v>647</v>
      </c>
      <c r="AL12" s="4" t="s">
        <v>648</v>
      </c>
      <c r="AM12" s="4" t="s">
        <v>649</v>
      </c>
      <c r="AO12" s="4" t="s">
        <v>650</v>
      </c>
      <c r="AR12" t="inlineStr">
        <is>
          <t xml:space="preserve">Yes</t>
        </is>
      </c>
    </row>
    <row r="13" ht="30" customHeight="1">
      <c r="A13" s="4" t="s">
        <v>704</v>
      </c>
      <c r="B13" s="75" t="s">
        <v>542</v>
      </c>
      <c r="C13" s="77" t="s">
        <v>705</v>
      </c>
      <c r="D13" s="77" t="s">
        <v>706</v>
      </c>
      <c r="E13" s="4" t="s">
        <v>643</v>
      </c>
      <c r="F13" s="4" t="s">
        <v>695</v>
      </c>
      <c r="G13" s="4" t="s">
        <v>663</v>
      </c>
      <c r="H13" s="4">
        <v>100</v>
      </c>
      <c r="I13" s="4">
        <v>70</v>
      </c>
      <c r="J13" s="5">
        <f t="shared" si="0"/>
        <v>0.7</v>
      </c>
      <c r="K13">
        <v>10</v>
      </c>
      <c r="L13" s="4">
        <v>4</v>
      </c>
      <c r="M13" s="4">
        <v>5</v>
      </c>
      <c r="N13" s="4">
        <v>7</v>
      </c>
      <c r="O13" s="4">
        <v>35</v>
      </c>
      <c r="P13" s="4">
        <v>30</v>
      </c>
      <c r="Q13" s="5">
        <v>0</v>
      </c>
      <c r="R13" s="5">
        <v>0.5</v>
      </c>
      <c r="S13" s="5">
        <v>0</v>
      </c>
      <c r="T13" s="5">
        <v>0</v>
      </c>
      <c r="U13" s="5">
        <v>0.5</v>
      </c>
      <c r="V13" s="5">
        <v>0</v>
      </c>
      <c r="W13" s="5">
        <f t="shared" si="1"/>
        <v>1</v>
      </c>
      <c r="X13" s="4" t="str">
        <f>IF(E13&lt;&gt;"Combat","—",IFERROR(INDEX(Affinity!$A$2:$A$7,MATCH(MAX(INDEX(Affinity!$B$2:$V$7,0,MATCH(A13,Affinity!$B$1:$V$1,0))),INDEX(Affinity!$B$2:$V$7,0,MATCH(A13,Affinity!$B$1:$V$1,0)),0)),"—"))</f>
        <v>Data Driven</v>
      </c>
      <c r="Y13" s="4">
        <v>0</v>
      </c>
      <c r="Z13" s="67">
        <v>10000</v>
      </c>
      <c r="AA13" s="4">
        <v>1</v>
      </c>
      <c r="AB13" s="4">
        <v>20</v>
      </c>
      <c r="AC13" s="4">
        <v>3</v>
      </c>
      <c r="AD13" s="76">
        <v>0</v>
      </c>
      <c r="AE13" s="4">
        <v>0</v>
      </c>
      <c r="AF13" s="76">
        <v>0</v>
      </c>
      <c r="AG13" s="4">
        <v>1</v>
      </c>
      <c r="AH13" s="76">
        <v>0</v>
      </c>
      <c r="AI13" s="4" t="s">
        <v>646</v>
      </c>
      <c r="AJ13" s="4" t="s">
        <v>647</v>
      </c>
      <c r="AL13" s="4" t="s">
        <v>648</v>
      </c>
      <c r="AM13" s="4" t="s">
        <v>649</v>
      </c>
      <c r="AO13" s="4" t="s">
        <v>650</v>
      </c>
      <c r="AR13" t="inlineStr">
        <is>
          <t xml:space="preserve">Yes</t>
        </is>
      </c>
    </row>
    <row r="14" ht="30" customHeight="1">
      <c r="A14" s="4" t="s">
        <v>707</v>
      </c>
      <c r="B14" s="75" t="s">
        <v>708</v>
      </c>
      <c r="C14" s="77" t="s">
        <v>709</v>
      </c>
      <c r="D14" s="77" t="s">
        <v>710</v>
      </c>
      <c r="E14" s="4" t="s">
        <v>643</v>
      </c>
      <c r="F14" s="4" t="s">
        <v>695</v>
      </c>
      <c r="G14" s="4" t="s">
        <v>663</v>
      </c>
      <c r="H14" s="4">
        <v>100</v>
      </c>
      <c r="I14" s="4">
        <v>51</v>
      </c>
      <c r="J14" s="5">
        <f t="shared" si="0"/>
        <v>0.51</v>
      </c>
      <c r="K14">
        <v>10</v>
      </c>
      <c r="L14" s="4">
        <v>5</v>
      </c>
      <c r="M14" s="4">
        <v>5</v>
      </c>
      <c r="N14" s="4">
        <v>7</v>
      </c>
      <c r="O14" s="4">
        <v>30</v>
      </c>
      <c r="P14" s="4">
        <v>30</v>
      </c>
      <c r="Q14" s="5">
        <v>0</v>
      </c>
      <c r="R14" s="5">
        <v>0.2</v>
      </c>
      <c r="S14" s="5">
        <v>0.6</v>
      </c>
      <c r="T14" s="5">
        <v>0</v>
      </c>
      <c r="U14" s="5">
        <v>0</v>
      </c>
      <c r="V14" s="5">
        <v>0.2</v>
      </c>
      <c r="W14" s="5">
        <f t="shared" si="1"/>
        <v>1</v>
      </c>
      <c r="X14" s="4" t="str">
        <f>IF(E14&lt;&gt;"Combat","—",IFERROR(INDEX(Affinity!$A$2:$A$7,MATCH(MAX(INDEX(Affinity!$B$2:$V$7,0,MATCH(A14,Affinity!$B$1:$V$1,0))),INDEX(Affinity!$B$2:$V$7,0,MATCH(A14,Affinity!$B$1:$V$1,0)),0)),"—"))</f>
        <v>Emotional</v>
      </c>
      <c r="Y14" s="4">
        <v>1</v>
      </c>
      <c r="Z14" s="67">
        <v>10000</v>
      </c>
      <c r="AA14" s="4">
        <v>1</v>
      </c>
      <c r="AB14" s="4">
        <v>50</v>
      </c>
      <c r="AC14" s="4">
        <v>0</v>
      </c>
      <c r="AD14" s="4">
        <v>-1</v>
      </c>
      <c r="AE14" s="67">
        <v>1000</v>
      </c>
      <c r="AF14" s="4">
        <v>0</v>
      </c>
      <c r="AG14" s="4">
        <v>1</v>
      </c>
      <c r="AH14" s="4">
        <v>0</v>
      </c>
      <c r="AI14" s="4" t="s">
        <v>646</v>
      </c>
      <c r="AJ14" s="4" t="s">
        <v>647</v>
      </c>
      <c r="AL14" s="4" t="s">
        <v>648</v>
      </c>
      <c r="AM14" s="4">
        <v>2</v>
      </c>
      <c r="AO14" s="4" t="s">
        <v>650</v>
      </c>
      <c r="AR14" t="inlineStr">
        <is>
          <t xml:space="preserve">Yes</t>
        </is>
      </c>
    </row>
    <row r="15" ht="30" customHeight="1">
      <c r="A15" s="4" t="s">
        <v>711</v>
      </c>
      <c r="B15" s="75" t="s">
        <v>525</v>
      </c>
      <c r="C15" s="77" t="s">
        <v>712</v>
      </c>
      <c r="D15" s="77" t="s">
        <v>713</v>
      </c>
      <c r="E15" s="4" t="s">
        <v>643</v>
      </c>
      <c r="F15" s="4" t="s">
        <v>695</v>
      </c>
      <c r="G15" s="4" t="s">
        <v>663</v>
      </c>
      <c r="H15" s="4">
        <v>100</v>
      </c>
      <c r="I15" s="4">
        <v>60</v>
      </c>
      <c r="J15" s="5">
        <f t="shared" si="0"/>
        <v>0.6</v>
      </c>
      <c r="K15">
        <v>10</v>
      </c>
      <c r="L15" s="4">
        <v>4</v>
      </c>
      <c r="M15" s="4">
        <v>5</v>
      </c>
      <c r="N15" s="4">
        <v>5</v>
      </c>
      <c r="O15" s="4">
        <v>25</v>
      </c>
      <c r="P15" s="4">
        <v>30</v>
      </c>
      <c r="Q15" s="5">
        <v>0.4</v>
      </c>
      <c r="R15" s="5">
        <v>0.2</v>
      </c>
      <c r="S15" s="5">
        <v>0</v>
      </c>
      <c r="T15" s="5">
        <v>0.2</v>
      </c>
      <c r="U15" s="5">
        <v>0.2</v>
      </c>
      <c r="V15" s="5">
        <v>0</v>
      </c>
      <c r="W15" s="5">
        <f t="shared" si="1"/>
        <v>1</v>
      </c>
      <c r="X15" s="4" t="str">
        <f>IF(E15&lt;&gt;"Combat","—",IFERROR(INDEX(Affinity!$A$2:$A$7,MATCH(MAX(INDEX(Affinity!$B$2:$V$7,0,MATCH(A15,Affinity!$B$1:$V$1,0))),INDEX(Affinity!$B$2:$V$7,0,MATCH(A15,Affinity!$B$1:$V$1,0)),0)),"—"))</f>
        <v>Appeal</v>
      </c>
      <c r="Y15" s="4">
        <v>0</v>
      </c>
      <c r="Z15" s="67">
        <v>20000</v>
      </c>
      <c r="AA15" s="4">
        <v>2</v>
      </c>
      <c r="AB15" s="4">
        <v>50</v>
      </c>
      <c r="AC15" s="4">
        <v>2</v>
      </c>
      <c r="AD15" s="76">
        <v>0</v>
      </c>
      <c r="AE15" s="4">
        <v>0</v>
      </c>
      <c r="AF15" s="76">
        <v>0</v>
      </c>
      <c r="AG15" s="4">
        <v>1</v>
      </c>
      <c r="AH15" s="76">
        <v>0</v>
      </c>
      <c r="AI15" s="4" t="s">
        <v>646</v>
      </c>
      <c r="AJ15" s="4" t="s">
        <v>647</v>
      </c>
      <c r="AL15" s="4" t="s">
        <v>648</v>
      </c>
      <c r="AM15" s="4" t="s">
        <v>649</v>
      </c>
      <c r="AO15" s="4" t="s">
        <v>650</v>
      </c>
      <c r="AR15" t="inlineStr">
        <is>
          <t xml:space="preserve">Yes</t>
        </is>
      </c>
    </row>
    <row r="16" ht="45" customHeight="1">
      <c r="A16" s="4" t="s">
        <v>714</v>
      </c>
      <c r="B16" s="75" t="s">
        <v>533</v>
      </c>
      <c r="C16" s="77" t="s">
        <v>715</v>
      </c>
      <c r="D16" s="77" t="s">
        <v>716</v>
      </c>
      <c r="E16" s="4" t="s">
        <v>643</v>
      </c>
      <c r="F16" s="4" t="s">
        <v>695</v>
      </c>
      <c r="G16" s="4" t="s">
        <v>663</v>
      </c>
      <c r="H16" s="4">
        <v>100</v>
      </c>
      <c r="I16" s="4">
        <v>55</v>
      </c>
      <c r="J16" s="5">
        <f t="shared" si="0"/>
        <v>0.55000000000000004</v>
      </c>
      <c r="K16">
        <v>10</v>
      </c>
      <c r="L16" s="4">
        <v>3</v>
      </c>
      <c r="M16" s="4">
        <v>5</v>
      </c>
      <c r="N16" s="4">
        <v>5</v>
      </c>
      <c r="O16" s="4">
        <v>30</v>
      </c>
      <c r="P16" s="4">
        <v>35</v>
      </c>
      <c r="Q16" s="5">
        <v>0.2</v>
      </c>
      <c r="R16" s="5">
        <v>0</v>
      </c>
      <c r="S16" s="5">
        <v>0.2</v>
      </c>
      <c r="T16" s="5">
        <v>0.2</v>
      </c>
      <c r="U16" s="5">
        <v>0.2</v>
      </c>
      <c r="V16" s="5">
        <v>0.2</v>
      </c>
      <c r="W16" s="5">
        <f t="shared" si="1"/>
        <v>1</v>
      </c>
      <c r="X16" s="4" t="str">
        <f>IF(E16&lt;&gt;"Combat","—",IFERROR(INDEX(Affinity!$A$2:$A$7,MATCH(MAX(INDEX(Affinity!$B$2:$V$7,0,MATCH(A16,Affinity!$B$1:$V$1,0))),INDEX(Affinity!$B$2:$V$7,0,MATCH(A16,Affinity!$B$1:$V$1,0)),0)),"—"))</f>
        <v>Duplicitous</v>
      </c>
      <c r="Y16" s="4">
        <v>3</v>
      </c>
      <c r="Z16" s="67">
        <v>40000</v>
      </c>
      <c r="AA16" s="4">
        <v>3</v>
      </c>
      <c r="AB16" s="4">
        <v>100</v>
      </c>
      <c r="AC16" s="4">
        <v>3</v>
      </c>
      <c r="AD16" s="76">
        <v>-2</v>
      </c>
      <c r="AE16" s="4">
        <v>0</v>
      </c>
      <c r="AF16" s="76">
        <v>0</v>
      </c>
      <c r="AG16" s="4">
        <v>2</v>
      </c>
      <c r="AH16" s="76">
        <v>0</v>
      </c>
      <c r="AI16" s="4" t="s">
        <v>646</v>
      </c>
      <c r="AJ16" s="4" t="s">
        <v>647</v>
      </c>
      <c r="AL16" s="4" t="s">
        <v>648</v>
      </c>
      <c r="AM16" s="4">
        <v>3</v>
      </c>
      <c r="AO16" s="4" t="s">
        <v>650</v>
      </c>
      <c r="AR16" t="inlineStr">
        <is>
          <t xml:space="preserve">Yes</t>
        </is>
      </c>
    </row>
    <row r="17" ht="30" customHeight="1">
      <c r="A17" s="4" t="s">
        <v>717</v>
      </c>
      <c r="B17" s="75" t="s">
        <v>718</v>
      </c>
      <c r="C17" s="77" t="s">
        <v>719</v>
      </c>
      <c r="D17" s="77" t="s">
        <v>720</v>
      </c>
      <c r="E17" s="4" t="s">
        <v>643</v>
      </c>
      <c r="F17" s="4" t="s">
        <v>695</v>
      </c>
      <c r="G17" s="4" t="s">
        <v>663</v>
      </c>
      <c r="H17" s="4">
        <v>100</v>
      </c>
      <c r="I17" s="4">
        <v>65</v>
      </c>
      <c r="J17" s="5">
        <f t="shared" si="0"/>
        <v>0.65</v>
      </c>
      <c r="K17">
        <v>10</v>
      </c>
      <c r="L17" s="4">
        <v>4</v>
      </c>
      <c r="M17" s="4">
        <v>5</v>
      </c>
      <c r="N17" s="4">
        <v>3</v>
      </c>
      <c r="O17" s="4">
        <v>35</v>
      </c>
      <c r="P17" s="4">
        <v>40</v>
      </c>
      <c r="Q17" s="5">
        <v>0.25</v>
      </c>
      <c r="R17" s="5">
        <v>0</v>
      </c>
      <c r="S17" s="5">
        <v>0</v>
      </c>
      <c r="T17" s="5">
        <v>0.35</v>
      </c>
      <c r="U17" s="5">
        <v>0.4</v>
      </c>
      <c r="V17" s="5">
        <v>0</v>
      </c>
      <c r="W17" s="5">
        <f t="shared" si="1"/>
        <v>1</v>
      </c>
      <c r="X17" s="4" t="str">
        <f>IF(E17&lt;&gt;"Combat","—",IFERROR(INDEX(Affinity!$A$2:$A$7,MATCH(MAX(INDEX(Affinity!$B$2:$V$7,0,MATCH(A17,Affinity!$B$1:$V$1,0))),INDEX(Affinity!$B$2:$V$7,0,MATCH(A17,Affinity!$B$1:$V$1,0)),0)),"—"))</f>
        <v>Data Driven</v>
      </c>
      <c r="Y17" s="4">
        <v>1</v>
      </c>
      <c r="Z17" s="67">
        <v>50000</v>
      </c>
      <c r="AA17" s="4">
        <v>5</v>
      </c>
      <c r="AB17" s="4">
        <v>100</v>
      </c>
      <c r="AC17" s="4">
        <v>5</v>
      </c>
      <c r="AD17" s="76">
        <v>0</v>
      </c>
      <c r="AE17" s="4">
        <v>0</v>
      </c>
      <c r="AF17" s="76">
        <v>0</v>
      </c>
      <c r="AG17" s="4">
        <v>2</v>
      </c>
      <c r="AH17" s="76">
        <v>0</v>
      </c>
      <c r="AI17" s="4" t="s">
        <v>646</v>
      </c>
      <c r="AJ17" s="4" t="s">
        <v>647</v>
      </c>
      <c r="AL17" s="4" t="s">
        <v>648</v>
      </c>
      <c r="AM17" s="4">
        <v>4</v>
      </c>
      <c r="AO17" s="4" t="s">
        <v>650</v>
      </c>
      <c r="AR17" t="inlineStr">
        <is>
          <t xml:space="preserve">Yes</t>
        </is>
      </c>
    </row>
    <row r="18" ht="30" customHeight="1">
      <c r="A18" s="4" t="s">
        <v>721</v>
      </c>
      <c r="B18" s="75" t="s">
        <v>722</v>
      </c>
      <c r="C18" s="77" t="s">
        <v>723</v>
      </c>
      <c r="D18" s="77" t="s">
        <v>724</v>
      </c>
      <c r="E18" s="4" t="s">
        <v>643</v>
      </c>
      <c r="F18" s="4" t="s">
        <v>695</v>
      </c>
      <c r="G18" s="4" t="s">
        <v>663</v>
      </c>
      <c r="H18" s="4">
        <v>100</v>
      </c>
      <c r="I18" s="4">
        <v>60</v>
      </c>
      <c r="J18" s="5">
        <f t="shared" si="0"/>
        <v>0.6</v>
      </c>
      <c r="K18">
        <v>10</v>
      </c>
      <c r="L18" s="4">
        <v>5</v>
      </c>
      <c r="M18" s="4">
        <v>5</v>
      </c>
      <c r="N18" s="4">
        <v>5</v>
      </c>
      <c r="O18" s="4">
        <v>30</v>
      </c>
      <c r="P18" s="4">
        <v>40</v>
      </c>
      <c r="Q18" s="5">
        <v>0.15</v>
      </c>
      <c r="R18" s="5">
        <v>0</v>
      </c>
      <c r="S18" s="5">
        <v>0.1</v>
      </c>
      <c r="T18" s="5">
        <v>0.1</v>
      </c>
      <c r="U18" s="5">
        <v>0.65</v>
      </c>
      <c r="V18" s="5">
        <v>0</v>
      </c>
      <c r="W18" s="5">
        <f t="shared" si="1"/>
        <v>1</v>
      </c>
      <c r="X18" s="4" t="str">
        <f>IF(E18&lt;&gt;"Combat","—",IFERROR(INDEX(Affinity!$A$2:$A$7,MATCH(MAX(INDEX(Affinity!$B$2:$V$7,0,MATCH(A18,Affinity!$B$1:$V$1,0))),INDEX(Affinity!$B$2:$V$7,0,MATCH(A18,Affinity!$B$1:$V$1,0)),0)),"—"))</f>
        <v>Data Driven</v>
      </c>
      <c r="Y18" s="4">
        <v>1</v>
      </c>
      <c r="Z18" s="67">
        <v>50000</v>
      </c>
      <c r="AA18" s="4">
        <v>5</v>
      </c>
      <c r="AB18" s="4">
        <v>50</v>
      </c>
      <c r="AC18" s="4">
        <v>5</v>
      </c>
      <c r="AD18" s="76">
        <v>0</v>
      </c>
      <c r="AE18" s="4">
        <v>0</v>
      </c>
      <c r="AF18" s="76">
        <v>0</v>
      </c>
      <c r="AG18" s="4">
        <v>2</v>
      </c>
      <c r="AH18" s="76">
        <v>0</v>
      </c>
      <c r="AI18" s="4" t="s">
        <v>646</v>
      </c>
      <c r="AJ18" s="4" t="s">
        <v>647</v>
      </c>
      <c r="AL18" s="4" t="s">
        <v>648</v>
      </c>
      <c r="AM18" s="4">
        <v>4</v>
      </c>
      <c r="AO18" s="4" t="s">
        <v>650</v>
      </c>
      <c r="AR18" t="inlineStr">
        <is>
          <t xml:space="preserve">Yes</t>
        </is>
      </c>
    </row>
    <row r="19" ht="30" customHeight="1">
      <c r="A19" s="4" t="s">
        <v>725</v>
      </c>
      <c r="B19" s="75" t="s">
        <v>726</v>
      </c>
      <c r="C19" s="77" t="s">
        <v>727</v>
      </c>
      <c r="D19" s="77" t="s">
        <v>728</v>
      </c>
      <c r="E19" s="4" t="s">
        <v>643</v>
      </c>
      <c r="F19" s="4" t="s">
        <v>729</v>
      </c>
      <c r="G19" s="4" t="s">
        <v>663</v>
      </c>
      <c r="H19" s="4">
        <v>100</v>
      </c>
      <c r="I19" s="4">
        <v>60</v>
      </c>
      <c r="J19" s="5">
        <f t="shared" si="0"/>
        <v>0.6</v>
      </c>
      <c r="K19">
        <v>10</v>
      </c>
      <c r="L19" s="76">
        <v>26</v>
      </c>
      <c r="M19" s="4">
        <v>6</v>
      </c>
      <c r="N19" s="76">
        <v>3</v>
      </c>
      <c r="O19" s="75">
        <v>30</v>
      </c>
      <c r="P19" s="75">
        <v>55</v>
      </c>
      <c r="Q19" s="5">
        <v>0</v>
      </c>
      <c r="R19" s="5">
        <v>0.1</v>
      </c>
      <c r="S19" s="5">
        <v>0</v>
      </c>
      <c r="T19" s="5">
        <v>0</v>
      </c>
      <c r="U19" s="5">
        <v>0</v>
      </c>
      <c r="V19" s="5">
        <v>0.9</v>
      </c>
      <c r="W19" s="5">
        <f t="shared" si="1"/>
        <v>1</v>
      </c>
      <c r="X19" s="4" t="str">
        <f>IF(E19&lt;&gt;"Combat","—",IFERROR(INDEX(Affinity!$A$2:$A$7,MATCH(MAX(INDEX(Affinity!$B$2:$V$7,0,MATCH(A19,Affinity!$B$1:$V$1,0))),INDEX(Affinity!$B$2:$V$7,0,MATCH(A19,Affinity!$B$1:$V$1,0)),0)),"—"))</f>
        <v>Data Driven</v>
      </c>
      <c r="Y19" s="4">
        <v>0</v>
      </c>
      <c r="Z19" s="67">
        <v>100000</v>
      </c>
      <c r="AA19" s="4">
        <v>15</v>
      </c>
      <c r="AB19" s="4">
        <v>200</v>
      </c>
      <c r="AC19" s="4">
        <v>15</v>
      </c>
      <c r="AD19" s="4">
        <v>0</v>
      </c>
      <c r="AE19" s="67">
        <v>0</v>
      </c>
      <c r="AF19" s="4">
        <v>-1</v>
      </c>
      <c r="AG19" s="4">
        <v>20</v>
      </c>
      <c r="AH19" s="4">
        <v>-10</v>
      </c>
      <c r="AI19" s="4" t="s">
        <v>646</v>
      </c>
      <c r="AJ19" s="4" t="s">
        <v>5142</v>
      </c>
      <c r="AK19" s="76">
        <v>26</v>
      </c>
      <c r="AL19" s="4" t="s">
        <v>648</v>
      </c>
      <c r="AM19" s="4">
        <v>2</v>
      </c>
      <c r="AO19" s="4" t="s">
        <v>650</v>
      </c>
      <c r="AR19" t="inlineStr">
        <is>
          <t xml:space="preserve">Yes</t>
        </is>
      </c>
    </row>
    <row r="20" ht="30" customHeight="1">
      <c r="A20" s="4" t="s">
        <v>730</v>
      </c>
      <c r="B20" s="75" t="s">
        <v>731</v>
      </c>
      <c r="C20" s="77" t="s">
        <v>732</v>
      </c>
      <c r="D20" s="77" t="s">
        <v>733</v>
      </c>
      <c r="E20" s="4" t="s">
        <v>643</v>
      </c>
      <c r="F20" s="4" t="s">
        <v>668</v>
      </c>
      <c r="G20" s="4" t="s">
        <v>663</v>
      </c>
      <c r="H20" s="4">
        <v>50</v>
      </c>
      <c r="I20" s="4">
        <v>30</v>
      </c>
      <c r="J20" s="5">
        <f t="shared" si="0"/>
        <v>0.6</v>
      </c>
      <c r="K20" s="4">
        <v>11</v>
      </c>
      <c r="L20" s="76">
        <v>3</v>
      </c>
      <c r="M20" s="4">
        <v>3</v>
      </c>
      <c r="N20" s="76">
        <v>2</v>
      </c>
      <c r="O20" s="75">
        <v>5</v>
      </c>
      <c r="P20" s="75">
        <v>15</v>
      </c>
      <c r="Q20" s="5">
        <v>1</v>
      </c>
      <c r="R20" s="5">
        <v>0</v>
      </c>
      <c r="S20" s="5">
        <v>0</v>
      </c>
      <c r="T20" s="5">
        <v>0</v>
      </c>
      <c r="U20" s="5">
        <v>0</v>
      </c>
      <c r="V20" s="5">
        <v>0</v>
      </c>
      <c r="W20" s="5">
        <f t="shared" si="1"/>
        <v>1</v>
      </c>
      <c r="X20" s="4" t="str">
        <f>IF(E20&lt;&gt;"Combat","—",IFERROR(INDEX(Affinity!$A$2:$A$7,MATCH(MAX(INDEX(Affinity!$B$2:$V$7,0,MATCH(A20,Affinity!$B$1:$V$1,0))),INDEX(Affinity!$B$2:$V$7,0,MATCH(A20,Affinity!$B$1:$V$1,0)),0)),"—"))</f>
        <v>Emotional</v>
      </c>
      <c r="Y20" s="4">
        <v>2</v>
      </c>
      <c r="Z20" s="67">
        <v>15000</v>
      </c>
      <c r="AA20" s="4">
        <v>3</v>
      </c>
      <c r="AB20" s="4">
        <v>70</v>
      </c>
      <c r="AC20" s="4">
        <v>1</v>
      </c>
      <c r="AD20" s="4">
        <v>-1</v>
      </c>
      <c r="AE20" s="67">
        <v>0</v>
      </c>
      <c r="AF20" s="4">
        <v>-1</v>
      </c>
      <c r="AG20" s="4">
        <v>5</v>
      </c>
      <c r="AH20" s="4">
        <v>-5</v>
      </c>
      <c r="AI20" s="4" t="s">
        <v>646</v>
      </c>
      <c r="AJ20" s="4" t="s">
        <v>5142</v>
      </c>
      <c r="AK20" s="76">
        <v>15</v>
      </c>
      <c r="AL20" s="4" t="inlineStr">
        <is>
          <t>continuous</t>
        </is>
      </c>
      <c r="AM20" s="4">
        <v>3</v>
      </c>
      <c r="AN20" s="4" t="s">
        <v>734</v>
      </c>
      <c r="AO20" s="4" t="s">
        <v>650</v>
      </c>
      <c r="AP20" s="4" t="s">
        <v>650</v>
      </c>
      <c r="AQ20" s="4" t="s">
        <v>650</v>
      </c>
      <c r="AR20" t="inlineStr">
        <is>
          <t xml:space="preserve">Yes</t>
        </is>
      </c>
    </row>
    <row r="21" ht="30" customHeight="1">
      <c r="A21" s="4" t="s">
        <v>735</v>
      </c>
      <c r="B21" s="75" t="s">
        <v>736</v>
      </c>
      <c r="C21" s="77" t="s">
        <v>737</v>
      </c>
      <c r="D21" s="77" t="s">
        <v>738</v>
      </c>
      <c r="E21" s="4" t="s">
        <v>643</v>
      </c>
      <c r="F21" s="4" t="s">
        <v>676</v>
      </c>
      <c r="G21" s="4" t="s">
        <v>663</v>
      </c>
      <c r="H21" s="4">
        <v>50</v>
      </c>
      <c r="I21" s="4">
        <v>25</v>
      </c>
      <c r="J21" s="5">
        <f t="shared" si="0"/>
        <v>0.5</v>
      </c>
      <c r="K21" s="4">
        <v>7</v>
      </c>
      <c r="L21" s="76">
        <v>3</v>
      </c>
      <c r="M21" s="4">
        <v>5</v>
      </c>
      <c r="N21" s="76">
        <v>6</v>
      </c>
      <c r="O21" s="75">
        <v>5</v>
      </c>
      <c r="P21" s="75">
        <v>15</v>
      </c>
      <c r="Q21" s="5">
        <v>0</v>
      </c>
      <c r="R21" s="5">
        <v>0</v>
      </c>
      <c r="S21" s="5">
        <v>0</v>
      </c>
      <c r="T21" s="5">
        <v>1</v>
      </c>
      <c r="U21" s="5">
        <v>0</v>
      </c>
      <c r="V21" s="5">
        <v>0</v>
      </c>
      <c r="W21" s="5">
        <f t="shared" si="1"/>
        <v>1</v>
      </c>
      <c r="X21" s="4" t="str">
        <f>IF(E21&lt;&gt;"Combat","—",IFERROR(INDEX(Affinity!$A$2:$A$7,MATCH(MAX(INDEX(Affinity!$B$2:$V$7,0,MATCH(A21,Affinity!$B$1:$V$1,0))),INDEX(Affinity!$B$2:$V$7,0,MATCH(A21,Affinity!$B$1:$V$1,0)),0)),"—"))</f>
        <v>Appeal</v>
      </c>
      <c r="Y21" s="4">
        <v>0</v>
      </c>
      <c r="Z21" s="67">
        <v>20000</v>
      </c>
      <c r="AA21" s="4">
        <v>0</v>
      </c>
      <c r="AB21" s="4">
        <v>30</v>
      </c>
      <c r="AC21" s="4">
        <v>0</v>
      </c>
      <c r="AD21" s="4">
        <v>0</v>
      </c>
      <c r="AE21" s="67">
        <v>0</v>
      </c>
      <c r="AF21" s="4">
        <v>0</v>
      </c>
      <c r="AG21" s="4">
        <v>0</v>
      </c>
      <c r="AH21" s="4">
        <v>-1</v>
      </c>
      <c r="AI21" s="4" t="s">
        <v>646</v>
      </c>
      <c r="AJ21" s="4" t="s">
        <v>5142</v>
      </c>
      <c r="AK21" s="76">
        <v>12</v>
      </c>
      <c r="AL21" s="4" t="s">
        <v>656</v>
      </c>
      <c r="AM21" s="4" t="s">
        <v>657</v>
      </c>
      <c r="AN21" s="4" t="s">
        <v>739</v>
      </c>
      <c r="AO21" s="4" t="s">
        <v>650</v>
      </c>
      <c r="AR21" t="inlineStr">
        <is>
          <t xml:space="preserve">Yes</t>
        </is>
      </c>
    </row>
    <row r="22" ht="30" customHeight="1">
      <c r="A22" s="4" t="s">
        <v>740</v>
      </c>
      <c r="B22" s="75" t="s">
        <v>741</v>
      </c>
      <c r="C22" s="77" t="s">
        <v>742</v>
      </c>
      <c r="D22" s="77" t="s">
        <v>743</v>
      </c>
      <c r="E22" s="4" t="s">
        <v>643</v>
      </c>
      <c r="F22" s="4" t="s">
        <v>729</v>
      </c>
      <c r="G22" s="4" t="s">
        <v>663</v>
      </c>
      <c r="H22" s="4">
        <v>50</v>
      </c>
      <c r="I22" s="4">
        <v>35</v>
      </c>
      <c r="J22" s="5">
        <f t="shared" si="0"/>
        <v>0.7</v>
      </c>
      <c r="K22" s="4">
        <v>10</v>
      </c>
      <c r="L22" s="76">
        <v>5</v>
      </c>
      <c r="M22" s="4">
        <v>5</v>
      </c>
      <c r="N22" s="76">
        <v>10</v>
      </c>
      <c r="O22" s="75">
        <v>1</v>
      </c>
      <c r="P22" s="75">
        <v>10</v>
      </c>
      <c r="Q22" s="5">
        <v>0</v>
      </c>
      <c r="R22" s="5">
        <v>0</v>
      </c>
      <c r="S22" s="5">
        <v>0</v>
      </c>
      <c r="T22" s="5">
        <v>0</v>
      </c>
      <c r="U22" s="5">
        <v>0.8</v>
      </c>
      <c r="V22" s="5">
        <v>0.2</v>
      </c>
      <c r="W22" s="5">
        <f t="shared" si="1"/>
        <v>1</v>
      </c>
      <c r="X22" s="4" t="str">
        <f>IF(E22&lt;&gt;"Combat","—",IFERROR(INDEX(Affinity!$A$2:$A$7,MATCH(MAX(INDEX(Affinity!$B$2:$V$7,0,MATCH(A22,Affinity!$B$1:$V$1,0))),INDEX(Affinity!$B$2:$V$7,0,MATCH(A22,Affinity!$B$1:$V$1,0)),0)),"—"))</f>
        <v>Earnest</v>
      </c>
      <c r="Y22" s="4">
        <v>1</v>
      </c>
      <c r="Z22" s="67">
        <v>15000</v>
      </c>
      <c r="AA22" s="4">
        <v>1</v>
      </c>
      <c r="AB22" s="4">
        <v>70</v>
      </c>
      <c r="AC22" s="4">
        <v>1</v>
      </c>
      <c r="AD22" s="4">
        <v>0</v>
      </c>
      <c r="AE22" s="67">
        <v>0</v>
      </c>
      <c r="AF22" s="4">
        <v>0</v>
      </c>
      <c r="AG22" s="4">
        <v>5</v>
      </c>
      <c r="AH22" s="4">
        <v>0</v>
      </c>
      <c r="AI22" s="4" t="s">
        <v>646</v>
      </c>
      <c r="AJ22" s="4" t="s">
        <v>647</v>
      </c>
      <c r="AL22" s="4" t="inlineStr">
        <is>
          <t>stream</t>
        </is>
      </c>
      <c r="AM22" s="4">
        <v>2</v>
      </c>
      <c r="AN22" s="4" t="s">
        <v>744</v>
      </c>
      <c r="AO22" s="4" t="s">
        <v>650</v>
      </c>
      <c r="AQ22" s="139" t="s">
        <v>650</v>
      </c>
      <c r="AR22" t="inlineStr">
        <is>
          <t xml:space="preserve">Yes</t>
        </is>
      </c>
    </row>
    <row r="23" spans="1:46" ht="26.25" customHeight="1">
      <c r="A23" s="4" t="s">
        <v>745</v>
      </c>
      <c r="B23" s="4" t="s">
        <v>746</v>
      </c>
      <c r="C23" s="6" t="s">
        <v>747</v>
      </c>
      <c r="D23" s="4" t="s">
        <v>748</v>
      </c>
      <c r="E23" s="4" t="s">
        <v>686</v>
      </c>
      <c r="F23" s="4" t="s">
        <v>687</v>
      </c>
      <c r="G23" s="4" t="s">
        <v>645</v>
      </c>
      <c r="H23" s="4">
        <v>10</v>
      </c>
      <c r="I23" s="4">
        <v>10</v>
      </c>
      <c r="J23" s="5">
        <v>1</v>
      </c>
      <c r="K23" s="4">
        <v>10</v>
      </c>
      <c r="L23" s="4">
        <v>5</v>
      </c>
      <c r="M23" s="4">
        <v>5</v>
      </c>
      <c r="N23" s="4">
        <v>7</v>
      </c>
      <c r="O23" s="4">
        <v>0</v>
      </c>
      <c r="P23" s="4">
        <v>0</v>
      </c>
      <c r="Q23" s="5">
        <v>0</v>
      </c>
      <c r="R23" s="5">
        <v>0.7</v>
      </c>
      <c r="S23" s="5">
        <v>0</v>
      </c>
      <c r="T23" s="5">
        <v>0.3</v>
      </c>
      <c r="U23" s="5">
        <v>0</v>
      </c>
      <c r="V23" s="5">
        <v>0</v>
      </c>
      <c r="W23" s="5">
        <v>1</v>
      </c>
      <c r="X23" s="4" t="s">
        <v>749</v>
      </c>
      <c r="Y23" s="4">
        <v>0</v>
      </c>
      <c r="Z23" s="67">
        <v>0</v>
      </c>
      <c r="AA23" s="4">
        <v>0</v>
      </c>
      <c r="AB23" s="4">
        <v>30</v>
      </c>
      <c r="AC23" s="4">
        <v>5</v>
      </c>
      <c r="AD23" s="4">
        <v>0</v>
      </c>
      <c r="AE23" s="4">
        <v>0</v>
      </c>
      <c r="AF23" s="4">
        <v>0</v>
      </c>
      <c r="AG23" s="4">
        <v>0</v>
      </c>
      <c r="AH23" s="4">
        <v>0</v>
      </c>
      <c r="AI23" s="4" t="s">
        <v>646</v>
      </c>
      <c r="AJ23" s="4" t="s">
        <v>647</v>
      </c>
      <c r="AL23" s="4" t="s">
        <v>656</v>
      </c>
      <c r="AM23" s="4" t="s">
        <v>657</v>
      </c>
      <c r="AO23" s="4" t="s">
        <v>650</v>
      </c>
    </row>
    <row r="24" spans="1:46">
      <c r="A24" t="s">
        <v>750</v>
      </c>
      <c r="B24" t="s">
        <v>751</v>
      </c>
      <c r="C24" t="s">
        <v>752</v>
      </c>
      <c r="D24" t="s">
        <v>753</v>
      </c>
      <c r="E24" t="s">
        <v>754</v>
      </c>
      <c r="AQ24" t="s">
        <v>650</v>
      </c>
    </row>
    <row r="25">
      <c r="A25" t="inlineStr">
        <is>
          <t xml:space="preserve">ST24</t>
        </is>
      </c>
      <c r="B25" t="inlineStr">
        <is>
          <t xml:space="preserve">Town Hall on Commuter Fares</t>
        </is>
      </c>
      <c r="C25" t="inlineStr">
        <is>
          <t xml:space="preserve">運賃を巡る住民集会</t>
        </is>
      </c>
      <c r="D25" t="inlineStr">
        <is>
          <t xml:space="preserve">Unchin o Meguru Jūmin Shūkai</t>
        </is>
      </c>
      <c r="E25" t="inlineStr">
        <is>
          <t xml:space="preserve">Combat</t>
        </is>
      </c>
      <c r="F25" t="inlineStr">
        <is>
          <t xml:space="preserve">Appeasement</t>
        </is>
      </c>
      <c r="G25" t="inlineStr">
        <is>
          <t xml:space="preserve">Percentage</t>
        </is>
      </c>
      <c r="H25">
        <v>100</v>
      </c>
      <c r="I25">
        <v>60</v>
      </c>
      <c r="J25">
        <f>IF(AND(ISNUMBER(H25),ISNUMBER(I25)),IF(H25=0,"",I25/H25),"varies")</f>
        <v>0.6</v>
      </c>
      <c r="K25">
        <v>17</v>
      </c>
      <c r="L25">
        <v>3</v>
      </c>
      <c r="M25">
        <v>5</v>
      </c>
      <c r="N25">
        <v>6</v>
      </c>
      <c r="O25">
        <v>15</v>
      </c>
      <c r="P25">
        <v>15</v>
      </c>
      <c r="Q25">
        <v>0.1</v>
      </c>
      <c r="R25">
        <v>0.1</v>
      </c>
      <c r="S25">
        <v>0.6</v>
      </c>
      <c r="T25">
        <v>0.1</v>
      </c>
      <c r="U25">
        <v>0</v>
      </c>
      <c r="V25">
        <v>0.1</v>
      </c>
      <c r="W25">
        <f>SUM(Q25:V25)</f>
        <v>1.0</v>
      </c>
      <c r="X25" t="str">
        <f>IF(E25&lt;&gt;"Combat","—",IFERROR(INDEX(Affinity!$A$2:$A$7,MATCH(MAX(INDEX(Affinity!$B$2:$AD$7,0,MATCH(A25,Affinity!$B$1:$AD$1,0))),INDEX(Affinity!$B$2:$AD$7,0,MATCH(A25,Affinity!$B$1:$AD$1,0)),0)),"—"))</f>
        <v>Emotional</v>
      </c>
      <c r="Y25">
        <v>5</v>
      </c>
      <c r="Z25">
        <v>35000</v>
      </c>
      <c r="AA25">
        <v>1</v>
      </c>
      <c r="AB25">
        <v>50</v>
      </c>
      <c r="AC25">
        <v>0</v>
      </c>
      <c r="AD25">
        <v>-5</v>
      </c>
      <c r="AE25">
        <v>0</v>
      </c>
      <c r="AF25">
        <v>-3</v>
      </c>
      <c r="AG25">
        <v>10</v>
      </c>
      <c r="AH25">
        <v>0</v>
      </c>
      <c r="AI25" t="inlineStr">
        <is>
          <t xml:space="preserve">Shared_pool</t>
        </is>
      </c>
      <c r="AJ25" t="inlineStr">
        <is>
          <t xml:space="preserve">per_turn</t>
        </is>
      </c>
      <c r="AL25" t="inlineStr">
        <is>
          <t xml:space="preserve">stream</t>
        </is>
      </c>
      <c r="AM25">
        <v>3</v>
      </c>
      <c r="AN25" t="inlineStr">
        <is>
          <t xml:space="preserve">town_hall</t>
        </is>
      </c>
      <c r="AO25" t="inlineStr">
        <is>
          <t xml:space="preserve">No</t>
        </is>
      </c>
      <c r="AR25" t="inlineStr">
        <is>
          <t xml:space="preserve">Yes</t>
        </is>
      </c>
    </row>
    <row r="26">
      <c r="A26" t="inlineStr">
        <is>
          <t xml:space="preserve">ST25</t>
        </is>
      </c>
      <c r="B26" t="inlineStr">
        <is>
          <t xml:space="preserve">Policy Study on Rail Timetables</t>
        </is>
      </c>
      <c r="C26" t="inlineStr">
        <is>
          <t xml:space="preserve">鉄道ダイヤ政策検討会</t>
        </is>
      </c>
      <c r="D26" t="inlineStr">
        <is>
          <t xml:space="preserve">Tetsudō Daiya Seisaku Kentōkai</t>
        </is>
      </c>
      <c r="E26" t="inlineStr">
        <is>
          <t xml:space="preserve">Combat</t>
        </is>
      </c>
      <c r="F26" t="inlineStr">
        <is>
          <t xml:space="preserve">Consensus</t>
        </is>
      </c>
      <c r="G26" t="inlineStr">
        <is>
          <t xml:space="preserve">Percentage</t>
        </is>
      </c>
      <c r="H26">
        <v>50</v>
      </c>
      <c r="I26">
        <v>35</v>
      </c>
      <c r="J26">
        <f>IF(AND(ISNUMBER(H26),ISNUMBER(I26)),IF(H26=0,"",I26/H26),"varies")</f>
        <v>0.7</v>
      </c>
      <c r="K26">
        <v>10</v>
      </c>
      <c r="L26">
        <v>5</v>
      </c>
      <c r="M26">
        <v>5</v>
      </c>
      <c r="N26">
        <v>10</v>
      </c>
      <c r="O26">
        <v>2</v>
      </c>
      <c r="P26">
        <v>12</v>
      </c>
      <c r="Q26">
        <v>0</v>
      </c>
      <c r="R26">
        <v>0</v>
      </c>
      <c r="S26">
        <v>0.1</v>
      </c>
      <c r="T26">
        <v>0</v>
      </c>
      <c r="U26">
        <v>0.7</v>
      </c>
      <c r="V26">
        <v>0.2</v>
      </c>
      <c r="W26">
        <f>SUM(Q26:V26)</f>
        <v>1.0</v>
      </c>
      <c r="X26" t="str">
        <f>IF(E26&lt;&gt;"Combat","—",IFERROR(INDEX(Affinity!$A$2:$A$7,MATCH(MAX(INDEX(Affinity!$B$2:$AD$7,0,MATCH(A26,Affinity!$B$1:$AD$1,0))),INDEX(Affinity!$B$2:$AD$7,0,MATCH(A26,Affinity!$B$1:$AD$1,0)),0)),"—"))</f>
        <v>Data Driven</v>
      </c>
      <c r="Y26">
        <v>1</v>
      </c>
      <c r="Z26">
        <v>15000</v>
      </c>
      <c r="AA26">
        <v>1</v>
      </c>
      <c r="AB26">
        <v>70</v>
      </c>
      <c r="AC26">
        <v>1</v>
      </c>
      <c r="AD26">
        <v>0</v>
      </c>
      <c r="AE26">
        <v>0</v>
      </c>
      <c r="AF26">
        <v>0</v>
      </c>
      <c r="AG26">
        <v>5</v>
      </c>
      <c r="AH26">
        <v>0</v>
      </c>
      <c r="AI26" t="inlineStr">
        <is>
          <t xml:space="preserve">Shared_pool</t>
        </is>
      </c>
      <c r="AJ26" t="inlineStr">
        <is>
          <t xml:space="preserve">per_turn</t>
        </is>
      </c>
      <c r="AL26" t="inlineStr">
        <is>
          <t xml:space="preserve">stream</t>
        </is>
      </c>
      <c r="AM26">
        <v>2</v>
      </c>
      <c r="AN26" t="inlineStr">
        <is>
          <t xml:space="preserve">policy_study</t>
        </is>
      </c>
      <c r="AO26" t="inlineStr">
        <is>
          <t xml:space="preserve">No</t>
        </is>
      </c>
      <c r="AQ26" t="inlineStr">
        <is>
          <t xml:space="preserve">No</t>
        </is>
      </c>
      <c r="AR26" t="inlineStr">
        <is>
          <t xml:space="preserve">Yes</t>
        </is>
      </c>
    </row>
    <row r="27">
      <c r="A27" t="inlineStr">
        <is>
          <t xml:space="preserve">ST26</t>
        </is>
      </c>
      <c r="B27" t="inlineStr">
        <is>
          <t xml:space="preserve">Press Conference on Raising Train Fares</t>
        </is>
      </c>
      <c r="C27" t="inlineStr">
        <is>
          <t xml:space="preserve">運賃改定記者会見</t>
        </is>
      </c>
      <c r="D27" t="inlineStr">
        <is>
          <t xml:space="preserve">Unchin Kaitei Kisha Kaiken</t>
        </is>
      </c>
      <c r="E27" t="inlineStr">
        <is>
          <t xml:space="preserve">Combat</t>
        </is>
      </c>
      <c r="F27" t="inlineStr">
        <is>
          <t xml:space="preserve">Press tone</t>
        </is>
      </c>
      <c r="G27" t="inlineStr">
        <is>
          <t xml:space="preserve">Numerical</t>
        </is>
      </c>
      <c r="H27">
        <v>100</v>
      </c>
      <c r="I27">
        <v>58</v>
      </c>
      <c r="J27">
        <f>IF(AND(ISNUMBER(H27),ISNUMBER(I27)),IF(H27=0,"",I27/H27),"varies")</f>
        <v>0.58</v>
      </c>
      <c r="K27">
        <v>6</v>
      </c>
      <c r="L27">
        <v>3</v>
      </c>
      <c r="M27">
        <v>5</v>
      </c>
      <c r="N27">
        <v>4</v>
      </c>
      <c r="O27">
        <v>20</v>
      </c>
      <c r="P27">
        <v>45</v>
      </c>
      <c r="Q27">
        <v>0.85</v>
      </c>
      <c r="R27">
        <v>0</v>
      </c>
      <c r="S27">
        <v>0.1</v>
      </c>
      <c r="T27">
        <v>0</v>
      </c>
      <c r="U27">
        <v>0</v>
      </c>
      <c r="V27">
        <v>0.05</v>
      </c>
      <c r="W27">
        <f>SUM(Q27:V27)</f>
        <v>1.0</v>
      </c>
      <c r="X27" t="str">
        <f>IF(E27&lt;&gt;"Combat","—",IFERROR(INDEX(Affinity!$A$2:$A$7,MATCH(MAX(INDEX(Affinity!$B$2:$AD$7,0,MATCH(A27,Affinity!$B$1:$AD$1,0))),INDEX(Affinity!$B$2:$AD$7,0,MATCH(A27,Affinity!$B$1:$AD$1,0)),0)),"—"))</f>
        <v>Appeal</v>
      </c>
      <c r="Y27">
        <v>1</v>
      </c>
      <c r="Z27">
        <v>20000</v>
      </c>
      <c r="AA27">
        <v>1</v>
      </c>
      <c r="AB27">
        <v>30</v>
      </c>
      <c r="AC27">
        <v>1</v>
      </c>
      <c r="AD27">
        <v>0</v>
      </c>
      <c r="AE27">
        <v>0</v>
      </c>
      <c r="AF27">
        <v>-2</v>
      </c>
      <c r="AG27">
        <v>5</v>
      </c>
      <c r="AH27">
        <v>-2</v>
      </c>
      <c r="AI27" t="inlineStr">
        <is>
          <t xml:space="preserve">Single</t>
        </is>
      </c>
      <c r="AJ27" t="inlineStr">
        <is>
          <t xml:space="preserve">per_turn</t>
        </is>
      </c>
      <c r="AL27" t="inlineStr">
        <is>
          <t xml:space="preserve">single</t>
        </is>
      </c>
      <c r="AM27" t="inlineStr">
        <is>
          <t xml:space="preserve">1</t>
        </is>
      </c>
      <c r="AO27" t="inlineStr">
        <is>
          <t xml:space="preserve">Yes</t>
        </is>
      </c>
      <c r="AQ27" t="inlineStr">
        <is>
          <t xml:space="preserve">No</t>
        </is>
      </c>
      <c r="AR27" t="inlineStr">
        <is>
          <t xml:space="preserve">Yes</t>
        </is>
      </c>
    </row>
    <row r="28">
      <c r="A28" t="inlineStr">
        <is>
          <t xml:space="preserve">ST27</t>
        </is>
      </c>
      <c r="B28" t="inlineStr">
        <is>
          <t xml:space="preserve">Hearing on Rail Safety</t>
        </is>
      </c>
      <c r="C28" t="inlineStr">
        <is>
          <t xml:space="preserve">鉄道安全に関する公聴会</t>
        </is>
      </c>
      <c r="D28" t="inlineStr">
        <is>
          <t xml:space="preserve">Tetsudō Anzen ni Kansuru Kōchōkai</t>
        </is>
      </c>
      <c r="E28" t="inlineStr">
        <is>
          <t xml:space="preserve">Combat</t>
        </is>
      </c>
      <c r="F28" t="inlineStr">
        <is>
          <t xml:space="preserve">Favourability</t>
        </is>
      </c>
      <c r="G28" t="inlineStr">
        <is>
          <t xml:space="preserve">Percentage</t>
        </is>
      </c>
      <c r="H28">
        <v>100</v>
      </c>
      <c r="I28">
        <v>60</v>
      </c>
      <c r="J28">
        <f>IF(AND(ISNUMBER(H28),ISNUMBER(I28)),IF(H28=0,"",I28/H28),"varies")</f>
        <v>0.6</v>
      </c>
      <c r="K28">
        <v>10</v>
      </c>
      <c r="L28">
        <v>4</v>
      </c>
      <c r="M28">
        <v>5</v>
      </c>
      <c r="N28">
        <v>6</v>
      </c>
      <c r="O28">
        <v>30</v>
      </c>
      <c r="P28">
        <v>32</v>
      </c>
      <c r="Q28">
        <v>0</v>
      </c>
      <c r="R28">
        <v>0.2</v>
      </c>
      <c r="S28">
        <v>0.4</v>
      </c>
      <c r="T28">
        <v>0</v>
      </c>
      <c r="U28">
        <v>0.3</v>
      </c>
      <c r="V28">
        <v>0.1</v>
      </c>
      <c r="W28">
        <f>SUM(Q28:V28)</f>
        <v>1.0</v>
      </c>
      <c r="X28" t="str">
        <f>IF(E28&lt;&gt;"Combat","—",IFERROR(INDEX(Affinity!$A$2:$A$7,MATCH(MAX(INDEX(Affinity!$B$2:$AD$7,0,MATCH(A28,Affinity!$B$1:$AD$1,0))),INDEX(Affinity!$B$2:$AD$7,0,MATCH(A28,Affinity!$B$1:$AD$1,0)),0)),"—"))</f>
        <v>Data Driven</v>
      </c>
      <c r="Y28">
        <v>3</v>
      </c>
      <c r="Z28">
        <v>20000</v>
      </c>
      <c r="AA28">
        <v>3</v>
      </c>
      <c r="AB28">
        <v>60</v>
      </c>
      <c r="AC28">
        <v>3</v>
      </c>
      <c r="AD28">
        <v>-2</v>
      </c>
      <c r="AE28">
        <v>0</v>
      </c>
      <c r="AF28">
        <v>0</v>
      </c>
      <c r="AG28">
        <v>2</v>
      </c>
      <c r="AH28">
        <v>0</v>
      </c>
      <c r="AI28" t="inlineStr">
        <is>
          <t xml:space="preserve">Shared_pool</t>
        </is>
      </c>
      <c r="AJ28" t="inlineStr">
        <is>
          <t xml:space="preserve">per_turn</t>
        </is>
      </c>
      <c r="AL28" t="inlineStr">
        <is>
          <t xml:space="preserve">reset</t>
        </is>
      </c>
      <c r="AM28">
        <v>3</v>
      </c>
      <c r="AO28" t="inlineStr">
        <is>
          <t xml:space="preserve">No</t>
        </is>
      </c>
      <c r="AR28" t="inlineStr">
        <is>
          <t xml:space="preserve">Yes</t>
        </is>
      </c>
    </row>
    <row r="29">
      <c r="A29" t="inlineStr">
        <is>
          <t xml:space="preserve">ST28</t>
        </is>
      </c>
      <c r="B29" t="inlineStr">
        <is>
          <t xml:space="preserve">Lobbyist Meeting on Fishing Quotas</t>
        </is>
      </c>
      <c r="C29" t="inlineStr">
        <is>
          <t xml:space="preserve">漁獲枠に関するロビー活動</t>
        </is>
      </c>
      <c r="D29" t="inlineStr">
        <is>
          <t xml:space="preserve">Gyokaku-waku ni Kansuru Robī Katsudō</t>
        </is>
      </c>
      <c r="E29" t="inlineStr">
        <is>
          <t xml:space="preserve">Combat</t>
        </is>
      </c>
      <c r="F29" t="inlineStr">
        <is>
          <t xml:space="preserve">Appeasement</t>
        </is>
      </c>
      <c r="G29" t="inlineStr">
        <is>
          <t xml:space="preserve">Percentage</t>
        </is>
      </c>
      <c r="H29">
        <v>50</v>
      </c>
      <c r="I29">
        <v>25</v>
      </c>
      <c r="J29">
        <f>IF(AND(ISNUMBER(H29),ISNUMBER(I29)),IF(H29=0,"",I29/H29),"varies")</f>
        <v>0.5</v>
      </c>
      <c r="K29">
        <v>7</v>
      </c>
      <c r="L29">
        <v>3</v>
      </c>
      <c r="M29">
        <v>5</v>
      </c>
      <c r="N29">
        <v>6</v>
      </c>
      <c r="O29">
        <v>5</v>
      </c>
      <c r="P29">
        <v>15</v>
      </c>
      <c r="Q29">
        <v>0</v>
      </c>
      <c r="R29">
        <v>0</v>
      </c>
      <c r="S29">
        <v>0</v>
      </c>
      <c r="T29">
        <v>1</v>
      </c>
      <c r="U29">
        <v>0</v>
      </c>
      <c r="V29">
        <v>0</v>
      </c>
      <c r="W29">
        <f>SUM(Q29:V29)</f>
        <v>1</v>
      </c>
      <c r="X29" t="str">
        <f>IF(E29&lt;&gt;"Combat","—",IFERROR(INDEX(Affinity!$A$2:$A$7,MATCH(MAX(INDEX(Affinity!$B$2:$AD$7,0,MATCH(A29,Affinity!$B$1:$AD$1,0))),INDEX(Affinity!$B$2:$AD$7,0,MATCH(A29,Affinity!$B$1:$AD$1,0)),0)),"—"))</f>
        <v>Data Driven</v>
      </c>
      <c r="Y29">
        <v>0</v>
      </c>
      <c r="Z29">
        <v>20000</v>
      </c>
      <c r="AA29">
        <v>0</v>
      </c>
      <c r="AB29">
        <v>30</v>
      </c>
      <c r="AC29">
        <v>0</v>
      </c>
      <c r="AD29">
        <v>0</v>
      </c>
      <c r="AE29">
        <v>0</v>
      </c>
      <c r="AF29">
        <v>0</v>
      </c>
      <c r="AG29">
        <v>0</v>
      </c>
      <c r="AH29">
        <v>-1</v>
      </c>
      <c r="AI29" t="inlineStr">
        <is>
          <t xml:space="preserve">Shared_pool</t>
        </is>
      </c>
      <c r="AJ29" t="inlineStr">
        <is>
          <t xml:space="preserve">pool</t>
        </is>
      </c>
      <c r="AK29">
        <v>12</v>
      </c>
      <c r="AL29" t="inlineStr">
        <is>
          <t xml:space="preserve">single</t>
        </is>
      </c>
      <c r="AM29" t="inlineStr">
        <is>
          <t xml:space="preserve">1</t>
        </is>
      </c>
      <c r="AN29" t="inlineStr">
        <is>
          <t xml:space="preserve">lobbyist_meeting</t>
        </is>
      </c>
      <c r="AO29" t="inlineStr">
        <is>
          <t xml:space="preserve">No</t>
        </is>
      </c>
      <c r="AR29" t="inlineStr">
        <is>
          <t xml:space="preserve">Yes</t>
        </is>
      </c>
    </row>
    <row r="30">
      <c r="A30" t="inlineStr">
        <is>
          <t xml:space="preserve">ST29</t>
        </is>
      </c>
      <c r="B30" t="inlineStr">
        <is>
          <t xml:space="preserve">Town Hall at the Harbour</t>
        </is>
      </c>
      <c r="C30" t="inlineStr">
        <is>
          <t xml:space="preserve">漁港の住民集会</t>
        </is>
      </c>
      <c r="D30" t="inlineStr">
        <is>
          <t xml:space="preserve">Gyokō no Jūmin Shūkai</t>
        </is>
      </c>
      <c r="E30" t="inlineStr">
        <is>
          <t xml:space="preserve">Combat</t>
        </is>
      </c>
      <c r="F30" t="inlineStr">
        <is>
          <t xml:space="preserve">Appeasement</t>
        </is>
      </c>
      <c r="G30" t="inlineStr">
        <is>
          <t xml:space="preserve">Percentage</t>
        </is>
      </c>
      <c r="H30">
        <v>100</v>
      </c>
      <c r="I30">
        <v>58</v>
      </c>
      <c r="J30">
        <f>IF(AND(ISNUMBER(H30),ISNUMBER(I30)),IF(H30=0,"",I30/H30),"varies")</f>
        <v>0.58</v>
      </c>
      <c r="K30">
        <v>17</v>
      </c>
      <c r="L30">
        <v>3</v>
      </c>
      <c r="M30">
        <v>5</v>
      </c>
      <c r="N30">
        <v>6</v>
      </c>
      <c r="O30">
        <v>15</v>
      </c>
      <c r="P30">
        <v>20</v>
      </c>
      <c r="Q30">
        <v>0.05</v>
      </c>
      <c r="R30">
        <v>0.05</v>
      </c>
      <c r="S30">
        <v>0.7</v>
      </c>
      <c r="T30">
        <v>0.1</v>
      </c>
      <c r="U30">
        <v>0</v>
      </c>
      <c r="V30">
        <v>0.1</v>
      </c>
      <c r="W30">
        <f>SUM(Q30:V30)</f>
        <v>1.0</v>
      </c>
      <c r="X30" t="str">
        <f>IF(E30&lt;&gt;"Combat","—",IFERROR(INDEX(Affinity!$A$2:$A$7,MATCH(MAX(INDEX(Affinity!$B$2:$AD$7,0,MATCH(A30,Affinity!$B$1:$AD$1,0))),INDEX(Affinity!$B$2:$AD$7,0,MATCH(A30,Affinity!$B$1:$AD$1,0)),0)),"—"))</f>
        <v>Emotional</v>
      </c>
      <c r="Y30">
        <v>5</v>
      </c>
      <c r="Z30">
        <v>35000</v>
      </c>
      <c r="AA30">
        <v>1</v>
      </c>
      <c r="AB30">
        <v>50</v>
      </c>
      <c r="AC30">
        <v>0</v>
      </c>
      <c r="AD30">
        <v>-5</v>
      </c>
      <c r="AE30">
        <v>0</v>
      </c>
      <c r="AF30">
        <v>-3</v>
      </c>
      <c r="AG30">
        <v>10</v>
      </c>
      <c r="AH30">
        <v>0</v>
      </c>
      <c r="AI30" t="inlineStr">
        <is>
          <t xml:space="preserve">Shared_pool</t>
        </is>
      </c>
      <c r="AJ30" t="inlineStr">
        <is>
          <t xml:space="preserve">per_turn</t>
        </is>
      </c>
      <c r="AL30" t="inlineStr">
        <is>
          <t xml:space="preserve">stream</t>
        </is>
      </c>
      <c r="AM30">
        <v>3</v>
      </c>
      <c r="AN30" t="inlineStr">
        <is>
          <t xml:space="preserve">town_hall</t>
        </is>
      </c>
      <c r="AO30" t="inlineStr">
        <is>
          <t xml:space="preserve">No</t>
        </is>
      </c>
      <c r="AR30" t="inlineStr">
        <is>
          <t xml:space="preserve">Yes</t>
        </is>
      </c>
    </row>
    <row r="31">
      <c r="A31" t="inlineStr">
        <is>
          <t xml:space="preserve">ST30</t>
        </is>
      </c>
      <c r="B31" t="inlineStr">
        <is>
          <t xml:space="preserve">Media Ambush on Seafood Labelling</t>
        </is>
      </c>
      <c r="C31" t="inlineStr">
        <is>
          <t xml:space="preserve">水産物表示を巡るぶら下がり取材</t>
        </is>
      </c>
      <c r="D31" t="inlineStr">
        <is>
          <t xml:space="preserve">Suisanbutsu Hyōji o Meguru Burasagari Shuzai</t>
        </is>
      </c>
      <c r="E31" t="inlineStr">
        <is>
          <t xml:space="preserve">Combat</t>
        </is>
      </c>
      <c r="F31" t="inlineStr">
        <is>
          <t xml:space="preserve">Press tone</t>
        </is>
      </c>
      <c r="G31" t="inlineStr">
        <is>
          <t xml:space="preserve">Percentage</t>
        </is>
      </c>
      <c r="H31">
        <v>50</v>
      </c>
      <c r="I31">
        <v>30</v>
      </c>
      <c r="J31">
        <f>IF(AND(ISNUMBER(H31),ISNUMBER(I31)),IF(H31=0,"",I31/H31),"varies")</f>
        <v>0.6</v>
      </c>
      <c r="K31">
        <v>11</v>
      </c>
      <c r="L31">
        <v>3</v>
      </c>
      <c r="M31">
        <v>3</v>
      </c>
      <c r="N31">
        <v>2</v>
      </c>
      <c r="O31">
        <v>5</v>
      </c>
      <c r="P31">
        <v>15</v>
      </c>
      <c r="Q31">
        <v>1</v>
      </c>
      <c r="R31">
        <v>0</v>
      </c>
      <c r="S31">
        <v>0</v>
      </c>
      <c r="T31">
        <v>0</v>
      </c>
      <c r="U31">
        <v>0</v>
      </c>
      <c r="V31">
        <v>0</v>
      </c>
      <c r="W31">
        <f>SUM(Q31:V31)</f>
        <v>1</v>
      </c>
      <c r="X31" t="str">
        <f>IF(E31&lt;&gt;"Combat","—",IFERROR(INDEX(Affinity!$A$2:$A$7,MATCH(MAX(INDEX(Affinity!$B$2:$AD$7,0,MATCH(A31,Affinity!$B$1:$AD$1,0))),INDEX(Affinity!$B$2:$AD$7,0,MATCH(A31,Affinity!$B$1:$AD$1,0)),0)),"—"))</f>
        <v>Appeal</v>
      </c>
      <c r="Y31">
        <v>2</v>
      </c>
      <c r="Z31">
        <v>15000</v>
      </c>
      <c r="AA31">
        <v>3</v>
      </c>
      <c r="AB31">
        <v>70</v>
      </c>
      <c r="AC31">
        <v>1</v>
      </c>
      <c r="AD31">
        <v>-1</v>
      </c>
      <c r="AE31">
        <v>0</v>
      </c>
      <c r="AF31">
        <v>-1</v>
      </c>
      <c r="AG31">
        <v>5</v>
      </c>
      <c r="AH31">
        <v>-5</v>
      </c>
      <c r="AI31" t="inlineStr">
        <is>
          <t xml:space="preserve">Shared_pool</t>
        </is>
      </c>
      <c r="AJ31" t="inlineStr">
        <is>
          <t xml:space="preserve">pool</t>
        </is>
      </c>
      <c r="AK31">
        <v>15</v>
      </c>
      <c r="AL31" t="inlineStr">
        <is>
          <t xml:space="preserve">continuous</t>
        </is>
      </c>
      <c r="AM31">
        <v>3</v>
      </c>
      <c r="AN31" t="inlineStr">
        <is>
          <t xml:space="preserve">media_ambush</t>
        </is>
      </c>
      <c r="AO31" t="inlineStr">
        <is>
          <t xml:space="preserve">No</t>
        </is>
      </c>
      <c r="AP31" t="inlineStr">
        <is>
          <t xml:space="preserve">No</t>
        </is>
      </c>
      <c r="AQ31" t="inlineStr">
        <is>
          <t xml:space="preserve">No</t>
        </is>
      </c>
      <c r="AR31" t="inlineStr">
        <is>
          <t xml:space="preserve">Yes</t>
        </is>
      </c>
    </row>
    <row r="32">
      <c r="A32" t="inlineStr">
        <is>
          <t xml:space="preserve">ST31</t>
        </is>
      </c>
      <c r="B32" t="inlineStr">
        <is>
          <t xml:space="preserve">Hearing on Fishery Quotas</t>
        </is>
      </c>
      <c r="C32" t="inlineStr">
        <is>
          <t xml:space="preserve">漁獲枠に関する公聴会</t>
        </is>
      </c>
      <c r="D32" t="inlineStr">
        <is>
          <t xml:space="preserve">Gyokaku-waku ni Kansuru Kōchōkai</t>
        </is>
      </c>
      <c r="E32" t="inlineStr">
        <is>
          <t xml:space="preserve">Combat</t>
        </is>
      </c>
      <c r="F32" t="inlineStr">
        <is>
          <t xml:space="preserve">Favourability</t>
        </is>
      </c>
      <c r="G32" t="inlineStr">
        <is>
          <t xml:space="preserve">Percentage</t>
        </is>
      </c>
      <c r="H32">
        <v>100</v>
      </c>
      <c r="I32">
        <v>55</v>
      </c>
      <c r="J32">
        <f>IF(AND(ISNUMBER(H32),ISNUMBER(I32)),IF(H32=0,"",I32/H32),"varies")</f>
        <v>0.55</v>
      </c>
      <c r="K32">
        <v>10</v>
      </c>
      <c r="L32">
        <v>4</v>
      </c>
      <c r="M32">
        <v>5</v>
      </c>
      <c r="N32">
        <v>6</v>
      </c>
      <c r="O32">
        <v>30</v>
      </c>
      <c r="P32">
        <v>30</v>
      </c>
      <c r="Q32">
        <v>0</v>
      </c>
      <c r="R32">
        <v>0.2</v>
      </c>
      <c r="S32">
        <v>0.5</v>
      </c>
      <c r="T32">
        <v>0</v>
      </c>
      <c r="U32">
        <v>0.1</v>
      </c>
      <c r="V32">
        <v>0.2</v>
      </c>
      <c r="W32">
        <f>SUM(Q32:V32)</f>
        <v>1.0</v>
      </c>
      <c r="X32" t="str">
        <f>IF(E32&lt;&gt;"Combat","—",IFERROR(INDEX(Affinity!$A$2:$A$7,MATCH(MAX(INDEX(Affinity!$B$2:$AD$7,0,MATCH(A32,Affinity!$B$1:$AD$1,0))),INDEX(Affinity!$B$2:$AD$7,0,MATCH(A32,Affinity!$B$1:$AD$1,0)),0)),"—"))</f>
        <v>Earnest</v>
      </c>
      <c r="Y32">
        <v>1</v>
      </c>
      <c r="Z32">
        <v>10000</v>
      </c>
      <c r="AA32">
        <v>1</v>
      </c>
      <c r="AB32">
        <v>50</v>
      </c>
      <c r="AC32">
        <v>0</v>
      </c>
      <c r="AD32">
        <v>-1</v>
      </c>
      <c r="AE32">
        <v>1000</v>
      </c>
      <c r="AF32">
        <v>0</v>
      </c>
      <c r="AG32">
        <v>1</v>
      </c>
      <c r="AH32">
        <v>0</v>
      </c>
      <c r="AI32" t="inlineStr">
        <is>
          <t xml:space="preserve">Shared_pool</t>
        </is>
      </c>
      <c r="AJ32" t="inlineStr">
        <is>
          <t xml:space="preserve">per_turn</t>
        </is>
      </c>
      <c r="AL32" t="inlineStr">
        <is>
          <t xml:space="preserve">reset</t>
        </is>
      </c>
      <c r="AM32">
        <v>2</v>
      </c>
      <c r="AO32" t="inlineStr">
        <is>
          <t xml:space="preserve">No</t>
        </is>
      </c>
      <c r="AR32" t="inlineStr">
        <is>
          <t xml:space="preserve">Yes</t>
        </is>
      </c>
    </row>
    <row r="33">
      <c r="A33" t="inlineStr">
        <is>
          <t xml:space="preserve">ST32</t>
        </is>
      </c>
      <c r="B33" t="inlineStr">
        <is>
          <t xml:space="preserve">Press Conference on Wilderness Protection</t>
        </is>
      </c>
      <c r="C33" t="inlineStr">
        <is>
          <t xml:space="preserve">原生自然の保護記者会見</t>
        </is>
      </c>
      <c r="D33" t="inlineStr">
        <is>
          <t xml:space="preserve">Gensei Shizen no Hogo Kisha Kaiken</t>
        </is>
      </c>
      <c r="E33" t="inlineStr">
        <is>
          <t xml:space="preserve">Combat</t>
        </is>
      </c>
      <c r="F33" t="inlineStr">
        <is>
          <t xml:space="preserve">Press tone</t>
        </is>
      </c>
      <c r="G33" t="inlineStr">
        <is>
          <t xml:space="preserve">Numerical</t>
        </is>
      </c>
      <c r="H33">
        <v>100</v>
      </c>
      <c r="I33">
        <v>55</v>
      </c>
      <c r="J33">
        <f>IF(AND(ISNUMBER(H33),ISNUMBER(I33)),IF(H33=0,"",I33/H33),"varies")</f>
        <v>0.55</v>
      </c>
      <c r="K33">
        <v>6</v>
      </c>
      <c r="L33">
        <v>3</v>
      </c>
      <c r="M33">
        <v>5</v>
      </c>
      <c r="N33">
        <v>4</v>
      </c>
      <c r="O33">
        <v>20</v>
      </c>
      <c r="P33">
        <v>45</v>
      </c>
      <c r="Q33">
        <v>0.9</v>
      </c>
      <c r="R33">
        <v>0</v>
      </c>
      <c r="S33">
        <v>0</v>
      </c>
      <c r="T33">
        <v>0</v>
      </c>
      <c r="U33">
        <v>0.05</v>
      </c>
      <c r="V33">
        <v>0.05</v>
      </c>
      <c r="W33">
        <f>SUM(Q33:V33)</f>
        <v>1.0</v>
      </c>
      <c r="X33" t="str">
        <f>IF(E33&lt;&gt;"Combat","—",IFERROR(INDEX(Affinity!$A$2:$A$7,MATCH(MAX(INDEX(Affinity!$B$2:$CU$7,0,MATCH(A33,Affinity!$B$1:$CU$1,0))),INDEX(Affinity!$B$2:$CU$7,0,MATCH(A33,Affinity!$B$1:$CU$1,0)),0)),"—"))</f>
        <v>Earnest</v>
      </c>
      <c r="Y33">
        <v>1</v>
      </c>
      <c r="Z33">
        <v>20000</v>
      </c>
      <c r="AA33">
        <v>1</v>
      </c>
      <c r="AB33">
        <v>30</v>
      </c>
      <c r="AC33">
        <v>1</v>
      </c>
      <c r="AD33">
        <v>0</v>
      </c>
      <c r="AE33">
        <v>0</v>
      </c>
      <c r="AF33">
        <v>-2</v>
      </c>
      <c r="AG33">
        <v>5</v>
      </c>
      <c r="AH33">
        <v>-2</v>
      </c>
      <c r="AI33" t="inlineStr">
        <is>
          <t xml:space="preserve">Single</t>
        </is>
      </c>
      <c r="AJ33" t="inlineStr">
        <is>
          <t xml:space="preserve">per_turn</t>
        </is>
      </c>
      <c r="AL33" t="inlineStr">
        <is>
          <t xml:space="preserve">single</t>
        </is>
      </c>
      <c r="AM33" t="inlineStr">
        <is>
          <t xml:space="preserve">1</t>
        </is>
      </c>
      <c r="AN33" t="inlineStr">
        <is>
          <t xml:space="preserve">press_conference</t>
        </is>
      </c>
      <c r="AO33" t="inlineStr">
        <is>
          <t xml:space="preserve">Yes</t>
        </is>
      </c>
      <c r="AQ33" t="inlineStr">
        <is>
          <t xml:space="preserve">No</t>
        </is>
      </c>
      <c r="AR33" t="inlineStr">
        <is>
          <t xml:space="preserve">Yes</t>
        </is>
      </c>
    </row>
    <row r="34">
      <c r="A34" t="inlineStr">
        <is>
          <t xml:space="preserve">ST33</t>
        </is>
      </c>
      <c r="B34" t="inlineStr">
        <is>
          <t xml:space="preserve">Hearing on Wilderness Protection</t>
        </is>
      </c>
      <c r="C34" t="inlineStr">
        <is>
          <t xml:space="preserve">原生自然の保護に関する公聴会</t>
        </is>
      </c>
      <c r="D34" t="inlineStr">
        <is>
          <t xml:space="preserve">Gensei Shizen no Hogo ni Kansuru Kōchōkai</t>
        </is>
      </c>
      <c r="E34" t="inlineStr">
        <is>
          <t xml:space="preserve">Combat</t>
        </is>
      </c>
      <c r="F34" t="inlineStr">
        <is>
          <t xml:space="preserve">Favourability</t>
        </is>
      </c>
      <c r="G34" t="inlineStr">
        <is>
          <t xml:space="preserve">Percentage</t>
        </is>
      </c>
      <c r="H34">
        <v>100</v>
      </c>
      <c r="I34">
        <v>51</v>
      </c>
      <c r="J34">
        <f>IF(AND(ISNUMBER(H34),ISNUMBER(I34)),IF(H34=0,"",I34/H34),"varies")</f>
        <v>0.51</v>
      </c>
      <c r="K34">
        <v>10</v>
      </c>
      <c r="L34">
        <v>5</v>
      </c>
      <c r="M34">
        <v>5</v>
      </c>
      <c r="N34">
        <v>7</v>
      </c>
      <c r="O34">
        <v>30</v>
      </c>
      <c r="P34">
        <v>30</v>
      </c>
      <c r="Q34">
        <v>0</v>
      </c>
      <c r="R34">
        <v>0.1</v>
      </c>
      <c r="S34">
        <v>0.65</v>
      </c>
      <c r="T34">
        <v>0</v>
      </c>
      <c r="U34">
        <v>0.2</v>
      </c>
      <c r="V34">
        <v>0.05</v>
      </c>
      <c r="W34">
        <f>SUM(Q34:V34)</f>
        <v>1.0</v>
      </c>
      <c r="X34" t="str">
        <f>IF(E34&lt;&gt;"Combat","—",IFERROR(INDEX(Affinity!$A$2:$A$7,MATCH(MAX(INDEX(Affinity!$B$2:$CU$7,0,MATCH(A34,Affinity!$B$1:$CU$1,0))),INDEX(Affinity!$B$2:$CU$7,0,MATCH(A34,Affinity!$B$1:$CU$1,0)),0)),"—"))</f>
        <v>Earnest</v>
      </c>
      <c r="Y34">
        <v>2</v>
      </c>
      <c r="Z34">
        <v>10000</v>
      </c>
      <c r="AA34">
        <v>1</v>
      </c>
      <c r="AB34">
        <v>50</v>
      </c>
      <c r="AC34">
        <v>0</v>
      </c>
      <c r="AD34">
        <v>-1</v>
      </c>
      <c r="AE34">
        <v>1000</v>
      </c>
      <c r="AF34">
        <v>0</v>
      </c>
      <c r="AG34">
        <v>1</v>
      </c>
      <c r="AH34">
        <v>0</v>
      </c>
      <c r="AI34" t="inlineStr">
        <is>
          <t xml:space="preserve">Shared_pool</t>
        </is>
      </c>
      <c r="AJ34" t="inlineStr">
        <is>
          <t xml:space="preserve">per_turn</t>
        </is>
      </c>
      <c r="AL34" t="inlineStr">
        <is>
          <t xml:space="preserve">reset</t>
        </is>
      </c>
      <c r="AM34">
        <v>2</v>
      </c>
      <c r="AO34" t="inlineStr">
        <is>
          <t xml:space="preserve">No</t>
        </is>
      </c>
      <c r="AR34" t="inlineStr">
        <is>
          <t xml:space="preserve">Yes</t>
        </is>
      </c>
    </row>
    <row r="35">
      <c r="A35" t="inlineStr">
        <is>
          <t xml:space="preserve">ST34</t>
        </is>
      </c>
      <c r="B35" t="inlineStr">
        <is>
          <t xml:space="preserve">Town Hall on Wilderness Protection</t>
        </is>
      </c>
      <c r="C35" t="inlineStr">
        <is>
          <t xml:space="preserve">原生自然の保護を巡る住民集会</t>
        </is>
      </c>
      <c r="D35" t="inlineStr">
        <is>
          <t xml:space="preserve">Gensei Shizen no Hogo o Meguru Jūmin Shūkai</t>
        </is>
      </c>
      <c r="E35" t="inlineStr">
        <is>
          <t xml:space="preserve">Combat</t>
        </is>
      </c>
      <c r="F35" t="inlineStr">
        <is>
          <t xml:space="preserve">Appeasement</t>
        </is>
      </c>
      <c r="G35" t="inlineStr">
        <is>
          <t xml:space="preserve">Percentage</t>
        </is>
      </c>
      <c r="H35">
        <v>100</v>
      </c>
      <c r="I35">
        <v>60</v>
      </c>
      <c r="J35">
        <f>IF(AND(ISNUMBER(H35),ISNUMBER(I35)),IF(H35=0,"",I35/H35),"varies")</f>
        <v>0.6</v>
      </c>
      <c r="K35">
        <v>17</v>
      </c>
      <c r="L35">
        <v>3</v>
      </c>
      <c r="M35">
        <v>5</v>
      </c>
      <c r="N35">
        <v>6</v>
      </c>
      <c r="O35">
        <v>15</v>
      </c>
      <c r="P35">
        <v>20</v>
      </c>
      <c r="Q35">
        <v>0.1</v>
      </c>
      <c r="R35">
        <v>0.1</v>
      </c>
      <c r="S35">
        <v>0.7</v>
      </c>
      <c r="T35">
        <v>0.1</v>
      </c>
      <c r="U35">
        <v>0</v>
      </c>
      <c r="V35">
        <v>0</v>
      </c>
      <c r="W35">
        <f>SUM(Q35:V35)</f>
        <v>1.0</v>
      </c>
      <c r="X35" t="str">
        <f>IF(E35&lt;&gt;"Combat","—",IFERROR(INDEX(Affinity!$A$2:$A$7,MATCH(MAX(INDEX(Affinity!$B$2:$CU$7,0,MATCH(A35,Affinity!$B$1:$CU$1,0))),INDEX(Affinity!$B$2:$CU$7,0,MATCH(A35,Affinity!$B$1:$CU$1,0)),0)),"—"))</f>
        <v>Emotional</v>
      </c>
      <c r="Y35">
        <v>5</v>
      </c>
      <c r="Z35">
        <v>35000</v>
      </c>
      <c r="AA35">
        <v>1</v>
      </c>
      <c r="AB35">
        <v>50</v>
      </c>
      <c r="AC35">
        <v>0</v>
      </c>
      <c r="AD35">
        <v>-5</v>
      </c>
      <c r="AE35">
        <v>0</v>
      </c>
      <c r="AF35">
        <v>-3</v>
      </c>
      <c r="AG35">
        <v>10</v>
      </c>
      <c r="AH35">
        <v>0</v>
      </c>
      <c r="AI35" t="inlineStr">
        <is>
          <t xml:space="preserve">Shared_pool</t>
        </is>
      </c>
      <c r="AJ35" t="inlineStr">
        <is>
          <t xml:space="preserve">per_turn</t>
        </is>
      </c>
      <c r="AL35" t="inlineStr">
        <is>
          <t xml:space="preserve">stream</t>
        </is>
      </c>
      <c r="AM35">
        <v>3</v>
      </c>
      <c r="AN35" t="inlineStr">
        <is>
          <t xml:space="preserve">town_hall</t>
        </is>
      </c>
      <c r="AO35" t="inlineStr">
        <is>
          <t xml:space="preserve">No</t>
        </is>
      </c>
      <c r="AR35" t="inlineStr">
        <is>
          <t xml:space="preserve">Yes</t>
        </is>
      </c>
    </row>
    <row r="36">
      <c r="A36" t="inlineStr">
        <is>
          <t xml:space="preserve">ST35</t>
        </is>
      </c>
      <c r="B36" t="inlineStr">
        <is>
          <t xml:space="preserve">Party Caucus on Wilderness Protection</t>
        </is>
      </c>
      <c r="C36" t="inlineStr">
        <is>
          <t xml:space="preserve">原生自然の保護党内会合</t>
        </is>
      </c>
      <c r="D36" t="inlineStr">
        <is>
          <t xml:space="preserve">Gensei Shizen no Hogo Tōnai Kaigō</t>
        </is>
      </c>
      <c r="E36" t="inlineStr">
        <is>
          <t xml:space="preserve">Combat</t>
        </is>
      </c>
      <c r="F36" t="inlineStr">
        <is>
          <t xml:space="preserve">Support</t>
        </is>
      </c>
      <c r="G36" t="inlineStr">
        <is>
          <t xml:space="preserve">Percentage</t>
        </is>
      </c>
      <c r="H36">
        <v>100</v>
      </c>
      <c r="I36">
        <v>60</v>
      </c>
      <c r="J36">
        <f>IF(AND(ISNUMBER(H36),ISNUMBER(I36)),IF(H36=0,"",I36/H36),"varies")</f>
        <v>0.6</v>
      </c>
      <c r="K36">
        <v>10</v>
      </c>
      <c r="L36">
        <v>3</v>
      </c>
      <c r="M36">
        <v>5</v>
      </c>
      <c r="N36">
        <v>5</v>
      </c>
      <c r="O36">
        <v>20</v>
      </c>
      <c r="P36">
        <v>40</v>
      </c>
      <c r="Q36">
        <v>0</v>
      </c>
      <c r="R36">
        <v>0.55</v>
      </c>
      <c r="S36">
        <v>0</v>
      </c>
      <c r="T36">
        <v>0</v>
      </c>
      <c r="U36">
        <v>0</v>
      </c>
      <c r="V36">
        <v>0.45</v>
      </c>
      <c r="W36">
        <f>SUM(Q36:V36)</f>
        <v>1.0</v>
      </c>
      <c r="X36" t="str">
        <f>IF(E36&lt;&gt;"Combat","—",IFERROR(INDEX(Affinity!$A$2:$A$7,MATCH(MAX(INDEX(Affinity!$B$2:$CU$7,0,MATCH(A36,Affinity!$B$1:$CU$1,0))),INDEX(Affinity!$B$2:$CU$7,0,MATCH(A36,Affinity!$B$1:$CU$1,0)),0)),"—"))</f>
        <v>Earnest</v>
      </c>
      <c r="Y36">
        <v>0</v>
      </c>
      <c r="Z36">
        <v>10000</v>
      </c>
      <c r="AA36">
        <v>1</v>
      </c>
      <c r="AB36">
        <v>70</v>
      </c>
      <c r="AC36">
        <v>2</v>
      </c>
      <c r="AD36">
        <v>0</v>
      </c>
      <c r="AE36">
        <v>0</v>
      </c>
      <c r="AF36">
        <v>-1</v>
      </c>
      <c r="AG36">
        <v>1</v>
      </c>
      <c r="AH36">
        <v>-2</v>
      </c>
      <c r="AI36" t="inlineStr">
        <is>
          <t xml:space="preserve">Shared_pool</t>
        </is>
      </c>
      <c r="AJ36" t="inlineStr">
        <is>
          <t xml:space="preserve">per_turn</t>
        </is>
      </c>
      <c r="AL36" t="inlineStr">
        <is>
          <t xml:space="preserve">continuous</t>
        </is>
      </c>
      <c r="AM36">
        <v>2</v>
      </c>
      <c r="AO36" t="inlineStr">
        <is>
          <t xml:space="preserve">No</t>
        </is>
      </c>
      <c r="AR36" t="inlineStr">
        <is>
          <t xml:space="preserve">Yes</t>
        </is>
      </c>
      <c r="AT36" t="inlineStr">
        <is>
          <t xml:space="preserve">Yes</t>
        </is>
      </c>
    </row>
    <row r="37">
      <c r="A37" t="inlineStr">
        <is>
          <t xml:space="preserve">ST36</t>
        </is>
      </c>
      <c r="B37" t="inlineStr">
        <is>
          <t xml:space="preserve">Town Hall on Rural Hospitals</t>
        </is>
      </c>
      <c r="C37" t="inlineStr">
        <is>
          <t xml:space="preserve">地方病院網を巡る住民集会</t>
        </is>
      </c>
      <c r="D37" t="inlineStr">
        <is>
          <t xml:space="preserve">Chihō Byōin-mō o Meguru Jūmin Shūkai</t>
        </is>
      </c>
      <c r="E37" t="inlineStr">
        <is>
          <t xml:space="preserve">Combat</t>
        </is>
      </c>
      <c r="F37" t="inlineStr">
        <is>
          <t xml:space="preserve">Appeasement</t>
        </is>
      </c>
      <c r="G37" t="inlineStr">
        <is>
          <t xml:space="preserve">Percentage</t>
        </is>
      </c>
      <c r="H37">
        <v>100</v>
      </c>
      <c r="I37">
        <v>62</v>
      </c>
      <c r="J37">
        <f>IF(AND(ISNUMBER(H37),ISNUMBER(I37)),IF(H37=0,"",I37/H37),"varies")</f>
        <v>0.62</v>
      </c>
      <c r="K37">
        <v>17</v>
      </c>
      <c r="L37">
        <v>3</v>
      </c>
      <c r="M37">
        <v>5</v>
      </c>
      <c r="N37">
        <v>6</v>
      </c>
      <c r="O37">
        <v>15</v>
      </c>
      <c r="P37">
        <v>20</v>
      </c>
      <c r="Q37">
        <v>0.1</v>
      </c>
      <c r="R37">
        <v>0.1</v>
      </c>
      <c r="S37">
        <v>0.7</v>
      </c>
      <c r="T37">
        <v>0.1</v>
      </c>
      <c r="U37">
        <v>0</v>
      </c>
      <c r="V37">
        <v>0</v>
      </c>
      <c r="W37">
        <f>SUM(Q37:V37)</f>
        <v>1.0</v>
      </c>
      <c r="X37" t="str">
        <f>IF(E37&lt;&gt;"Combat","—",IFERROR(INDEX(Affinity!$A$2:$A$7,MATCH(MAX(INDEX(Affinity!$B$2:$CU$7,0,MATCH(A37,Affinity!$B$1:$CU$1,0))),INDEX(Affinity!$B$2:$CU$7,0,MATCH(A37,Affinity!$B$1:$CU$1,0)),0)),"—"))</f>
        <v>Emotional</v>
      </c>
      <c r="Y37">
        <v>5</v>
      </c>
      <c r="Z37">
        <v>35000</v>
      </c>
      <c r="AA37">
        <v>1</v>
      </c>
      <c r="AB37">
        <v>50</v>
      </c>
      <c r="AC37">
        <v>0</v>
      </c>
      <c r="AD37">
        <v>-5</v>
      </c>
      <c r="AE37">
        <v>0</v>
      </c>
      <c r="AF37">
        <v>-3</v>
      </c>
      <c r="AG37">
        <v>10</v>
      </c>
      <c r="AH37">
        <v>0</v>
      </c>
      <c r="AI37" t="inlineStr">
        <is>
          <t xml:space="preserve">Shared_pool</t>
        </is>
      </c>
      <c r="AJ37" t="inlineStr">
        <is>
          <t xml:space="preserve">per_turn</t>
        </is>
      </c>
      <c r="AL37" t="inlineStr">
        <is>
          <t xml:space="preserve">stream</t>
        </is>
      </c>
      <c r="AM37">
        <v>3</v>
      </c>
      <c r="AN37" t="inlineStr">
        <is>
          <t xml:space="preserve">town_hall</t>
        </is>
      </c>
      <c r="AO37" t="inlineStr">
        <is>
          <t xml:space="preserve">No</t>
        </is>
      </c>
      <c r="AR37" t="inlineStr">
        <is>
          <t xml:space="preserve">Yes</t>
        </is>
      </c>
    </row>
    <row r="38">
      <c r="A38" t="inlineStr">
        <is>
          <t xml:space="preserve">ST37</t>
        </is>
      </c>
      <c r="B38" t="inlineStr">
        <is>
          <t xml:space="preserve">Hearing on Rural Hospitals</t>
        </is>
      </c>
      <c r="C38" t="inlineStr">
        <is>
          <t xml:space="preserve">地方病院網に関する公聴会</t>
        </is>
      </c>
      <c r="D38" t="inlineStr">
        <is>
          <t xml:space="preserve">Chihō Byōin-mō ni Kansuru Kōchōkai</t>
        </is>
      </c>
      <c r="E38" t="inlineStr">
        <is>
          <t xml:space="preserve">Combat</t>
        </is>
      </c>
      <c r="F38" t="inlineStr">
        <is>
          <t xml:space="preserve">Favourability</t>
        </is>
      </c>
      <c r="G38" t="inlineStr">
        <is>
          <t xml:space="preserve">Percentage</t>
        </is>
      </c>
      <c r="H38">
        <v>100</v>
      </c>
      <c r="I38">
        <v>62</v>
      </c>
      <c r="J38">
        <f>IF(AND(ISNUMBER(H38),ISNUMBER(I38)),IF(H38=0,"",I38/H38),"varies")</f>
        <v>0.62</v>
      </c>
      <c r="K38">
        <v>10</v>
      </c>
      <c r="L38">
        <v>5</v>
      </c>
      <c r="M38">
        <v>5</v>
      </c>
      <c r="N38">
        <v>5</v>
      </c>
      <c r="O38">
        <v>30</v>
      </c>
      <c r="P38">
        <v>40</v>
      </c>
      <c r="Q38">
        <v>0.15</v>
      </c>
      <c r="R38">
        <v>0</v>
      </c>
      <c r="S38">
        <v>0.1</v>
      </c>
      <c r="T38">
        <v>0.1</v>
      </c>
      <c r="U38">
        <v>0.65</v>
      </c>
      <c r="V38">
        <v>0</v>
      </c>
      <c r="W38">
        <f>SUM(Q38:V38)</f>
        <v>1.0</v>
      </c>
      <c r="X38" t="str">
        <f>IF(E38&lt;&gt;"Combat","—",IFERROR(INDEX(Affinity!$A$2:$A$7,MATCH(MAX(INDEX(Affinity!$B$2:$CU$7,0,MATCH(A38,Affinity!$B$1:$CU$1,0))),INDEX(Affinity!$B$2:$CU$7,0,MATCH(A38,Affinity!$B$1:$CU$1,0)),0)),"—"))</f>
        <v>Emotional</v>
      </c>
      <c r="Y38">
        <v>1</v>
      </c>
      <c r="Z38">
        <v>50000</v>
      </c>
      <c r="AA38">
        <v>5</v>
      </c>
      <c r="AB38">
        <v>50</v>
      </c>
      <c r="AC38">
        <v>5</v>
      </c>
      <c r="AD38">
        <v>0</v>
      </c>
      <c r="AE38">
        <v>0</v>
      </c>
      <c r="AF38">
        <v>0</v>
      </c>
      <c r="AG38">
        <v>2</v>
      </c>
      <c r="AH38">
        <v>0</v>
      </c>
      <c r="AI38" t="inlineStr">
        <is>
          <t xml:space="preserve">Shared_pool</t>
        </is>
      </c>
      <c r="AJ38" t="inlineStr">
        <is>
          <t xml:space="preserve">per_turn</t>
        </is>
      </c>
      <c r="AL38" t="inlineStr">
        <is>
          <t xml:space="preserve">reset</t>
        </is>
      </c>
      <c r="AM38">
        <v>4</v>
      </c>
      <c r="AO38" t="inlineStr">
        <is>
          <t xml:space="preserve">No</t>
        </is>
      </c>
      <c r="AR38" t="inlineStr">
        <is>
          <t xml:space="preserve">Yes</t>
        </is>
      </c>
    </row>
    <row r="39">
      <c r="A39" t="inlineStr">
        <is>
          <t xml:space="preserve">ST38</t>
        </is>
      </c>
      <c r="B39" t="inlineStr">
        <is>
          <t xml:space="preserve">Policy Study on Rural Hospitals</t>
        </is>
      </c>
      <c r="C39" t="inlineStr">
        <is>
          <t xml:space="preserve">地方病院網政策検討会</t>
        </is>
      </c>
      <c r="D39" t="inlineStr">
        <is>
          <t xml:space="preserve">Chihō Byōin-mō Seisaku Kentōkai</t>
        </is>
      </c>
      <c r="E39" t="inlineStr">
        <is>
          <t xml:space="preserve">Combat</t>
        </is>
      </c>
      <c r="F39" t="inlineStr">
        <is>
          <t xml:space="preserve">Consensus</t>
        </is>
      </c>
      <c r="G39" t="inlineStr">
        <is>
          <t xml:space="preserve">Percentage</t>
        </is>
      </c>
      <c r="H39">
        <v>50</v>
      </c>
      <c r="I39">
        <v>36</v>
      </c>
      <c r="J39">
        <f>IF(AND(ISNUMBER(H39),ISNUMBER(I39)),IF(H39=0,"",I39/H39),"varies")</f>
        <v>0.72</v>
      </c>
      <c r="K39">
        <v>10</v>
      </c>
      <c r="L39">
        <v>5</v>
      </c>
      <c r="M39">
        <v>5</v>
      </c>
      <c r="N39">
        <v>10</v>
      </c>
      <c r="O39">
        <v>1</v>
      </c>
      <c r="P39">
        <v>10</v>
      </c>
      <c r="Q39">
        <v>0</v>
      </c>
      <c r="R39">
        <v>0</v>
      </c>
      <c r="S39">
        <v>0</v>
      </c>
      <c r="T39">
        <v>0</v>
      </c>
      <c r="U39">
        <v>0.8</v>
      </c>
      <c r="V39">
        <v>0.2</v>
      </c>
      <c r="W39">
        <f>SUM(Q39:V39)</f>
        <v>1.0</v>
      </c>
      <c r="X39" t="str">
        <f>IF(E39&lt;&gt;"Combat","—",IFERROR(INDEX(Affinity!$A$2:$A$7,MATCH(MAX(INDEX(Affinity!$B$2:$CU$7,0,MATCH(A39,Affinity!$B$1:$CU$1,0))),INDEX(Affinity!$B$2:$CU$7,0,MATCH(A39,Affinity!$B$1:$CU$1,0)),0)),"—"))</f>
        <v>Earnest</v>
      </c>
      <c r="Y39">
        <v>1</v>
      </c>
      <c r="Z39">
        <v>15000</v>
      </c>
      <c r="AA39">
        <v>1</v>
      </c>
      <c r="AB39">
        <v>70</v>
      </c>
      <c r="AC39">
        <v>1</v>
      </c>
      <c r="AD39">
        <v>0</v>
      </c>
      <c r="AE39">
        <v>0</v>
      </c>
      <c r="AF39">
        <v>0</v>
      </c>
      <c r="AG39">
        <v>5</v>
      </c>
      <c r="AH39">
        <v>0</v>
      </c>
      <c r="AI39" t="inlineStr">
        <is>
          <t xml:space="preserve">Shared_pool</t>
        </is>
      </c>
      <c r="AJ39" t="inlineStr">
        <is>
          <t xml:space="preserve">per_turn</t>
        </is>
      </c>
      <c r="AL39" t="inlineStr">
        <is>
          <t xml:space="preserve">stream</t>
        </is>
      </c>
      <c r="AM39">
        <v>2</v>
      </c>
      <c r="AN39" t="inlineStr">
        <is>
          <t xml:space="preserve">policy_study</t>
        </is>
      </c>
      <c r="AO39" t="inlineStr">
        <is>
          <t xml:space="preserve">No</t>
        </is>
      </c>
      <c r="AQ39" t="inlineStr">
        <is>
          <t xml:space="preserve">No</t>
        </is>
      </c>
      <c r="AR39" t="inlineStr">
        <is>
          <t xml:space="preserve">Yes</t>
        </is>
      </c>
    </row>
    <row r="40">
      <c r="A40" t="inlineStr">
        <is>
          <t xml:space="preserve">ST39</t>
        </is>
      </c>
      <c r="B40" t="inlineStr">
        <is>
          <t xml:space="preserve">Party Caucus on Rural Hospitals</t>
        </is>
      </c>
      <c r="C40" t="inlineStr">
        <is>
          <t xml:space="preserve">地方病院網党内会合</t>
        </is>
      </c>
      <c r="D40" t="inlineStr">
        <is>
          <t xml:space="preserve">Chihō Byōin-mō Tōnai Kaigō</t>
        </is>
      </c>
      <c r="E40" t="inlineStr">
        <is>
          <t xml:space="preserve">Combat</t>
        </is>
      </c>
      <c r="F40" t="inlineStr">
        <is>
          <t xml:space="preserve">Support</t>
        </is>
      </c>
      <c r="G40" t="inlineStr">
        <is>
          <t xml:space="preserve">Percentage</t>
        </is>
      </c>
      <c r="H40">
        <v>100</v>
      </c>
      <c r="I40">
        <v>62</v>
      </c>
      <c r="J40">
        <f>IF(AND(ISNUMBER(H40),ISNUMBER(I40)),IF(H40=0,"",I40/H40),"varies")</f>
        <v>0.62</v>
      </c>
      <c r="K40">
        <v>10</v>
      </c>
      <c r="L40">
        <v>3</v>
      </c>
      <c r="M40">
        <v>5</v>
      </c>
      <c r="N40">
        <v>5</v>
      </c>
      <c r="O40">
        <v>20</v>
      </c>
      <c r="P40">
        <v>40</v>
      </c>
      <c r="Q40">
        <v>0</v>
      </c>
      <c r="R40">
        <v>0.55</v>
      </c>
      <c r="S40">
        <v>0</v>
      </c>
      <c r="T40">
        <v>0</v>
      </c>
      <c r="U40">
        <v>0</v>
      </c>
      <c r="V40">
        <v>0.45</v>
      </c>
      <c r="W40">
        <f>SUM(Q40:V40)</f>
        <v>1.0</v>
      </c>
      <c r="X40" t="str">
        <f>IF(E40&lt;&gt;"Combat","—",IFERROR(INDEX(Affinity!$A$2:$A$7,MATCH(MAX(INDEX(Affinity!$B$2:$CU$7,0,MATCH(A40,Affinity!$B$1:$CU$1,0))),INDEX(Affinity!$B$2:$CU$7,0,MATCH(A40,Affinity!$B$1:$CU$1,0)),0)),"—"))</f>
        <v>Emotional</v>
      </c>
      <c r="Y40">
        <v>0</v>
      </c>
      <c r="Z40">
        <v>10000</v>
      </c>
      <c r="AA40">
        <v>1</v>
      </c>
      <c r="AB40">
        <v>70</v>
      </c>
      <c r="AC40">
        <v>2</v>
      </c>
      <c r="AD40">
        <v>0</v>
      </c>
      <c r="AE40">
        <v>0</v>
      </c>
      <c r="AF40">
        <v>-1</v>
      </c>
      <c r="AG40">
        <v>1</v>
      </c>
      <c r="AH40">
        <v>-2</v>
      </c>
      <c r="AI40" t="inlineStr">
        <is>
          <t xml:space="preserve">Shared_pool</t>
        </is>
      </c>
      <c r="AJ40" t="inlineStr">
        <is>
          <t xml:space="preserve">per_turn</t>
        </is>
      </c>
      <c r="AL40" t="inlineStr">
        <is>
          <t xml:space="preserve">continuous</t>
        </is>
      </c>
      <c r="AM40">
        <v>2</v>
      </c>
      <c r="AO40" t="inlineStr">
        <is>
          <t xml:space="preserve">No</t>
        </is>
      </c>
      <c r="AR40" t="inlineStr">
        <is>
          <t xml:space="preserve">Yes</t>
        </is>
      </c>
      <c r="AT40" t="inlineStr">
        <is>
          <t xml:space="preserve">Yes</t>
        </is>
      </c>
    </row>
    <row r="41">
      <c r="A41" t="inlineStr">
        <is>
          <t xml:space="preserve">ST40</t>
        </is>
      </c>
      <c r="B41" t="inlineStr">
        <is>
          <t xml:space="preserve">Policy Study on Digital Identity Cards</t>
        </is>
      </c>
      <c r="C41" t="inlineStr">
        <is>
          <t xml:space="preserve">デジタル身分証政策検討会</t>
        </is>
      </c>
      <c r="D41" t="inlineStr">
        <is>
          <t xml:space="preserve">Dejitaru Mibun-shō Seisaku Kentōkai</t>
        </is>
      </c>
      <c r="E41" t="inlineStr">
        <is>
          <t xml:space="preserve">Combat</t>
        </is>
      </c>
      <c r="F41" t="inlineStr">
        <is>
          <t xml:space="preserve">Consensus</t>
        </is>
      </c>
      <c r="G41" t="inlineStr">
        <is>
          <t xml:space="preserve">Percentage</t>
        </is>
      </c>
      <c r="H41">
        <v>50</v>
      </c>
      <c r="I41">
        <v>36</v>
      </c>
      <c r="J41">
        <f>IF(AND(ISNUMBER(H41),ISNUMBER(I41)),IF(H41=0,"",I41/H41),"varies")</f>
        <v>0.72</v>
      </c>
      <c r="K41">
        <v>10</v>
      </c>
      <c r="L41">
        <v>5</v>
      </c>
      <c r="M41">
        <v>5</v>
      </c>
      <c r="N41">
        <v>10</v>
      </c>
      <c r="O41">
        <v>1</v>
      </c>
      <c r="P41">
        <v>10</v>
      </c>
      <c r="Q41">
        <v>0</v>
      </c>
      <c r="R41">
        <v>0</v>
      </c>
      <c r="S41">
        <v>0</v>
      </c>
      <c r="T41">
        <v>0</v>
      </c>
      <c r="U41">
        <v>0.8</v>
      </c>
      <c r="V41">
        <v>0.2</v>
      </c>
      <c r="W41">
        <f>SUM(Q41:V41)</f>
        <v>1.0</v>
      </c>
      <c r="X41" t="str">
        <f>IF(E41&lt;&gt;"Combat","—",IFERROR(INDEX(Affinity!$A$2:$A$7,MATCH(MAX(INDEX(Affinity!$B$2:$CU$7,0,MATCH(A41,Affinity!$B$1:$CU$1,0))),INDEX(Affinity!$B$2:$CU$7,0,MATCH(A41,Affinity!$B$1:$CU$1,0)),0)),"—"))</f>
        <v>Data Driven</v>
      </c>
      <c r="Y41">
        <v>1</v>
      </c>
      <c r="Z41">
        <v>15000</v>
      </c>
      <c r="AA41">
        <v>1</v>
      </c>
      <c r="AB41">
        <v>70</v>
      </c>
      <c r="AC41">
        <v>1</v>
      </c>
      <c r="AD41">
        <v>0</v>
      </c>
      <c r="AE41">
        <v>0</v>
      </c>
      <c r="AF41">
        <v>0</v>
      </c>
      <c r="AG41">
        <v>5</v>
      </c>
      <c r="AH41">
        <v>0</v>
      </c>
      <c r="AI41" t="inlineStr">
        <is>
          <t xml:space="preserve">Shared_pool</t>
        </is>
      </c>
      <c r="AJ41" t="inlineStr">
        <is>
          <t xml:space="preserve">per_turn</t>
        </is>
      </c>
      <c r="AL41" t="inlineStr">
        <is>
          <t xml:space="preserve">stream</t>
        </is>
      </c>
      <c r="AM41">
        <v>2</v>
      </c>
      <c r="AN41" t="inlineStr">
        <is>
          <t xml:space="preserve">policy_study</t>
        </is>
      </c>
      <c r="AO41" t="inlineStr">
        <is>
          <t xml:space="preserve">No</t>
        </is>
      </c>
      <c r="AQ41" t="inlineStr">
        <is>
          <t xml:space="preserve">No</t>
        </is>
      </c>
      <c r="AR41" t="inlineStr">
        <is>
          <t xml:space="preserve">Yes</t>
        </is>
      </c>
    </row>
    <row r="42">
      <c r="A42" t="inlineStr">
        <is>
          <t xml:space="preserve">ST41</t>
        </is>
      </c>
      <c r="B42" t="inlineStr">
        <is>
          <t xml:space="preserve">TV Debate on Digital Identity Cards</t>
        </is>
      </c>
      <c r="C42" t="inlineStr">
        <is>
          <t xml:space="preserve">デジタル身分証テレビ討論</t>
        </is>
      </c>
      <c r="D42" t="inlineStr">
        <is>
          <t xml:space="preserve">Dejitaru Mibun-shō Terebi Tōron</t>
        </is>
      </c>
      <c r="E42" t="inlineStr">
        <is>
          <t xml:space="preserve">Combat</t>
        </is>
      </c>
      <c r="F42" t="inlineStr">
        <is>
          <t xml:space="preserve">Viewer Interest</t>
        </is>
      </c>
      <c r="G42" t="inlineStr">
        <is>
          <t xml:space="preserve">Numerical</t>
        </is>
      </c>
      <c r="H42">
        <v>100</v>
      </c>
      <c r="I42">
        <v>65</v>
      </c>
      <c r="J42">
        <f>IF(AND(ISNUMBER(H42),ISNUMBER(I42)),IF(H42=0,"",I42/H42),"varies")</f>
        <v>0.65</v>
      </c>
      <c r="K42">
        <v>5</v>
      </c>
      <c r="L42">
        <v>5</v>
      </c>
      <c r="M42">
        <v>6</v>
      </c>
      <c r="N42">
        <v>5</v>
      </c>
      <c r="O42">
        <v>60</v>
      </c>
      <c r="P42">
        <v>50</v>
      </c>
      <c r="Q42">
        <v>0.8</v>
      </c>
      <c r="R42">
        <v>0</v>
      </c>
      <c r="S42">
        <v>0.2</v>
      </c>
      <c r="T42">
        <v>0</v>
      </c>
      <c r="U42">
        <v>0</v>
      </c>
      <c r="V42">
        <v>0</v>
      </c>
      <c r="W42">
        <f>SUM(Q42:V42)</f>
        <v>1.0</v>
      </c>
      <c r="X42" t="str">
        <f>IF(E42&lt;&gt;"Combat","—",IFERROR(INDEX(Affinity!$A$2:$A$7,MATCH(MAX(INDEX(Affinity!$B$2:$CU$7,0,MATCH(A42,Affinity!$B$1:$CU$1,0))),INDEX(Affinity!$B$2:$CU$7,0,MATCH(A42,Affinity!$B$1:$CU$1,0)),0)),"—"))</f>
        <v>Data Driven</v>
      </c>
      <c r="Y42">
        <v>3</v>
      </c>
      <c r="Z42">
        <v>40000</v>
      </c>
      <c r="AA42">
        <v>2</v>
      </c>
      <c r="AB42">
        <v>70</v>
      </c>
      <c r="AC42">
        <v>2</v>
      </c>
      <c r="AD42">
        <v>-1</v>
      </c>
      <c r="AE42">
        <v>0</v>
      </c>
      <c r="AF42">
        <v>-3</v>
      </c>
      <c r="AG42">
        <v>0</v>
      </c>
      <c r="AH42">
        <v>-1</v>
      </c>
      <c r="AI42" t="inlineStr">
        <is>
          <t xml:space="preserve">Survival</t>
        </is>
      </c>
      <c r="AJ42" t="inlineStr">
        <is>
          <t xml:space="preserve">per_turn</t>
        </is>
      </c>
      <c r="AL42" t="inlineStr">
        <is>
          <t xml:space="preserve">single</t>
        </is>
      </c>
      <c r="AM42" t="inlineStr">
        <is>
          <t xml:space="preserve">1</t>
        </is>
      </c>
      <c r="AO42" t="inlineStr">
        <is>
          <t xml:space="preserve">Yes</t>
        </is>
      </c>
      <c r="AR42" t="inlineStr">
        <is>
          <t xml:space="preserve">Yes</t>
        </is>
      </c>
    </row>
    <row r="43">
      <c r="A43" t="inlineStr">
        <is>
          <t xml:space="preserve">ST42</t>
        </is>
      </c>
      <c r="B43" t="inlineStr">
        <is>
          <t xml:space="preserve">Party Caucus on Digital Identity Cards</t>
        </is>
      </c>
      <c r="C43" t="inlineStr">
        <is>
          <t xml:space="preserve">デジタル身分証党内会合</t>
        </is>
      </c>
      <c r="D43" t="inlineStr">
        <is>
          <t xml:space="preserve">Dejitaru Mibun-shō Tōnai Kaigō</t>
        </is>
      </c>
      <c r="E43" t="inlineStr">
        <is>
          <t xml:space="preserve">Combat</t>
        </is>
      </c>
      <c r="F43" t="inlineStr">
        <is>
          <t xml:space="preserve">Support</t>
        </is>
      </c>
      <c r="G43" t="inlineStr">
        <is>
          <t xml:space="preserve">Percentage</t>
        </is>
      </c>
      <c r="H43">
        <v>100</v>
      </c>
      <c r="I43">
        <v>62</v>
      </c>
      <c r="J43">
        <f>IF(AND(ISNUMBER(H43),ISNUMBER(I43)),IF(H43=0,"",I43/H43),"varies")</f>
        <v>0.62</v>
      </c>
      <c r="K43">
        <v>10</v>
      </c>
      <c r="L43">
        <v>3</v>
      </c>
      <c r="M43">
        <v>5</v>
      </c>
      <c r="N43">
        <v>5</v>
      </c>
      <c r="O43">
        <v>20</v>
      </c>
      <c r="P43">
        <v>40</v>
      </c>
      <c r="Q43">
        <v>0</v>
      </c>
      <c r="R43">
        <v>0.55</v>
      </c>
      <c r="S43">
        <v>0</v>
      </c>
      <c r="T43">
        <v>0</v>
      </c>
      <c r="U43">
        <v>0</v>
      </c>
      <c r="V43">
        <v>0.45</v>
      </c>
      <c r="W43">
        <f>SUM(Q43:V43)</f>
        <v>1.0</v>
      </c>
      <c r="X43" t="str">
        <f>IF(E43&lt;&gt;"Combat","—",IFERROR(INDEX(Affinity!$A$2:$A$7,MATCH(MAX(INDEX(Affinity!$B$2:$CU$7,0,MATCH(A43,Affinity!$B$1:$CU$1,0))),INDEX(Affinity!$B$2:$CU$7,0,MATCH(A43,Affinity!$B$1:$CU$1,0)),0)),"—"))</f>
        <v>Earnest</v>
      </c>
      <c r="Y43">
        <v>0</v>
      </c>
      <c r="Z43">
        <v>10000</v>
      </c>
      <c r="AA43">
        <v>1</v>
      </c>
      <c r="AB43">
        <v>70</v>
      </c>
      <c r="AC43">
        <v>2</v>
      </c>
      <c r="AD43">
        <v>0</v>
      </c>
      <c r="AE43">
        <v>0</v>
      </c>
      <c r="AF43">
        <v>-1</v>
      </c>
      <c r="AG43">
        <v>1</v>
      </c>
      <c r="AH43">
        <v>-2</v>
      </c>
      <c r="AI43" t="inlineStr">
        <is>
          <t xml:space="preserve">Shared_pool</t>
        </is>
      </c>
      <c r="AJ43" t="inlineStr">
        <is>
          <t xml:space="preserve">per_turn</t>
        </is>
      </c>
      <c r="AL43" t="inlineStr">
        <is>
          <t xml:space="preserve">continuous</t>
        </is>
      </c>
      <c r="AM43">
        <v>2</v>
      </c>
      <c r="AO43" t="inlineStr">
        <is>
          <t xml:space="preserve">No</t>
        </is>
      </c>
      <c r="AR43" t="inlineStr">
        <is>
          <t xml:space="preserve">Yes</t>
        </is>
      </c>
      <c r="AT43" t="inlineStr">
        <is>
          <t xml:space="preserve">Yes</t>
        </is>
      </c>
    </row>
    <row r="44">
      <c r="A44" t="inlineStr">
        <is>
          <t xml:space="preserve">ST43</t>
        </is>
      </c>
      <c r="B44" t="inlineStr">
        <is>
          <t xml:space="preserve">Press Conference on Broadcaster Independence</t>
        </is>
      </c>
      <c r="C44" t="inlineStr">
        <is>
          <t xml:space="preserve">公共放送の独立記者会見</t>
        </is>
      </c>
      <c r="D44" t="inlineStr">
        <is>
          <t xml:space="preserve">Kōkyō Hōsō no Dokuritsu Kisha Kaiken</t>
        </is>
      </c>
      <c r="E44" t="inlineStr">
        <is>
          <t xml:space="preserve">Combat</t>
        </is>
      </c>
      <c r="F44" t="inlineStr">
        <is>
          <t xml:space="preserve">Press tone</t>
        </is>
      </c>
      <c r="G44" t="inlineStr">
        <is>
          <t xml:space="preserve">Numerical</t>
        </is>
      </c>
      <c r="H44">
        <v>100</v>
      </c>
      <c r="I44">
        <v>55</v>
      </c>
      <c r="J44">
        <f>IF(AND(ISNUMBER(H44),ISNUMBER(I44)),IF(H44=0,"",I44/H44),"varies")</f>
        <v>0.55</v>
      </c>
      <c r="K44">
        <v>6</v>
      </c>
      <c r="L44">
        <v>3</v>
      </c>
      <c r="M44">
        <v>5</v>
      </c>
      <c r="N44">
        <v>4</v>
      </c>
      <c r="O44">
        <v>20</v>
      </c>
      <c r="P44">
        <v>45</v>
      </c>
      <c r="Q44">
        <v>0.9</v>
      </c>
      <c r="R44">
        <v>0</v>
      </c>
      <c r="S44">
        <v>0</v>
      </c>
      <c r="T44">
        <v>0</v>
      </c>
      <c r="U44">
        <v>0.05</v>
      </c>
      <c r="V44">
        <v>0.05</v>
      </c>
      <c r="W44">
        <f>SUM(Q44:V44)</f>
        <v>1.0</v>
      </c>
      <c r="X44" t="str">
        <f>IF(E44&lt;&gt;"Combat","—",IFERROR(INDEX(Affinity!$A$2:$A$7,MATCH(MAX(INDEX(Affinity!$B$2:$CU$7,0,MATCH(A44,Affinity!$B$1:$CU$1,0))),INDEX(Affinity!$B$2:$CU$7,0,MATCH(A44,Affinity!$B$1:$CU$1,0)),0)),"—"))</f>
        <v>Earnest</v>
      </c>
      <c r="Y44">
        <v>1</v>
      </c>
      <c r="Z44">
        <v>20000</v>
      </c>
      <c r="AA44">
        <v>1</v>
      </c>
      <c r="AB44">
        <v>30</v>
      </c>
      <c r="AC44">
        <v>1</v>
      </c>
      <c r="AD44">
        <v>0</v>
      </c>
      <c r="AE44">
        <v>0</v>
      </c>
      <c r="AF44">
        <v>-2</v>
      </c>
      <c r="AG44">
        <v>5</v>
      </c>
      <c r="AH44">
        <v>-2</v>
      </c>
      <c r="AI44" t="inlineStr">
        <is>
          <t xml:space="preserve">Single</t>
        </is>
      </c>
      <c r="AJ44" t="inlineStr">
        <is>
          <t xml:space="preserve">per_turn</t>
        </is>
      </c>
      <c r="AL44" t="inlineStr">
        <is>
          <t xml:space="preserve">single</t>
        </is>
      </c>
      <c r="AM44" t="inlineStr">
        <is>
          <t xml:space="preserve">1</t>
        </is>
      </c>
      <c r="AN44" t="inlineStr">
        <is>
          <t xml:space="preserve">press_conference</t>
        </is>
      </c>
      <c r="AO44" t="inlineStr">
        <is>
          <t xml:space="preserve">Yes</t>
        </is>
      </c>
      <c r="AQ44" t="inlineStr">
        <is>
          <t xml:space="preserve">No</t>
        </is>
      </c>
      <c r="AR44" t="inlineStr">
        <is>
          <t xml:space="preserve">Yes</t>
        </is>
      </c>
    </row>
    <row r="45">
      <c r="A45" t="inlineStr">
        <is>
          <t xml:space="preserve">ST44</t>
        </is>
      </c>
      <c r="B45" t="inlineStr">
        <is>
          <t xml:space="preserve">TV Debate on Broadcaster Independence</t>
        </is>
      </c>
      <c r="C45" t="inlineStr">
        <is>
          <t xml:space="preserve">公共放送の独立テレビ討論</t>
        </is>
      </c>
      <c r="D45" t="inlineStr">
        <is>
          <t xml:space="preserve">Kōkyō Hōsō no Dokuritsu Terebi Tōron</t>
        </is>
      </c>
      <c r="E45" t="inlineStr">
        <is>
          <t xml:space="preserve">Combat</t>
        </is>
      </c>
      <c r="F45" t="inlineStr">
        <is>
          <t xml:space="preserve">Viewer Interest</t>
        </is>
      </c>
      <c r="G45" t="inlineStr">
        <is>
          <t xml:space="preserve">Numerical</t>
        </is>
      </c>
      <c r="H45">
        <v>100</v>
      </c>
      <c r="I45">
        <v>65</v>
      </c>
      <c r="J45">
        <f>IF(AND(ISNUMBER(H45),ISNUMBER(I45)),IF(H45=0,"",I45/H45),"varies")</f>
        <v>0.65</v>
      </c>
      <c r="K45">
        <v>5</v>
      </c>
      <c r="L45">
        <v>5</v>
      </c>
      <c r="M45">
        <v>6</v>
      </c>
      <c r="N45">
        <v>5</v>
      </c>
      <c r="O45">
        <v>60</v>
      </c>
      <c r="P45">
        <v>50</v>
      </c>
      <c r="Q45">
        <v>0.8</v>
      </c>
      <c r="R45">
        <v>0</v>
      </c>
      <c r="S45">
        <v>0.2</v>
      </c>
      <c r="T45">
        <v>0</v>
      </c>
      <c r="U45">
        <v>0</v>
      </c>
      <c r="V45">
        <v>0</v>
      </c>
      <c r="W45">
        <f>SUM(Q45:V45)</f>
        <v>1.0</v>
      </c>
      <c r="X45" t="str">
        <f>IF(E45&lt;&gt;"Combat","—",IFERROR(INDEX(Affinity!$A$2:$A$7,MATCH(MAX(INDEX(Affinity!$B$2:$CU$7,0,MATCH(A45,Affinity!$B$1:$CU$1,0))),INDEX(Affinity!$B$2:$CU$7,0,MATCH(A45,Affinity!$B$1:$CU$1,0)),0)),"—"))</f>
        <v>Earnest</v>
      </c>
      <c r="Y45">
        <v>3</v>
      </c>
      <c r="Z45">
        <v>40000</v>
      </c>
      <c r="AA45">
        <v>2</v>
      </c>
      <c r="AB45">
        <v>70</v>
      </c>
      <c r="AC45">
        <v>2</v>
      </c>
      <c r="AD45">
        <v>-1</v>
      </c>
      <c r="AE45">
        <v>0</v>
      </c>
      <c r="AF45">
        <v>-3</v>
      </c>
      <c r="AG45">
        <v>0</v>
      </c>
      <c r="AH45">
        <v>-1</v>
      </c>
      <c r="AI45" t="inlineStr">
        <is>
          <t xml:space="preserve">Survival</t>
        </is>
      </c>
      <c r="AJ45" t="inlineStr">
        <is>
          <t xml:space="preserve">per_turn</t>
        </is>
      </c>
      <c r="AL45" t="inlineStr">
        <is>
          <t xml:space="preserve">single</t>
        </is>
      </c>
      <c r="AM45" t="inlineStr">
        <is>
          <t xml:space="preserve">1</t>
        </is>
      </c>
      <c r="AO45" t="inlineStr">
        <is>
          <t xml:space="preserve">Yes</t>
        </is>
      </c>
      <c r="AR45" t="inlineStr">
        <is>
          <t xml:space="preserve">Yes</t>
        </is>
      </c>
    </row>
    <row r="46">
      <c r="A46" t="inlineStr">
        <is>
          <t xml:space="preserve">ST45</t>
        </is>
      </c>
      <c r="B46" t="inlineStr">
        <is>
          <t xml:space="preserve">Party Caucus on Broadcaster Independence</t>
        </is>
      </c>
      <c r="C46" t="inlineStr">
        <is>
          <t xml:space="preserve">公共放送の独立党内会合</t>
        </is>
      </c>
      <c r="D46" t="inlineStr">
        <is>
          <t xml:space="preserve">Kōkyō Hōsō no Dokuritsu Tōnai Kaigō</t>
        </is>
      </c>
      <c r="E46" t="inlineStr">
        <is>
          <t xml:space="preserve">Combat</t>
        </is>
      </c>
      <c r="F46" t="inlineStr">
        <is>
          <t xml:space="preserve">Support</t>
        </is>
      </c>
      <c r="G46" t="inlineStr">
        <is>
          <t xml:space="preserve">Percentage</t>
        </is>
      </c>
      <c r="H46">
        <v>100</v>
      </c>
      <c r="I46">
        <v>60</v>
      </c>
      <c r="J46">
        <f>IF(AND(ISNUMBER(H46),ISNUMBER(I46)),IF(H46=0,"",I46/H46),"varies")</f>
        <v>0.6</v>
      </c>
      <c r="K46">
        <v>10</v>
      </c>
      <c r="L46">
        <v>3</v>
      </c>
      <c r="M46">
        <v>5</v>
      </c>
      <c r="N46">
        <v>5</v>
      </c>
      <c r="O46">
        <v>20</v>
      </c>
      <c r="P46">
        <v>40</v>
      </c>
      <c r="Q46">
        <v>0</v>
      </c>
      <c r="R46">
        <v>0.55</v>
      </c>
      <c r="S46">
        <v>0</v>
      </c>
      <c r="T46">
        <v>0</v>
      </c>
      <c r="U46">
        <v>0</v>
      </c>
      <c r="V46">
        <v>0.45</v>
      </c>
      <c r="W46">
        <f>SUM(Q46:V46)</f>
        <v>1.0</v>
      </c>
      <c r="X46" t="str">
        <f>IF(E46&lt;&gt;"Combat","—",IFERROR(INDEX(Affinity!$A$2:$A$7,MATCH(MAX(INDEX(Affinity!$B$2:$CU$7,0,MATCH(A46,Affinity!$B$1:$CU$1,0))),INDEX(Affinity!$B$2:$CU$7,0,MATCH(A46,Affinity!$B$1:$CU$1,0)),0)),"—"))</f>
        <v>Data Driven</v>
      </c>
      <c r="Y46">
        <v>0</v>
      </c>
      <c r="Z46">
        <v>10000</v>
      </c>
      <c r="AA46">
        <v>1</v>
      </c>
      <c r="AB46">
        <v>70</v>
      </c>
      <c r="AC46">
        <v>2</v>
      </c>
      <c r="AD46">
        <v>0</v>
      </c>
      <c r="AE46">
        <v>0</v>
      </c>
      <c r="AF46">
        <v>-1</v>
      </c>
      <c r="AG46">
        <v>1</v>
      </c>
      <c r="AH46">
        <v>-2</v>
      </c>
      <c r="AI46" t="inlineStr">
        <is>
          <t xml:space="preserve">Shared_pool</t>
        </is>
      </c>
      <c r="AJ46" t="inlineStr">
        <is>
          <t xml:space="preserve">per_turn</t>
        </is>
      </c>
      <c r="AL46" t="inlineStr">
        <is>
          <t xml:space="preserve">continuous</t>
        </is>
      </c>
      <c r="AM46">
        <v>2</v>
      </c>
      <c r="AO46" t="inlineStr">
        <is>
          <t xml:space="preserve">No</t>
        </is>
      </c>
      <c r="AR46" t="inlineStr">
        <is>
          <t xml:space="preserve">Yes</t>
        </is>
      </c>
      <c r="AT46" t="inlineStr">
        <is>
          <t xml:space="preserve">Yes</t>
        </is>
      </c>
    </row>
    <row r="47">
      <c r="A47" t="inlineStr">
        <is>
          <t xml:space="preserve">ST46</t>
        </is>
      </c>
      <c r="B47" t="inlineStr">
        <is>
          <t xml:space="preserve">Press Conference on Donation Transparency</t>
        </is>
      </c>
      <c r="C47" t="inlineStr">
        <is>
          <t xml:space="preserve">政治献金の透明化記者会見</t>
        </is>
      </c>
      <c r="D47" t="inlineStr">
        <is>
          <t xml:space="preserve">Seiji Kenkin no Tōmeika Kisha Kaiken</t>
        </is>
      </c>
      <c r="E47" t="inlineStr">
        <is>
          <t xml:space="preserve">Combat</t>
        </is>
      </c>
      <c r="F47" t="inlineStr">
        <is>
          <t xml:space="preserve">Press tone</t>
        </is>
      </c>
      <c r="G47" t="inlineStr">
        <is>
          <t xml:space="preserve">Numerical</t>
        </is>
      </c>
      <c r="H47">
        <v>100</v>
      </c>
      <c r="I47">
        <v>57</v>
      </c>
      <c r="J47">
        <f>IF(AND(ISNUMBER(H47),ISNUMBER(I47)),IF(H47=0,"",I47/H47),"varies")</f>
        <v>0.57</v>
      </c>
      <c r="K47">
        <v>6</v>
      </c>
      <c r="L47">
        <v>3</v>
      </c>
      <c r="M47">
        <v>5</v>
      </c>
      <c r="N47">
        <v>4</v>
      </c>
      <c r="O47">
        <v>20</v>
      </c>
      <c r="P47">
        <v>45</v>
      </c>
      <c r="Q47">
        <v>0.9</v>
      </c>
      <c r="R47">
        <v>0</v>
      </c>
      <c r="S47">
        <v>0</v>
      </c>
      <c r="T47">
        <v>0</v>
      </c>
      <c r="U47">
        <v>0.05</v>
      </c>
      <c r="V47">
        <v>0.05</v>
      </c>
      <c r="W47">
        <f>SUM(Q47:V47)</f>
        <v>1.0</v>
      </c>
      <c r="X47" t="str">
        <f>IF(E47&lt;&gt;"Combat","—",IFERROR(INDEX(Affinity!$A$2:$A$7,MATCH(MAX(INDEX(Affinity!$B$2:$CU$7,0,MATCH(A47,Affinity!$B$1:$CU$1,0))),INDEX(Affinity!$B$2:$CU$7,0,MATCH(A47,Affinity!$B$1:$CU$1,0)),0)),"—"))</f>
        <v>Data Driven</v>
      </c>
      <c r="Y47">
        <v>1</v>
      </c>
      <c r="Z47">
        <v>20000</v>
      </c>
      <c r="AA47">
        <v>1</v>
      </c>
      <c r="AB47">
        <v>30</v>
      </c>
      <c r="AC47">
        <v>1</v>
      </c>
      <c r="AD47">
        <v>0</v>
      </c>
      <c r="AE47">
        <v>0</v>
      </c>
      <c r="AF47">
        <v>-2</v>
      </c>
      <c r="AG47">
        <v>5</v>
      </c>
      <c r="AH47">
        <v>-2</v>
      </c>
      <c r="AI47" t="inlineStr">
        <is>
          <t xml:space="preserve">Single</t>
        </is>
      </c>
      <c r="AJ47" t="inlineStr">
        <is>
          <t xml:space="preserve">per_turn</t>
        </is>
      </c>
      <c r="AL47" t="inlineStr">
        <is>
          <t xml:space="preserve">single</t>
        </is>
      </c>
      <c r="AM47" t="inlineStr">
        <is>
          <t xml:space="preserve">1</t>
        </is>
      </c>
      <c r="AN47" t="inlineStr">
        <is>
          <t xml:space="preserve">press_conference</t>
        </is>
      </c>
      <c r="AO47" t="inlineStr">
        <is>
          <t xml:space="preserve">Yes</t>
        </is>
      </c>
      <c r="AQ47" t="inlineStr">
        <is>
          <t xml:space="preserve">No</t>
        </is>
      </c>
      <c r="AR47" t="inlineStr">
        <is>
          <t xml:space="preserve">Yes</t>
        </is>
      </c>
    </row>
    <row r="48">
      <c r="A48" t="inlineStr">
        <is>
          <t xml:space="preserve">ST47</t>
        </is>
      </c>
      <c r="B48" t="inlineStr">
        <is>
          <t xml:space="preserve">Hearing on Donation Transparency</t>
        </is>
      </c>
      <c r="C48" t="inlineStr">
        <is>
          <t xml:space="preserve">政治献金の透明化に関する公聴会</t>
        </is>
      </c>
      <c r="D48" t="inlineStr">
        <is>
          <t xml:space="preserve">Seiji Kenkin no Tōmeika ni Kansuru Kōchōkai</t>
        </is>
      </c>
      <c r="E48" t="inlineStr">
        <is>
          <t xml:space="preserve">Combat</t>
        </is>
      </c>
      <c r="F48" t="inlineStr">
        <is>
          <t xml:space="preserve">Favourability</t>
        </is>
      </c>
      <c r="G48" t="inlineStr">
        <is>
          <t xml:space="preserve">Percentage</t>
        </is>
      </c>
      <c r="H48">
        <v>100</v>
      </c>
      <c r="I48">
        <v>62</v>
      </c>
      <c r="J48">
        <f>IF(AND(ISNUMBER(H48),ISNUMBER(I48)),IF(H48=0,"",I48/H48),"varies")</f>
        <v>0.62</v>
      </c>
      <c r="K48">
        <v>10</v>
      </c>
      <c r="L48">
        <v>5</v>
      </c>
      <c r="M48">
        <v>5</v>
      </c>
      <c r="N48">
        <v>5</v>
      </c>
      <c r="O48">
        <v>30</v>
      </c>
      <c r="P48">
        <v>40</v>
      </c>
      <c r="Q48">
        <v>0.15</v>
      </c>
      <c r="R48">
        <v>0</v>
      </c>
      <c r="S48">
        <v>0.1</v>
      </c>
      <c r="T48">
        <v>0.1</v>
      </c>
      <c r="U48">
        <v>0.65</v>
      </c>
      <c r="V48">
        <v>0</v>
      </c>
      <c r="W48">
        <f>SUM(Q48:V48)</f>
        <v>1.0</v>
      </c>
      <c r="X48" t="str">
        <f>IF(E48&lt;&gt;"Combat","—",IFERROR(INDEX(Affinity!$A$2:$A$7,MATCH(MAX(INDEX(Affinity!$B$2:$CU$7,0,MATCH(A48,Affinity!$B$1:$CU$1,0))),INDEX(Affinity!$B$2:$CU$7,0,MATCH(A48,Affinity!$B$1:$CU$1,0)),0)),"—"))</f>
        <v>Data Driven</v>
      </c>
      <c r="Y48">
        <v>1</v>
      </c>
      <c r="Z48">
        <v>50000</v>
      </c>
      <c r="AA48">
        <v>5</v>
      </c>
      <c r="AB48">
        <v>50</v>
      </c>
      <c r="AC48">
        <v>5</v>
      </c>
      <c r="AD48">
        <v>0</v>
      </c>
      <c r="AE48">
        <v>0</v>
      </c>
      <c r="AF48">
        <v>0</v>
      </c>
      <c r="AG48">
        <v>2</v>
      </c>
      <c r="AH48">
        <v>0</v>
      </c>
      <c r="AI48" t="inlineStr">
        <is>
          <t xml:space="preserve">Shared_pool</t>
        </is>
      </c>
      <c r="AJ48" t="inlineStr">
        <is>
          <t xml:space="preserve">per_turn</t>
        </is>
      </c>
      <c r="AL48" t="inlineStr">
        <is>
          <t xml:space="preserve">reset</t>
        </is>
      </c>
      <c r="AM48">
        <v>4</v>
      </c>
      <c r="AO48" t="inlineStr">
        <is>
          <t xml:space="preserve">No</t>
        </is>
      </c>
      <c r="AR48" t="inlineStr">
        <is>
          <t xml:space="preserve">Yes</t>
        </is>
      </c>
    </row>
    <row r="49">
      <c r="A49" t="inlineStr">
        <is>
          <t xml:space="preserve">ST48</t>
        </is>
      </c>
      <c r="B49" t="inlineStr">
        <is>
          <t xml:space="preserve">Lobbyist Meeting on Donation Transparency</t>
        </is>
      </c>
      <c r="C49" t="inlineStr">
        <is>
          <t xml:space="preserve">政治献金の透明化に関するロビー活動</t>
        </is>
      </c>
      <c r="D49" t="inlineStr">
        <is>
          <t xml:space="preserve">Seiji Kenkin no Tōmeika ni Kansuru Robī Katsudō</t>
        </is>
      </c>
      <c r="E49" t="inlineStr">
        <is>
          <t xml:space="preserve">Combat</t>
        </is>
      </c>
      <c r="F49" t="inlineStr">
        <is>
          <t xml:space="preserve">Appeasement</t>
        </is>
      </c>
      <c r="G49" t="inlineStr">
        <is>
          <t xml:space="preserve">Percentage</t>
        </is>
      </c>
      <c r="H49">
        <v>50</v>
      </c>
      <c r="I49">
        <v>25</v>
      </c>
      <c r="J49">
        <f>IF(AND(ISNUMBER(H49),ISNUMBER(I49)),IF(H49=0,"",I49/H49),"varies")</f>
        <v>0.5</v>
      </c>
      <c r="K49">
        <v>7</v>
      </c>
      <c r="L49">
        <v>3</v>
      </c>
      <c r="M49">
        <v>5</v>
      </c>
      <c r="N49">
        <v>6</v>
      </c>
      <c r="O49">
        <v>5</v>
      </c>
      <c r="P49">
        <v>15</v>
      </c>
      <c r="Q49">
        <v>0</v>
      </c>
      <c r="R49">
        <v>0</v>
      </c>
      <c r="S49">
        <v>0</v>
      </c>
      <c r="T49">
        <v>1</v>
      </c>
      <c r="U49">
        <v>0</v>
      </c>
      <c r="V49">
        <v>0</v>
      </c>
      <c r="W49">
        <f>SUM(Q49:V49)</f>
        <v>1</v>
      </c>
      <c r="X49" t="str">
        <f>IF(E49&lt;&gt;"Combat","—",IFERROR(INDEX(Affinity!$A$2:$A$7,MATCH(MAX(INDEX(Affinity!$B$2:$CU$7,0,MATCH(A49,Affinity!$B$1:$CU$1,0))),INDEX(Affinity!$B$2:$CU$7,0,MATCH(A49,Affinity!$B$1:$CU$1,0)),0)),"—"))</f>
        <v>Earnest</v>
      </c>
      <c r="Y49">
        <v>0</v>
      </c>
      <c r="Z49">
        <v>20000</v>
      </c>
      <c r="AA49">
        <v>0</v>
      </c>
      <c r="AB49">
        <v>30</v>
      </c>
      <c r="AC49">
        <v>0</v>
      </c>
      <c r="AD49">
        <v>0</v>
      </c>
      <c r="AE49">
        <v>0</v>
      </c>
      <c r="AF49">
        <v>0</v>
      </c>
      <c r="AG49">
        <v>0</v>
      </c>
      <c r="AH49">
        <v>-1</v>
      </c>
      <c r="AI49" t="inlineStr">
        <is>
          <t xml:space="preserve">Shared_pool</t>
        </is>
      </c>
      <c r="AJ49" t="inlineStr">
        <is>
          <t xml:space="preserve">pool</t>
        </is>
      </c>
      <c r="AK49">
        <v>12</v>
      </c>
      <c r="AL49" t="inlineStr">
        <is>
          <t xml:space="preserve">single</t>
        </is>
      </c>
      <c r="AM49" t="inlineStr">
        <is>
          <t xml:space="preserve">1</t>
        </is>
      </c>
      <c r="AN49" t="inlineStr">
        <is>
          <t xml:space="preserve">lobbyist_meeting</t>
        </is>
      </c>
      <c r="AO49" t="inlineStr">
        <is>
          <t xml:space="preserve">No</t>
        </is>
      </c>
      <c r="AR49" t="inlineStr">
        <is>
          <t xml:space="preserve">Yes</t>
        </is>
      </c>
    </row>
    <row r="50">
      <c r="A50" t="inlineStr">
        <is>
          <t xml:space="preserve">ST49</t>
        </is>
      </c>
      <c r="B50" t="inlineStr">
        <is>
          <t xml:space="preserve">Party Caucus on Donation Transparency</t>
        </is>
      </c>
      <c r="C50" t="inlineStr">
        <is>
          <t xml:space="preserve">政治献金の透明化党内会合</t>
        </is>
      </c>
      <c r="D50" t="inlineStr">
        <is>
          <t xml:space="preserve">Seiji Kenkin no Tōmeika Tōnai Kaigō</t>
        </is>
      </c>
      <c r="E50" t="inlineStr">
        <is>
          <t xml:space="preserve">Combat</t>
        </is>
      </c>
      <c r="F50" t="inlineStr">
        <is>
          <t xml:space="preserve">Support</t>
        </is>
      </c>
      <c r="G50" t="inlineStr">
        <is>
          <t xml:space="preserve">Percentage</t>
        </is>
      </c>
      <c r="H50">
        <v>100</v>
      </c>
      <c r="I50">
        <v>62</v>
      </c>
      <c r="J50">
        <f>IF(AND(ISNUMBER(H50),ISNUMBER(I50)),IF(H50=0,"",I50/H50),"varies")</f>
        <v>0.62</v>
      </c>
      <c r="K50">
        <v>10</v>
      </c>
      <c r="L50">
        <v>3</v>
      </c>
      <c r="M50">
        <v>5</v>
      </c>
      <c r="N50">
        <v>5</v>
      </c>
      <c r="O50">
        <v>20</v>
      </c>
      <c r="P50">
        <v>40</v>
      </c>
      <c r="Q50">
        <v>0</v>
      </c>
      <c r="R50">
        <v>0.55</v>
      </c>
      <c r="S50">
        <v>0</v>
      </c>
      <c r="T50">
        <v>0</v>
      </c>
      <c r="U50">
        <v>0</v>
      </c>
      <c r="V50">
        <v>0.45</v>
      </c>
      <c r="W50">
        <f>SUM(Q50:V50)</f>
        <v>1.0</v>
      </c>
      <c r="X50" t="str">
        <f>IF(E50&lt;&gt;"Combat","—",IFERROR(INDEX(Affinity!$A$2:$A$7,MATCH(MAX(INDEX(Affinity!$B$2:$CU$7,0,MATCH(A50,Affinity!$B$1:$CU$1,0))),INDEX(Affinity!$B$2:$CU$7,0,MATCH(A50,Affinity!$B$1:$CU$1,0)),0)),"—"))</f>
        <v>Data Driven</v>
      </c>
      <c r="Y50">
        <v>0</v>
      </c>
      <c r="Z50">
        <v>10000</v>
      </c>
      <c r="AA50">
        <v>1</v>
      </c>
      <c r="AB50">
        <v>70</v>
      </c>
      <c r="AC50">
        <v>2</v>
      </c>
      <c r="AD50">
        <v>0</v>
      </c>
      <c r="AE50">
        <v>0</v>
      </c>
      <c r="AF50">
        <v>-1</v>
      </c>
      <c r="AG50">
        <v>1</v>
      </c>
      <c r="AH50">
        <v>-2</v>
      </c>
      <c r="AI50" t="inlineStr">
        <is>
          <t xml:space="preserve">Shared_pool</t>
        </is>
      </c>
      <c r="AJ50" t="inlineStr">
        <is>
          <t xml:space="preserve">per_turn</t>
        </is>
      </c>
      <c r="AL50" t="inlineStr">
        <is>
          <t xml:space="preserve">continuous</t>
        </is>
      </c>
      <c r="AM50">
        <v>2</v>
      </c>
      <c r="AO50" t="inlineStr">
        <is>
          <t xml:space="preserve">No</t>
        </is>
      </c>
      <c r="AR50" t="inlineStr">
        <is>
          <t xml:space="preserve">Yes</t>
        </is>
      </c>
      <c r="AT50" t="inlineStr">
        <is>
          <t xml:space="preserve">Yes</t>
        </is>
      </c>
    </row>
    <row r="51">
      <c r="A51" t="inlineStr">
        <is>
          <t xml:space="preserve">ST50</t>
        </is>
      </c>
      <c r="B51" t="inlineStr">
        <is>
          <t xml:space="preserve">Policy Study on Corporate Tax Cuts</t>
        </is>
      </c>
      <c r="C51" t="inlineStr">
        <is>
          <t xml:space="preserve">法人税の引き下げ政策検討会</t>
        </is>
      </c>
      <c r="D51" t="inlineStr">
        <is>
          <t xml:space="preserve">Hōjinzei no Hikisage Seisaku Kentōkai</t>
        </is>
      </c>
      <c r="E51" t="inlineStr">
        <is>
          <t xml:space="preserve">Combat</t>
        </is>
      </c>
      <c r="F51" t="inlineStr">
        <is>
          <t xml:space="preserve">Consensus</t>
        </is>
      </c>
      <c r="G51" t="inlineStr">
        <is>
          <t xml:space="preserve">Percentage</t>
        </is>
      </c>
      <c r="H51">
        <v>50</v>
      </c>
      <c r="I51">
        <v>36</v>
      </c>
      <c r="J51">
        <f>IF(AND(ISNUMBER(H51),ISNUMBER(I51)),IF(H51=0,"",I51/H51),"varies")</f>
        <v>0.72</v>
      </c>
      <c r="K51">
        <v>10</v>
      </c>
      <c r="L51">
        <v>5</v>
      </c>
      <c r="M51">
        <v>5</v>
      </c>
      <c r="N51">
        <v>10</v>
      </c>
      <c r="O51">
        <v>1</v>
      </c>
      <c r="P51">
        <v>10</v>
      </c>
      <c r="Q51">
        <v>0</v>
      </c>
      <c r="R51">
        <v>0</v>
      </c>
      <c r="S51">
        <v>0</v>
      </c>
      <c r="T51">
        <v>0</v>
      </c>
      <c r="U51">
        <v>0.8</v>
      </c>
      <c r="V51">
        <v>0.2</v>
      </c>
      <c r="W51">
        <f>SUM(Q51:V51)</f>
        <v>1.0</v>
      </c>
      <c r="X51" t="str">
        <f>IF(E51&lt;&gt;"Combat","—",IFERROR(INDEX(Affinity!$A$2:$A$7,MATCH(MAX(INDEX(Affinity!$B$2:$CU$7,0,MATCH(A51,Affinity!$B$1:$CU$1,0))),INDEX(Affinity!$B$2:$CU$7,0,MATCH(A51,Affinity!$B$1:$CU$1,0)),0)),"—"))</f>
        <v>Data Driven</v>
      </c>
      <c r="Y51">
        <v>1</v>
      </c>
      <c r="Z51">
        <v>15000</v>
      </c>
      <c r="AA51">
        <v>1</v>
      </c>
      <c r="AB51">
        <v>70</v>
      </c>
      <c r="AC51">
        <v>1</v>
      </c>
      <c r="AD51">
        <v>0</v>
      </c>
      <c r="AE51">
        <v>0</v>
      </c>
      <c r="AF51">
        <v>0</v>
      </c>
      <c r="AG51">
        <v>5</v>
      </c>
      <c r="AH51">
        <v>0</v>
      </c>
      <c r="AI51" t="inlineStr">
        <is>
          <t xml:space="preserve">Shared_pool</t>
        </is>
      </c>
      <c r="AJ51" t="inlineStr">
        <is>
          <t xml:space="preserve">per_turn</t>
        </is>
      </c>
      <c r="AL51" t="inlineStr">
        <is>
          <t xml:space="preserve">stream</t>
        </is>
      </c>
      <c r="AM51">
        <v>2</v>
      </c>
      <c r="AN51" t="inlineStr">
        <is>
          <t xml:space="preserve">policy_study</t>
        </is>
      </c>
      <c r="AO51" t="inlineStr">
        <is>
          <t xml:space="preserve">No</t>
        </is>
      </c>
      <c r="AQ51" t="inlineStr">
        <is>
          <t xml:space="preserve">No</t>
        </is>
      </c>
      <c r="AR51" t="inlineStr">
        <is>
          <t xml:space="preserve">Yes</t>
        </is>
      </c>
    </row>
    <row r="52">
      <c r="A52" t="inlineStr">
        <is>
          <t xml:space="preserve">ST51</t>
        </is>
      </c>
      <c r="B52" t="inlineStr">
        <is>
          <t xml:space="preserve">Hearing on Corporate Tax Cuts</t>
        </is>
      </c>
      <c r="C52" t="inlineStr">
        <is>
          <t xml:space="preserve">法人税の引き下げに関する公聴会</t>
        </is>
      </c>
      <c r="D52" t="inlineStr">
        <is>
          <t xml:space="preserve">Hōjinzei no Hikisage ni Kansuru Kōchōkai</t>
        </is>
      </c>
      <c r="E52" t="inlineStr">
        <is>
          <t xml:space="preserve">Combat</t>
        </is>
      </c>
      <c r="F52" t="inlineStr">
        <is>
          <t xml:space="preserve">Favourability</t>
        </is>
      </c>
      <c r="G52" t="inlineStr">
        <is>
          <t xml:space="preserve">Percentage</t>
        </is>
      </c>
      <c r="H52">
        <v>100</v>
      </c>
      <c r="I52">
        <v>67</v>
      </c>
      <c r="J52">
        <f>IF(AND(ISNUMBER(H52),ISNUMBER(I52)),IF(H52=0,"",I52/H52),"varies")</f>
        <v>0.67</v>
      </c>
      <c r="K52">
        <v>10</v>
      </c>
      <c r="L52">
        <v>4</v>
      </c>
      <c r="M52">
        <v>5</v>
      </c>
      <c r="N52">
        <v>3</v>
      </c>
      <c r="O52">
        <v>35</v>
      </c>
      <c r="P52">
        <v>40</v>
      </c>
      <c r="Q52">
        <v>0.25</v>
      </c>
      <c r="R52">
        <v>0</v>
      </c>
      <c r="S52">
        <v>0</v>
      </c>
      <c r="T52">
        <v>0.35</v>
      </c>
      <c r="U52">
        <v>0.4</v>
      </c>
      <c r="V52">
        <v>0</v>
      </c>
      <c r="W52">
        <f>SUM(Q52:V52)</f>
        <v>1.0</v>
      </c>
      <c r="X52" t="str">
        <f>IF(E52&lt;&gt;"Combat","—",IFERROR(INDEX(Affinity!$A$2:$A$7,MATCH(MAX(INDEX(Affinity!$B$2:$CU$7,0,MATCH(A52,Affinity!$B$1:$CU$1,0))),INDEX(Affinity!$B$2:$CU$7,0,MATCH(A52,Affinity!$B$1:$CU$1,0)),0)),"—"))</f>
        <v>Data Driven</v>
      </c>
      <c r="Y52">
        <v>1</v>
      </c>
      <c r="Z52">
        <v>50000</v>
      </c>
      <c r="AA52">
        <v>5</v>
      </c>
      <c r="AB52">
        <v>100</v>
      </c>
      <c r="AC52">
        <v>5</v>
      </c>
      <c r="AD52">
        <v>0</v>
      </c>
      <c r="AE52">
        <v>0</v>
      </c>
      <c r="AF52">
        <v>0</v>
      </c>
      <c r="AG52">
        <v>2</v>
      </c>
      <c r="AH52">
        <v>0</v>
      </c>
      <c r="AI52" t="inlineStr">
        <is>
          <t xml:space="preserve">Shared_pool</t>
        </is>
      </c>
      <c r="AJ52" t="inlineStr">
        <is>
          <t xml:space="preserve">per_turn</t>
        </is>
      </c>
      <c r="AL52" t="inlineStr">
        <is>
          <t xml:space="preserve">reset</t>
        </is>
      </c>
      <c r="AM52">
        <v>4</v>
      </c>
      <c r="AO52" t="inlineStr">
        <is>
          <t xml:space="preserve">No</t>
        </is>
      </c>
      <c r="AR52" t="inlineStr">
        <is>
          <t xml:space="preserve">Yes</t>
        </is>
      </c>
    </row>
    <row r="53">
      <c r="A53" t="inlineStr">
        <is>
          <t xml:space="preserve">ST52</t>
        </is>
      </c>
      <c r="B53" t="inlineStr">
        <is>
          <t xml:space="preserve">Party Caucus on Corporate Tax Cuts</t>
        </is>
      </c>
      <c r="C53" t="inlineStr">
        <is>
          <t xml:space="preserve">法人税の引き下げ党内会合</t>
        </is>
      </c>
      <c r="D53" t="inlineStr">
        <is>
          <t xml:space="preserve">Hōjinzei no Hikisage Tōnai Kaigō</t>
        </is>
      </c>
      <c r="E53" t="inlineStr">
        <is>
          <t xml:space="preserve">Combat</t>
        </is>
      </c>
      <c r="F53" t="inlineStr">
        <is>
          <t xml:space="preserve">Support</t>
        </is>
      </c>
      <c r="G53" t="inlineStr">
        <is>
          <t xml:space="preserve">Percentage</t>
        </is>
      </c>
      <c r="H53">
        <v>100</v>
      </c>
      <c r="I53">
        <v>62</v>
      </c>
      <c r="J53">
        <f>IF(AND(ISNUMBER(H53),ISNUMBER(I53)),IF(H53=0,"",I53/H53),"varies")</f>
        <v>0.62</v>
      </c>
      <c r="K53">
        <v>10</v>
      </c>
      <c r="L53">
        <v>3</v>
      </c>
      <c r="M53">
        <v>5</v>
      </c>
      <c r="N53">
        <v>5</v>
      </c>
      <c r="O53">
        <v>20</v>
      </c>
      <c r="P53">
        <v>40</v>
      </c>
      <c r="Q53">
        <v>0</v>
      </c>
      <c r="R53">
        <v>0.55</v>
      </c>
      <c r="S53">
        <v>0</v>
      </c>
      <c r="T53">
        <v>0</v>
      </c>
      <c r="U53">
        <v>0</v>
      </c>
      <c r="V53">
        <v>0.45</v>
      </c>
      <c r="W53">
        <f>SUM(Q53:V53)</f>
        <v>1.0</v>
      </c>
      <c r="X53" t="str">
        <f>IF(E53&lt;&gt;"Combat","—",IFERROR(INDEX(Affinity!$A$2:$A$7,MATCH(MAX(INDEX(Affinity!$B$2:$CU$7,0,MATCH(A53,Affinity!$B$1:$CU$1,0))),INDEX(Affinity!$B$2:$CU$7,0,MATCH(A53,Affinity!$B$1:$CU$1,0)),0)),"—"))</f>
        <v>Appeal</v>
      </c>
      <c r="Y53">
        <v>0</v>
      </c>
      <c r="Z53">
        <v>10000</v>
      </c>
      <c r="AA53">
        <v>1</v>
      </c>
      <c r="AB53">
        <v>70</v>
      </c>
      <c r="AC53">
        <v>2</v>
      </c>
      <c r="AD53">
        <v>0</v>
      </c>
      <c r="AE53">
        <v>0</v>
      </c>
      <c r="AF53">
        <v>-1</v>
      </c>
      <c r="AG53">
        <v>1</v>
      </c>
      <c r="AH53">
        <v>-2</v>
      </c>
      <c r="AI53" t="inlineStr">
        <is>
          <t xml:space="preserve">Shared_pool</t>
        </is>
      </c>
      <c r="AJ53" t="inlineStr">
        <is>
          <t xml:space="preserve">per_turn</t>
        </is>
      </c>
      <c r="AL53" t="inlineStr">
        <is>
          <t xml:space="preserve">continuous</t>
        </is>
      </c>
      <c r="AM53">
        <v>2</v>
      </c>
      <c r="AO53" t="inlineStr">
        <is>
          <t xml:space="preserve">No</t>
        </is>
      </c>
      <c r="AR53" t="inlineStr">
        <is>
          <t xml:space="preserve">Yes</t>
        </is>
      </c>
      <c r="AT53" t="inlineStr">
        <is>
          <t xml:space="preserve">Yes</t>
        </is>
      </c>
    </row>
    <row r="54">
      <c r="A54" t="inlineStr">
        <is>
          <t xml:space="preserve">ST53</t>
        </is>
      </c>
      <c r="B54" t="inlineStr">
        <is>
          <t xml:space="preserve">Town Hall on the Carbon Levy</t>
        </is>
      </c>
      <c r="C54" t="inlineStr">
        <is>
          <t xml:space="preserve">炭素課徴金を巡る住民集会</t>
        </is>
      </c>
      <c r="D54" t="inlineStr">
        <is>
          <t xml:space="preserve">Tanso Kachōkin o Meguru Jūmin Shūkai</t>
        </is>
      </c>
      <c r="E54" t="inlineStr">
        <is>
          <t xml:space="preserve">Combat</t>
        </is>
      </c>
      <c r="F54" t="inlineStr">
        <is>
          <t xml:space="preserve">Appeasement</t>
        </is>
      </c>
      <c r="G54" t="inlineStr">
        <is>
          <t xml:space="preserve">Percentage</t>
        </is>
      </c>
      <c r="H54">
        <v>100</v>
      </c>
      <c r="I54">
        <v>62</v>
      </c>
      <c r="J54">
        <f>IF(AND(ISNUMBER(H54),ISNUMBER(I54)),IF(H54=0,"",I54/H54),"varies")</f>
        <v>0.62</v>
      </c>
      <c r="K54">
        <v>17</v>
      </c>
      <c r="L54">
        <v>3</v>
      </c>
      <c r="M54">
        <v>5</v>
      </c>
      <c r="N54">
        <v>6</v>
      </c>
      <c r="O54">
        <v>15</v>
      </c>
      <c r="P54">
        <v>20</v>
      </c>
      <c r="Q54">
        <v>0.1</v>
      </c>
      <c r="R54">
        <v>0.1</v>
      </c>
      <c r="S54">
        <v>0.7</v>
      </c>
      <c r="T54">
        <v>0.1</v>
      </c>
      <c r="U54">
        <v>0</v>
      </c>
      <c r="V54">
        <v>0</v>
      </c>
      <c r="W54">
        <f>SUM(Q54:V54)</f>
        <v>1.0</v>
      </c>
      <c r="X54" t="str">
        <f>IF(E54&lt;&gt;"Combat","—",IFERROR(INDEX(Affinity!$A$2:$A$7,MATCH(MAX(INDEX(Affinity!$B$2:$CU$7,0,MATCH(A54,Affinity!$B$1:$CU$1,0))),INDEX(Affinity!$B$2:$CU$7,0,MATCH(A54,Affinity!$B$1:$CU$1,0)),0)),"—"))</f>
        <v>Data Driven</v>
      </c>
      <c r="Y54">
        <v>5</v>
      </c>
      <c r="Z54">
        <v>35000</v>
      </c>
      <c r="AA54">
        <v>1</v>
      </c>
      <c r="AB54">
        <v>50</v>
      </c>
      <c r="AC54">
        <v>0</v>
      </c>
      <c r="AD54">
        <v>-5</v>
      </c>
      <c r="AE54">
        <v>0</v>
      </c>
      <c r="AF54">
        <v>-3</v>
      </c>
      <c r="AG54">
        <v>10</v>
      </c>
      <c r="AH54">
        <v>0</v>
      </c>
      <c r="AI54" t="inlineStr">
        <is>
          <t xml:space="preserve">Shared_pool</t>
        </is>
      </c>
      <c r="AJ54" t="inlineStr">
        <is>
          <t xml:space="preserve">per_turn</t>
        </is>
      </c>
      <c r="AL54" t="inlineStr">
        <is>
          <t xml:space="preserve">stream</t>
        </is>
      </c>
      <c r="AM54">
        <v>3</v>
      </c>
      <c r="AN54" t="inlineStr">
        <is>
          <t xml:space="preserve">town_hall</t>
        </is>
      </c>
      <c r="AO54" t="inlineStr">
        <is>
          <t xml:space="preserve">No</t>
        </is>
      </c>
      <c r="AR54" t="inlineStr">
        <is>
          <t xml:space="preserve">Yes</t>
        </is>
      </c>
    </row>
    <row r="55">
      <c r="A55" t="inlineStr">
        <is>
          <t xml:space="preserve">ST54</t>
        </is>
      </c>
      <c r="B55" t="inlineStr">
        <is>
          <t xml:space="preserve">Hearing on the Carbon Levy</t>
        </is>
      </c>
      <c r="C55" t="inlineStr">
        <is>
          <t xml:space="preserve">炭素課徴金に関する公聴会</t>
        </is>
      </c>
      <c r="D55" t="inlineStr">
        <is>
          <t xml:space="preserve">Tanso Kachōkin ni Kansuru Kōchōkai</t>
        </is>
      </c>
      <c r="E55" t="inlineStr">
        <is>
          <t xml:space="preserve">Combat</t>
        </is>
      </c>
      <c r="F55" t="inlineStr">
        <is>
          <t xml:space="preserve">Favourability</t>
        </is>
      </c>
      <c r="G55" t="inlineStr">
        <is>
          <t xml:space="preserve">Percentage</t>
        </is>
      </c>
      <c r="H55">
        <v>100</v>
      </c>
      <c r="I55">
        <v>53</v>
      </c>
      <c r="J55">
        <f>IF(AND(ISNUMBER(H55),ISNUMBER(I55)),IF(H55=0,"",I55/H55),"varies")</f>
        <v>0.53</v>
      </c>
      <c r="K55">
        <v>10</v>
      </c>
      <c r="L55">
        <v>5</v>
      </c>
      <c r="M55">
        <v>5</v>
      </c>
      <c r="N55">
        <v>7</v>
      </c>
      <c r="O55">
        <v>30</v>
      </c>
      <c r="P55">
        <v>30</v>
      </c>
      <c r="Q55">
        <v>0</v>
      </c>
      <c r="R55">
        <v>0.1</v>
      </c>
      <c r="S55">
        <v>0.65</v>
      </c>
      <c r="T55">
        <v>0</v>
      </c>
      <c r="U55">
        <v>0.2</v>
      </c>
      <c r="V55">
        <v>0.05</v>
      </c>
      <c r="W55">
        <f>SUM(Q55:V55)</f>
        <v>1.0</v>
      </c>
      <c r="X55" t="str">
        <f>IF(E55&lt;&gt;"Combat","—",IFERROR(INDEX(Affinity!$A$2:$A$7,MATCH(MAX(INDEX(Affinity!$B$2:$CU$7,0,MATCH(A55,Affinity!$B$1:$CU$1,0))),INDEX(Affinity!$B$2:$CU$7,0,MATCH(A55,Affinity!$B$1:$CU$1,0)),0)),"—"))</f>
        <v>Data Driven</v>
      </c>
      <c r="Y55">
        <v>2</v>
      </c>
      <c r="Z55">
        <v>10000</v>
      </c>
      <c r="AA55">
        <v>1</v>
      </c>
      <c r="AB55">
        <v>50</v>
      </c>
      <c r="AC55">
        <v>0</v>
      </c>
      <c r="AD55">
        <v>-1</v>
      </c>
      <c r="AE55">
        <v>1000</v>
      </c>
      <c r="AF55">
        <v>0</v>
      </c>
      <c r="AG55">
        <v>1</v>
      </c>
      <c r="AH55">
        <v>0</v>
      </c>
      <c r="AI55" t="inlineStr">
        <is>
          <t xml:space="preserve">Shared_pool</t>
        </is>
      </c>
      <c r="AJ55" t="inlineStr">
        <is>
          <t xml:space="preserve">per_turn</t>
        </is>
      </c>
      <c r="AL55" t="inlineStr">
        <is>
          <t xml:space="preserve">reset</t>
        </is>
      </c>
      <c r="AM55">
        <v>2</v>
      </c>
      <c r="AO55" t="inlineStr">
        <is>
          <t xml:space="preserve">No</t>
        </is>
      </c>
      <c r="AR55" t="inlineStr">
        <is>
          <t xml:space="preserve">Yes</t>
        </is>
      </c>
    </row>
    <row r="56">
      <c r="A56" t="inlineStr">
        <is>
          <t xml:space="preserve">ST55</t>
        </is>
      </c>
      <c r="B56" t="inlineStr">
        <is>
          <t xml:space="preserve">Press Conference on the Carbon Levy</t>
        </is>
      </c>
      <c r="C56" t="inlineStr">
        <is>
          <t xml:space="preserve">炭素課徴金記者会見</t>
        </is>
      </c>
      <c r="D56" t="inlineStr">
        <is>
          <t xml:space="preserve">Tanso Kachōkin Kisha Kaiken</t>
        </is>
      </c>
      <c r="E56" t="inlineStr">
        <is>
          <t xml:space="preserve">Combat</t>
        </is>
      </c>
      <c r="F56" t="inlineStr">
        <is>
          <t xml:space="preserve">Press tone</t>
        </is>
      </c>
      <c r="G56" t="inlineStr">
        <is>
          <t xml:space="preserve">Numerical</t>
        </is>
      </c>
      <c r="H56">
        <v>100</v>
      </c>
      <c r="I56">
        <v>57</v>
      </c>
      <c r="J56">
        <f>IF(AND(ISNUMBER(H56),ISNUMBER(I56)),IF(H56=0,"",I56/H56),"varies")</f>
        <v>0.57</v>
      </c>
      <c r="K56">
        <v>6</v>
      </c>
      <c r="L56">
        <v>3</v>
      </c>
      <c r="M56">
        <v>5</v>
      </c>
      <c r="N56">
        <v>4</v>
      </c>
      <c r="O56">
        <v>20</v>
      </c>
      <c r="P56">
        <v>45</v>
      </c>
      <c r="Q56">
        <v>0.9</v>
      </c>
      <c r="R56">
        <v>0</v>
      </c>
      <c r="S56">
        <v>0</v>
      </c>
      <c r="T56">
        <v>0</v>
      </c>
      <c r="U56">
        <v>0.05</v>
      </c>
      <c r="V56">
        <v>0.05</v>
      </c>
      <c r="W56">
        <f>SUM(Q56:V56)</f>
        <v>1.0</v>
      </c>
      <c r="X56" t="str">
        <f>IF(E56&lt;&gt;"Combat","—",IFERROR(INDEX(Affinity!$A$2:$A$7,MATCH(MAX(INDEX(Affinity!$B$2:$CU$7,0,MATCH(A56,Affinity!$B$1:$CU$1,0))),INDEX(Affinity!$B$2:$CU$7,0,MATCH(A56,Affinity!$B$1:$CU$1,0)),0)),"—"))</f>
        <v>Earnest</v>
      </c>
      <c r="Y56">
        <v>1</v>
      </c>
      <c r="Z56">
        <v>20000</v>
      </c>
      <c r="AA56">
        <v>1</v>
      </c>
      <c r="AB56">
        <v>30</v>
      </c>
      <c r="AC56">
        <v>1</v>
      </c>
      <c r="AD56">
        <v>0</v>
      </c>
      <c r="AE56">
        <v>0</v>
      </c>
      <c r="AF56">
        <v>-2</v>
      </c>
      <c r="AG56">
        <v>5</v>
      </c>
      <c r="AH56">
        <v>-2</v>
      </c>
      <c r="AI56" t="inlineStr">
        <is>
          <t xml:space="preserve">Single</t>
        </is>
      </c>
      <c r="AJ56" t="inlineStr">
        <is>
          <t xml:space="preserve">per_turn</t>
        </is>
      </c>
      <c r="AL56" t="inlineStr">
        <is>
          <t xml:space="preserve">single</t>
        </is>
      </c>
      <c r="AM56" t="inlineStr">
        <is>
          <t xml:space="preserve">1</t>
        </is>
      </c>
      <c r="AN56" t="inlineStr">
        <is>
          <t xml:space="preserve">press_conference</t>
        </is>
      </c>
      <c r="AO56" t="inlineStr">
        <is>
          <t xml:space="preserve">Yes</t>
        </is>
      </c>
      <c r="AQ56" t="inlineStr">
        <is>
          <t xml:space="preserve">No</t>
        </is>
      </c>
      <c r="AR56" t="inlineStr">
        <is>
          <t xml:space="preserve">Yes</t>
        </is>
      </c>
    </row>
    <row r="57">
      <c r="A57" t="inlineStr">
        <is>
          <t xml:space="preserve">ST56</t>
        </is>
      </c>
      <c r="B57" t="inlineStr">
        <is>
          <t xml:space="preserve">Party Caucus on the Carbon Levy</t>
        </is>
      </c>
      <c r="C57" t="inlineStr">
        <is>
          <t xml:space="preserve">炭素課徴金党内会合</t>
        </is>
      </c>
      <c r="D57" t="inlineStr">
        <is>
          <t xml:space="preserve">Tanso Kachōkin Tōnai Kaigō</t>
        </is>
      </c>
      <c r="E57" t="inlineStr">
        <is>
          <t xml:space="preserve">Combat</t>
        </is>
      </c>
      <c r="F57" t="inlineStr">
        <is>
          <t xml:space="preserve">Support</t>
        </is>
      </c>
      <c r="G57" t="inlineStr">
        <is>
          <t xml:space="preserve">Percentage</t>
        </is>
      </c>
      <c r="H57">
        <v>100</v>
      </c>
      <c r="I57">
        <v>62</v>
      </c>
      <c r="J57">
        <f>IF(AND(ISNUMBER(H57),ISNUMBER(I57)),IF(H57=0,"",I57/H57),"varies")</f>
        <v>0.62</v>
      </c>
      <c r="K57">
        <v>10</v>
      </c>
      <c r="L57">
        <v>3</v>
      </c>
      <c r="M57">
        <v>5</v>
      </c>
      <c r="N57">
        <v>5</v>
      </c>
      <c r="O57">
        <v>20</v>
      </c>
      <c r="P57">
        <v>40</v>
      </c>
      <c r="Q57">
        <v>0</v>
      </c>
      <c r="R57">
        <v>0.55</v>
      </c>
      <c r="S57">
        <v>0</v>
      </c>
      <c r="T57">
        <v>0</v>
      </c>
      <c r="U57">
        <v>0</v>
      </c>
      <c r="V57">
        <v>0.45</v>
      </c>
      <c r="W57">
        <f>SUM(Q57:V57)</f>
        <v>1.0</v>
      </c>
      <c r="X57" t="str">
        <f>IF(E57&lt;&gt;"Combat","—",IFERROR(INDEX(Affinity!$A$2:$A$7,MATCH(MAX(INDEX(Affinity!$B$2:$CU$7,0,MATCH(A57,Affinity!$B$1:$CU$1,0))),INDEX(Affinity!$B$2:$CU$7,0,MATCH(A57,Affinity!$B$1:$CU$1,0)),0)),"—"))</f>
        <v>Data Driven</v>
      </c>
      <c r="Y57">
        <v>0</v>
      </c>
      <c r="Z57">
        <v>10000</v>
      </c>
      <c r="AA57">
        <v>1</v>
      </c>
      <c r="AB57">
        <v>70</v>
      </c>
      <c r="AC57">
        <v>2</v>
      </c>
      <c r="AD57">
        <v>0</v>
      </c>
      <c r="AE57">
        <v>0</v>
      </c>
      <c r="AF57">
        <v>-1</v>
      </c>
      <c r="AG57">
        <v>1</v>
      </c>
      <c r="AH57">
        <v>-2</v>
      </c>
      <c r="AI57" t="inlineStr">
        <is>
          <t xml:space="preserve">Shared_pool</t>
        </is>
      </c>
      <c r="AJ57" t="inlineStr">
        <is>
          <t xml:space="preserve">per_turn</t>
        </is>
      </c>
      <c r="AL57" t="inlineStr">
        <is>
          <t xml:space="preserve">continuous</t>
        </is>
      </c>
      <c r="AM57">
        <v>2</v>
      </c>
      <c r="AO57" t="inlineStr">
        <is>
          <t xml:space="preserve">No</t>
        </is>
      </c>
      <c r="AR57" t="inlineStr">
        <is>
          <t xml:space="preserve">Yes</t>
        </is>
      </c>
      <c r="AT57" t="inlineStr">
        <is>
          <t xml:space="preserve">Yes</t>
        </is>
      </c>
    </row>
    <row r="58">
      <c r="A58" t="inlineStr">
        <is>
          <t xml:space="preserve">ST57</t>
        </is>
      </c>
      <c r="B58" t="inlineStr">
        <is>
          <t xml:space="preserve">Hearing on Fishing Quota Reform</t>
        </is>
      </c>
      <c r="C58" t="inlineStr">
        <is>
          <t xml:space="preserve">漁獲枠改革に関する公聴会</t>
        </is>
      </c>
      <c r="D58" t="inlineStr">
        <is>
          <t xml:space="preserve">Gyokaku-waku Kaikaku ni Kansuru Kōchōkai</t>
        </is>
      </c>
      <c r="E58" t="inlineStr">
        <is>
          <t xml:space="preserve">Combat</t>
        </is>
      </c>
      <c r="F58" t="inlineStr">
        <is>
          <t xml:space="preserve">Favourability</t>
        </is>
      </c>
      <c r="G58" t="inlineStr">
        <is>
          <t xml:space="preserve">Percentage</t>
        </is>
      </c>
      <c r="H58">
        <v>100</v>
      </c>
      <c r="I58">
        <v>51</v>
      </c>
      <c r="J58">
        <f>IF(AND(ISNUMBER(H58),ISNUMBER(I58)),IF(H58=0,"",I58/H58),"varies")</f>
        <v>0.51</v>
      </c>
      <c r="K58">
        <v>10</v>
      </c>
      <c r="L58">
        <v>5</v>
      </c>
      <c r="M58">
        <v>5</v>
      </c>
      <c r="N58">
        <v>7</v>
      </c>
      <c r="O58">
        <v>30</v>
      </c>
      <c r="P58">
        <v>30</v>
      </c>
      <c r="Q58">
        <v>0</v>
      </c>
      <c r="R58">
        <v>0.2</v>
      </c>
      <c r="S58">
        <v>0.6</v>
      </c>
      <c r="T58">
        <v>0</v>
      </c>
      <c r="U58">
        <v>0</v>
      </c>
      <c r="V58">
        <v>0.2</v>
      </c>
      <c r="W58">
        <f>SUM(Q58:V58)</f>
        <v>1.0</v>
      </c>
      <c r="X58" t="str">
        <f>IF(E58&lt;&gt;"Combat","—",IFERROR(INDEX(Affinity!$A$2:$A$7,MATCH(MAX(INDEX(Affinity!$B$2:$CU$7,0,MATCH(A58,Affinity!$B$1:$CU$1,0))),INDEX(Affinity!$B$2:$CU$7,0,MATCH(A58,Affinity!$B$1:$CU$1,0)),0)),"—"))</f>
        <v>Data Driven</v>
      </c>
      <c r="Y58">
        <v>1</v>
      </c>
      <c r="Z58">
        <v>10000</v>
      </c>
      <c r="AA58">
        <v>1</v>
      </c>
      <c r="AB58">
        <v>50</v>
      </c>
      <c r="AC58">
        <v>0</v>
      </c>
      <c r="AD58">
        <v>-1</v>
      </c>
      <c r="AE58">
        <v>1000</v>
      </c>
      <c r="AF58">
        <v>0</v>
      </c>
      <c r="AG58">
        <v>1</v>
      </c>
      <c r="AH58">
        <v>0</v>
      </c>
      <c r="AI58" t="inlineStr">
        <is>
          <t xml:space="preserve">Shared_pool</t>
        </is>
      </c>
      <c r="AJ58" t="inlineStr">
        <is>
          <t xml:space="preserve">per_turn</t>
        </is>
      </c>
      <c r="AL58" t="inlineStr">
        <is>
          <t xml:space="preserve">reset</t>
        </is>
      </c>
      <c r="AM58">
        <v>2</v>
      </c>
      <c r="AO58" t="inlineStr">
        <is>
          <t xml:space="preserve">No</t>
        </is>
      </c>
      <c r="AR58" t="inlineStr">
        <is>
          <t xml:space="preserve">Yes</t>
        </is>
      </c>
    </row>
    <row r="59">
      <c r="A59" t="inlineStr">
        <is>
          <t xml:space="preserve">ST58</t>
        </is>
      </c>
      <c r="B59" t="inlineStr">
        <is>
          <t xml:space="preserve">Town Hall on Fishing Quota Reform</t>
        </is>
      </c>
      <c r="C59" t="inlineStr">
        <is>
          <t xml:space="preserve">漁獲枠改革を巡る住民集会</t>
        </is>
      </c>
      <c r="D59" t="inlineStr">
        <is>
          <t xml:space="preserve">Gyokaku-waku Kaikaku o Meguru Jūmin Shūkai</t>
        </is>
      </c>
      <c r="E59" t="inlineStr">
        <is>
          <t xml:space="preserve">Combat</t>
        </is>
      </c>
      <c r="F59" t="inlineStr">
        <is>
          <t xml:space="preserve">Appeasement</t>
        </is>
      </c>
      <c r="G59" t="inlineStr">
        <is>
          <t xml:space="preserve">Percentage</t>
        </is>
      </c>
      <c r="H59">
        <v>100</v>
      </c>
      <c r="I59">
        <v>60</v>
      </c>
      <c r="J59">
        <f>IF(AND(ISNUMBER(H59),ISNUMBER(I59)),IF(H59=0,"",I59/H59),"varies")</f>
        <v>0.6</v>
      </c>
      <c r="K59">
        <v>17</v>
      </c>
      <c r="L59">
        <v>3</v>
      </c>
      <c r="M59">
        <v>5</v>
      </c>
      <c r="N59">
        <v>6</v>
      </c>
      <c r="O59">
        <v>15</v>
      </c>
      <c r="P59">
        <v>20</v>
      </c>
      <c r="Q59">
        <v>0.1</v>
      </c>
      <c r="R59">
        <v>0.1</v>
      </c>
      <c r="S59">
        <v>0.7</v>
      </c>
      <c r="T59">
        <v>0.1</v>
      </c>
      <c r="U59">
        <v>0</v>
      </c>
      <c r="V59">
        <v>0</v>
      </c>
      <c r="W59">
        <f>SUM(Q59:V59)</f>
        <v>1.0</v>
      </c>
      <c r="X59" t="str">
        <f>IF(E59&lt;&gt;"Combat","—",IFERROR(INDEX(Affinity!$A$2:$A$7,MATCH(MAX(INDEX(Affinity!$B$2:$CU$7,0,MATCH(A59,Affinity!$B$1:$CU$1,0))),INDEX(Affinity!$B$2:$CU$7,0,MATCH(A59,Affinity!$B$1:$CU$1,0)),0)),"—"))</f>
        <v>Data Driven</v>
      </c>
      <c r="Y59">
        <v>5</v>
      </c>
      <c r="Z59">
        <v>35000</v>
      </c>
      <c r="AA59">
        <v>1</v>
      </c>
      <c r="AB59">
        <v>50</v>
      </c>
      <c r="AC59">
        <v>0</v>
      </c>
      <c r="AD59">
        <v>-5</v>
      </c>
      <c r="AE59">
        <v>0</v>
      </c>
      <c r="AF59">
        <v>-3</v>
      </c>
      <c r="AG59">
        <v>10</v>
      </c>
      <c r="AH59">
        <v>0</v>
      </c>
      <c r="AI59" t="inlineStr">
        <is>
          <t xml:space="preserve">Shared_pool</t>
        </is>
      </c>
      <c r="AJ59" t="inlineStr">
        <is>
          <t xml:space="preserve">per_turn</t>
        </is>
      </c>
      <c r="AL59" t="inlineStr">
        <is>
          <t xml:space="preserve">stream</t>
        </is>
      </c>
      <c r="AM59">
        <v>3</v>
      </c>
      <c r="AN59" t="inlineStr">
        <is>
          <t xml:space="preserve">town_hall</t>
        </is>
      </c>
      <c r="AO59" t="inlineStr">
        <is>
          <t xml:space="preserve">No</t>
        </is>
      </c>
      <c r="AR59" t="inlineStr">
        <is>
          <t xml:space="preserve">Yes</t>
        </is>
      </c>
    </row>
    <row r="60">
      <c r="A60" t="inlineStr">
        <is>
          <t xml:space="preserve">ST59</t>
        </is>
      </c>
      <c r="B60" t="inlineStr">
        <is>
          <t xml:space="preserve">Party Caucus on Fishing Quota Reform</t>
        </is>
      </c>
      <c r="C60" t="inlineStr">
        <is>
          <t xml:space="preserve">漁獲枠改革党内会合</t>
        </is>
      </c>
      <c r="D60" t="inlineStr">
        <is>
          <t xml:space="preserve">Gyokaku-waku Kaikaku Tōnai Kaigō</t>
        </is>
      </c>
      <c r="E60" t="inlineStr">
        <is>
          <t xml:space="preserve">Combat</t>
        </is>
      </c>
      <c r="F60" t="inlineStr">
        <is>
          <t xml:space="preserve">Support</t>
        </is>
      </c>
      <c r="G60" t="inlineStr">
        <is>
          <t xml:space="preserve">Percentage</t>
        </is>
      </c>
      <c r="H60">
        <v>100</v>
      </c>
      <c r="I60">
        <v>60</v>
      </c>
      <c r="J60">
        <f>IF(AND(ISNUMBER(H60),ISNUMBER(I60)),IF(H60=0,"",I60/H60),"varies")</f>
        <v>0.6</v>
      </c>
      <c r="K60">
        <v>10</v>
      </c>
      <c r="L60">
        <v>3</v>
      </c>
      <c r="M60">
        <v>5</v>
      </c>
      <c r="N60">
        <v>5</v>
      </c>
      <c r="O60">
        <v>20</v>
      </c>
      <c r="P60">
        <v>40</v>
      </c>
      <c r="Q60">
        <v>0</v>
      </c>
      <c r="R60">
        <v>0.55</v>
      </c>
      <c r="S60">
        <v>0</v>
      </c>
      <c r="T60">
        <v>0</v>
      </c>
      <c r="U60">
        <v>0</v>
      </c>
      <c r="V60">
        <v>0.45</v>
      </c>
      <c r="W60">
        <f>SUM(Q60:V60)</f>
        <v>1.0</v>
      </c>
      <c r="X60" t="str">
        <f>IF(E60&lt;&gt;"Combat","—",IFERROR(INDEX(Affinity!$A$2:$A$7,MATCH(MAX(INDEX(Affinity!$B$2:$CU$7,0,MATCH(A60,Affinity!$B$1:$CU$1,0))),INDEX(Affinity!$B$2:$CU$7,0,MATCH(A60,Affinity!$B$1:$CU$1,0)),0)),"—"))</f>
        <v>Earnest</v>
      </c>
      <c r="Y60">
        <v>0</v>
      </c>
      <c r="Z60">
        <v>10000</v>
      </c>
      <c r="AA60">
        <v>1</v>
      </c>
      <c r="AB60">
        <v>70</v>
      </c>
      <c r="AC60">
        <v>2</v>
      </c>
      <c r="AD60">
        <v>0</v>
      </c>
      <c r="AE60">
        <v>0</v>
      </c>
      <c r="AF60">
        <v>-1</v>
      </c>
      <c r="AG60">
        <v>1</v>
      </c>
      <c r="AH60">
        <v>-2</v>
      </c>
      <c r="AI60" t="inlineStr">
        <is>
          <t xml:space="preserve">Shared_pool</t>
        </is>
      </c>
      <c r="AJ60" t="inlineStr">
        <is>
          <t xml:space="preserve">per_turn</t>
        </is>
      </c>
      <c r="AL60" t="inlineStr">
        <is>
          <t xml:space="preserve">continuous</t>
        </is>
      </c>
      <c r="AM60">
        <v>2</v>
      </c>
      <c r="AO60" t="inlineStr">
        <is>
          <t xml:space="preserve">No</t>
        </is>
      </c>
      <c r="AR60" t="inlineStr">
        <is>
          <t xml:space="preserve">Yes</t>
        </is>
      </c>
      <c r="AT60" t="inlineStr">
        <is>
          <t xml:space="preserve">Yes</t>
        </is>
      </c>
    </row>
    <row r="61">
      <c r="A61" t="inlineStr">
        <is>
          <t xml:space="preserve">ST60</t>
        </is>
      </c>
      <c r="B61" t="inlineStr">
        <is>
          <t xml:space="preserve">Hearing on Shipbuilding Support</t>
        </is>
      </c>
      <c r="C61" t="inlineStr">
        <is>
          <t xml:space="preserve">造船・防衛産業支援に関する公聴会</t>
        </is>
      </c>
      <c r="D61" t="inlineStr">
        <is>
          <t xml:space="preserve">Zōsen Bōei Sangyō Shien ni Kansuru Kōchōkai</t>
        </is>
      </c>
      <c r="E61" t="inlineStr">
        <is>
          <t xml:space="preserve">Combat</t>
        </is>
      </c>
      <c r="F61" t="inlineStr">
        <is>
          <t xml:space="preserve">Favourability</t>
        </is>
      </c>
      <c r="G61" t="inlineStr">
        <is>
          <t xml:space="preserve">Percentage</t>
        </is>
      </c>
      <c r="H61">
        <v>100</v>
      </c>
      <c r="I61">
        <v>57</v>
      </c>
      <c r="J61">
        <f>IF(AND(ISNUMBER(H61),ISNUMBER(I61)),IF(H61=0,"",I61/H61),"varies")</f>
        <v>0.57</v>
      </c>
      <c r="K61">
        <v>10</v>
      </c>
      <c r="L61">
        <v>3</v>
      </c>
      <c r="M61">
        <v>5</v>
      </c>
      <c r="N61">
        <v>5</v>
      </c>
      <c r="O61">
        <v>25</v>
      </c>
      <c r="P61">
        <v>25</v>
      </c>
      <c r="Q61">
        <v>0.55</v>
      </c>
      <c r="R61">
        <v>0</v>
      </c>
      <c r="S61">
        <v>0.05</v>
      </c>
      <c r="T61">
        <v>0.25</v>
      </c>
      <c r="U61">
        <v>0.15</v>
      </c>
      <c r="V61">
        <v>0</v>
      </c>
      <c r="W61">
        <f>SUM(Q61:V61)</f>
        <v>1.0</v>
      </c>
      <c r="X61" t="str">
        <f>IF(E61&lt;&gt;"Combat","—",IFERROR(INDEX(Affinity!$A$2:$A$7,MATCH(MAX(INDEX(Affinity!$B$2:$CU$7,0,MATCH(A61,Affinity!$B$1:$CU$1,0))),INDEX(Affinity!$B$2:$CU$7,0,MATCH(A61,Affinity!$B$1:$CU$1,0)),0)),"—"))</f>
        <v>Appeal</v>
      </c>
      <c r="Y61">
        <v>0</v>
      </c>
      <c r="Z61">
        <v>10000</v>
      </c>
      <c r="AA61">
        <v>1</v>
      </c>
      <c r="AB61">
        <v>30</v>
      </c>
      <c r="AC61">
        <v>2</v>
      </c>
      <c r="AD61">
        <v>0</v>
      </c>
      <c r="AE61">
        <v>0</v>
      </c>
      <c r="AF61">
        <v>0</v>
      </c>
      <c r="AG61">
        <v>1</v>
      </c>
      <c r="AH61">
        <v>0</v>
      </c>
      <c r="AI61" t="inlineStr">
        <is>
          <t xml:space="preserve">Shared_pool</t>
        </is>
      </c>
      <c r="AJ61" t="inlineStr">
        <is>
          <t xml:space="preserve">per_turn</t>
        </is>
      </c>
      <c r="AL61" t="inlineStr">
        <is>
          <t xml:space="preserve">reset</t>
        </is>
      </c>
      <c r="AM61" t="inlineStr">
        <is>
          <t xml:space="preserve">3</t>
        </is>
      </c>
      <c r="AO61" t="inlineStr">
        <is>
          <t xml:space="preserve">No</t>
        </is>
      </c>
      <c r="AR61" t="inlineStr">
        <is>
          <t xml:space="preserve">Yes</t>
        </is>
      </c>
    </row>
    <row r="62">
      <c r="A62" t="inlineStr">
        <is>
          <t xml:space="preserve">ST61</t>
        </is>
      </c>
      <c r="B62" t="inlineStr">
        <is>
          <t xml:space="preserve">Town Hall on Shipbuilding Support</t>
        </is>
      </c>
      <c r="C62" t="inlineStr">
        <is>
          <t xml:space="preserve">造船・防衛産業支援を巡る住民集会</t>
        </is>
      </c>
      <c r="D62" t="inlineStr">
        <is>
          <t xml:space="preserve">Zōsen Bōei Sangyō Shien o Meguru Jūmin Shūkai</t>
        </is>
      </c>
      <c r="E62" t="inlineStr">
        <is>
          <t xml:space="preserve">Combat</t>
        </is>
      </c>
      <c r="F62" t="inlineStr">
        <is>
          <t xml:space="preserve">Appeasement</t>
        </is>
      </c>
      <c r="G62" t="inlineStr">
        <is>
          <t xml:space="preserve">Percentage</t>
        </is>
      </c>
      <c r="H62">
        <v>100</v>
      </c>
      <c r="I62">
        <v>62</v>
      </c>
      <c r="J62">
        <f>IF(AND(ISNUMBER(H62),ISNUMBER(I62)),IF(H62=0,"",I62/H62),"varies")</f>
        <v>0.62</v>
      </c>
      <c r="K62">
        <v>17</v>
      </c>
      <c r="L62">
        <v>3</v>
      </c>
      <c r="M62">
        <v>5</v>
      </c>
      <c r="N62">
        <v>6</v>
      </c>
      <c r="O62">
        <v>15</v>
      </c>
      <c r="P62">
        <v>20</v>
      </c>
      <c r="Q62">
        <v>0.1</v>
      </c>
      <c r="R62">
        <v>0.1</v>
      </c>
      <c r="S62">
        <v>0.7</v>
      </c>
      <c r="T62">
        <v>0.1</v>
      </c>
      <c r="U62">
        <v>0</v>
      </c>
      <c r="V62">
        <v>0</v>
      </c>
      <c r="W62">
        <f>SUM(Q62:V62)</f>
        <v>1.0</v>
      </c>
      <c r="X62" t="str">
        <f>IF(E62&lt;&gt;"Combat","—",IFERROR(INDEX(Affinity!$A$2:$A$7,MATCH(MAX(INDEX(Affinity!$B$2:$CU$7,0,MATCH(A62,Affinity!$B$1:$CU$1,0))),INDEX(Affinity!$B$2:$CU$7,0,MATCH(A62,Affinity!$B$1:$CU$1,0)),0)),"—"))</f>
        <v>Appeal</v>
      </c>
      <c r="Y62">
        <v>5</v>
      </c>
      <c r="Z62">
        <v>35000</v>
      </c>
      <c r="AA62">
        <v>1</v>
      </c>
      <c r="AB62">
        <v>50</v>
      </c>
      <c r="AC62">
        <v>0</v>
      </c>
      <c r="AD62">
        <v>-5</v>
      </c>
      <c r="AE62">
        <v>0</v>
      </c>
      <c r="AF62">
        <v>-3</v>
      </c>
      <c r="AG62">
        <v>10</v>
      </c>
      <c r="AH62">
        <v>0</v>
      </c>
      <c r="AI62" t="inlineStr">
        <is>
          <t xml:space="preserve">Shared_pool</t>
        </is>
      </c>
      <c r="AJ62" t="inlineStr">
        <is>
          <t xml:space="preserve">per_turn</t>
        </is>
      </c>
      <c r="AL62" t="inlineStr">
        <is>
          <t xml:space="preserve">stream</t>
        </is>
      </c>
      <c r="AM62">
        <v>3</v>
      </c>
      <c r="AN62" t="inlineStr">
        <is>
          <t xml:space="preserve">town_hall</t>
        </is>
      </c>
      <c r="AO62" t="inlineStr">
        <is>
          <t xml:space="preserve">No</t>
        </is>
      </c>
      <c r="AR62" t="inlineStr">
        <is>
          <t xml:space="preserve">Yes</t>
        </is>
      </c>
    </row>
    <row r="63">
      <c r="A63" t="inlineStr">
        <is>
          <t xml:space="preserve">ST62</t>
        </is>
      </c>
      <c r="B63" t="inlineStr">
        <is>
          <t xml:space="preserve">Party Caucus on Shipbuilding Support</t>
        </is>
      </c>
      <c r="C63" t="inlineStr">
        <is>
          <t xml:space="preserve">造船・防衛産業支援党内会合</t>
        </is>
      </c>
      <c r="D63" t="inlineStr">
        <is>
          <t xml:space="preserve">Zōsen Bōei Sangyō Shien Tōnai Kaigō</t>
        </is>
      </c>
      <c r="E63" t="inlineStr">
        <is>
          <t xml:space="preserve">Combat</t>
        </is>
      </c>
      <c r="F63" t="inlineStr">
        <is>
          <t xml:space="preserve">Support</t>
        </is>
      </c>
      <c r="G63" t="inlineStr">
        <is>
          <t xml:space="preserve">Percentage</t>
        </is>
      </c>
      <c r="H63">
        <v>100</v>
      </c>
      <c r="I63">
        <v>62</v>
      </c>
      <c r="J63">
        <f>IF(AND(ISNUMBER(H63),ISNUMBER(I63)),IF(H63=0,"",I63/H63),"varies")</f>
        <v>0.62</v>
      </c>
      <c r="K63">
        <v>10</v>
      </c>
      <c r="L63">
        <v>3</v>
      </c>
      <c r="M63">
        <v>5</v>
      </c>
      <c r="N63">
        <v>5</v>
      </c>
      <c r="O63">
        <v>20</v>
      </c>
      <c r="P63">
        <v>40</v>
      </c>
      <c r="Q63">
        <v>0</v>
      </c>
      <c r="R63">
        <v>0.55</v>
      </c>
      <c r="S63">
        <v>0</v>
      </c>
      <c r="T63">
        <v>0</v>
      </c>
      <c r="U63">
        <v>0</v>
      </c>
      <c r="V63">
        <v>0.45</v>
      </c>
      <c r="W63">
        <f>SUM(Q63:V63)</f>
        <v>1.0</v>
      </c>
      <c r="X63" t="str">
        <f>IF(E63&lt;&gt;"Combat","—",IFERROR(INDEX(Affinity!$A$2:$A$7,MATCH(MAX(INDEX(Affinity!$B$2:$CU$7,0,MATCH(A63,Affinity!$B$1:$CU$1,0))),INDEX(Affinity!$B$2:$CU$7,0,MATCH(A63,Affinity!$B$1:$CU$1,0)),0)),"—"))</f>
        <v>Earnest</v>
      </c>
      <c r="Y63">
        <v>0</v>
      </c>
      <c r="Z63">
        <v>10000</v>
      </c>
      <c r="AA63">
        <v>1</v>
      </c>
      <c r="AB63">
        <v>70</v>
      </c>
      <c r="AC63">
        <v>2</v>
      </c>
      <c r="AD63">
        <v>0</v>
      </c>
      <c r="AE63">
        <v>0</v>
      </c>
      <c r="AF63">
        <v>-1</v>
      </c>
      <c r="AG63">
        <v>1</v>
      </c>
      <c r="AH63">
        <v>-2</v>
      </c>
      <c r="AI63" t="inlineStr">
        <is>
          <t xml:space="preserve">Shared_pool</t>
        </is>
      </c>
      <c r="AJ63" t="inlineStr">
        <is>
          <t xml:space="preserve">per_turn</t>
        </is>
      </c>
      <c r="AL63" t="inlineStr">
        <is>
          <t xml:space="preserve">continuous</t>
        </is>
      </c>
      <c r="AM63">
        <v>2</v>
      </c>
      <c r="AO63" t="inlineStr">
        <is>
          <t xml:space="preserve">No</t>
        </is>
      </c>
      <c r="AR63" t="inlineStr">
        <is>
          <t xml:space="preserve">Yes</t>
        </is>
      </c>
      <c r="AT63" t="inlineStr">
        <is>
          <t xml:space="preserve">Yes</t>
        </is>
      </c>
    </row>
    <row r="64">
      <c r="A64" t="inlineStr">
        <is>
          <t xml:space="preserve">ST63</t>
        </is>
      </c>
      <c r="B64" t="inlineStr">
        <is>
          <t xml:space="preserve">Hearing on the Constitutional Review</t>
        </is>
      </c>
      <c r="C64" t="inlineStr">
        <is>
          <t xml:space="preserve">憲法見直し委員会に関する公聴会</t>
        </is>
      </c>
      <c r="D64" t="inlineStr">
        <is>
          <t xml:space="preserve">Kenpō Minaoshi Iinkai ni Kansuru Kōchōkai</t>
        </is>
      </c>
      <c r="E64" t="inlineStr">
        <is>
          <t xml:space="preserve">Combat</t>
        </is>
      </c>
      <c r="F64" t="inlineStr">
        <is>
          <t xml:space="preserve">Favourability</t>
        </is>
      </c>
      <c r="G64" t="inlineStr">
        <is>
          <t xml:space="preserve">Percentage</t>
        </is>
      </c>
      <c r="H64">
        <v>100</v>
      </c>
      <c r="I64">
        <v>70</v>
      </c>
      <c r="J64">
        <f>IF(AND(ISNUMBER(H64),ISNUMBER(I64)),IF(H64=0,"",I64/H64),"varies")</f>
        <v>0.7</v>
      </c>
      <c r="K64">
        <v>10</v>
      </c>
      <c r="L64">
        <v>4</v>
      </c>
      <c r="M64">
        <v>5</v>
      </c>
      <c r="N64">
        <v>7</v>
      </c>
      <c r="O64">
        <v>35</v>
      </c>
      <c r="P64">
        <v>30</v>
      </c>
      <c r="Q64">
        <v>0</v>
      </c>
      <c r="R64">
        <v>0.5</v>
      </c>
      <c r="S64">
        <v>0</v>
      </c>
      <c r="T64">
        <v>0</v>
      </c>
      <c r="U64">
        <v>0.5</v>
      </c>
      <c r="V64">
        <v>0</v>
      </c>
      <c r="W64">
        <f>SUM(Q64:V64)</f>
        <v>1.0</v>
      </c>
      <c r="X64" t="str">
        <f>IF(E64&lt;&gt;"Combat","—",IFERROR(INDEX(Affinity!$A$2:$A$7,MATCH(MAX(INDEX(Affinity!$B$2:$CU$7,0,MATCH(A64,Affinity!$B$1:$CU$1,0))),INDEX(Affinity!$B$2:$CU$7,0,MATCH(A64,Affinity!$B$1:$CU$1,0)),0)),"—"))</f>
        <v>Earnest</v>
      </c>
      <c r="Y64">
        <v>0</v>
      </c>
      <c r="Z64">
        <v>10000</v>
      </c>
      <c r="AA64">
        <v>1</v>
      </c>
      <c r="AB64">
        <v>20</v>
      </c>
      <c r="AC64">
        <v>3</v>
      </c>
      <c r="AD64">
        <v>0</v>
      </c>
      <c r="AE64">
        <v>0</v>
      </c>
      <c r="AF64">
        <v>0</v>
      </c>
      <c r="AG64">
        <v>1</v>
      </c>
      <c r="AH64">
        <v>0</v>
      </c>
      <c r="AI64" t="inlineStr">
        <is>
          <t xml:space="preserve">Shared_pool</t>
        </is>
      </c>
      <c r="AJ64" t="inlineStr">
        <is>
          <t xml:space="preserve">per_turn</t>
        </is>
      </c>
      <c r="AL64" t="inlineStr">
        <is>
          <t xml:space="preserve">reset</t>
        </is>
      </c>
      <c r="AM64" t="inlineStr">
        <is>
          <t xml:space="preserve">3</t>
        </is>
      </c>
      <c r="AO64" t="inlineStr">
        <is>
          <t xml:space="preserve">No</t>
        </is>
      </c>
      <c r="AR64" t="inlineStr">
        <is>
          <t xml:space="preserve">Yes</t>
        </is>
      </c>
    </row>
    <row r="65">
      <c r="A65" t="inlineStr">
        <is>
          <t xml:space="preserve">ST64</t>
        </is>
      </c>
      <c r="B65" t="inlineStr">
        <is>
          <t xml:space="preserve">Press Conference on the Constitutional Review</t>
        </is>
      </c>
      <c r="C65" t="inlineStr">
        <is>
          <t xml:space="preserve">憲法見直し委員会記者会見</t>
        </is>
      </c>
      <c r="D65" t="inlineStr">
        <is>
          <t xml:space="preserve">Kenpō Minaoshi Iinkai Kisha Kaiken</t>
        </is>
      </c>
      <c r="E65" t="inlineStr">
        <is>
          <t xml:space="preserve">Combat</t>
        </is>
      </c>
      <c r="F65" t="inlineStr">
        <is>
          <t xml:space="preserve">Press tone</t>
        </is>
      </c>
      <c r="G65" t="inlineStr">
        <is>
          <t xml:space="preserve">Numerical</t>
        </is>
      </c>
      <c r="H65">
        <v>100</v>
      </c>
      <c r="I65">
        <v>55</v>
      </c>
      <c r="J65">
        <f>IF(AND(ISNUMBER(H65),ISNUMBER(I65)),IF(H65=0,"",I65/H65),"varies")</f>
        <v>0.55</v>
      </c>
      <c r="K65">
        <v>6</v>
      </c>
      <c r="L65">
        <v>3</v>
      </c>
      <c r="M65">
        <v>5</v>
      </c>
      <c r="N65">
        <v>4</v>
      </c>
      <c r="O65">
        <v>20</v>
      </c>
      <c r="P65">
        <v>45</v>
      </c>
      <c r="Q65">
        <v>0.9</v>
      </c>
      <c r="R65">
        <v>0</v>
      </c>
      <c r="S65">
        <v>0</v>
      </c>
      <c r="T65">
        <v>0</v>
      </c>
      <c r="U65">
        <v>0.05</v>
      </c>
      <c r="V65">
        <v>0.05</v>
      </c>
      <c r="W65">
        <f>SUM(Q65:V65)</f>
        <v>1.0</v>
      </c>
      <c r="X65" t="str">
        <f>IF(E65&lt;&gt;"Combat","—",IFERROR(INDEX(Affinity!$A$2:$A$7,MATCH(MAX(INDEX(Affinity!$B$2:$CU$7,0,MATCH(A65,Affinity!$B$1:$CU$1,0))),INDEX(Affinity!$B$2:$CU$7,0,MATCH(A65,Affinity!$B$1:$CU$1,0)),0)),"—"))</f>
        <v>Earnest</v>
      </c>
      <c r="Y65">
        <v>1</v>
      </c>
      <c r="Z65">
        <v>20000</v>
      </c>
      <c r="AA65">
        <v>1</v>
      </c>
      <c r="AB65">
        <v>30</v>
      </c>
      <c r="AC65">
        <v>1</v>
      </c>
      <c r="AD65">
        <v>0</v>
      </c>
      <c r="AE65">
        <v>0</v>
      </c>
      <c r="AF65">
        <v>-2</v>
      </c>
      <c r="AG65">
        <v>5</v>
      </c>
      <c r="AH65">
        <v>-2</v>
      </c>
      <c r="AI65" t="inlineStr">
        <is>
          <t xml:space="preserve">Single</t>
        </is>
      </c>
      <c r="AJ65" t="inlineStr">
        <is>
          <t xml:space="preserve">per_turn</t>
        </is>
      </c>
      <c r="AL65" t="inlineStr">
        <is>
          <t xml:space="preserve">single</t>
        </is>
      </c>
      <c r="AM65" t="inlineStr">
        <is>
          <t xml:space="preserve">1</t>
        </is>
      </c>
      <c r="AN65" t="inlineStr">
        <is>
          <t xml:space="preserve">press_conference</t>
        </is>
      </c>
      <c r="AO65" t="inlineStr">
        <is>
          <t xml:space="preserve">Yes</t>
        </is>
      </c>
      <c r="AQ65" t="inlineStr">
        <is>
          <t xml:space="preserve">No</t>
        </is>
      </c>
      <c r="AR65" t="inlineStr">
        <is>
          <t xml:space="preserve">Yes</t>
        </is>
      </c>
    </row>
    <row r="66">
      <c r="A66" t="inlineStr">
        <is>
          <t xml:space="preserve">ST65</t>
        </is>
      </c>
      <c r="B66" t="inlineStr">
        <is>
          <t xml:space="preserve">Party Caucus on the Constitutional Review</t>
        </is>
      </c>
      <c r="C66" t="inlineStr">
        <is>
          <t xml:space="preserve">憲法見直し委員会党内会合</t>
        </is>
      </c>
      <c r="D66" t="inlineStr">
        <is>
          <t xml:space="preserve">Kenpō Minaoshi Iinkai Tōnai Kaigō</t>
        </is>
      </c>
      <c r="E66" t="inlineStr">
        <is>
          <t xml:space="preserve">Combat</t>
        </is>
      </c>
      <c r="F66" t="inlineStr">
        <is>
          <t xml:space="preserve">Support</t>
        </is>
      </c>
      <c r="G66" t="inlineStr">
        <is>
          <t xml:space="preserve">Percentage</t>
        </is>
      </c>
      <c r="H66">
        <v>100</v>
      </c>
      <c r="I66">
        <v>60</v>
      </c>
      <c r="J66">
        <f>IF(AND(ISNUMBER(H66),ISNUMBER(I66)),IF(H66=0,"",I66/H66),"varies")</f>
        <v>0.6</v>
      </c>
      <c r="K66">
        <v>10</v>
      </c>
      <c r="L66">
        <v>3</v>
      </c>
      <c r="M66">
        <v>5</v>
      </c>
      <c r="N66">
        <v>5</v>
      </c>
      <c r="O66">
        <v>20</v>
      </c>
      <c r="P66">
        <v>40</v>
      </c>
      <c r="Q66">
        <v>0</v>
      </c>
      <c r="R66">
        <v>0.55</v>
      </c>
      <c r="S66">
        <v>0</v>
      </c>
      <c r="T66">
        <v>0</v>
      </c>
      <c r="U66">
        <v>0</v>
      </c>
      <c r="V66">
        <v>0.45</v>
      </c>
      <c r="W66">
        <f>SUM(Q66:V66)</f>
        <v>1.0</v>
      </c>
      <c r="X66" t="str">
        <f>IF(E66&lt;&gt;"Combat","—",IFERROR(INDEX(Affinity!$A$2:$A$7,MATCH(MAX(INDEX(Affinity!$B$2:$CU$7,0,MATCH(A66,Affinity!$B$1:$CU$1,0))),INDEX(Affinity!$B$2:$CU$7,0,MATCH(A66,Affinity!$B$1:$CU$1,0)),0)),"—"))</f>
        <v>Data Driven</v>
      </c>
      <c r="Y66">
        <v>0</v>
      </c>
      <c r="Z66">
        <v>10000</v>
      </c>
      <c r="AA66">
        <v>1</v>
      </c>
      <c r="AB66">
        <v>70</v>
      </c>
      <c r="AC66">
        <v>2</v>
      </c>
      <c r="AD66">
        <v>0</v>
      </c>
      <c r="AE66">
        <v>0</v>
      </c>
      <c r="AF66">
        <v>-1</v>
      </c>
      <c r="AG66">
        <v>1</v>
      </c>
      <c r="AH66">
        <v>-2</v>
      </c>
      <c r="AI66" t="inlineStr">
        <is>
          <t xml:space="preserve">Shared_pool</t>
        </is>
      </c>
      <c r="AJ66" t="inlineStr">
        <is>
          <t xml:space="preserve">per_turn</t>
        </is>
      </c>
      <c r="AL66" t="inlineStr">
        <is>
          <t xml:space="preserve">continuous</t>
        </is>
      </c>
      <c r="AM66">
        <v>2</v>
      </c>
      <c r="AO66" t="inlineStr">
        <is>
          <t xml:space="preserve">No</t>
        </is>
      </c>
      <c r="AR66" t="inlineStr">
        <is>
          <t xml:space="preserve">Yes</t>
        </is>
      </c>
      <c r="AT66" t="inlineStr">
        <is>
          <t xml:space="preserve">Yes</t>
        </is>
      </c>
    </row>
    <row r="67">
      <c r="A67" t="inlineStr">
        <is>
          <t xml:space="preserve">ST66</t>
        </is>
      </c>
      <c r="B67" t="inlineStr">
        <is>
          <t xml:space="preserve">Hearing on Border Cooperation</t>
        </is>
      </c>
      <c r="C67" t="inlineStr">
        <is>
          <t xml:space="preserve">税関・国境協力に関する公聴会</t>
        </is>
      </c>
      <c r="D67" t="inlineStr">
        <is>
          <t xml:space="preserve">Zeikan Kokkyō Kyōryoku ni Kansuru Kōchōkai</t>
        </is>
      </c>
      <c r="E67" t="inlineStr">
        <is>
          <t xml:space="preserve">Combat</t>
        </is>
      </c>
      <c r="F67" t="inlineStr">
        <is>
          <t xml:space="preserve">Favourability</t>
        </is>
      </c>
      <c r="G67" t="inlineStr">
        <is>
          <t xml:space="preserve">Percentage</t>
        </is>
      </c>
      <c r="H67">
        <v>100</v>
      </c>
      <c r="I67">
        <v>60</v>
      </c>
      <c r="J67">
        <f>IF(AND(ISNUMBER(H67),ISNUMBER(I67)),IF(H67=0,"",I67/H67),"varies")</f>
        <v>0.6</v>
      </c>
      <c r="K67">
        <v>10</v>
      </c>
      <c r="L67">
        <v>4</v>
      </c>
      <c r="M67">
        <v>5</v>
      </c>
      <c r="N67">
        <v>5</v>
      </c>
      <c r="O67">
        <v>25</v>
      </c>
      <c r="P67">
        <v>30</v>
      </c>
      <c r="Q67">
        <v>0.4</v>
      </c>
      <c r="R67">
        <v>0.2</v>
      </c>
      <c r="S67">
        <v>0</v>
      </c>
      <c r="T67">
        <v>0.2</v>
      </c>
      <c r="U67">
        <v>0.2</v>
      </c>
      <c r="V67">
        <v>0</v>
      </c>
      <c r="W67">
        <f>SUM(Q67:V67)</f>
        <v>1.0</v>
      </c>
      <c r="X67" t="str">
        <f>IF(E67&lt;&gt;"Combat","—",IFERROR(INDEX(Affinity!$A$2:$A$7,MATCH(MAX(INDEX(Affinity!$B$2:$CU$7,0,MATCH(A67,Affinity!$B$1:$CU$1,0))),INDEX(Affinity!$B$2:$CU$7,0,MATCH(A67,Affinity!$B$1:$CU$1,0)),0)),"—"))</f>
        <v>Data Driven</v>
      </c>
      <c r="Y67">
        <v>0</v>
      </c>
      <c r="Z67">
        <v>20000</v>
      </c>
      <c r="AA67">
        <v>2</v>
      </c>
      <c r="AB67">
        <v>50</v>
      </c>
      <c r="AC67">
        <v>2</v>
      </c>
      <c r="AD67">
        <v>0</v>
      </c>
      <c r="AE67">
        <v>0</v>
      </c>
      <c r="AF67">
        <v>0</v>
      </c>
      <c r="AG67">
        <v>1</v>
      </c>
      <c r="AH67">
        <v>0</v>
      </c>
      <c r="AI67" t="inlineStr">
        <is>
          <t xml:space="preserve">Shared_pool</t>
        </is>
      </c>
      <c r="AJ67" t="inlineStr">
        <is>
          <t xml:space="preserve">per_turn</t>
        </is>
      </c>
      <c r="AL67" t="inlineStr">
        <is>
          <t xml:space="preserve">reset</t>
        </is>
      </c>
      <c r="AM67" t="inlineStr">
        <is>
          <t xml:space="preserve">3</t>
        </is>
      </c>
      <c r="AO67" t="inlineStr">
        <is>
          <t xml:space="preserve">No</t>
        </is>
      </c>
      <c r="AR67" t="inlineStr">
        <is>
          <t xml:space="preserve">Yes</t>
        </is>
      </c>
    </row>
    <row r="68">
      <c r="A68" t="inlineStr">
        <is>
          <t xml:space="preserve">ST67</t>
        </is>
      </c>
      <c r="B68" t="inlineStr">
        <is>
          <t xml:space="preserve">Lobbyist Meeting on Border Cooperation</t>
        </is>
      </c>
      <c r="C68" t="inlineStr">
        <is>
          <t xml:space="preserve">税関・国境協力に関するロビー活動</t>
        </is>
      </c>
      <c r="D68" t="inlineStr">
        <is>
          <t xml:space="preserve">Zeikan Kokkyō Kyōryoku ni Kansuru Robī Katsudō</t>
        </is>
      </c>
      <c r="E68" t="inlineStr">
        <is>
          <t xml:space="preserve">Combat</t>
        </is>
      </c>
      <c r="F68" t="inlineStr">
        <is>
          <t xml:space="preserve">Appeasement</t>
        </is>
      </c>
      <c r="G68" t="inlineStr">
        <is>
          <t xml:space="preserve">Percentage</t>
        </is>
      </c>
      <c r="H68">
        <v>50</v>
      </c>
      <c r="I68">
        <v>25</v>
      </c>
      <c r="J68">
        <f>IF(AND(ISNUMBER(H68),ISNUMBER(I68)),IF(H68=0,"",I68/H68),"varies")</f>
        <v>0.5</v>
      </c>
      <c r="K68">
        <v>7</v>
      </c>
      <c r="L68">
        <v>3</v>
      </c>
      <c r="M68">
        <v>5</v>
      </c>
      <c r="N68">
        <v>6</v>
      </c>
      <c r="O68">
        <v>5</v>
      </c>
      <c r="P68">
        <v>15</v>
      </c>
      <c r="Q68">
        <v>0</v>
      </c>
      <c r="R68">
        <v>0</v>
      </c>
      <c r="S68">
        <v>0</v>
      </c>
      <c r="T68">
        <v>1</v>
      </c>
      <c r="U68">
        <v>0</v>
      </c>
      <c r="V68">
        <v>0</v>
      </c>
      <c r="W68">
        <f>SUM(Q68:V68)</f>
        <v>1</v>
      </c>
      <c r="X68" t="str">
        <f>IF(E68&lt;&gt;"Combat","—",IFERROR(INDEX(Affinity!$A$2:$A$7,MATCH(MAX(INDEX(Affinity!$B$2:$CU$7,0,MATCH(A68,Affinity!$B$1:$CU$1,0))),INDEX(Affinity!$B$2:$CU$7,0,MATCH(A68,Affinity!$B$1:$CU$1,0)),0)),"—"))</f>
        <v>Data Driven</v>
      </c>
      <c r="Y68">
        <v>0</v>
      </c>
      <c r="Z68">
        <v>20000</v>
      </c>
      <c r="AA68">
        <v>0</v>
      </c>
      <c r="AB68">
        <v>30</v>
      </c>
      <c r="AC68">
        <v>0</v>
      </c>
      <c r="AD68">
        <v>0</v>
      </c>
      <c r="AE68">
        <v>0</v>
      </c>
      <c r="AF68">
        <v>0</v>
      </c>
      <c r="AG68">
        <v>0</v>
      </c>
      <c r="AH68">
        <v>-1</v>
      </c>
      <c r="AI68" t="inlineStr">
        <is>
          <t xml:space="preserve">Shared_pool</t>
        </is>
      </c>
      <c r="AJ68" t="inlineStr">
        <is>
          <t xml:space="preserve">pool</t>
        </is>
      </c>
      <c r="AK68">
        <v>12</v>
      </c>
      <c r="AL68" t="inlineStr">
        <is>
          <t xml:space="preserve">single</t>
        </is>
      </c>
      <c r="AM68" t="inlineStr">
        <is>
          <t xml:space="preserve">1</t>
        </is>
      </c>
      <c r="AN68" t="inlineStr">
        <is>
          <t xml:space="preserve">lobbyist_meeting</t>
        </is>
      </c>
      <c r="AO68" t="inlineStr">
        <is>
          <t xml:space="preserve">No</t>
        </is>
      </c>
      <c r="AR68" t="inlineStr">
        <is>
          <t xml:space="preserve">Yes</t>
        </is>
      </c>
    </row>
    <row r="69">
      <c r="A69" t="inlineStr">
        <is>
          <t xml:space="preserve">ST68</t>
        </is>
      </c>
      <c r="B69" t="inlineStr">
        <is>
          <t xml:space="preserve">Party Caucus on Border Cooperation</t>
        </is>
      </c>
      <c r="C69" t="inlineStr">
        <is>
          <t xml:space="preserve">税関・国境協力党内会合</t>
        </is>
      </c>
      <c r="D69" t="inlineStr">
        <is>
          <t xml:space="preserve">Zeikan Kokkyō Kyōryoku Tōnai Kaigō</t>
        </is>
      </c>
      <c r="E69" t="inlineStr">
        <is>
          <t xml:space="preserve">Combat</t>
        </is>
      </c>
      <c r="F69" t="inlineStr">
        <is>
          <t xml:space="preserve">Support</t>
        </is>
      </c>
      <c r="G69" t="inlineStr">
        <is>
          <t xml:space="preserve">Percentage</t>
        </is>
      </c>
      <c r="H69">
        <v>100</v>
      </c>
      <c r="I69">
        <v>60</v>
      </c>
      <c r="J69">
        <f>IF(AND(ISNUMBER(H69),ISNUMBER(I69)),IF(H69=0,"",I69/H69),"varies")</f>
        <v>0.6</v>
      </c>
      <c r="K69">
        <v>10</v>
      </c>
      <c r="L69">
        <v>3</v>
      </c>
      <c r="M69">
        <v>5</v>
      </c>
      <c r="N69">
        <v>5</v>
      </c>
      <c r="O69">
        <v>20</v>
      </c>
      <c r="P69">
        <v>40</v>
      </c>
      <c r="Q69">
        <v>0</v>
      </c>
      <c r="R69">
        <v>0.55</v>
      </c>
      <c r="S69">
        <v>0</v>
      </c>
      <c r="T69">
        <v>0</v>
      </c>
      <c r="U69">
        <v>0</v>
      </c>
      <c r="V69">
        <v>0.45</v>
      </c>
      <c r="W69">
        <f>SUM(Q69:V69)</f>
        <v>1.0</v>
      </c>
      <c r="X69" t="str">
        <f>IF(E69&lt;&gt;"Combat","—",IFERROR(INDEX(Affinity!$A$2:$A$7,MATCH(MAX(INDEX(Affinity!$B$2:$CU$7,0,MATCH(A69,Affinity!$B$1:$CU$1,0))),INDEX(Affinity!$B$2:$CU$7,0,MATCH(A69,Affinity!$B$1:$CU$1,0)),0)),"—"))</f>
        <v>Appeal</v>
      </c>
      <c r="Y69">
        <v>0</v>
      </c>
      <c r="Z69">
        <v>10000</v>
      </c>
      <c r="AA69">
        <v>1</v>
      </c>
      <c r="AB69">
        <v>70</v>
      </c>
      <c r="AC69">
        <v>2</v>
      </c>
      <c r="AD69">
        <v>0</v>
      </c>
      <c r="AE69">
        <v>0</v>
      </c>
      <c r="AF69">
        <v>-1</v>
      </c>
      <c r="AG69">
        <v>1</v>
      </c>
      <c r="AH69">
        <v>-2</v>
      </c>
      <c r="AI69" t="inlineStr">
        <is>
          <t xml:space="preserve">Shared_pool</t>
        </is>
      </c>
      <c r="AJ69" t="inlineStr">
        <is>
          <t xml:space="preserve">per_turn</t>
        </is>
      </c>
      <c r="AL69" t="inlineStr">
        <is>
          <t xml:space="preserve">continuous</t>
        </is>
      </c>
      <c r="AM69">
        <v>2</v>
      </c>
      <c r="AO69" t="inlineStr">
        <is>
          <t xml:space="preserve">No</t>
        </is>
      </c>
      <c r="AR69" t="inlineStr">
        <is>
          <t xml:space="preserve">Yes</t>
        </is>
      </c>
      <c r="AT69" t="inlineStr">
        <is>
          <t xml:space="preserve">Yes</t>
        </is>
      </c>
    </row>
    <row r="70">
      <c r="A70" t="inlineStr">
        <is>
          <t xml:space="preserve">ST69</t>
        </is>
      </c>
      <c r="B70" t="inlineStr">
        <is>
          <t xml:space="preserve">Hearing on Chishima Development</t>
        </is>
      </c>
      <c r="C70" t="inlineStr">
        <is>
          <t xml:space="preserve">千島資源開発に関する公聴会</t>
        </is>
      </c>
      <c r="D70" t="inlineStr">
        <is>
          <t xml:space="preserve">Chishima Shigen Kaihatsu ni Kansuru Kōchōkai</t>
        </is>
      </c>
      <c r="E70" t="inlineStr">
        <is>
          <t xml:space="preserve">Combat</t>
        </is>
      </c>
      <c r="F70" t="inlineStr">
        <is>
          <t xml:space="preserve">Favourability</t>
        </is>
      </c>
      <c r="G70" t="inlineStr">
        <is>
          <t xml:space="preserve">Percentage</t>
        </is>
      </c>
      <c r="H70">
        <v>100</v>
      </c>
      <c r="I70">
        <v>60</v>
      </c>
      <c r="J70">
        <f>IF(AND(ISNUMBER(H70),ISNUMBER(I70)),IF(H70=0,"",I70/H70),"varies")</f>
        <v>0.6</v>
      </c>
      <c r="K70">
        <v>10</v>
      </c>
      <c r="L70">
        <v>4</v>
      </c>
      <c r="M70">
        <v>5</v>
      </c>
      <c r="N70">
        <v>5</v>
      </c>
      <c r="O70">
        <v>25</v>
      </c>
      <c r="P70">
        <v>30</v>
      </c>
      <c r="Q70">
        <v>0.4</v>
      </c>
      <c r="R70">
        <v>0.2</v>
      </c>
      <c r="S70">
        <v>0</v>
      </c>
      <c r="T70">
        <v>0.2</v>
      </c>
      <c r="U70">
        <v>0.2</v>
      </c>
      <c r="V70">
        <v>0</v>
      </c>
      <c r="W70">
        <f>SUM(Q70:V70)</f>
        <v>1.0</v>
      </c>
      <c r="X70" t="str">
        <f>IF(E70&lt;&gt;"Combat","—",IFERROR(INDEX(Affinity!$A$2:$A$7,MATCH(MAX(INDEX(Affinity!$B$2:$CU$7,0,MATCH(A70,Affinity!$B$1:$CU$1,0))),INDEX(Affinity!$B$2:$CU$7,0,MATCH(A70,Affinity!$B$1:$CU$1,0)),0)),"—"))</f>
        <v>Appeal</v>
      </c>
      <c r="Y70">
        <v>0</v>
      </c>
      <c r="Z70">
        <v>20000</v>
      </c>
      <c r="AA70">
        <v>2</v>
      </c>
      <c r="AB70">
        <v>50</v>
      </c>
      <c r="AC70">
        <v>2</v>
      </c>
      <c r="AD70">
        <v>0</v>
      </c>
      <c r="AE70">
        <v>0</v>
      </c>
      <c r="AF70">
        <v>0</v>
      </c>
      <c r="AG70">
        <v>1</v>
      </c>
      <c r="AH70">
        <v>0</v>
      </c>
      <c r="AI70" t="inlineStr">
        <is>
          <t xml:space="preserve">Shared_pool</t>
        </is>
      </c>
      <c r="AJ70" t="inlineStr">
        <is>
          <t xml:space="preserve">per_turn</t>
        </is>
      </c>
      <c r="AL70" t="inlineStr">
        <is>
          <t xml:space="preserve">reset</t>
        </is>
      </c>
      <c r="AM70" t="inlineStr">
        <is>
          <t xml:space="preserve">3</t>
        </is>
      </c>
      <c r="AO70" t="inlineStr">
        <is>
          <t xml:space="preserve">No</t>
        </is>
      </c>
      <c r="AR70" t="inlineStr">
        <is>
          <t xml:space="preserve">Yes</t>
        </is>
      </c>
    </row>
    <row r="71">
      <c r="A71" t="inlineStr">
        <is>
          <t xml:space="preserve">ST70</t>
        </is>
      </c>
      <c r="B71" t="inlineStr">
        <is>
          <t xml:space="preserve">Press Conference on Chishima Development</t>
        </is>
      </c>
      <c r="C71" t="inlineStr">
        <is>
          <t xml:space="preserve">千島資源開発記者会見</t>
        </is>
      </c>
      <c r="D71" t="inlineStr">
        <is>
          <t xml:space="preserve">Chishima Shigen Kaihatsu Kisha Kaiken</t>
        </is>
      </c>
      <c r="E71" t="inlineStr">
        <is>
          <t xml:space="preserve">Combat</t>
        </is>
      </c>
      <c r="F71" t="inlineStr">
        <is>
          <t xml:space="preserve">Press tone</t>
        </is>
      </c>
      <c r="G71" t="inlineStr">
        <is>
          <t xml:space="preserve">Numerical</t>
        </is>
      </c>
      <c r="H71">
        <v>100</v>
      </c>
      <c r="I71">
        <v>55</v>
      </c>
      <c r="J71">
        <f>IF(AND(ISNUMBER(H71),ISNUMBER(I71)),IF(H71=0,"",I71/H71),"varies")</f>
        <v>0.55</v>
      </c>
      <c r="K71">
        <v>6</v>
      </c>
      <c r="L71">
        <v>3</v>
      </c>
      <c r="M71">
        <v>5</v>
      </c>
      <c r="N71">
        <v>4</v>
      </c>
      <c r="O71">
        <v>20</v>
      </c>
      <c r="P71">
        <v>45</v>
      </c>
      <c r="Q71">
        <v>0.9</v>
      </c>
      <c r="R71">
        <v>0</v>
      </c>
      <c r="S71">
        <v>0</v>
      </c>
      <c r="T71">
        <v>0</v>
      </c>
      <c r="U71">
        <v>0.05</v>
      </c>
      <c r="V71">
        <v>0.05</v>
      </c>
      <c r="W71">
        <f>SUM(Q71:V71)</f>
        <v>1.0</v>
      </c>
      <c r="X71" t="str">
        <f>IF(E71&lt;&gt;"Combat","—",IFERROR(INDEX(Affinity!$A$2:$A$7,MATCH(MAX(INDEX(Affinity!$B$2:$CU$7,0,MATCH(A71,Affinity!$B$1:$CU$1,0))),INDEX(Affinity!$B$2:$CU$7,0,MATCH(A71,Affinity!$B$1:$CU$1,0)),0)),"—"))</f>
        <v>Appeal</v>
      </c>
      <c r="Y71">
        <v>1</v>
      </c>
      <c r="Z71">
        <v>20000</v>
      </c>
      <c r="AA71">
        <v>1</v>
      </c>
      <c r="AB71">
        <v>30</v>
      </c>
      <c r="AC71">
        <v>1</v>
      </c>
      <c r="AD71">
        <v>0</v>
      </c>
      <c r="AE71">
        <v>0</v>
      </c>
      <c r="AF71">
        <v>-2</v>
      </c>
      <c r="AG71">
        <v>5</v>
      </c>
      <c r="AH71">
        <v>-2</v>
      </c>
      <c r="AI71" t="inlineStr">
        <is>
          <t xml:space="preserve">Single</t>
        </is>
      </c>
      <c r="AJ71" t="inlineStr">
        <is>
          <t xml:space="preserve">per_turn</t>
        </is>
      </c>
      <c r="AL71" t="inlineStr">
        <is>
          <t xml:space="preserve">single</t>
        </is>
      </c>
      <c r="AM71" t="inlineStr">
        <is>
          <t xml:space="preserve">1</t>
        </is>
      </c>
      <c r="AN71" t="inlineStr">
        <is>
          <t xml:space="preserve">press_conference</t>
        </is>
      </c>
      <c r="AO71" t="inlineStr">
        <is>
          <t xml:space="preserve">Yes</t>
        </is>
      </c>
      <c r="AQ71" t="inlineStr">
        <is>
          <t xml:space="preserve">No</t>
        </is>
      </c>
      <c r="AR71" t="inlineStr">
        <is>
          <t xml:space="preserve">Yes</t>
        </is>
      </c>
    </row>
    <row r="72">
      <c r="A72" t="inlineStr">
        <is>
          <t xml:space="preserve">ST71</t>
        </is>
      </c>
      <c r="B72" t="inlineStr">
        <is>
          <t xml:space="preserve">Lobbyist Meeting on Chishima Development</t>
        </is>
      </c>
      <c r="C72" t="inlineStr">
        <is>
          <t xml:space="preserve">千島資源開発に関するロビー活動</t>
        </is>
      </c>
      <c r="D72" t="inlineStr">
        <is>
          <t xml:space="preserve">Chishima Shigen Kaihatsu ni Kansuru Robī Katsudō</t>
        </is>
      </c>
      <c r="E72" t="inlineStr">
        <is>
          <t xml:space="preserve">Combat</t>
        </is>
      </c>
      <c r="F72" t="inlineStr">
        <is>
          <t xml:space="preserve">Appeasement</t>
        </is>
      </c>
      <c r="G72" t="inlineStr">
        <is>
          <t xml:space="preserve">Percentage</t>
        </is>
      </c>
      <c r="H72">
        <v>50</v>
      </c>
      <c r="I72">
        <v>25</v>
      </c>
      <c r="J72">
        <f>IF(AND(ISNUMBER(H72),ISNUMBER(I72)),IF(H72=0,"",I72/H72),"varies")</f>
        <v>0.5</v>
      </c>
      <c r="K72">
        <v>7</v>
      </c>
      <c r="L72">
        <v>3</v>
      </c>
      <c r="M72">
        <v>5</v>
      </c>
      <c r="N72">
        <v>6</v>
      </c>
      <c r="O72">
        <v>5</v>
      </c>
      <c r="P72">
        <v>15</v>
      </c>
      <c r="Q72">
        <v>0</v>
      </c>
      <c r="R72">
        <v>0</v>
      </c>
      <c r="S72">
        <v>0</v>
      </c>
      <c r="T72">
        <v>1</v>
      </c>
      <c r="U72">
        <v>0</v>
      </c>
      <c r="V72">
        <v>0</v>
      </c>
      <c r="W72">
        <f>SUM(Q72:V72)</f>
        <v>1</v>
      </c>
      <c r="X72" t="str">
        <f>IF(E72&lt;&gt;"Combat","—",IFERROR(INDEX(Affinity!$A$2:$A$7,MATCH(MAX(INDEX(Affinity!$B$2:$CU$7,0,MATCH(A72,Affinity!$B$1:$CU$1,0))),INDEX(Affinity!$B$2:$CU$7,0,MATCH(A72,Affinity!$B$1:$CU$1,0)),0)),"—"))</f>
        <v>Data Driven</v>
      </c>
      <c r="Y72">
        <v>0</v>
      </c>
      <c r="Z72">
        <v>20000</v>
      </c>
      <c r="AA72">
        <v>0</v>
      </c>
      <c r="AB72">
        <v>30</v>
      </c>
      <c r="AC72">
        <v>0</v>
      </c>
      <c r="AD72">
        <v>0</v>
      </c>
      <c r="AE72">
        <v>0</v>
      </c>
      <c r="AF72">
        <v>0</v>
      </c>
      <c r="AG72">
        <v>0</v>
      </c>
      <c r="AH72">
        <v>-1</v>
      </c>
      <c r="AI72" t="inlineStr">
        <is>
          <t xml:space="preserve">Shared_pool</t>
        </is>
      </c>
      <c r="AJ72" t="inlineStr">
        <is>
          <t xml:space="preserve">pool</t>
        </is>
      </c>
      <c r="AK72">
        <v>12</v>
      </c>
      <c r="AL72" t="inlineStr">
        <is>
          <t xml:space="preserve">single</t>
        </is>
      </c>
      <c r="AM72" t="inlineStr">
        <is>
          <t xml:space="preserve">1</t>
        </is>
      </c>
      <c r="AN72" t="inlineStr">
        <is>
          <t xml:space="preserve">lobbyist_meeting</t>
        </is>
      </c>
      <c r="AO72" t="inlineStr">
        <is>
          <t xml:space="preserve">No</t>
        </is>
      </c>
      <c r="AR72" t="inlineStr">
        <is>
          <t xml:space="preserve">Yes</t>
        </is>
      </c>
    </row>
    <row r="73">
      <c r="A73" t="inlineStr">
        <is>
          <t xml:space="preserve">ST72</t>
        </is>
      </c>
      <c r="B73" t="inlineStr">
        <is>
          <t xml:space="preserve">Party Caucus on Chishima Development</t>
        </is>
      </c>
      <c r="C73" t="inlineStr">
        <is>
          <t xml:space="preserve">千島資源開発党内会合</t>
        </is>
      </c>
      <c r="D73" t="inlineStr">
        <is>
          <t xml:space="preserve">Chishima Shigen Kaihatsu Tōnai Kaigō</t>
        </is>
      </c>
      <c r="E73" t="inlineStr">
        <is>
          <t xml:space="preserve">Combat</t>
        </is>
      </c>
      <c r="F73" t="inlineStr">
        <is>
          <t xml:space="preserve">Support</t>
        </is>
      </c>
      <c r="G73" t="inlineStr">
        <is>
          <t xml:space="preserve">Percentage</t>
        </is>
      </c>
      <c r="H73">
        <v>100</v>
      </c>
      <c r="I73">
        <v>60</v>
      </c>
      <c r="J73">
        <f>IF(AND(ISNUMBER(H73),ISNUMBER(I73)),IF(H73=0,"",I73/H73),"varies")</f>
        <v>0.6</v>
      </c>
      <c r="K73">
        <v>10</v>
      </c>
      <c r="L73">
        <v>3</v>
      </c>
      <c r="M73">
        <v>5</v>
      </c>
      <c r="N73">
        <v>5</v>
      </c>
      <c r="O73">
        <v>20</v>
      </c>
      <c r="P73">
        <v>40</v>
      </c>
      <c r="Q73">
        <v>0</v>
      </c>
      <c r="R73">
        <v>0.55</v>
      </c>
      <c r="S73">
        <v>0</v>
      </c>
      <c r="T73">
        <v>0</v>
      </c>
      <c r="U73">
        <v>0</v>
      </c>
      <c r="V73">
        <v>0.45</v>
      </c>
      <c r="W73">
        <f>SUM(Q73:V73)</f>
        <v>1.0</v>
      </c>
      <c r="X73" t="str">
        <f>IF(E73&lt;&gt;"Combat","—",IFERROR(INDEX(Affinity!$A$2:$A$7,MATCH(MAX(INDEX(Affinity!$B$2:$CU$7,0,MATCH(A73,Affinity!$B$1:$CU$1,0))),INDEX(Affinity!$B$2:$CU$7,0,MATCH(A73,Affinity!$B$1:$CU$1,0)),0)),"—"))</f>
        <v>Appeal</v>
      </c>
      <c r="Y73">
        <v>0</v>
      </c>
      <c r="Z73">
        <v>10000</v>
      </c>
      <c r="AA73">
        <v>1</v>
      </c>
      <c r="AB73">
        <v>70</v>
      </c>
      <c r="AC73">
        <v>2</v>
      </c>
      <c r="AD73">
        <v>0</v>
      </c>
      <c r="AE73">
        <v>0</v>
      </c>
      <c r="AF73">
        <v>-1</v>
      </c>
      <c r="AG73">
        <v>1</v>
      </c>
      <c r="AH73">
        <v>-2</v>
      </c>
      <c r="AI73" t="inlineStr">
        <is>
          <t xml:space="preserve">Shared_pool</t>
        </is>
      </c>
      <c r="AJ73" t="inlineStr">
        <is>
          <t xml:space="preserve">per_turn</t>
        </is>
      </c>
      <c r="AL73" t="inlineStr">
        <is>
          <t xml:space="preserve">continuous</t>
        </is>
      </c>
      <c r="AM73">
        <v>2</v>
      </c>
      <c r="AO73" t="inlineStr">
        <is>
          <t xml:space="preserve">No</t>
        </is>
      </c>
      <c r="AR73" t="inlineStr">
        <is>
          <t xml:space="preserve">Yes</t>
        </is>
      </c>
      <c r="AT73" t="inlineStr">
        <is>
          <t xml:space="preserve">Yes</t>
        </is>
      </c>
    </row>
    <row r="74">
      <c r="A74" t="inlineStr">
        <is>
          <t xml:space="preserve">ST73</t>
        </is>
      </c>
      <c r="B74" t="inlineStr">
        <is>
          <t xml:space="preserve">TV Debate on China Trade</t>
        </is>
      </c>
      <c r="C74" t="inlineStr">
        <is>
          <t xml:space="preserve">対中貿易正常化テレビ討論</t>
        </is>
      </c>
      <c r="D74" t="inlineStr">
        <is>
          <t xml:space="preserve">Taichū Bōeki Seijōka Terebi Tōron</t>
        </is>
      </c>
      <c r="E74" t="inlineStr">
        <is>
          <t xml:space="preserve">Combat</t>
        </is>
      </c>
      <c r="F74" t="inlineStr">
        <is>
          <t xml:space="preserve">Viewer Interest</t>
        </is>
      </c>
      <c r="G74" t="inlineStr">
        <is>
          <t xml:space="preserve">Numerical</t>
        </is>
      </c>
      <c r="H74">
        <v>100</v>
      </c>
      <c r="I74">
        <v>65</v>
      </c>
      <c r="J74">
        <f>IF(AND(ISNUMBER(H74),ISNUMBER(I74)),IF(H74=0,"",I74/H74),"varies")</f>
        <v>0.65</v>
      </c>
      <c r="K74">
        <v>5</v>
      </c>
      <c r="L74">
        <v>5</v>
      </c>
      <c r="M74">
        <v>6</v>
      </c>
      <c r="N74">
        <v>5</v>
      </c>
      <c r="O74">
        <v>60</v>
      </c>
      <c r="P74">
        <v>50</v>
      </c>
      <c r="Q74">
        <v>0.8</v>
      </c>
      <c r="R74">
        <v>0</v>
      </c>
      <c r="S74">
        <v>0.2</v>
      </c>
      <c r="T74">
        <v>0</v>
      </c>
      <c r="U74">
        <v>0</v>
      </c>
      <c r="V74">
        <v>0</v>
      </c>
      <c r="W74">
        <f>SUM(Q74:V74)</f>
        <v>1.0</v>
      </c>
      <c r="X74" t="str">
        <f>IF(E74&lt;&gt;"Combat","—",IFERROR(INDEX(Affinity!$A$2:$A$7,MATCH(MAX(INDEX(Affinity!$B$2:$CU$7,0,MATCH(A74,Affinity!$B$1:$CU$1,0))),INDEX(Affinity!$B$2:$CU$7,0,MATCH(A74,Affinity!$B$1:$CU$1,0)),0)),"—"))</f>
        <v>Data Driven</v>
      </c>
      <c r="Y74">
        <v>3</v>
      </c>
      <c r="Z74">
        <v>40000</v>
      </c>
      <c r="AA74">
        <v>2</v>
      </c>
      <c r="AB74">
        <v>70</v>
      </c>
      <c r="AC74">
        <v>2</v>
      </c>
      <c r="AD74">
        <v>-1</v>
      </c>
      <c r="AE74">
        <v>0</v>
      </c>
      <c r="AF74">
        <v>-3</v>
      </c>
      <c r="AG74">
        <v>0</v>
      </c>
      <c r="AH74">
        <v>-1</v>
      </c>
      <c r="AI74" t="inlineStr">
        <is>
          <t xml:space="preserve">Survival</t>
        </is>
      </c>
      <c r="AJ74" t="inlineStr">
        <is>
          <t xml:space="preserve">per_turn</t>
        </is>
      </c>
      <c r="AL74" t="inlineStr">
        <is>
          <t xml:space="preserve">single</t>
        </is>
      </c>
      <c r="AM74" t="inlineStr">
        <is>
          <t xml:space="preserve">1</t>
        </is>
      </c>
      <c r="AO74" t="inlineStr">
        <is>
          <t xml:space="preserve">Yes</t>
        </is>
      </c>
      <c r="AR74" t="inlineStr">
        <is>
          <t xml:space="preserve">Yes</t>
        </is>
      </c>
    </row>
    <row r="75">
      <c r="A75" t="inlineStr">
        <is>
          <t xml:space="preserve">ST74</t>
        </is>
      </c>
      <c r="B75" t="inlineStr">
        <is>
          <t xml:space="preserve">Hearing on China Trade</t>
        </is>
      </c>
      <c r="C75" t="inlineStr">
        <is>
          <t xml:space="preserve">対中貿易正常化に関する公聴会</t>
        </is>
      </c>
      <c r="D75" t="inlineStr">
        <is>
          <t xml:space="preserve">Taichū Bōeki Seijōka ni Kansuru Kōchōkai</t>
        </is>
      </c>
      <c r="E75" t="inlineStr">
        <is>
          <t xml:space="preserve">Combat</t>
        </is>
      </c>
      <c r="F75" t="inlineStr">
        <is>
          <t xml:space="preserve">Favourability</t>
        </is>
      </c>
      <c r="G75" t="inlineStr">
        <is>
          <t xml:space="preserve">Percentage</t>
        </is>
      </c>
      <c r="H75">
        <v>100</v>
      </c>
      <c r="I75">
        <v>62</v>
      </c>
      <c r="J75">
        <f>IF(AND(ISNUMBER(H75),ISNUMBER(I75)),IF(H75=0,"",I75/H75),"varies")</f>
        <v>0.62</v>
      </c>
      <c r="K75">
        <v>10</v>
      </c>
      <c r="L75">
        <v>4</v>
      </c>
      <c r="M75">
        <v>5</v>
      </c>
      <c r="N75">
        <v>5</v>
      </c>
      <c r="O75">
        <v>25</v>
      </c>
      <c r="P75">
        <v>30</v>
      </c>
      <c r="Q75">
        <v>0.4</v>
      </c>
      <c r="R75">
        <v>0.2</v>
      </c>
      <c r="S75">
        <v>0</v>
      </c>
      <c r="T75">
        <v>0.2</v>
      </c>
      <c r="U75">
        <v>0.2</v>
      </c>
      <c r="V75">
        <v>0</v>
      </c>
      <c r="W75">
        <f>SUM(Q75:V75)</f>
        <v>1.0</v>
      </c>
      <c r="X75" t="str">
        <f>IF(E75&lt;&gt;"Combat","—",IFERROR(INDEX(Affinity!$A$2:$A$7,MATCH(MAX(INDEX(Affinity!$B$2:$CU$7,0,MATCH(A75,Affinity!$B$1:$CU$1,0))),INDEX(Affinity!$B$2:$CU$7,0,MATCH(A75,Affinity!$B$1:$CU$1,0)),0)),"—"))</f>
        <v>Data Driven</v>
      </c>
      <c r="Y75">
        <v>0</v>
      </c>
      <c r="Z75">
        <v>20000</v>
      </c>
      <c r="AA75">
        <v>2</v>
      </c>
      <c r="AB75">
        <v>50</v>
      </c>
      <c r="AC75">
        <v>2</v>
      </c>
      <c r="AD75">
        <v>0</v>
      </c>
      <c r="AE75">
        <v>0</v>
      </c>
      <c r="AF75">
        <v>0</v>
      </c>
      <c r="AG75">
        <v>1</v>
      </c>
      <c r="AH75">
        <v>0</v>
      </c>
      <c r="AI75" t="inlineStr">
        <is>
          <t xml:space="preserve">Shared_pool</t>
        </is>
      </c>
      <c r="AJ75" t="inlineStr">
        <is>
          <t xml:space="preserve">per_turn</t>
        </is>
      </c>
      <c r="AL75" t="inlineStr">
        <is>
          <t xml:space="preserve">reset</t>
        </is>
      </c>
      <c r="AM75" t="inlineStr">
        <is>
          <t xml:space="preserve">3</t>
        </is>
      </c>
      <c r="AO75" t="inlineStr">
        <is>
          <t xml:space="preserve">No</t>
        </is>
      </c>
      <c r="AR75" t="inlineStr">
        <is>
          <t xml:space="preserve">Yes</t>
        </is>
      </c>
    </row>
    <row r="76">
      <c r="A76" t="inlineStr">
        <is>
          <t xml:space="preserve">ST75</t>
        </is>
      </c>
      <c r="B76" t="inlineStr">
        <is>
          <t xml:space="preserve">Party Caucus on China Trade</t>
        </is>
      </c>
      <c r="C76" t="inlineStr">
        <is>
          <t xml:space="preserve">対中貿易正常化党内会合</t>
        </is>
      </c>
      <c r="D76" t="inlineStr">
        <is>
          <t xml:space="preserve">Taichū Bōeki Seijōka Tōnai Kaigō</t>
        </is>
      </c>
      <c r="E76" t="inlineStr">
        <is>
          <t xml:space="preserve">Combat</t>
        </is>
      </c>
      <c r="F76" t="inlineStr">
        <is>
          <t xml:space="preserve">Support</t>
        </is>
      </c>
      <c r="G76" t="inlineStr">
        <is>
          <t xml:space="preserve">Percentage</t>
        </is>
      </c>
      <c r="H76">
        <v>100</v>
      </c>
      <c r="I76">
        <v>62</v>
      </c>
      <c r="J76">
        <f>IF(AND(ISNUMBER(H76),ISNUMBER(I76)),IF(H76=0,"",I76/H76),"varies")</f>
        <v>0.62</v>
      </c>
      <c r="K76">
        <v>10</v>
      </c>
      <c r="L76">
        <v>3</v>
      </c>
      <c r="M76">
        <v>5</v>
      </c>
      <c r="N76">
        <v>5</v>
      </c>
      <c r="O76">
        <v>20</v>
      </c>
      <c r="P76">
        <v>40</v>
      </c>
      <c r="Q76">
        <v>0</v>
      </c>
      <c r="R76">
        <v>0.55</v>
      </c>
      <c r="S76">
        <v>0</v>
      </c>
      <c r="T76">
        <v>0</v>
      </c>
      <c r="U76">
        <v>0</v>
      </c>
      <c r="V76">
        <v>0.45</v>
      </c>
      <c r="W76">
        <f>SUM(Q76:V76)</f>
        <v>1.0</v>
      </c>
      <c r="X76" t="str">
        <f>IF(E76&lt;&gt;"Combat","—",IFERROR(INDEX(Affinity!$A$2:$A$7,MATCH(MAX(INDEX(Affinity!$B$2:$CU$7,0,MATCH(A76,Affinity!$B$1:$CU$1,0))),INDEX(Affinity!$B$2:$CU$7,0,MATCH(A76,Affinity!$B$1:$CU$1,0)),0)),"—"))</f>
        <v>Appeal</v>
      </c>
      <c r="Y76">
        <v>0</v>
      </c>
      <c r="Z76">
        <v>10000</v>
      </c>
      <c r="AA76">
        <v>1</v>
      </c>
      <c r="AB76">
        <v>70</v>
      </c>
      <c r="AC76">
        <v>2</v>
      </c>
      <c r="AD76">
        <v>0</v>
      </c>
      <c r="AE76">
        <v>0</v>
      </c>
      <c r="AF76">
        <v>-1</v>
      </c>
      <c r="AG76">
        <v>1</v>
      </c>
      <c r="AH76">
        <v>-2</v>
      </c>
      <c r="AI76" t="inlineStr">
        <is>
          <t xml:space="preserve">Shared_pool</t>
        </is>
      </c>
      <c r="AJ76" t="inlineStr">
        <is>
          <t xml:space="preserve">per_turn</t>
        </is>
      </c>
      <c r="AL76" t="inlineStr">
        <is>
          <t xml:space="preserve">continuous</t>
        </is>
      </c>
      <c r="AM76">
        <v>2</v>
      </c>
      <c r="AO76" t="inlineStr">
        <is>
          <t xml:space="preserve">No</t>
        </is>
      </c>
      <c r="AR76" t="inlineStr">
        <is>
          <t xml:space="preserve">Yes</t>
        </is>
      </c>
      <c r="AT76" t="inlineStr">
        <is>
          <t xml:space="preserve">Yes</t>
        </is>
      </c>
    </row>
    <row r="77">
      <c r="A77" t="inlineStr">
        <is>
          <t xml:space="preserve">ST76</t>
        </is>
      </c>
      <c r="B77" t="inlineStr">
        <is>
          <t xml:space="preserve">Town Hall on Farm Succession</t>
        </is>
      </c>
      <c r="C77" t="inlineStr">
        <is>
          <t xml:space="preserve">農地継承支援を巡る住民集会</t>
        </is>
      </c>
      <c r="D77" t="inlineStr">
        <is>
          <t xml:space="preserve">Nōchi Keishō Shien o Meguru Jūmin Shūkai</t>
        </is>
      </c>
      <c r="E77" t="inlineStr">
        <is>
          <t xml:space="preserve">Combat</t>
        </is>
      </c>
      <c r="F77" t="inlineStr">
        <is>
          <t xml:space="preserve">Appeasement</t>
        </is>
      </c>
      <c r="G77" t="inlineStr">
        <is>
          <t xml:space="preserve">Percentage</t>
        </is>
      </c>
      <c r="H77">
        <v>100</v>
      </c>
      <c r="I77">
        <v>60</v>
      </c>
      <c r="J77">
        <f>IF(AND(ISNUMBER(H77),ISNUMBER(I77)),IF(H77=0,"",I77/H77),"varies")</f>
        <v>0.6</v>
      </c>
      <c r="K77">
        <v>17</v>
      </c>
      <c r="L77">
        <v>3</v>
      </c>
      <c r="M77">
        <v>5</v>
      </c>
      <c r="N77">
        <v>6</v>
      </c>
      <c r="O77">
        <v>15</v>
      </c>
      <c r="P77">
        <v>20</v>
      </c>
      <c r="Q77">
        <v>0.1</v>
      </c>
      <c r="R77">
        <v>0.1</v>
      </c>
      <c r="S77">
        <v>0.7</v>
      </c>
      <c r="T77">
        <v>0.1</v>
      </c>
      <c r="U77">
        <v>0</v>
      </c>
      <c r="V77">
        <v>0</v>
      </c>
      <c r="W77">
        <f>SUM(Q77:V77)</f>
        <v>1.0</v>
      </c>
      <c r="X77" t="str">
        <f>IF(E77&lt;&gt;"Combat","—",IFERROR(INDEX(Affinity!$A$2:$A$7,MATCH(MAX(INDEX(Affinity!$B$2:$CU$7,0,MATCH(A77,Affinity!$B$1:$CU$1,0))),INDEX(Affinity!$B$2:$CU$7,0,MATCH(A77,Affinity!$B$1:$CU$1,0)),0)),"—"))</f>
        <v>Emotional</v>
      </c>
      <c r="Y77">
        <v>5</v>
      </c>
      <c r="Z77">
        <v>35000</v>
      </c>
      <c r="AA77">
        <v>1</v>
      </c>
      <c r="AB77">
        <v>50</v>
      </c>
      <c r="AC77">
        <v>0</v>
      </c>
      <c r="AD77">
        <v>-5</v>
      </c>
      <c r="AE77">
        <v>0</v>
      </c>
      <c r="AF77">
        <v>-3</v>
      </c>
      <c r="AG77">
        <v>10</v>
      </c>
      <c r="AH77">
        <v>0</v>
      </c>
      <c r="AI77" t="inlineStr">
        <is>
          <t xml:space="preserve">Shared_pool</t>
        </is>
      </c>
      <c r="AJ77" t="inlineStr">
        <is>
          <t xml:space="preserve">per_turn</t>
        </is>
      </c>
      <c r="AL77" t="inlineStr">
        <is>
          <t xml:space="preserve">stream</t>
        </is>
      </c>
      <c r="AM77">
        <v>3</v>
      </c>
      <c r="AN77" t="inlineStr">
        <is>
          <t xml:space="preserve">town_hall</t>
        </is>
      </c>
      <c r="AO77" t="inlineStr">
        <is>
          <t xml:space="preserve">No</t>
        </is>
      </c>
      <c r="AR77" t="inlineStr">
        <is>
          <t xml:space="preserve">Yes</t>
        </is>
      </c>
    </row>
    <row r="78">
      <c r="A78" t="inlineStr">
        <is>
          <t xml:space="preserve">ST77</t>
        </is>
      </c>
      <c r="B78" t="inlineStr">
        <is>
          <t xml:space="preserve">Hearing on Farm Succession</t>
        </is>
      </c>
      <c r="C78" t="inlineStr">
        <is>
          <t xml:space="preserve">農地継承支援に関する公聴会</t>
        </is>
      </c>
      <c r="D78" t="inlineStr">
        <is>
          <t xml:space="preserve">Nōchi Keishō Shien ni Kansuru Kōchōkai</t>
        </is>
      </c>
      <c r="E78" t="inlineStr">
        <is>
          <t xml:space="preserve">Combat</t>
        </is>
      </c>
      <c r="F78" t="inlineStr">
        <is>
          <t xml:space="preserve">Favourability</t>
        </is>
      </c>
      <c r="G78" t="inlineStr">
        <is>
          <t xml:space="preserve">Percentage</t>
        </is>
      </c>
      <c r="H78">
        <v>100</v>
      </c>
      <c r="I78">
        <v>51</v>
      </c>
      <c r="J78">
        <f>IF(AND(ISNUMBER(H78),ISNUMBER(I78)),IF(H78=0,"",I78/H78),"varies")</f>
        <v>0.51</v>
      </c>
      <c r="K78">
        <v>10</v>
      </c>
      <c r="L78">
        <v>5</v>
      </c>
      <c r="M78">
        <v>5</v>
      </c>
      <c r="N78">
        <v>7</v>
      </c>
      <c r="O78">
        <v>30</v>
      </c>
      <c r="P78">
        <v>30</v>
      </c>
      <c r="Q78">
        <v>0</v>
      </c>
      <c r="R78">
        <v>0.2</v>
      </c>
      <c r="S78">
        <v>0.6</v>
      </c>
      <c r="T78">
        <v>0</v>
      </c>
      <c r="U78">
        <v>0</v>
      </c>
      <c r="V78">
        <v>0.2</v>
      </c>
      <c r="W78">
        <f>SUM(Q78:V78)</f>
        <v>1.0</v>
      </c>
      <c r="X78" t="str">
        <f>IF(E78&lt;&gt;"Combat","—",IFERROR(INDEX(Affinity!$A$2:$A$7,MATCH(MAX(INDEX(Affinity!$B$2:$CU$7,0,MATCH(A78,Affinity!$B$1:$CU$1,0))),INDEX(Affinity!$B$2:$CU$7,0,MATCH(A78,Affinity!$B$1:$CU$1,0)),0)),"—"))</f>
        <v>Emotional</v>
      </c>
      <c r="Y78">
        <v>1</v>
      </c>
      <c r="Z78">
        <v>10000</v>
      </c>
      <c r="AA78">
        <v>1</v>
      </c>
      <c r="AB78">
        <v>50</v>
      </c>
      <c r="AC78">
        <v>0</v>
      </c>
      <c r="AD78">
        <v>-1</v>
      </c>
      <c r="AE78">
        <v>1000</v>
      </c>
      <c r="AF78">
        <v>0</v>
      </c>
      <c r="AG78">
        <v>1</v>
      </c>
      <c r="AH78">
        <v>0</v>
      </c>
      <c r="AI78" t="inlineStr">
        <is>
          <t xml:space="preserve">Shared_pool</t>
        </is>
      </c>
      <c r="AJ78" t="inlineStr">
        <is>
          <t xml:space="preserve">per_turn</t>
        </is>
      </c>
      <c r="AL78" t="inlineStr">
        <is>
          <t xml:space="preserve">reset</t>
        </is>
      </c>
      <c r="AM78">
        <v>2</v>
      </c>
      <c r="AO78" t="inlineStr">
        <is>
          <t xml:space="preserve">No</t>
        </is>
      </c>
      <c r="AR78" t="inlineStr">
        <is>
          <t xml:space="preserve">Yes</t>
        </is>
      </c>
    </row>
    <row r="79">
      <c r="A79" t="inlineStr">
        <is>
          <t xml:space="preserve">ST78</t>
        </is>
      </c>
      <c r="B79" t="inlineStr">
        <is>
          <t xml:space="preserve">Party Caucus on Farm Succession</t>
        </is>
      </c>
      <c r="C79" t="inlineStr">
        <is>
          <t xml:space="preserve">農地継承支援党内会合</t>
        </is>
      </c>
      <c r="D79" t="inlineStr">
        <is>
          <t xml:space="preserve">Nōchi Keishō Shien Tōnai Kaigō</t>
        </is>
      </c>
      <c r="E79" t="inlineStr">
        <is>
          <t xml:space="preserve">Combat</t>
        </is>
      </c>
      <c r="F79" t="inlineStr">
        <is>
          <t xml:space="preserve">Support</t>
        </is>
      </c>
      <c r="G79" t="inlineStr">
        <is>
          <t xml:space="preserve">Percentage</t>
        </is>
      </c>
      <c r="H79">
        <v>100</v>
      </c>
      <c r="I79">
        <v>60</v>
      </c>
      <c r="J79">
        <f>IF(AND(ISNUMBER(H79),ISNUMBER(I79)),IF(H79=0,"",I79/H79),"varies")</f>
        <v>0.6</v>
      </c>
      <c r="K79">
        <v>10</v>
      </c>
      <c r="L79">
        <v>3</v>
      </c>
      <c r="M79">
        <v>5</v>
      </c>
      <c r="N79">
        <v>5</v>
      </c>
      <c r="O79">
        <v>20</v>
      </c>
      <c r="P79">
        <v>40</v>
      </c>
      <c r="Q79">
        <v>0</v>
      </c>
      <c r="R79">
        <v>0.55</v>
      </c>
      <c r="S79">
        <v>0</v>
      </c>
      <c r="T79">
        <v>0</v>
      </c>
      <c r="U79">
        <v>0</v>
      </c>
      <c r="V79">
        <v>0.45</v>
      </c>
      <c r="W79">
        <f>SUM(Q79:V79)</f>
        <v>1.0</v>
      </c>
      <c r="X79" t="str">
        <f>IF(E79&lt;&gt;"Combat","—",IFERROR(INDEX(Affinity!$A$2:$A$7,MATCH(MAX(INDEX(Affinity!$B$2:$CU$7,0,MATCH(A79,Affinity!$B$1:$CU$1,0))),INDEX(Affinity!$B$2:$CU$7,0,MATCH(A79,Affinity!$B$1:$CU$1,0)),0)),"—"))</f>
        <v>Earnest</v>
      </c>
      <c r="Y79">
        <v>0</v>
      </c>
      <c r="Z79">
        <v>10000</v>
      </c>
      <c r="AA79">
        <v>1</v>
      </c>
      <c r="AB79">
        <v>70</v>
      </c>
      <c r="AC79">
        <v>2</v>
      </c>
      <c r="AD79">
        <v>0</v>
      </c>
      <c r="AE79">
        <v>0</v>
      </c>
      <c r="AF79">
        <v>-1</v>
      </c>
      <c r="AG79">
        <v>1</v>
      </c>
      <c r="AH79">
        <v>-2</v>
      </c>
      <c r="AI79" t="inlineStr">
        <is>
          <t xml:space="preserve">Shared_pool</t>
        </is>
      </c>
      <c r="AJ79" t="inlineStr">
        <is>
          <t xml:space="preserve">per_turn</t>
        </is>
      </c>
      <c r="AL79" t="inlineStr">
        <is>
          <t xml:space="preserve">continuous</t>
        </is>
      </c>
      <c r="AM79">
        <v>2</v>
      </c>
      <c r="AO79" t="inlineStr">
        <is>
          <t xml:space="preserve">No</t>
        </is>
      </c>
      <c r="AR79" t="inlineStr">
        <is>
          <t xml:space="preserve">Yes</t>
        </is>
      </c>
      <c r="AT79" t="inlineStr">
        <is>
          <t xml:space="preserve">Yes</t>
        </is>
      </c>
    </row>
    <row r="80">
      <c r="A80" t="inlineStr">
        <is>
          <t xml:space="preserve">ST79</t>
        </is>
      </c>
      <c r="B80" t="inlineStr">
        <is>
          <t xml:space="preserve">Policy Study on University Research Funding</t>
        </is>
      </c>
      <c r="C80" t="inlineStr">
        <is>
          <t xml:space="preserve">大学の自治と研究費政策検討会</t>
        </is>
      </c>
      <c r="D80" t="inlineStr">
        <is>
          <t xml:space="preserve">Daigaku no Jichi to Kenkyūhi Seisaku Kentōkai</t>
        </is>
      </c>
      <c r="E80" t="inlineStr">
        <is>
          <t xml:space="preserve">Combat</t>
        </is>
      </c>
      <c r="F80" t="inlineStr">
        <is>
          <t xml:space="preserve">Consensus</t>
        </is>
      </c>
      <c r="G80" t="inlineStr">
        <is>
          <t xml:space="preserve">Percentage</t>
        </is>
      </c>
      <c r="H80">
        <v>50</v>
      </c>
      <c r="I80">
        <v>35</v>
      </c>
      <c r="J80">
        <f>IF(AND(ISNUMBER(H80),ISNUMBER(I80)),IF(H80=0,"",I80/H80),"varies")</f>
        <v>0.7</v>
      </c>
      <c r="K80">
        <v>10</v>
      </c>
      <c r="L80">
        <v>5</v>
      </c>
      <c r="M80">
        <v>5</v>
      </c>
      <c r="N80">
        <v>10</v>
      </c>
      <c r="O80">
        <v>1</v>
      </c>
      <c r="P80">
        <v>10</v>
      </c>
      <c r="Q80">
        <v>0</v>
      </c>
      <c r="R80">
        <v>0</v>
      </c>
      <c r="S80">
        <v>0</v>
      </c>
      <c r="T80">
        <v>0</v>
      </c>
      <c r="U80">
        <v>0.8</v>
      </c>
      <c r="V80">
        <v>0.2</v>
      </c>
      <c r="W80">
        <f>SUM(Q80:V80)</f>
        <v>1.0</v>
      </c>
      <c r="X80" t="str">
        <f>IF(E80&lt;&gt;"Combat","—",IFERROR(INDEX(Affinity!$A$2:$A$7,MATCH(MAX(INDEX(Affinity!$B$2:$CU$7,0,MATCH(A80,Affinity!$B$1:$CU$1,0))),INDEX(Affinity!$B$2:$CU$7,0,MATCH(A80,Affinity!$B$1:$CU$1,0)),0)),"—"))</f>
        <v>Data Driven</v>
      </c>
      <c r="Y80">
        <v>1</v>
      </c>
      <c r="Z80">
        <v>15000</v>
      </c>
      <c r="AA80">
        <v>1</v>
      </c>
      <c r="AB80">
        <v>70</v>
      </c>
      <c r="AC80">
        <v>1</v>
      </c>
      <c r="AD80">
        <v>0</v>
      </c>
      <c r="AE80">
        <v>0</v>
      </c>
      <c r="AF80">
        <v>0</v>
      </c>
      <c r="AG80">
        <v>5</v>
      </c>
      <c r="AH80">
        <v>0</v>
      </c>
      <c r="AI80" t="inlineStr">
        <is>
          <t xml:space="preserve">Shared_pool</t>
        </is>
      </c>
      <c r="AJ80" t="inlineStr">
        <is>
          <t xml:space="preserve">per_turn</t>
        </is>
      </c>
      <c r="AL80" t="inlineStr">
        <is>
          <t xml:space="preserve">stream</t>
        </is>
      </c>
      <c r="AM80">
        <v>2</v>
      </c>
      <c r="AN80" t="inlineStr">
        <is>
          <t xml:space="preserve">policy_study</t>
        </is>
      </c>
      <c r="AO80" t="inlineStr">
        <is>
          <t xml:space="preserve">No</t>
        </is>
      </c>
      <c r="AQ80" t="inlineStr">
        <is>
          <t xml:space="preserve">No</t>
        </is>
      </c>
      <c r="AR80" t="inlineStr">
        <is>
          <t xml:space="preserve">Yes</t>
        </is>
      </c>
    </row>
    <row r="81">
      <c r="A81" t="inlineStr">
        <is>
          <t xml:space="preserve">ST80</t>
        </is>
      </c>
      <c r="B81" t="inlineStr">
        <is>
          <t xml:space="preserve">Hearing on University Research Funding</t>
        </is>
      </c>
      <c r="C81" t="inlineStr">
        <is>
          <t xml:space="preserve">大学の自治と研究費に関する公聴会</t>
        </is>
      </c>
      <c r="D81" t="inlineStr">
        <is>
          <t xml:space="preserve">Daigaku no Jichi to Kenkyūhi ni Kansuru Kōchōkai</t>
        </is>
      </c>
      <c r="E81" t="inlineStr">
        <is>
          <t xml:space="preserve">Combat</t>
        </is>
      </c>
      <c r="F81" t="inlineStr">
        <is>
          <t xml:space="preserve">Favourability</t>
        </is>
      </c>
      <c r="G81" t="inlineStr">
        <is>
          <t xml:space="preserve">Percentage</t>
        </is>
      </c>
      <c r="H81">
        <v>100</v>
      </c>
      <c r="I81">
        <v>60</v>
      </c>
      <c r="J81">
        <f>IF(AND(ISNUMBER(H81),ISNUMBER(I81)),IF(H81=0,"",I81/H81),"varies")</f>
        <v>0.6</v>
      </c>
      <c r="K81">
        <v>10</v>
      </c>
      <c r="L81">
        <v>5</v>
      </c>
      <c r="M81">
        <v>5</v>
      </c>
      <c r="N81">
        <v>5</v>
      </c>
      <c r="O81">
        <v>30</v>
      </c>
      <c r="P81">
        <v>40</v>
      </c>
      <c r="Q81">
        <v>0.15</v>
      </c>
      <c r="R81">
        <v>0</v>
      </c>
      <c r="S81">
        <v>0.1</v>
      </c>
      <c r="T81">
        <v>0.1</v>
      </c>
      <c r="U81">
        <v>0.65</v>
      </c>
      <c r="V81">
        <v>0</v>
      </c>
      <c r="W81">
        <f>SUM(Q81:V81)</f>
        <v>1.0</v>
      </c>
      <c r="X81" t="str">
        <f>IF(E81&lt;&gt;"Combat","—",IFERROR(INDEX(Affinity!$A$2:$A$7,MATCH(MAX(INDEX(Affinity!$B$2:$CU$7,0,MATCH(A81,Affinity!$B$1:$CU$1,0))),INDEX(Affinity!$B$2:$CU$7,0,MATCH(A81,Affinity!$B$1:$CU$1,0)),0)),"—"))</f>
        <v>Data Driven</v>
      </c>
      <c r="Y81">
        <v>1</v>
      </c>
      <c r="Z81">
        <v>50000</v>
      </c>
      <c r="AA81">
        <v>5</v>
      </c>
      <c r="AB81">
        <v>50</v>
      </c>
      <c r="AC81">
        <v>5</v>
      </c>
      <c r="AD81">
        <v>0</v>
      </c>
      <c r="AE81">
        <v>0</v>
      </c>
      <c r="AF81">
        <v>0</v>
      </c>
      <c r="AG81">
        <v>2</v>
      </c>
      <c r="AH81">
        <v>0</v>
      </c>
      <c r="AI81" t="inlineStr">
        <is>
          <t xml:space="preserve">Shared_pool</t>
        </is>
      </c>
      <c r="AJ81" t="inlineStr">
        <is>
          <t xml:space="preserve">per_turn</t>
        </is>
      </c>
      <c r="AL81" t="inlineStr">
        <is>
          <t xml:space="preserve">reset</t>
        </is>
      </c>
      <c r="AM81">
        <v>4</v>
      </c>
      <c r="AO81" t="inlineStr">
        <is>
          <t xml:space="preserve">No</t>
        </is>
      </c>
      <c r="AR81" t="inlineStr">
        <is>
          <t xml:space="preserve">Yes</t>
        </is>
      </c>
    </row>
    <row r="82">
      <c r="A82" t="inlineStr">
        <is>
          <t xml:space="preserve">ST81</t>
        </is>
      </c>
      <c r="B82" t="inlineStr">
        <is>
          <t xml:space="preserve">Party Caucus on University Research Funding</t>
        </is>
      </c>
      <c r="C82" t="inlineStr">
        <is>
          <t xml:space="preserve">大学の自治と研究費党内会合</t>
        </is>
      </c>
      <c r="D82" t="inlineStr">
        <is>
          <t xml:space="preserve">Daigaku no Jichi to Kenkyūhi Tōnai Kaigō</t>
        </is>
      </c>
      <c r="E82" t="inlineStr">
        <is>
          <t xml:space="preserve">Combat</t>
        </is>
      </c>
      <c r="F82" t="inlineStr">
        <is>
          <t xml:space="preserve">Support</t>
        </is>
      </c>
      <c r="G82" t="inlineStr">
        <is>
          <t xml:space="preserve">Percentage</t>
        </is>
      </c>
      <c r="H82">
        <v>100</v>
      </c>
      <c r="I82">
        <v>60</v>
      </c>
      <c r="J82">
        <f>IF(AND(ISNUMBER(H82),ISNUMBER(I82)),IF(H82=0,"",I82/H82),"varies")</f>
        <v>0.6</v>
      </c>
      <c r="K82">
        <v>10</v>
      </c>
      <c r="L82">
        <v>3</v>
      </c>
      <c r="M82">
        <v>5</v>
      </c>
      <c r="N82">
        <v>5</v>
      </c>
      <c r="O82">
        <v>20</v>
      </c>
      <c r="P82">
        <v>40</v>
      </c>
      <c r="Q82">
        <v>0</v>
      </c>
      <c r="R82">
        <v>0.55</v>
      </c>
      <c r="S82">
        <v>0</v>
      </c>
      <c r="T82">
        <v>0</v>
      </c>
      <c r="U82">
        <v>0</v>
      </c>
      <c r="V82">
        <v>0.45</v>
      </c>
      <c r="W82">
        <f>SUM(Q82:V82)</f>
        <v>1.0</v>
      </c>
      <c r="X82" t="str">
        <f>IF(E82&lt;&gt;"Combat","—",IFERROR(INDEX(Affinity!$A$2:$A$7,MATCH(MAX(INDEX(Affinity!$B$2:$CU$7,0,MATCH(A82,Affinity!$B$1:$CU$1,0))),INDEX(Affinity!$B$2:$CU$7,0,MATCH(A82,Affinity!$B$1:$CU$1,0)),0)),"—"))</f>
        <v>Earnest</v>
      </c>
      <c r="Y82">
        <v>0</v>
      </c>
      <c r="Z82">
        <v>10000</v>
      </c>
      <c r="AA82">
        <v>1</v>
      </c>
      <c r="AB82">
        <v>70</v>
      </c>
      <c r="AC82">
        <v>2</v>
      </c>
      <c r="AD82">
        <v>0</v>
      </c>
      <c r="AE82">
        <v>0</v>
      </c>
      <c r="AF82">
        <v>-1</v>
      </c>
      <c r="AG82">
        <v>1</v>
      </c>
      <c r="AH82">
        <v>-2</v>
      </c>
      <c r="AI82" t="inlineStr">
        <is>
          <t xml:space="preserve">Shared_pool</t>
        </is>
      </c>
      <c r="AJ82" t="inlineStr">
        <is>
          <t xml:space="preserve">per_turn</t>
        </is>
      </c>
      <c r="AL82" t="inlineStr">
        <is>
          <t xml:space="preserve">continuous</t>
        </is>
      </c>
      <c r="AM82">
        <v>2</v>
      </c>
      <c r="AO82" t="inlineStr">
        <is>
          <t xml:space="preserve">No</t>
        </is>
      </c>
      <c r="AR82" t="inlineStr">
        <is>
          <t xml:space="preserve">Yes</t>
        </is>
      </c>
      <c r="AT82" t="inlineStr">
        <is>
          <t xml:space="preserve">Yes</t>
        </is>
      </c>
    </row>
    <row r="83">
      <c r="A83" t="inlineStr">
        <is>
          <t xml:space="preserve">ST82</t>
        </is>
      </c>
      <c r="B83" t="inlineStr">
        <is>
          <t xml:space="preserve">Town Hall on Workplace Equality</t>
        </is>
      </c>
      <c r="C83" t="inlineStr">
        <is>
          <t xml:space="preserve">職場の平等を巡る住民集会</t>
        </is>
      </c>
      <c r="D83" t="inlineStr">
        <is>
          <t xml:space="preserve">Shokuba no Byōdō o Meguru Jūmin Shūkai</t>
        </is>
      </c>
      <c r="E83" t="inlineStr">
        <is>
          <t xml:space="preserve">Combat</t>
        </is>
      </c>
      <c r="F83" t="inlineStr">
        <is>
          <t xml:space="preserve">Appeasement</t>
        </is>
      </c>
      <c r="G83" t="inlineStr">
        <is>
          <t xml:space="preserve">Percentage</t>
        </is>
      </c>
      <c r="H83">
        <v>100</v>
      </c>
      <c r="I83">
        <v>62</v>
      </c>
      <c r="J83">
        <f>IF(AND(ISNUMBER(H83),ISNUMBER(I83)),IF(H83=0,"",I83/H83),"varies")</f>
        <v>0.62</v>
      </c>
      <c r="K83">
        <v>17</v>
      </c>
      <c r="L83">
        <v>3</v>
      </c>
      <c r="M83">
        <v>5</v>
      </c>
      <c r="N83">
        <v>6</v>
      </c>
      <c r="O83">
        <v>15</v>
      </c>
      <c r="P83">
        <v>20</v>
      </c>
      <c r="Q83">
        <v>0.1</v>
      </c>
      <c r="R83">
        <v>0.1</v>
      </c>
      <c r="S83">
        <v>0.7</v>
      </c>
      <c r="T83">
        <v>0.1</v>
      </c>
      <c r="U83">
        <v>0</v>
      </c>
      <c r="V83">
        <v>0</v>
      </c>
      <c r="W83">
        <f>SUM(Q83:V83)</f>
        <v>1.0</v>
      </c>
      <c r="X83" t="str">
        <f>IF(E83&lt;&gt;"Combat","—",IFERROR(INDEX(Affinity!$A$2:$A$7,MATCH(MAX(INDEX(Affinity!$B$2:$CU$7,0,MATCH(A83,Affinity!$B$1:$CU$1,0))),INDEX(Affinity!$B$2:$CU$7,0,MATCH(A83,Affinity!$B$1:$CU$1,0)),0)),"—"))</f>
        <v>Earnest</v>
      </c>
      <c r="Y83">
        <v>5</v>
      </c>
      <c r="Z83">
        <v>35000</v>
      </c>
      <c r="AA83">
        <v>1</v>
      </c>
      <c r="AB83">
        <v>50</v>
      </c>
      <c r="AC83">
        <v>0</v>
      </c>
      <c r="AD83">
        <v>-5</v>
      </c>
      <c r="AE83">
        <v>0</v>
      </c>
      <c r="AF83">
        <v>-3</v>
      </c>
      <c r="AG83">
        <v>10</v>
      </c>
      <c r="AH83">
        <v>0</v>
      </c>
      <c r="AI83" t="inlineStr">
        <is>
          <t xml:space="preserve">Shared_pool</t>
        </is>
      </c>
      <c r="AJ83" t="inlineStr">
        <is>
          <t xml:space="preserve">per_turn</t>
        </is>
      </c>
      <c r="AL83" t="inlineStr">
        <is>
          <t xml:space="preserve">stream</t>
        </is>
      </c>
      <c r="AM83">
        <v>3</v>
      </c>
      <c r="AN83" t="inlineStr">
        <is>
          <t xml:space="preserve">town_hall</t>
        </is>
      </c>
      <c r="AO83" t="inlineStr">
        <is>
          <t xml:space="preserve">No</t>
        </is>
      </c>
      <c r="AR83" t="inlineStr">
        <is>
          <t xml:space="preserve">Yes</t>
        </is>
      </c>
    </row>
    <row r="84">
      <c r="A84" t="inlineStr">
        <is>
          <t xml:space="preserve">ST83</t>
        </is>
      </c>
      <c r="B84" t="inlineStr">
        <is>
          <t xml:space="preserve">Press Conference on Workplace Equality</t>
        </is>
      </c>
      <c r="C84" t="inlineStr">
        <is>
          <t xml:space="preserve">職場の平等記者会見</t>
        </is>
      </c>
      <c r="D84" t="inlineStr">
        <is>
          <t xml:space="preserve">Shokuba no Byōdō Kisha Kaiken</t>
        </is>
      </c>
      <c r="E84" t="inlineStr">
        <is>
          <t xml:space="preserve">Combat</t>
        </is>
      </c>
      <c r="F84" t="inlineStr">
        <is>
          <t xml:space="preserve">Press tone</t>
        </is>
      </c>
      <c r="G84" t="inlineStr">
        <is>
          <t xml:space="preserve">Numerical</t>
        </is>
      </c>
      <c r="H84">
        <v>100</v>
      </c>
      <c r="I84">
        <v>57</v>
      </c>
      <c r="J84">
        <f>IF(AND(ISNUMBER(H84),ISNUMBER(I84)),IF(H84=0,"",I84/H84),"varies")</f>
        <v>0.57</v>
      </c>
      <c r="K84">
        <v>6</v>
      </c>
      <c r="L84">
        <v>3</v>
      </c>
      <c r="M84">
        <v>5</v>
      </c>
      <c r="N84">
        <v>4</v>
      </c>
      <c r="O84">
        <v>20</v>
      </c>
      <c r="P84">
        <v>45</v>
      </c>
      <c r="Q84">
        <v>0.9</v>
      </c>
      <c r="R84">
        <v>0</v>
      </c>
      <c r="S84">
        <v>0</v>
      </c>
      <c r="T84">
        <v>0</v>
      </c>
      <c r="U84">
        <v>0.05</v>
      </c>
      <c r="V84">
        <v>0.05</v>
      </c>
      <c r="W84">
        <f>SUM(Q84:V84)</f>
        <v>1.0</v>
      </c>
      <c r="X84" t="str">
        <f>IF(E84&lt;&gt;"Combat","—",IFERROR(INDEX(Affinity!$A$2:$A$7,MATCH(MAX(INDEX(Affinity!$B$2:$CU$7,0,MATCH(A84,Affinity!$B$1:$CU$1,0))),INDEX(Affinity!$B$2:$CU$7,0,MATCH(A84,Affinity!$B$1:$CU$1,0)),0)),"—"))</f>
        <v>Earnest</v>
      </c>
      <c r="Y84">
        <v>1</v>
      </c>
      <c r="Z84">
        <v>20000</v>
      </c>
      <c r="AA84">
        <v>1</v>
      </c>
      <c r="AB84">
        <v>30</v>
      </c>
      <c r="AC84">
        <v>1</v>
      </c>
      <c r="AD84">
        <v>0</v>
      </c>
      <c r="AE84">
        <v>0</v>
      </c>
      <c r="AF84">
        <v>-2</v>
      </c>
      <c r="AG84">
        <v>5</v>
      </c>
      <c r="AH84">
        <v>-2</v>
      </c>
      <c r="AI84" t="inlineStr">
        <is>
          <t xml:space="preserve">Single</t>
        </is>
      </c>
      <c r="AJ84" t="inlineStr">
        <is>
          <t xml:space="preserve">per_turn</t>
        </is>
      </c>
      <c r="AL84" t="inlineStr">
        <is>
          <t xml:space="preserve">single</t>
        </is>
      </c>
      <c r="AM84" t="inlineStr">
        <is>
          <t xml:space="preserve">1</t>
        </is>
      </c>
      <c r="AN84" t="inlineStr">
        <is>
          <t xml:space="preserve">press_conference</t>
        </is>
      </c>
      <c r="AO84" t="inlineStr">
        <is>
          <t xml:space="preserve">Yes</t>
        </is>
      </c>
      <c r="AQ84" t="inlineStr">
        <is>
          <t xml:space="preserve">No</t>
        </is>
      </c>
      <c r="AR84" t="inlineStr">
        <is>
          <t xml:space="preserve">Yes</t>
        </is>
      </c>
    </row>
    <row r="85">
      <c r="A85" t="inlineStr">
        <is>
          <t xml:space="preserve">ST84</t>
        </is>
      </c>
      <c r="B85" t="inlineStr">
        <is>
          <t xml:space="preserve">TV Debate on Workplace Equality</t>
        </is>
      </c>
      <c r="C85" t="inlineStr">
        <is>
          <t xml:space="preserve">職場の平等テレビ討論</t>
        </is>
      </c>
      <c r="D85" t="inlineStr">
        <is>
          <t xml:space="preserve">Shokuba no Byōdō Terebi Tōron</t>
        </is>
      </c>
      <c r="E85" t="inlineStr">
        <is>
          <t xml:space="preserve">Combat</t>
        </is>
      </c>
      <c r="F85" t="inlineStr">
        <is>
          <t xml:space="preserve">Viewer Interest</t>
        </is>
      </c>
      <c r="G85" t="inlineStr">
        <is>
          <t xml:space="preserve">Numerical</t>
        </is>
      </c>
      <c r="H85">
        <v>100</v>
      </c>
      <c r="I85">
        <v>65</v>
      </c>
      <c r="J85">
        <f>IF(AND(ISNUMBER(H85),ISNUMBER(I85)),IF(H85=0,"",I85/H85),"varies")</f>
        <v>0.65</v>
      </c>
      <c r="K85">
        <v>5</v>
      </c>
      <c r="L85">
        <v>5</v>
      </c>
      <c r="M85">
        <v>6</v>
      </c>
      <c r="N85">
        <v>5</v>
      </c>
      <c r="O85">
        <v>60</v>
      </c>
      <c r="P85">
        <v>50</v>
      </c>
      <c r="Q85">
        <v>0.8</v>
      </c>
      <c r="R85">
        <v>0</v>
      </c>
      <c r="S85">
        <v>0.2</v>
      </c>
      <c r="T85">
        <v>0</v>
      </c>
      <c r="U85">
        <v>0</v>
      </c>
      <c r="V85">
        <v>0</v>
      </c>
      <c r="W85">
        <f>SUM(Q85:V85)</f>
        <v>1.0</v>
      </c>
      <c r="X85" t="str">
        <f>IF(E85&lt;&gt;"Combat","—",IFERROR(INDEX(Affinity!$A$2:$A$7,MATCH(MAX(INDEX(Affinity!$B$2:$CU$7,0,MATCH(A85,Affinity!$B$1:$CU$1,0))),INDEX(Affinity!$B$2:$CU$7,0,MATCH(A85,Affinity!$B$1:$CU$1,0)),0)),"—"))</f>
        <v>Emotional</v>
      </c>
      <c r="Y85">
        <v>3</v>
      </c>
      <c r="Z85">
        <v>40000</v>
      </c>
      <c r="AA85">
        <v>2</v>
      </c>
      <c r="AB85">
        <v>70</v>
      </c>
      <c r="AC85">
        <v>2</v>
      </c>
      <c r="AD85">
        <v>-1</v>
      </c>
      <c r="AE85">
        <v>0</v>
      </c>
      <c r="AF85">
        <v>-3</v>
      </c>
      <c r="AG85">
        <v>0</v>
      </c>
      <c r="AH85">
        <v>-1</v>
      </c>
      <c r="AI85" t="inlineStr">
        <is>
          <t xml:space="preserve">Survival</t>
        </is>
      </c>
      <c r="AJ85" t="inlineStr">
        <is>
          <t xml:space="preserve">per_turn</t>
        </is>
      </c>
      <c r="AL85" t="inlineStr">
        <is>
          <t xml:space="preserve">single</t>
        </is>
      </c>
      <c r="AM85" t="inlineStr">
        <is>
          <t xml:space="preserve">1</t>
        </is>
      </c>
      <c r="AO85" t="inlineStr">
        <is>
          <t xml:space="preserve">Yes</t>
        </is>
      </c>
      <c r="AR85" t="inlineStr">
        <is>
          <t xml:space="preserve">Yes</t>
        </is>
      </c>
    </row>
    <row r="86">
      <c r="A86" t="inlineStr">
        <is>
          <t xml:space="preserve">ST85</t>
        </is>
      </c>
      <c r="B86" t="inlineStr">
        <is>
          <t xml:space="preserve">Party Caucus on Workplace Equality</t>
        </is>
      </c>
      <c r="C86" t="inlineStr">
        <is>
          <t xml:space="preserve">職場の平等党内会合</t>
        </is>
      </c>
      <c r="D86" t="inlineStr">
        <is>
          <t xml:space="preserve">Shokuba no Byōdō Tōnai Kaigō</t>
        </is>
      </c>
      <c r="E86" t="inlineStr">
        <is>
          <t xml:space="preserve">Combat</t>
        </is>
      </c>
      <c r="F86" t="inlineStr">
        <is>
          <t xml:space="preserve">Support</t>
        </is>
      </c>
      <c r="G86" t="inlineStr">
        <is>
          <t xml:space="preserve">Percentage</t>
        </is>
      </c>
      <c r="H86">
        <v>100</v>
      </c>
      <c r="I86">
        <v>62</v>
      </c>
      <c r="J86">
        <f>IF(AND(ISNUMBER(H86),ISNUMBER(I86)),IF(H86=0,"",I86/H86),"varies")</f>
        <v>0.62</v>
      </c>
      <c r="K86">
        <v>10</v>
      </c>
      <c r="L86">
        <v>3</v>
      </c>
      <c r="M86">
        <v>5</v>
      </c>
      <c r="N86">
        <v>5</v>
      </c>
      <c r="O86">
        <v>20</v>
      </c>
      <c r="P86">
        <v>40</v>
      </c>
      <c r="Q86">
        <v>0</v>
      </c>
      <c r="R86">
        <v>0.55</v>
      </c>
      <c r="S86">
        <v>0</v>
      </c>
      <c r="T86">
        <v>0</v>
      </c>
      <c r="U86">
        <v>0</v>
      </c>
      <c r="V86">
        <v>0.45</v>
      </c>
      <c r="W86">
        <f>SUM(Q86:V86)</f>
        <v>1.0</v>
      </c>
      <c r="X86" t="str">
        <f>IF(E86&lt;&gt;"Combat","—",IFERROR(INDEX(Affinity!$A$2:$A$7,MATCH(MAX(INDEX(Affinity!$B$2:$CU$7,0,MATCH(A86,Affinity!$B$1:$CU$1,0))),INDEX(Affinity!$B$2:$CU$7,0,MATCH(A86,Affinity!$B$1:$CU$1,0)),0)),"—"))</f>
        <v>Earnest</v>
      </c>
      <c r="Y86">
        <v>0</v>
      </c>
      <c r="Z86">
        <v>10000</v>
      </c>
      <c r="AA86">
        <v>1</v>
      </c>
      <c r="AB86">
        <v>70</v>
      </c>
      <c r="AC86">
        <v>2</v>
      </c>
      <c r="AD86">
        <v>0</v>
      </c>
      <c r="AE86">
        <v>0</v>
      </c>
      <c r="AF86">
        <v>-1</v>
      </c>
      <c r="AG86">
        <v>1</v>
      </c>
      <c r="AH86">
        <v>-2</v>
      </c>
      <c r="AI86" t="inlineStr">
        <is>
          <t xml:space="preserve">Shared_pool</t>
        </is>
      </c>
      <c r="AJ86" t="inlineStr">
        <is>
          <t xml:space="preserve">per_turn</t>
        </is>
      </c>
      <c r="AL86" t="inlineStr">
        <is>
          <t xml:space="preserve">continuous</t>
        </is>
      </c>
      <c r="AM86">
        <v>2</v>
      </c>
      <c r="AO86" t="inlineStr">
        <is>
          <t xml:space="preserve">No</t>
        </is>
      </c>
      <c r="AR86" t="inlineStr">
        <is>
          <t xml:space="preserve">Yes</t>
        </is>
      </c>
      <c r="AT86" t="inlineStr">
        <is>
          <t xml:space="preserve">Yes</t>
        </is>
      </c>
    </row>
    <row r="87">
      <c r="A87" t="inlineStr">
        <is>
          <t xml:space="preserve">ST86</t>
        </is>
      </c>
      <c r="B87" t="inlineStr">
        <is>
          <t xml:space="preserve">Town Hall on Parental Leave</t>
        </is>
      </c>
      <c r="C87" t="inlineStr">
        <is>
          <t xml:space="preserve">育児休業と保育を巡る住民集会</t>
        </is>
      </c>
      <c r="D87" t="inlineStr">
        <is>
          <t xml:space="preserve">Ikuji Kyūgyō to Hoiku o Meguru Jūmin Shūkai</t>
        </is>
      </c>
      <c r="E87" t="inlineStr">
        <is>
          <t xml:space="preserve">Combat</t>
        </is>
      </c>
      <c r="F87" t="inlineStr">
        <is>
          <t xml:space="preserve">Appeasement</t>
        </is>
      </c>
      <c r="G87" t="inlineStr">
        <is>
          <t xml:space="preserve">Percentage</t>
        </is>
      </c>
      <c r="H87">
        <v>100</v>
      </c>
      <c r="I87">
        <v>62</v>
      </c>
      <c r="J87">
        <f>IF(AND(ISNUMBER(H87),ISNUMBER(I87)),IF(H87=0,"",I87/H87),"varies")</f>
        <v>0.62</v>
      </c>
      <c r="K87">
        <v>17</v>
      </c>
      <c r="L87">
        <v>3</v>
      </c>
      <c r="M87">
        <v>5</v>
      </c>
      <c r="N87">
        <v>6</v>
      </c>
      <c r="O87">
        <v>15</v>
      </c>
      <c r="P87">
        <v>20</v>
      </c>
      <c r="Q87">
        <v>0.1</v>
      </c>
      <c r="R87">
        <v>0.1</v>
      </c>
      <c r="S87">
        <v>0.7</v>
      </c>
      <c r="T87">
        <v>0.1</v>
      </c>
      <c r="U87">
        <v>0</v>
      </c>
      <c r="V87">
        <v>0</v>
      </c>
      <c r="W87">
        <f>SUM(Q87:V87)</f>
        <v>1.0</v>
      </c>
      <c r="X87" t="str">
        <f>IF(E87&lt;&gt;"Combat","—",IFERROR(INDEX(Affinity!$A$2:$A$7,MATCH(MAX(INDEX(Affinity!$B$2:$CU$7,0,MATCH(A87,Affinity!$B$1:$CU$1,0))),INDEX(Affinity!$B$2:$CU$7,0,MATCH(A87,Affinity!$B$1:$CU$1,0)),0)),"—"))</f>
        <v>Emotional</v>
      </c>
      <c r="Y87">
        <v>5</v>
      </c>
      <c r="Z87">
        <v>35000</v>
      </c>
      <c r="AA87">
        <v>1</v>
      </c>
      <c r="AB87">
        <v>50</v>
      </c>
      <c r="AC87">
        <v>0</v>
      </c>
      <c r="AD87">
        <v>-5</v>
      </c>
      <c r="AE87">
        <v>0</v>
      </c>
      <c r="AF87">
        <v>-3</v>
      </c>
      <c r="AG87">
        <v>10</v>
      </c>
      <c r="AH87">
        <v>0</v>
      </c>
      <c r="AI87" t="inlineStr">
        <is>
          <t xml:space="preserve">Shared_pool</t>
        </is>
      </c>
      <c r="AJ87" t="inlineStr">
        <is>
          <t xml:space="preserve">per_turn</t>
        </is>
      </c>
      <c r="AL87" t="inlineStr">
        <is>
          <t xml:space="preserve">stream</t>
        </is>
      </c>
      <c r="AM87">
        <v>3</v>
      </c>
      <c r="AN87" t="inlineStr">
        <is>
          <t xml:space="preserve">town_hall</t>
        </is>
      </c>
      <c r="AO87" t="inlineStr">
        <is>
          <t xml:space="preserve">No</t>
        </is>
      </c>
      <c r="AR87" t="inlineStr">
        <is>
          <t xml:space="preserve">Yes</t>
        </is>
      </c>
    </row>
    <row r="88">
      <c r="A88" t="inlineStr">
        <is>
          <t xml:space="preserve">ST87</t>
        </is>
      </c>
      <c r="B88" t="inlineStr">
        <is>
          <t xml:space="preserve">Policy Study on Parental Leave</t>
        </is>
      </c>
      <c r="C88" t="inlineStr">
        <is>
          <t xml:space="preserve">育児休業と保育政策検討会</t>
        </is>
      </c>
      <c r="D88" t="inlineStr">
        <is>
          <t xml:space="preserve">Ikuji Kyūgyō to Hoiku Seisaku Kentōkai</t>
        </is>
      </c>
      <c r="E88" t="inlineStr">
        <is>
          <t xml:space="preserve">Combat</t>
        </is>
      </c>
      <c r="F88" t="inlineStr">
        <is>
          <t xml:space="preserve">Consensus</t>
        </is>
      </c>
      <c r="G88" t="inlineStr">
        <is>
          <t xml:space="preserve">Percentage</t>
        </is>
      </c>
      <c r="H88">
        <v>50</v>
      </c>
      <c r="I88">
        <v>36</v>
      </c>
      <c r="J88">
        <f>IF(AND(ISNUMBER(H88),ISNUMBER(I88)),IF(H88=0,"",I88/H88),"varies")</f>
        <v>0.72</v>
      </c>
      <c r="K88">
        <v>10</v>
      </c>
      <c r="L88">
        <v>5</v>
      </c>
      <c r="M88">
        <v>5</v>
      </c>
      <c r="N88">
        <v>10</v>
      </c>
      <c r="O88">
        <v>1</v>
      </c>
      <c r="P88">
        <v>10</v>
      </c>
      <c r="Q88">
        <v>0</v>
      </c>
      <c r="R88">
        <v>0</v>
      </c>
      <c r="S88">
        <v>0</v>
      </c>
      <c r="T88">
        <v>0</v>
      </c>
      <c r="U88">
        <v>0.8</v>
      </c>
      <c r="V88">
        <v>0.2</v>
      </c>
      <c r="W88">
        <f>SUM(Q88:V88)</f>
        <v>1.0</v>
      </c>
      <c r="X88" t="str">
        <f>IF(E88&lt;&gt;"Combat","—",IFERROR(INDEX(Affinity!$A$2:$A$7,MATCH(MAX(INDEX(Affinity!$B$2:$CU$7,0,MATCH(A88,Affinity!$B$1:$CU$1,0))),INDEX(Affinity!$B$2:$CU$7,0,MATCH(A88,Affinity!$B$1:$CU$1,0)),0)),"—"))</f>
        <v>Emotional</v>
      </c>
      <c r="Y88">
        <v>1</v>
      </c>
      <c r="Z88">
        <v>15000</v>
      </c>
      <c r="AA88">
        <v>1</v>
      </c>
      <c r="AB88">
        <v>70</v>
      </c>
      <c r="AC88">
        <v>1</v>
      </c>
      <c r="AD88">
        <v>0</v>
      </c>
      <c r="AE88">
        <v>0</v>
      </c>
      <c r="AF88">
        <v>0</v>
      </c>
      <c r="AG88">
        <v>5</v>
      </c>
      <c r="AH88">
        <v>0</v>
      </c>
      <c r="AI88" t="inlineStr">
        <is>
          <t xml:space="preserve">Shared_pool</t>
        </is>
      </c>
      <c r="AJ88" t="inlineStr">
        <is>
          <t xml:space="preserve">per_turn</t>
        </is>
      </c>
      <c r="AL88" t="inlineStr">
        <is>
          <t xml:space="preserve">stream</t>
        </is>
      </c>
      <c r="AM88">
        <v>2</v>
      </c>
      <c r="AN88" t="inlineStr">
        <is>
          <t xml:space="preserve">policy_study</t>
        </is>
      </c>
      <c r="AO88" t="inlineStr">
        <is>
          <t xml:space="preserve">No</t>
        </is>
      </c>
      <c r="AQ88" t="inlineStr">
        <is>
          <t xml:space="preserve">No</t>
        </is>
      </c>
      <c r="AR88" t="inlineStr">
        <is>
          <t xml:space="preserve">Yes</t>
        </is>
      </c>
    </row>
    <row r="89">
      <c r="A89" t="inlineStr">
        <is>
          <t xml:space="preserve">ST88</t>
        </is>
      </c>
      <c r="B89" t="inlineStr">
        <is>
          <t xml:space="preserve">Lobbyist Meeting on Parental Leave</t>
        </is>
      </c>
      <c r="C89" t="inlineStr">
        <is>
          <t xml:space="preserve">育児休業と保育に関するロビー活動</t>
        </is>
      </c>
      <c r="D89" t="inlineStr">
        <is>
          <t xml:space="preserve">Ikuji Kyūgyō to Hoiku ni Kansuru Robī Katsudō</t>
        </is>
      </c>
      <c r="E89" t="inlineStr">
        <is>
          <t xml:space="preserve">Combat</t>
        </is>
      </c>
      <c r="F89" t="inlineStr">
        <is>
          <t xml:space="preserve">Appeasement</t>
        </is>
      </c>
      <c r="G89" t="inlineStr">
        <is>
          <t xml:space="preserve">Percentage</t>
        </is>
      </c>
      <c r="H89">
        <v>50</v>
      </c>
      <c r="I89">
        <v>25</v>
      </c>
      <c r="J89">
        <f>IF(AND(ISNUMBER(H89),ISNUMBER(I89)),IF(H89=0,"",I89/H89),"varies")</f>
        <v>0.5</v>
      </c>
      <c r="K89">
        <v>7</v>
      </c>
      <c r="L89">
        <v>3</v>
      </c>
      <c r="M89">
        <v>5</v>
      </c>
      <c r="N89">
        <v>6</v>
      </c>
      <c r="O89">
        <v>5</v>
      </c>
      <c r="P89">
        <v>15</v>
      </c>
      <c r="Q89">
        <v>0</v>
      </c>
      <c r="R89">
        <v>0</v>
      </c>
      <c r="S89">
        <v>0</v>
      </c>
      <c r="T89">
        <v>1</v>
      </c>
      <c r="U89">
        <v>0</v>
      </c>
      <c r="V89">
        <v>0</v>
      </c>
      <c r="W89">
        <f>SUM(Q89:V89)</f>
        <v>1</v>
      </c>
      <c r="X89" t="str">
        <f>IF(E89&lt;&gt;"Combat","—",IFERROR(INDEX(Affinity!$A$2:$A$7,MATCH(MAX(INDEX(Affinity!$B$2:$CU$7,0,MATCH(A89,Affinity!$B$1:$CU$1,0))),INDEX(Affinity!$B$2:$CU$7,0,MATCH(A89,Affinity!$B$1:$CU$1,0)),0)),"—"))</f>
        <v>Earnest</v>
      </c>
      <c r="Y89">
        <v>0</v>
      </c>
      <c r="Z89">
        <v>20000</v>
      </c>
      <c r="AA89">
        <v>0</v>
      </c>
      <c r="AB89">
        <v>30</v>
      </c>
      <c r="AC89">
        <v>0</v>
      </c>
      <c r="AD89">
        <v>0</v>
      </c>
      <c r="AE89">
        <v>0</v>
      </c>
      <c r="AF89">
        <v>0</v>
      </c>
      <c r="AG89">
        <v>0</v>
      </c>
      <c r="AH89">
        <v>-1</v>
      </c>
      <c r="AI89" t="inlineStr">
        <is>
          <t xml:space="preserve">Shared_pool</t>
        </is>
      </c>
      <c r="AJ89" t="inlineStr">
        <is>
          <t xml:space="preserve">pool</t>
        </is>
      </c>
      <c r="AK89">
        <v>12</v>
      </c>
      <c r="AL89" t="inlineStr">
        <is>
          <t xml:space="preserve">single</t>
        </is>
      </c>
      <c r="AM89" t="inlineStr">
        <is>
          <t xml:space="preserve">1</t>
        </is>
      </c>
      <c r="AN89" t="inlineStr">
        <is>
          <t xml:space="preserve">lobbyist_meeting</t>
        </is>
      </c>
      <c r="AO89" t="inlineStr">
        <is>
          <t xml:space="preserve">No</t>
        </is>
      </c>
      <c r="AR89" t="inlineStr">
        <is>
          <t xml:space="preserve">Yes</t>
        </is>
      </c>
    </row>
    <row r="90">
      <c r="A90" t="inlineStr">
        <is>
          <t xml:space="preserve">ST89</t>
        </is>
      </c>
      <c r="B90" t="inlineStr">
        <is>
          <t xml:space="preserve">Party Caucus on Parental Leave</t>
        </is>
      </c>
      <c r="C90" t="inlineStr">
        <is>
          <t xml:space="preserve">育児休業と保育党内会合</t>
        </is>
      </c>
      <c r="D90" t="inlineStr">
        <is>
          <t xml:space="preserve">Ikuji Kyūgyō to Hoiku Tōnai Kaigō</t>
        </is>
      </c>
      <c r="E90" t="inlineStr">
        <is>
          <t xml:space="preserve">Combat</t>
        </is>
      </c>
      <c r="F90" t="inlineStr">
        <is>
          <t xml:space="preserve">Support</t>
        </is>
      </c>
      <c r="G90" t="inlineStr">
        <is>
          <t xml:space="preserve">Percentage</t>
        </is>
      </c>
      <c r="H90">
        <v>100</v>
      </c>
      <c r="I90">
        <v>62</v>
      </c>
      <c r="J90">
        <f>IF(AND(ISNUMBER(H90),ISNUMBER(I90)),IF(H90=0,"",I90/H90),"varies")</f>
        <v>0.62</v>
      </c>
      <c r="K90">
        <v>10</v>
      </c>
      <c r="L90">
        <v>3</v>
      </c>
      <c r="M90">
        <v>5</v>
      </c>
      <c r="N90">
        <v>5</v>
      </c>
      <c r="O90">
        <v>20</v>
      </c>
      <c r="P90">
        <v>40</v>
      </c>
      <c r="Q90">
        <v>0</v>
      </c>
      <c r="R90">
        <v>0.55</v>
      </c>
      <c r="S90">
        <v>0</v>
      </c>
      <c r="T90">
        <v>0</v>
      </c>
      <c r="U90">
        <v>0</v>
      </c>
      <c r="V90">
        <v>0.45</v>
      </c>
      <c r="W90">
        <f>SUM(Q90:V90)</f>
        <v>1.0</v>
      </c>
      <c r="X90" t="str">
        <f>IF(E90&lt;&gt;"Combat","—",IFERROR(INDEX(Affinity!$A$2:$A$7,MATCH(MAX(INDEX(Affinity!$B$2:$CU$7,0,MATCH(A90,Affinity!$B$1:$CU$1,0))),INDEX(Affinity!$B$2:$CU$7,0,MATCH(A90,Affinity!$B$1:$CU$1,0)),0)),"—"))</f>
        <v>Emotional</v>
      </c>
      <c r="Y90">
        <v>0</v>
      </c>
      <c r="Z90">
        <v>10000</v>
      </c>
      <c r="AA90">
        <v>1</v>
      </c>
      <c r="AB90">
        <v>70</v>
      </c>
      <c r="AC90">
        <v>2</v>
      </c>
      <c r="AD90">
        <v>0</v>
      </c>
      <c r="AE90">
        <v>0</v>
      </c>
      <c r="AF90">
        <v>-1</v>
      </c>
      <c r="AG90">
        <v>1</v>
      </c>
      <c r="AH90">
        <v>-2</v>
      </c>
      <c r="AI90" t="inlineStr">
        <is>
          <t xml:space="preserve">Shared_pool</t>
        </is>
      </c>
      <c r="AJ90" t="inlineStr">
        <is>
          <t xml:space="preserve">per_turn</t>
        </is>
      </c>
      <c r="AL90" t="inlineStr">
        <is>
          <t xml:space="preserve">continuous</t>
        </is>
      </c>
      <c r="AM90">
        <v>2</v>
      </c>
      <c r="AO90" t="inlineStr">
        <is>
          <t xml:space="preserve">No</t>
        </is>
      </c>
      <c r="AR90" t="inlineStr">
        <is>
          <t xml:space="preserve">Yes</t>
        </is>
      </c>
      <c r="AT90" t="inlineStr">
        <is>
          <t xml:space="preserve">Yes</t>
        </is>
      </c>
    </row>
    <row r="91">
      <c r="A91" t="inlineStr">
        <is>
          <t xml:space="preserve">ST90</t>
        </is>
      </c>
      <c r="B91" t="inlineStr">
        <is>
          <t xml:space="preserve">Hearing on Surveillance Cameras</t>
        </is>
      </c>
      <c r="C91" t="inlineStr">
        <is>
          <t xml:space="preserve">監視カメラに関する公聴会</t>
        </is>
      </c>
      <c r="D91" t="inlineStr">
        <is>
          <t xml:space="preserve">Kanshi Kamera ni Kansuru Kōchōkai</t>
        </is>
      </c>
      <c r="E91" t="inlineStr">
        <is>
          <t xml:space="preserve">Combat</t>
        </is>
      </c>
      <c r="F91" t="inlineStr">
        <is>
          <t xml:space="preserve">Favourability</t>
        </is>
      </c>
      <c r="G91" t="inlineStr">
        <is>
          <t xml:space="preserve">Percentage</t>
        </is>
      </c>
      <c r="H91">
        <v>100</v>
      </c>
      <c r="I91">
        <v>62</v>
      </c>
      <c r="J91">
        <f>IF(AND(ISNUMBER(H91),ISNUMBER(I91)),IF(H91=0,"",I91/H91),"varies")</f>
        <v>0.62</v>
      </c>
      <c r="K91">
        <v>10</v>
      </c>
      <c r="L91">
        <v>5</v>
      </c>
      <c r="M91">
        <v>5</v>
      </c>
      <c r="N91">
        <v>5</v>
      </c>
      <c r="O91">
        <v>30</v>
      </c>
      <c r="P91">
        <v>40</v>
      </c>
      <c r="Q91">
        <v>0.15</v>
      </c>
      <c r="R91">
        <v>0</v>
      </c>
      <c r="S91">
        <v>0.1</v>
      </c>
      <c r="T91">
        <v>0.1</v>
      </c>
      <c r="U91">
        <v>0.65</v>
      </c>
      <c r="V91">
        <v>0</v>
      </c>
      <c r="W91">
        <f>SUM(Q91:V91)</f>
        <v>1.0</v>
      </c>
      <c r="X91" t="str">
        <f>IF(E91&lt;&gt;"Combat","—",IFERROR(INDEX(Affinity!$A$2:$A$7,MATCH(MAX(INDEX(Affinity!$B$2:$CU$7,0,MATCH(A91,Affinity!$B$1:$CU$1,0))),INDEX(Affinity!$B$2:$CU$7,0,MATCH(A91,Affinity!$B$1:$CU$1,0)),0)),"—"))</f>
        <v>Data Driven</v>
      </c>
      <c r="Y91">
        <v>1</v>
      </c>
      <c r="Z91">
        <v>50000</v>
      </c>
      <c r="AA91">
        <v>5</v>
      </c>
      <c r="AB91">
        <v>50</v>
      </c>
      <c r="AC91">
        <v>5</v>
      </c>
      <c r="AD91">
        <v>0</v>
      </c>
      <c r="AE91">
        <v>0</v>
      </c>
      <c r="AF91">
        <v>0</v>
      </c>
      <c r="AG91">
        <v>2</v>
      </c>
      <c r="AH91">
        <v>0</v>
      </c>
      <c r="AI91" t="inlineStr">
        <is>
          <t xml:space="preserve">Shared_pool</t>
        </is>
      </c>
      <c r="AJ91" t="inlineStr">
        <is>
          <t xml:space="preserve">per_turn</t>
        </is>
      </c>
      <c r="AL91" t="inlineStr">
        <is>
          <t xml:space="preserve">reset</t>
        </is>
      </c>
      <c r="AM91">
        <v>4</v>
      </c>
      <c r="AO91" t="inlineStr">
        <is>
          <t xml:space="preserve">No</t>
        </is>
      </c>
      <c r="AR91" t="inlineStr">
        <is>
          <t xml:space="preserve">Yes</t>
        </is>
      </c>
    </row>
    <row r="92">
      <c r="A92" t="inlineStr">
        <is>
          <t xml:space="preserve">ST91</t>
        </is>
      </c>
      <c r="B92" t="inlineStr">
        <is>
          <t xml:space="preserve">TV Debate on Surveillance Cameras</t>
        </is>
      </c>
      <c r="C92" t="inlineStr">
        <is>
          <t xml:space="preserve">監視カメラテレビ討論</t>
        </is>
      </c>
      <c r="D92" t="inlineStr">
        <is>
          <t xml:space="preserve">Kanshi Kamera Terebi Tōron</t>
        </is>
      </c>
      <c r="E92" t="inlineStr">
        <is>
          <t xml:space="preserve">Combat</t>
        </is>
      </c>
      <c r="F92" t="inlineStr">
        <is>
          <t xml:space="preserve">Viewer Interest</t>
        </is>
      </c>
      <c r="G92" t="inlineStr">
        <is>
          <t xml:space="preserve">Numerical</t>
        </is>
      </c>
      <c r="H92">
        <v>100</v>
      </c>
      <c r="I92">
        <v>65</v>
      </c>
      <c r="J92">
        <f>IF(AND(ISNUMBER(H92),ISNUMBER(I92)),IF(H92=0,"",I92/H92),"varies")</f>
        <v>0.65</v>
      </c>
      <c r="K92">
        <v>5</v>
      </c>
      <c r="L92">
        <v>5</v>
      </c>
      <c r="M92">
        <v>6</v>
      </c>
      <c r="N92">
        <v>5</v>
      </c>
      <c r="O92">
        <v>60</v>
      </c>
      <c r="P92">
        <v>50</v>
      </c>
      <c r="Q92">
        <v>0.8</v>
      </c>
      <c r="R92">
        <v>0</v>
      </c>
      <c r="S92">
        <v>0.2</v>
      </c>
      <c r="T92">
        <v>0</v>
      </c>
      <c r="U92">
        <v>0</v>
      </c>
      <c r="V92">
        <v>0</v>
      </c>
      <c r="W92">
        <f>SUM(Q92:V92)</f>
        <v>1.0</v>
      </c>
      <c r="X92" t="str">
        <f>IF(E92&lt;&gt;"Combat","—",IFERROR(INDEX(Affinity!$A$2:$A$7,MATCH(MAX(INDEX(Affinity!$B$2:$CU$7,0,MATCH(A92,Affinity!$B$1:$CU$1,0))),INDEX(Affinity!$B$2:$CU$7,0,MATCH(A92,Affinity!$B$1:$CU$1,0)),0)),"—"))</f>
        <v>Data Driven</v>
      </c>
      <c r="Y92">
        <v>3</v>
      </c>
      <c r="Z92">
        <v>40000</v>
      </c>
      <c r="AA92">
        <v>2</v>
      </c>
      <c r="AB92">
        <v>70</v>
      </c>
      <c r="AC92">
        <v>2</v>
      </c>
      <c r="AD92">
        <v>-1</v>
      </c>
      <c r="AE92">
        <v>0</v>
      </c>
      <c r="AF92">
        <v>-3</v>
      </c>
      <c r="AG92">
        <v>0</v>
      </c>
      <c r="AH92">
        <v>-1</v>
      </c>
      <c r="AI92" t="inlineStr">
        <is>
          <t xml:space="preserve">Survival</t>
        </is>
      </c>
      <c r="AJ92" t="inlineStr">
        <is>
          <t xml:space="preserve">per_turn</t>
        </is>
      </c>
      <c r="AL92" t="inlineStr">
        <is>
          <t xml:space="preserve">single</t>
        </is>
      </c>
      <c r="AM92" t="inlineStr">
        <is>
          <t xml:space="preserve">1</t>
        </is>
      </c>
      <c r="AO92" t="inlineStr">
        <is>
          <t xml:space="preserve">Yes</t>
        </is>
      </c>
      <c r="AR92" t="inlineStr">
        <is>
          <t xml:space="preserve">Yes</t>
        </is>
      </c>
    </row>
    <row r="93">
      <c r="A93" t="inlineStr">
        <is>
          <t xml:space="preserve">ST92</t>
        </is>
      </c>
      <c r="B93" t="inlineStr">
        <is>
          <t xml:space="preserve">Press Conference on Surveillance Cameras</t>
        </is>
      </c>
      <c r="C93" t="inlineStr">
        <is>
          <t xml:space="preserve">監視カメラ記者会見</t>
        </is>
      </c>
      <c r="D93" t="inlineStr">
        <is>
          <t xml:space="preserve">Kanshi Kamera Kisha Kaiken</t>
        </is>
      </c>
      <c r="E93" t="inlineStr">
        <is>
          <t xml:space="preserve">Combat</t>
        </is>
      </c>
      <c r="F93" t="inlineStr">
        <is>
          <t xml:space="preserve">Press tone</t>
        </is>
      </c>
      <c r="G93" t="inlineStr">
        <is>
          <t xml:space="preserve">Numerical</t>
        </is>
      </c>
      <c r="H93">
        <v>100</v>
      </c>
      <c r="I93">
        <v>57</v>
      </c>
      <c r="J93">
        <f>IF(AND(ISNUMBER(H93),ISNUMBER(I93)),IF(H93=0,"",I93/H93),"varies")</f>
        <v>0.57</v>
      </c>
      <c r="K93">
        <v>6</v>
      </c>
      <c r="L93">
        <v>3</v>
      </c>
      <c r="M93">
        <v>5</v>
      </c>
      <c r="N93">
        <v>4</v>
      </c>
      <c r="O93">
        <v>20</v>
      </c>
      <c r="P93">
        <v>45</v>
      </c>
      <c r="Q93">
        <v>0.9</v>
      </c>
      <c r="R93">
        <v>0</v>
      </c>
      <c r="S93">
        <v>0</v>
      </c>
      <c r="T93">
        <v>0</v>
      </c>
      <c r="U93">
        <v>0.05</v>
      </c>
      <c r="V93">
        <v>0.05</v>
      </c>
      <c r="W93">
        <f>SUM(Q93:V93)</f>
        <v>1.0</v>
      </c>
      <c r="X93" t="str">
        <f>IF(E93&lt;&gt;"Combat","—",IFERROR(INDEX(Affinity!$A$2:$A$7,MATCH(MAX(INDEX(Affinity!$B$2:$CU$7,0,MATCH(A93,Affinity!$B$1:$CU$1,0))),INDEX(Affinity!$B$2:$CU$7,0,MATCH(A93,Affinity!$B$1:$CU$1,0)),0)),"—"))</f>
        <v>Earnest</v>
      </c>
      <c r="Y93">
        <v>1</v>
      </c>
      <c r="Z93">
        <v>20000</v>
      </c>
      <c r="AA93">
        <v>1</v>
      </c>
      <c r="AB93">
        <v>30</v>
      </c>
      <c r="AC93">
        <v>1</v>
      </c>
      <c r="AD93">
        <v>0</v>
      </c>
      <c r="AE93">
        <v>0</v>
      </c>
      <c r="AF93">
        <v>-2</v>
      </c>
      <c r="AG93">
        <v>5</v>
      </c>
      <c r="AH93">
        <v>-2</v>
      </c>
      <c r="AI93" t="inlineStr">
        <is>
          <t xml:space="preserve">Single</t>
        </is>
      </c>
      <c r="AJ93" t="inlineStr">
        <is>
          <t xml:space="preserve">per_turn</t>
        </is>
      </c>
      <c r="AL93" t="inlineStr">
        <is>
          <t xml:space="preserve">single</t>
        </is>
      </c>
      <c r="AM93" t="inlineStr">
        <is>
          <t xml:space="preserve">1</t>
        </is>
      </c>
      <c r="AN93" t="inlineStr">
        <is>
          <t xml:space="preserve">press_conference</t>
        </is>
      </c>
      <c r="AO93" t="inlineStr">
        <is>
          <t xml:space="preserve">Yes</t>
        </is>
      </c>
      <c r="AQ93" t="inlineStr">
        <is>
          <t xml:space="preserve">No</t>
        </is>
      </c>
      <c r="AR93" t="inlineStr">
        <is>
          <t xml:space="preserve">Yes</t>
        </is>
      </c>
    </row>
    <row r="94">
      <c r="A94" t="inlineStr">
        <is>
          <t xml:space="preserve">ST93</t>
        </is>
      </c>
      <c r="B94" t="inlineStr">
        <is>
          <t xml:space="preserve">Party Caucus on Surveillance Cameras</t>
        </is>
      </c>
      <c r="C94" t="inlineStr">
        <is>
          <t xml:space="preserve">監視カメラ党内会合</t>
        </is>
      </c>
      <c r="D94" t="inlineStr">
        <is>
          <t xml:space="preserve">Kanshi Kamera Tōnai Kaigō</t>
        </is>
      </c>
      <c r="E94" t="inlineStr">
        <is>
          <t xml:space="preserve">Combat</t>
        </is>
      </c>
      <c r="F94" t="inlineStr">
        <is>
          <t xml:space="preserve">Support</t>
        </is>
      </c>
      <c r="G94" t="inlineStr">
        <is>
          <t xml:space="preserve">Percentage</t>
        </is>
      </c>
      <c r="H94">
        <v>100</v>
      </c>
      <c r="I94">
        <v>62</v>
      </c>
      <c r="J94">
        <f>IF(AND(ISNUMBER(H94),ISNUMBER(I94)),IF(H94=0,"",I94/H94),"varies")</f>
        <v>0.62</v>
      </c>
      <c r="K94">
        <v>10</v>
      </c>
      <c r="L94">
        <v>3</v>
      </c>
      <c r="M94">
        <v>5</v>
      </c>
      <c r="N94">
        <v>5</v>
      </c>
      <c r="O94">
        <v>20</v>
      </c>
      <c r="P94">
        <v>40</v>
      </c>
      <c r="Q94">
        <v>0</v>
      </c>
      <c r="R94">
        <v>0.55</v>
      </c>
      <c r="S94">
        <v>0</v>
      </c>
      <c r="T94">
        <v>0</v>
      </c>
      <c r="U94">
        <v>0</v>
      </c>
      <c r="V94">
        <v>0.45</v>
      </c>
      <c r="W94">
        <f>SUM(Q94:V94)</f>
        <v>1.0</v>
      </c>
      <c r="X94" t="str">
        <f>IF(E94&lt;&gt;"Combat","—",IFERROR(INDEX(Affinity!$A$2:$A$7,MATCH(MAX(INDEX(Affinity!$B$2:$CU$7,0,MATCH(A94,Affinity!$B$1:$CU$1,0))),INDEX(Affinity!$B$2:$CU$7,0,MATCH(A94,Affinity!$B$1:$CU$1,0)),0)),"—"))</f>
        <v>Data Driven</v>
      </c>
      <c r="Y94">
        <v>0</v>
      </c>
      <c r="Z94">
        <v>10000</v>
      </c>
      <c r="AA94">
        <v>1</v>
      </c>
      <c r="AB94">
        <v>70</v>
      </c>
      <c r="AC94">
        <v>2</v>
      </c>
      <c r="AD94">
        <v>0</v>
      </c>
      <c r="AE94">
        <v>0</v>
      </c>
      <c r="AF94">
        <v>-1</v>
      </c>
      <c r="AG94">
        <v>1</v>
      </c>
      <c r="AH94">
        <v>-2</v>
      </c>
      <c r="AI94" t="inlineStr">
        <is>
          <t xml:space="preserve">Shared_pool</t>
        </is>
      </c>
      <c r="AJ94" t="inlineStr">
        <is>
          <t xml:space="preserve">per_turn</t>
        </is>
      </c>
      <c r="AL94" t="inlineStr">
        <is>
          <t xml:space="preserve">continuous</t>
        </is>
      </c>
      <c r="AM94">
        <v>2</v>
      </c>
      <c r="AO94" t="inlineStr">
        <is>
          <t xml:space="preserve">No</t>
        </is>
      </c>
      <c r="AR94" t="inlineStr">
        <is>
          <t xml:space="preserve">Yes</t>
        </is>
      </c>
      <c r="AT94" t="inlineStr">
        <is>
          <t xml:space="preserve">Yes</t>
        </is>
      </c>
    </row>
    <row r="95">
      <c r="A95" t="inlineStr">
        <is>
          <t xml:space="preserve">ST94</t>
        </is>
      </c>
      <c r="B95" t="inlineStr">
        <is>
          <t xml:space="preserve">Town Hall on Town Mergers</t>
        </is>
      </c>
      <c r="C95" t="inlineStr">
        <is>
          <t xml:space="preserve">自治体合併を巡る住民集会</t>
        </is>
      </c>
      <c r="D95" t="inlineStr">
        <is>
          <t xml:space="preserve">Jichitai Gappei o Meguru Jūmin Shūkai</t>
        </is>
      </c>
      <c r="E95" t="inlineStr">
        <is>
          <t xml:space="preserve">Combat</t>
        </is>
      </c>
      <c r="F95" t="inlineStr">
        <is>
          <t xml:space="preserve">Appeasement</t>
        </is>
      </c>
      <c r="G95" t="inlineStr">
        <is>
          <t xml:space="preserve">Percentage</t>
        </is>
      </c>
      <c r="H95">
        <v>100</v>
      </c>
      <c r="I95">
        <v>60</v>
      </c>
      <c r="J95">
        <f>IF(AND(ISNUMBER(H95),ISNUMBER(I95)),IF(H95=0,"",I95/H95),"varies")</f>
        <v>0.6</v>
      </c>
      <c r="K95">
        <v>17</v>
      </c>
      <c r="L95">
        <v>3</v>
      </c>
      <c r="M95">
        <v>5</v>
      </c>
      <c r="N95">
        <v>6</v>
      </c>
      <c r="O95">
        <v>15</v>
      </c>
      <c r="P95">
        <v>20</v>
      </c>
      <c r="Q95">
        <v>0.1</v>
      </c>
      <c r="R95">
        <v>0.1</v>
      </c>
      <c r="S95">
        <v>0.7</v>
      </c>
      <c r="T95">
        <v>0.1</v>
      </c>
      <c r="U95">
        <v>0</v>
      </c>
      <c r="V95">
        <v>0</v>
      </c>
      <c r="W95">
        <f>SUM(Q95:V95)</f>
        <v>1.0</v>
      </c>
      <c r="X95" t="str">
        <f>IF(E95&lt;&gt;"Combat","—",IFERROR(INDEX(Affinity!$A$2:$A$7,MATCH(MAX(INDEX(Affinity!$B$2:$CU$7,0,MATCH(A95,Affinity!$B$1:$CU$1,0))),INDEX(Affinity!$B$2:$CU$7,0,MATCH(A95,Affinity!$B$1:$CU$1,0)),0)),"—"))</f>
        <v>Appeal</v>
      </c>
      <c r="Y95">
        <v>5</v>
      </c>
      <c r="Z95">
        <v>35000</v>
      </c>
      <c r="AA95">
        <v>1</v>
      </c>
      <c r="AB95">
        <v>50</v>
      </c>
      <c r="AC95">
        <v>0</v>
      </c>
      <c r="AD95">
        <v>-5</v>
      </c>
      <c r="AE95">
        <v>0</v>
      </c>
      <c r="AF95">
        <v>-3</v>
      </c>
      <c r="AG95">
        <v>10</v>
      </c>
      <c r="AH95">
        <v>0</v>
      </c>
      <c r="AI95" t="inlineStr">
        <is>
          <t xml:space="preserve">Shared_pool</t>
        </is>
      </c>
      <c r="AJ95" t="inlineStr">
        <is>
          <t xml:space="preserve">per_turn</t>
        </is>
      </c>
      <c r="AL95" t="inlineStr">
        <is>
          <t xml:space="preserve">stream</t>
        </is>
      </c>
      <c r="AM95">
        <v>3</v>
      </c>
      <c r="AN95" t="inlineStr">
        <is>
          <t xml:space="preserve">town_hall</t>
        </is>
      </c>
      <c r="AO95" t="inlineStr">
        <is>
          <t xml:space="preserve">No</t>
        </is>
      </c>
      <c r="AR95" t="inlineStr">
        <is>
          <t xml:space="preserve">Yes</t>
        </is>
      </c>
    </row>
    <row r="96">
      <c r="A96" t="inlineStr">
        <is>
          <t xml:space="preserve">ST95</t>
        </is>
      </c>
      <c r="B96" t="inlineStr">
        <is>
          <t xml:space="preserve">Hearing on Town Mergers</t>
        </is>
      </c>
      <c r="C96" t="inlineStr">
        <is>
          <t xml:space="preserve">自治体合併に関する公聴会</t>
        </is>
      </c>
      <c r="D96" t="inlineStr">
        <is>
          <t xml:space="preserve">Jichitai Gappei ni Kansuru Kōchōkai</t>
        </is>
      </c>
      <c r="E96" t="inlineStr">
        <is>
          <t xml:space="preserve">Combat</t>
        </is>
      </c>
      <c r="F96" t="inlineStr">
        <is>
          <t xml:space="preserve">Favourability</t>
        </is>
      </c>
      <c r="G96" t="inlineStr">
        <is>
          <t xml:space="preserve">Percentage</t>
        </is>
      </c>
      <c r="H96">
        <v>100</v>
      </c>
      <c r="I96">
        <v>60</v>
      </c>
      <c r="J96">
        <f>IF(AND(ISNUMBER(H96),ISNUMBER(I96)),IF(H96=0,"",I96/H96),"varies")</f>
        <v>0.6</v>
      </c>
      <c r="K96">
        <v>10</v>
      </c>
      <c r="L96">
        <v>5</v>
      </c>
      <c r="M96">
        <v>5</v>
      </c>
      <c r="N96">
        <v>5</v>
      </c>
      <c r="O96">
        <v>30</v>
      </c>
      <c r="P96">
        <v>40</v>
      </c>
      <c r="Q96">
        <v>0.15</v>
      </c>
      <c r="R96">
        <v>0</v>
      </c>
      <c r="S96">
        <v>0.1</v>
      </c>
      <c r="T96">
        <v>0.1</v>
      </c>
      <c r="U96">
        <v>0.65</v>
      </c>
      <c r="V96">
        <v>0</v>
      </c>
      <c r="W96">
        <f>SUM(Q96:V96)</f>
        <v>1.0</v>
      </c>
      <c r="X96" t="str">
        <f>IF(E96&lt;&gt;"Combat","—",IFERROR(INDEX(Affinity!$A$2:$A$7,MATCH(MAX(INDEX(Affinity!$B$2:$CU$7,0,MATCH(A96,Affinity!$B$1:$CU$1,0))),INDEX(Affinity!$B$2:$CU$7,0,MATCH(A96,Affinity!$B$1:$CU$1,0)),0)),"—"))</f>
        <v>Appeal</v>
      </c>
      <c r="Y96">
        <v>1</v>
      </c>
      <c r="Z96">
        <v>50000</v>
      </c>
      <c r="AA96">
        <v>5</v>
      </c>
      <c r="AB96">
        <v>50</v>
      </c>
      <c r="AC96">
        <v>5</v>
      </c>
      <c r="AD96">
        <v>0</v>
      </c>
      <c r="AE96">
        <v>0</v>
      </c>
      <c r="AF96">
        <v>0</v>
      </c>
      <c r="AG96">
        <v>2</v>
      </c>
      <c r="AH96">
        <v>0</v>
      </c>
      <c r="AI96" t="inlineStr">
        <is>
          <t xml:space="preserve">Shared_pool</t>
        </is>
      </c>
      <c r="AJ96" t="inlineStr">
        <is>
          <t xml:space="preserve">per_turn</t>
        </is>
      </c>
      <c r="AL96" t="inlineStr">
        <is>
          <t xml:space="preserve">reset</t>
        </is>
      </c>
      <c r="AM96">
        <v>4</v>
      </c>
      <c r="AO96" t="inlineStr">
        <is>
          <t xml:space="preserve">No</t>
        </is>
      </c>
      <c r="AR96" t="inlineStr">
        <is>
          <t xml:space="preserve">Yes</t>
        </is>
      </c>
    </row>
    <row r="97">
      <c r="A97" t="inlineStr">
        <is>
          <t xml:space="preserve">ST96</t>
        </is>
      </c>
      <c r="B97" t="inlineStr">
        <is>
          <t xml:space="preserve">Policy Study on Town Mergers</t>
        </is>
      </c>
      <c r="C97" t="inlineStr">
        <is>
          <t xml:space="preserve">自治体合併政策検討会</t>
        </is>
      </c>
      <c r="D97" t="inlineStr">
        <is>
          <t xml:space="preserve">Jichitai Gappei Seisaku Kentōkai</t>
        </is>
      </c>
      <c r="E97" t="inlineStr">
        <is>
          <t xml:space="preserve">Combat</t>
        </is>
      </c>
      <c r="F97" t="inlineStr">
        <is>
          <t xml:space="preserve">Consensus</t>
        </is>
      </c>
      <c r="G97" t="inlineStr">
        <is>
          <t xml:space="preserve">Percentage</t>
        </is>
      </c>
      <c r="H97">
        <v>50</v>
      </c>
      <c r="I97">
        <v>35</v>
      </c>
      <c r="J97">
        <f>IF(AND(ISNUMBER(H97),ISNUMBER(I97)),IF(H97=0,"",I97/H97),"varies")</f>
        <v>0.7</v>
      </c>
      <c r="K97">
        <v>10</v>
      </c>
      <c r="L97">
        <v>5</v>
      </c>
      <c r="M97">
        <v>5</v>
      </c>
      <c r="N97">
        <v>10</v>
      </c>
      <c r="O97">
        <v>1</v>
      </c>
      <c r="P97">
        <v>10</v>
      </c>
      <c r="Q97">
        <v>0</v>
      </c>
      <c r="R97">
        <v>0</v>
      </c>
      <c r="S97">
        <v>0</v>
      </c>
      <c r="T97">
        <v>0</v>
      </c>
      <c r="U97">
        <v>0.8</v>
      </c>
      <c r="V97">
        <v>0.2</v>
      </c>
      <c r="W97">
        <f>SUM(Q97:V97)</f>
        <v>1.0</v>
      </c>
      <c r="X97" t="str">
        <f>IF(E97&lt;&gt;"Combat","—",IFERROR(INDEX(Affinity!$A$2:$A$7,MATCH(MAX(INDEX(Affinity!$B$2:$CU$7,0,MATCH(A97,Affinity!$B$1:$CU$1,0))),INDEX(Affinity!$B$2:$CU$7,0,MATCH(A97,Affinity!$B$1:$CU$1,0)),0)),"—"))</f>
        <v>Data Driven</v>
      </c>
      <c r="Y97">
        <v>1</v>
      </c>
      <c r="Z97">
        <v>15000</v>
      </c>
      <c r="AA97">
        <v>1</v>
      </c>
      <c r="AB97">
        <v>70</v>
      </c>
      <c r="AC97">
        <v>1</v>
      </c>
      <c r="AD97">
        <v>0</v>
      </c>
      <c r="AE97">
        <v>0</v>
      </c>
      <c r="AF97">
        <v>0</v>
      </c>
      <c r="AG97">
        <v>5</v>
      </c>
      <c r="AH97">
        <v>0</v>
      </c>
      <c r="AI97" t="inlineStr">
        <is>
          <t xml:space="preserve">Shared_pool</t>
        </is>
      </c>
      <c r="AJ97" t="inlineStr">
        <is>
          <t xml:space="preserve">per_turn</t>
        </is>
      </c>
      <c r="AL97" t="inlineStr">
        <is>
          <t xml:space="preserve">stream</t>
        </is>
      </c>
      <c r="AM97">
        <v>2</v>
      </c>
      <c r="AN97" t="inlineStr">
        <is>
          <t xml:space="preserve">policy_study</t>
        </is>
      </c>
      <c r="AO97" t="inlineStr">
        <is>
          <t xml:space="preserve">No</t>
        </is>
      </c>
      <c r="AQ97" t="inlineStr">
        <is>
          <t xml:space="preserve">No</t>
        </is>
      </c>
      <c r="AR97" t="inlineStr">
        <is>
          <t xml:space="preserve">Yes</t>
        </is>
      </c>
    </row>
    <row r="98">
      <c r="A98" t="inlineStr">
        <is>
          <t xml:space="preserve">ST97</t>
        </is>
      </c>
      <c r="B98" t="inlineStr">
        <is>
          <t xml:space="preserve">Party Caucus on Town Mergers</t>
        </is>
      </c>
      <c r="C98" t="inlineStr">
        <is>
          <t xml:space="preserve">自治体合併党内会合</t>
        </is>
      </c>
      <c r="D98" t="inlineStr">
        <is>
          <t xml:space="preserve">Jichitai Gappei Tōnai Kaigō</t>
        </is>
      </c>
      <c r="E98" t="inlineStr">
        <is>
          <t xml:space="preserve">Combat</t>
        </is>
      </c>
      <c r="F98" t="inlineStr">
        <is>
          <t xml:space="preserve">Support</t>
        </is>
      </c>
      <c r="G98" t="inlineStr">
        <is>
          <t xml:space="preserve">Percentage</t>
        </is>
      </c>
      <c r="H98">
        <v>100</v>
      </c>
      <c r="I98">
        <v>60</v>
      </c>
      <c r="J98">
        <f>IF(AND(ISNUMBER(H98),ISNUMBER(I98)),IF(H98=0,"",I98/H98),"varies")</f>
        <v>0.6</v>
      </c>
      <c r="K98">
        <v>10</v>
      </c>
      <c r="L98">
        <v>3</v>
      </c>
      <c r="M98">
        <v>5</v>
      </c>
      <c r="N98">
        <v>5</v>
      </c>
      <c r="O98">
        <v>20</v>
      </c>
      <c r="P98">
        <v>40</v>
      </c>
      <c r="Q98">
        <v>0</v>
      </c>
      <c r="R98">
        <v>0.55</v>
      </c>
      <c r="S98">
        <v>0</v>
      </c>
      <c r="T98">
        <v>0</v>
      </c>
      <c r="U98">
        <v>0</v>
      </c>
      <c r="V98">
        <v>0.45</v>
      </c>
      <c r="W98">
        <f>SUM(Q98:V98)</f>
        <v>1.0</v>
      </c>
      <c r="X98" t="str">
        <f>IF(E98&lt;&gt;"Combat","—",IFERROR(INDEX(Affinity!$A$2:$A$7,MATCH(MAX(INDEX(Affinity!$B$2:$CU$7,0,MATCH(A98,Affinity!$B$1:$CU$1,0))),INDEX(Affinity!$B$2:$CU$7,0,MATCH(A98,Affinity!$B$1:$CU$1,0)),0)),"—"))</f>
        <v>Appeal</v>
      </c>
      <c r="Y98">
        <v>0</v>
      </c>
      <c r="Z98">
        <v>10000</v>
      </c>
      <c r="AA98">
        <v>1</v>
      </c>
      <c r="AB98">
        <v>70</v>
      </c>
      <c r="AC98">
        <v>2</v>
      </c>
      <c r="AD98">
        <v>0</v>
      </c>
      <c r="AE98">
        <v>0</v>
      </c>
      <c r="AF98">
        <v>-1</v>
      </c>
      <c r="AG98">
        <v>1</v>
      </c>
      <c r="AH98">
        <v>-2</v>
      </c>
      <c r="AI98" t="inlineStr">
        <is>
          <t xml:space="preserve">Shared_pool</t>
        </is>
      </c>
      <c r="AJ98" t="inlineStr">
        <is>
          <t xml:space="preserve">per_turn</t>
        </is>
      </c>
      <c r="AL98" t="inlineStr">
        <is>
          <t xml:space="preserve">continuous</t>
        </is>
      </c>
      <c r="AM98">
        <v>2</v>
      </c>
      <c r="AO98" t="inlineStr">
        <is>
          <t xml:space="preserve">No</t>
        </is>
      </c>
      <c r="AR98" t="inlineStr">
        <is>
          <t xml:space="preserve">Yes</t>
        </is>
      </c>
      <c r="AT98" t="inlineStr">
        <is>
          <t xml:space="preserve">Yes</t>
        </is>
      </c>
    </row>
    <row r="99">
      <c r="A99" t="inlineStr">
        <is>
          <t xml:space="preserve">ST98</t>
        </is>
      </c>
      <c r="B99" t="inlineStr">
        <is>
          <t xml:space="preserve">TV Debate on Party Leadership Ballots</t>
        </is>
      </c>
      <c r="C99" t="inlineStr">
        <is>
          <t xml:space="preserve">党首選出方法テレビ討論</t>
        </is>
      </c>
      <c r="D99" t="inlineStr">
        <is>
          <t xml:space="preserve">Tōshu Senshutsu Hōhō Terebi Tōron</t>
        </is>
      </c>
      <c r="E99" t="inlineStr">
        <is>
          <t xml:space="preserve">Combat</t>
        </is>
      </c>
      <c r="F99" t="inlineStr">
        <is>
          <t xml:space="preserve">Viewer Interest</t>
        </is>
      </c>
      <c r="G99" t="inlineStr">
        <is>
          <t xml:space="preserve">Numerical</t>
        </is>
      </c>
      <c r="H99">
        <v>100</v>
      </c>
      <c r="I99">
        <v>65</v>
      </c>
      <c r="J99">
        <f>IF(AND(ISNUMBER(H99),ISNUMBER(I99)),IF(H99=0,"",I99/H99),"varies")</f>
        <v>0.65</v>
      </c>
      <c r="K99">
        <v>5</v>
      </c>
      <c r="L99">
        <v>5</v>
      </c>
      <c r="M99">
        <v>6</v>
      </c>
      <c r="N99">
        <v>5</v>
      </c>
      <c r="O99">
        <v>60</v>
      </c>
      <c r="P99">
        <v>50</v>
      </c>
      <c r="Q99">
        <v>0.8</v>
      </c>
      <c r="R99">
        <v>0</v>
      </c>
      <c r="S99">
        <v>0.2</v>
      </c>
      <c r="T99">
        <v>0</v>
      </c>
      <c r="U99">
        <v>0</v>
      </c>
      <c r="V99">
        <v>0</v>
      </c>
      <c r="W99">
        <f>SUM(Q99:V99)</f>
        <v>1.0</v>
      </c>
      <c r="X99" t="str">
        <f>IF(E99&lt;&gt;"Combat","—",IFERROR(INDEX(Affinity!$A$2:$A$7,MATCH(MAX(INDEX(Affinity!$B$2:$CU$7,0,MATCH(A99,Affinity!$B$1:$CU$1,0))),INDEX(Affinity!$B$2:$CU$7,0,MATCH(A99,Affinity!$B$1:$CU$1,0)),0)),"—"))</f>
        <v>Earnest</v>
      </c>
      <c r="Y99">
        <v>3</v>
      </c>
      <c r="Z99">
        <v>40000</v>
      </c>
      <c r="AA99">
        <v>2</v>
      </c>
      <c r="AB99">
        <v>70</v>
      </c>
      <c r="AC99">
        <v>2</v>
      </c>
      <c r="AD99">
        <v>-1</v>
      </c>
      <c r="AE99">
        <v>0</v>
      </c>
      <c r="AF99">
        <v>-3</v>
      </c>
      <c r="AG99">
        <v>0</v>
      </c>
      <c r="AH99">
        <v>-1</v>
      </c>
      <c r="AI99" t="inlineStr">
        <is>
          <t xml:space="preserve">Survival</t>
        </is>
      </c>
      <c r="AJ99" t="inlineStr">
        <is>
          <t xml:space="preserve">per_turn</t>
        </is>
      </c>
      <c r="AL99" t="inlineStr">
        <is>
          <t xml:space="preserve">single</t>
        </is>
      </c>
      <c r="AM99" t="inlineStr">
        <is>
          <t xml:space="preserve">1</t>
        </is>
      </c>
      <c r="AO99" t="inlineStr">
        <is>
          <t xml:space="preserve">Yes</t>
        </is>
      </c>
      <c r="AR99" t="inlineStr">
        <is>
          <t xml:space="preserve">Yes</t>
        </is>
      </c>
    </row>
    <row r="100">
      <c r="A100" t="inlineStr">
        <is>
          <t xml:space="preserve">ST99</t>
        </is>
      </c>
      <c r="B100" t="inlineStr">
        <is>
          <t xml:space="preserve">Press Conference on Party Leadership Ballots</t>
        </is>
      </c>
      <c r="C100" t="inlineStr">
        <is>
          <t xml:space="preserve">党首選出方法記者会見</t>
        </is>
      </c>
      <c r="D100" t="inlineStr">
        <is>
          <t xml:space="preserve">Tōshu Senshutsu Hōhō Kisha Kaiken</t>
        </is>
      </c>
      <c r="E100" t="inlineStr">
        <is>
          <t xml:space="preserve">Combat</t>
        </is>
      </c>
      <c r="F100" t="inlineStr">
        <is>
          <t xml:space="preserve">Press tone</t>
        </is>
      </c>
      <c r="G100" t="inlineStr">
        <is>
          <t xml:space="preserve">Numerical</t>
        </is>
      </c>
      <c r="H100">
        <v>100</v>
      </c>
      <c r="I100">
        <v>53</v>
      </c>
      <c r="J100">
        <f>IF(AND(ISNUMBER(H100),ISNUMBER(I100)),IF(H100=0,"",I100/H100),"varies")</f>
        <v>0.53</v>
      </c>
      <c r="K100">
        <v>6</v>
      </c>
      <c r="L100">
        <v>3</v>
      </c>
      <c r="M100">
        <v>5</v>
      </c>
      <c r="N100">
        <v>4</v>
      </c>
      <c r="O100">
        <v>20</v>
      </c>
      <c r="P100">
        <v>45</v>
      </c>
      <c r="Q100">
        <v>0.9</v>
      </c>
      <c r="R100">
        <v>0</v>
      </c>
      <c r="S100">
        <v>0</v>
      </c>
      <c r="T100">
        <v>0</v>
      </c>
      <c r="U100">
        <v>0.05</v>
      </c>
      <c r="V100">
        <v>0.05</v>
      </c>
      <c r="W100">
        <f>SUM(Q100:V100)</f>
        <v>1.0</v>
      </c>
      <c r="X100" t="str">
        <f>IF(E100&lt;&gt;"Combat","—",IFERROR(INDEX(Affinity!$A$2:$A$7,MATCH(MAX(INDEX(Affinity!$B$2:$CU$7,0,MATCH(A100,Affinity!$B$1:$CU$1,0))),INDEX(Affinity!$B$2:$CU$7,0,MATCH(A100,Affinity!$B$1:$CU$1,0)),0)),"—"))</f>
        <v>Earnest</v>
      </c>
      <c r="Y100">
        <v>1</v>
      </c>
      <c r="Z100">
        <v>20000</v>
      </c>
      <c r="AA100">
        <v>1</v>
      </c>
      <c r="AB100">
        <v>30</v>
      </c>
      <c r="AC100">
        <v>1</v>
      </c>
      <c r="AD100">
        <v>0</v>
      </c>
      <c r="AE100">
        <v>0</v>
      </c>
      <c r="AF100">
        <v>-2</v>
      </c>
      <c r="AG100">
        <v>5</v>
      </c>
      <c r="AH100">
        <v>-2</v>
      </c>
      <c r="AI100" t="inlineStr">
        <is>
          <t xml:space="preserve">Single</t>
        </is>
      </c>
      <c r="AJ100" t="inlineStr">
        <is>
          <t xml:space="preserve">per_turn</t>
        </is>
      </c>
      <c r="AL100" t="inlineStr">
        <is>
          <t xml:space="preserve">single</t>
        </is>
      </c>
      <c r="AM100" t="inlineStr">
        <is>
          <t xml:space="preserve">1</t>
        </is>
      </c>
      <c r="AN100" t="inlineStr">
        <is>
          <t xml:space="preserve">press_conference</t>
        </is>
      </c>
      <c r="AO100" t="inlineStr">
        <is>
          <t xml:space="preserve">Yes</t>
        </is>
      </c>
      <c r="AQ100" t="inlineStr">
        <is>
          <t xml:space="preserve">No</t>
        </is>
      </c>
      <c r="AR100" t="inlineStr">
        <is>
          <t xml:space="preserve">Yes</t>
        </is>
      </c>
    </row>
    <row r="101">
      <c r="A101" t="inlineStr">
        <is>
          <t xml:space="preserve">ST100</t>
        </is>
      </c>
      <c r="B101" t="inlineStr">
        <is>
          <t xml:space="preserve">Party Caucus on Party Leadership Ballots</t>
        </is>
      </c>
      <c r="C101" t="inlineStr">
        <is>
          <t xml:space="preserve">党首選出方法党内会合</t>
        </is>
      </c>
      <c r="D101" t="inlineStr">
        <is>
          <t xml:space="preserve">Tōshu Senshutsu Hōhō Tōnai Kaigō</t>
        </is>
      </c>
      <c r="E101" t="inlineStr">
        <is>
          <t xml:space="preserve">Combat</t>
        </is>
      </c>
      <c r="F101" t="inlineStr">
        <is>
          <t xml:space="preserve">Support</t>
        </is>
      </c>
      <c r="G101" t="inlineStr">
        <is>
          <t xml:space="preserve">Percentage</t>
        </is>
      </c>
      <c r="H101">
        <v>100</v>
      </c>
      <c r="I101">
        <v>58</v>
      </c>
      <c r="J101">
        <f>IF(AND(ISNUMBER(H101),ISNUMBER(I101)),IF(H101=0,"",I101/H101),"varies")</f>
        <v>0.58</v>
      </c>
      <c r="K101">
        <v>10</v>
      </c>
      <c r="L101">
        <v>3</v>
      </c>
      <c r="M101">
        <v>5</v>
      </c>
      <c r="N101">
        <v>5</v>
      </c>
      <c r="O101">
        <v>20</v>
      </c>
      <c r="P101">
        <v>40</v>
      </c>
      <c r="Q101">
        <v>0</v>
      </c>
      <c r="R101">
        <v>0.55</v>
      </c>
      <c r="S101">
        <v>0</v>
      </c>
      <c r="T101">
        <v>0</v>
      </c>
      <c r="U101">
        <v>0</v>
      </c>
      <c r="V101">
        <v>0.45</v>
      </c>
      <c r="W101">
        <f>SUM(Q101:V101)</f>
        <v>1.0</v>
      </c>
      <c r="X101" t="str">
        <f>IF(E101&lt;&gt;"Combat","—",IFERROR(INDEX(Affinity!$A$2:$A$7,MATCH(MAX(INDEX(Affinity!$B$2:$CU$7,0,MATCH(A101,Affinity!$B$1:$CU$1,0))),INDEX(Affinity!$B$2:$CU$7,0,MATCH(A101,Affinity!$B$1:$CU$1,0)),0)),"—"))</f>
        <v>Appeal</v>
      </c>
      <c r="Y101">
        <v>0</v>
      </c>
      <c r="Z101">
        <v>10000</v>
      </c>
      <c r="AA101">
        <v>1</v>
      </c>
      <c r="AB101">
        <v>70</v>
      </c>
      <c r="AC101">
        <v>2</v>
      </c>
      <c r="AD101">
        <v>0</v>
      </c>
      <c r="AE101">
        <v>0</v>
      </c>
      <c r="AF101">
        <v>-1</v>
      </c>
      <c r="AG101">
        <v>1</v>
      </c>
      <c r="AH101">
        <v>-2</v>
      </c>
      <c r="AI101" t="inlineStr">
        <is>
          <t xml:space="preserve">Shared_pool</t>
        </is>
      </c>
      <c r="AJ101" t="inlineStr">
        <is>
          <t xml:space="preserve">per_turn</t>
        </is>
      </c>
      <c r="AL101" t="inlineStr">
        <is>
          <t xml:space="preserve">continuous</t>
        </is>
      </c>
      <c r="AM101">
        <v>2</v>
      </c>
      <c r="AO101" t="inlineStr">
        <is>
          <t xml:space="preserve">No</t>
        </is>
      </c>
      <c r="AR101" t="inlineStr">
        <is>
          <t xml:space="preserve">Yes</t>
        </is>
      </c>
      <c r="AT101" t="inlineStr">
        <is>
          <t xml:space="preserve">Yes</t>
        </is>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96"/>
  <sheetViews>
    <sheetView workbookViewId="0">
      <pane ySplit="1" topLeftCell="A11" activePane="bottomLeft" state="frozen"/>
      <selection activeCell="G1" sqref="G1"/>
      <selection pane="bottomLeft" activeCell="J3" sqref="J3"/>
    </sheetView>
  </sheetViews>
  <sheetFormatPr defaultRowHeight="15"/>
  <cols>
    <col min="2" max="2" width="35" customWidth="1"/>
    <col min="19" max="19" width="9.5703125" bestFit="1" customWidth="1"/>
    <col min="34" max="39" width="10" customWidth="1"/>
  </cols>
  <sheetData>
    <row r="1" spans="1:40" ht="137.25" customHeight="1">
      <c r="A1" s="63" t="s">
        <v>755</v>
      </c>
      <c r="B1" s="63" t="s">
        <v>756</v>
      </c>
      <c r="C1" s="63" t="s">
        <v>757</v>
      </c>
      <c r="D1" s="63" t="s">
        <v>758</v>
      </c>
      <c r="E1" s="63" t="s">
        <v>759</v>
      </c>
      <c r="F1" s="63" t="s">
        <v>760</v>
      </c>
      <c r="G1" s="63" t="s">
        <v>761</v>
      </c>
      <c r="H1" s="63" t="s">
        <v>762</v>
      </c>
      <c r="I1" s="63" t="s">
        <v>763</v>
      </c>
      <c r="J1" s="63" t="s">
        <v>764</v>
      </c>
      <c r="K1" s="63" t="s">
        <v>765</v>
      </c>
      <c r="L1" s="63" t="s">
        <v>766</v>
      </c>
      <c r="M1" s="63" t="s">
        <v>767</v>
      </c>
      <c r="N1" s="63" t="s">
        <v>768</v>
      </c>
      <c r="O1" s="63" t="s">
        <v>769</v>
      </c>
      <c r="P1" s="63" t="s">
        <v>770</v>
      </c>
      <c r="Q1" s="63" t="s">
        <v>771</v>
      </c>
      <c r="R1" s="63" t="s">
        <v>772</v>
      </c>
      <c r="S1" s="63" t="s">
        <v>773</v>
      </c>
      <c r="T1" s="63" t="s">
        <v>774</v>
      </c>
      <c r="U1" s="63" t="s">
        <v>775</v>
      </c>
      <c r="V1" s="63" t="s">
        <v>776</v>
      </c>
      <c r="W1" s="63" t="s">
        <v>777</v>
      </c>
      <c r="X1" s="63" t="s">
        <v>778</v>
      </c>
      <c r="Y1" s="63" t="s">
        <v>779</v>
      </c>
      <c r="Z1" s="63" t="s">
        <v>780</v>
      </c>
      <c r="AA1" s="63" t="s">
        <v>781</v>
      </c>
      <c r="AB1" s="63" t="s">
        <v>782</v>
      </c>
      <c r="AC1" s="63" t="s">
        <v>783</v>
      </c>
      <c r="AD1" s="63" t="s">
        <v>784</v>
      </c>
      <c r="AE1" s="63" t="s">
        <v>785</v>
      </c>
      <c r="AF1" s="63" t="s">
        <v>786</v>
      </c>
      <c r="AG1" s="63" t="s">
        <v>787</v>
      </c>
      <c r="AH1" s="79" t="s">
        <v>788</v>
      </c>
      <c r="AI1" s="79" t="s">
        <v>789</v>
      </c>
      <c r="AJ1" s="80" t="s">
        <v>790</v>
      </c>
      <c r="AK1" s="80" t="s">
        <v>791</v>
      </c>
      <c r="AL1" s="80" t="s">
        <v>792</v>
      </c>
      <c r="AM1" s="80" t="s">
        <v>793</v>
      </c>
      <c r="AN1" s="80" t="s">
        <v>4775</v>
      </c>
    </row>
    <row r="2" spans="1:40" ht="57" customHeight="1">
      <c r="A2" s="59" t="s">
        <v>794</v>
      </c>
      <c r="B2" s="59" t="s">
        <v>795</v>
      </c>
      <c r="C2" s="59">
        <v>2</v>
      </c>
      <c r="D2" s="59">
        <v>0</v>
      </c>
      <c r="E2" s="59">
        <v>0</v>
      </c>
      <c r="F2" s="59">
        <v>0</v>
      </c>
      <c r="G2" s="59">
        <v>0</v>
      </c>
      <c r="H2" s="59">
        <v>0</v>
      </c>
      <c r="I2" s="59" t="s">
        <v>672</v>
      </c>
      <c r="J2" s="4" t="s">
        <v>682</v>
      </c>
      <c r="K2" s="68" t="s">
        <v>796</v>
      </c>
      <c r="L2" s="68" t="s">
        <v>796</v>
      </c>
      <c r="M2" s="68" t="s">
        <v>796</v>
      </c>
      <c r="N2" s="68" t="s">
        <v>796</v>
      </c>
      <c r="O2" s="68" t="s">
        <v>796</v>
      </c>
      <c r="P2" s="68" t="s">
        <v>796</v>
      </c>
      <c r="Q2" s="68" t="s">
        <v>796</v>
      </c>
      <c r="R2" s="68" t="s">
        <v>796</v>
      </c>
      <c r="S2" s="69" t="s">
        <v>797</v>
      </c>
      <c r="T2" s="69" t="s">
        <v>797</v>
      </c>
      <c r="U2" s="70" t="s">
        <v>797</v>
      </c>
      <c r="V2" s="70" t="s">
        <v>797</v>
      </c>
      <c r="W2" s="69" t="s">
        <v>798</v>
      </c>
      <c r="X2" s="71" t="s">
        <v>797</v>
      </c>
      <c r="Y2" s="71" t="s">
        <v>797</v>
      </c>
      <c r="Z2" s="71" t="s">
        <v>799</v>
      </c>
      <c r="AA2" s="71" t="s">
        <v>799</v>
      </c>
      <c r="AB2" s="72" t="s">
        <v>797</v>
      </c>
      <c r="AC2" s="72" t="s">
        <v>799</v>
      </c>
      <c r="AD2" s="71" t="s">
        <v>797</v>
      </c>
      <c r="AE2" s="71" t="s">
        <v>797</v>
      </c>
      <c r="AF2" s="71" t="s">
        <v>797</v>
      </c>
      <c r="AG2" s="71" t="s">
        <v>797</v>
      </c>
      <c r="AH2" s="81" t="s">
        <v>797</v>
      </c>
      <c r="AI2" s="81" t="s">
        <v>797</v>
      </c>
      <c r="AJ2" s="81" t="s">
        <v>797</v>
      </c>
      <c r="AK2" s="82" t="s">
        <v>797</v>
      </c>
      <c r="AL2" s="82" t="s">
        <v>797</v>
      </c>
      <c r="AM2" s="82" t="s">
        <v>797</v>
      </c>
      <c r="AN2" s="127" t="s">
        <v>650</v>
      </c>
    </row>
    <row r="3" spans="1:40" ht="42.75" customHeight="1">
      <c r="A3" s="59" t="s">
        <v>800</v>
      </c>
      <c r="B3" s="59" t="s">
        <v>801</v>
      </c>
      <c r="C3" s="59">
        <v>1</v>
      </c>
      <c r="D3" s="59">
        <v>0</v>
      </c>
      <c r="E3" s="59">
        <v>0</v>
      </c>
      <c r="F3" s="59">
        <v>0</v>
      </c>
      <c r="G3" s="59">
        <v>0</v>
      </c>
      <c r="H3" s="59">
        <v>0</v>
      </c>
      <c r="I3" s="59" t="s">
        <v>735</v>
      </c>
      <c r="J3" s="59" t="s">
        <v>730</v>
      </c>
      <c r="K3" s="68" t="s">
        <v>796</v>
      </c>
      <c r="L3" s="68" t="s">
        <v>796</v>
      </c>
      <c r="M3" s="68" t="s">
        <v>796</v>
      </c>
      <c r="N3" s="68" t="s">
        <v>796</v>
      </c>
      <c r="O3" s="68" t="s">
        <v>796</v>
      </c>
      <c r="P3" s="68" t="s">
        <v>796</v>
      </c>
      <c r="Q3" s="68" t="s">
        <v>796</v>
      </c>
      <c r="R3" s="68" t="s">
        <v>796</v>
      </c>
      <c r="S3" s="69" t="s">
        <v>797</v>
      </c>
      <c r="T3" s="69" t="s">
        <v>797</v>
      </c>
      <c r="U3" s="70" t="s">
        <v>797</v>
      </c>
      <c r="V3" s="70" t="s">
        <v>797</v>
      </c>
      <c r="W3" s="69" t="s">
        <v>798</v>
      </c>
      <c r="X3" s="71" t="s">
        <v>797</v>
      </c>
      <c r="Y3" s="71" t="s">
        <v>797</v>
      </c>
      <c r="Z3" s="71" t="s">
        <v>797</v>
      </c>
      <c r="AA3" s="71" t="s">
        <v>797</v>
      </c>
      <c r="AB3" s="72" t="s">
        <v>797</v>
      </c>
      <c r="AC3" s="72" t="s">
        <v>797</v>
      </c>
      <c r="AD3" s="71" t="s">
        <v>797</v>
      </c>
      <c r="AE3" s="71" t="s">
        <v>797</v>
      </c>
      <c r="AF3" s="71" t="s">
        <v>797</v>
      </c>
      <c r="AG3" s="71" t="s">
        <v>797</v>
      </c>
      <c r="AH3" s="81" t="s">
        <v>797</v>
      </c>
      <c r="AI3" s="81" t="s">
        <v>797</v>
      </c>
      <c r="AJ3" s="81" t="s">
        <v>797</v>
      </c>
      <c r="AK3" s="82" t="s">
        <v>797</v>
      </c>
      <c r="AL3" s="82" t="s">
        <v>797</v>
      </c>
      <c r="AM3" s="82" t="s">
        <v>797</v>
      </c>
      <c r="AN3" s="127" t="s">
        <v>650</v>
      </c>
    </row>
    <row r="4" spans="1:40" ht="57" customHeight="1">
      <c r="A4" s="59" t="s">
        <v>802</v>
      </c>
      <c r="B4" s="59" t="s">
        <v>803</v>
      </c>
      <c r="C4" s="59">
        <v>3</v>
      </c>
      <c r="D4" s="59">
        <v>0</v>
      </c>
      <c r="E4" s="59">
        <v>0</v>
      </c>
      <c r="F4" s="59">
        <v>0</v>
      </c>
      <c r="G4" s="59">
        <v>0</v>
      </c>
      <c r="H4" s="59">
        <v>0</v>
      </c>
      <c r="I4" s="59" t="s">
        <v>672</v>
      </c>
      <c r="J4" s="59" t="s">
        <v>735</v>
      </c>
      <c r="K4" s="59" t="s">
        <v>740</v>
      </c>
      <c r="L4" s="68" t="s">
        <v>796</v>
      </c>
      <c r="M4" s="68" t="s">
        <v>796</v>
      </c>
      <c r="N4" s="68" t="s">
        <v>796</v>
      </c>
      <c r="O4" s="68" t="s">
        <v>796</v>
      </c>
      <c r="P4" s="68" t="s">
        <v>796</v>
      </c>
      <c r="Q4" s="68" t="s">
        <v>796</v>
      </c>
      <c r="R4" s="68" t="s">
        <v>796</v>
      </c>
      <c r="S4" s="69" t="s">
        <v>797</v>
      </c>
      <c r="T4" s="69" t="s">
        <v>797</v>
      </c>
      <c r="U4" s="70" t="s">
        <v>797</v>
      </c>
      <c r="V4" s="70" t="s">
        <v>797</v>
      </c>
      <c r="W4" s="69" t="s">
        <v>798</v>
      </c>
      <c r="X4" s="71" t="s">
        <v>797</v>
      </c>
      <c r="Y4" s="71" t="s">
        <v>799</v>
      </c>
      <c r="Z4" s="71" t="s">
        <v>797</v>
      </c>
      <c r="AA4" s="71" t="s">
        <v>797</v>
      </c>
      <c r="AB4" s="72" t="s">
        <v>804</v>
      </c>
      <c r="AC4" s="72" t="s">
        <v>797</v>
      </c>
      <c r="AD4" s="71" t="s">
        <v>797</v>
      </c>
      <c r="AE4" s="71" t="s">
        <v>797</v>
      </c>
      <c r="AF4" s="71" t="s">
        <v>799</v>
      </c>
      <c r="AG4" s="71" t="s">
        <v>797</v>
      </c>
      <c r="AH4" s="81" t="s">
        <v>797</v>
      </c>
      <c r="AI4" s="81" t="s">
        <v>797</v>
      </c>
      <c r="AJ4" s="81" t="s">
        <v>797</v>
      </c>
      <c r="AK4" s="82" t="s">
        <v>797</v>
      </c>
      <c r="AL4" s="82" t="s">
        <v>797</v>
      </c>
      <c r="AM4" s="82" t="s">
        <v>797</v>
      </c>
      <c r="AN4" s="127" t="s">
        <v>650</v>
      </c>
    </row>
    <row r="5" spans="1:40" ht="99.75" customHeight="1">
      <c r="A5" s="59" t="s">
        <v>805</v>
      </c>
      <c r="B5" s="59" t="s">
        <v>806</v>
      </c>
      <c r="C5" s="59">
        <v>3</v>
      </c>
      <c r="D5" s="59">
        <v>0</v>
      </c>
      <c r="E5" s="59">
        <v>0</v>
      </c>
      <c r="F5" s="59">
        <v>0</v>
      </c>
      <c r="G5" s="59">
        <v>0</v>
      </c>
      <c r="H5" s="59">
        <v>0</v>
      </c>
      <c r="I5" s="59" t="s">
        <v>658</v>
      </c>
      <c r="J5" s="59" t="s">
        <v>664</v>
      </c>
      <c r="K5" s="59" t="s">
        <v>696</v>
      </c>
      <c r="L5" s="68" t="s">
        <v>796</v>
      </c>
      <c r="M5" s="68" t="s">
        <v>796</v>
      </c>
      <c r="N5" s="68" t="s">
        <v>796</v>
      </c>
      <c r="O5" s="68" t="s">
        <v>796</v>
      </c>
      <c r="P5" s="68" t="s">
        <v>796</v>
      </c>
      <c r="Q5" s="68" t="s">
        <v>796</v>
      </c>
      <c r="R5" s="68" t="s">
        <v>796</v>
      </c>
      <c r="S5" s="71" t="s">
        <v>807</v>
      </c>
      <c r="T5" s="71" t="s">
        <v>808</v>
      </c>
      <c r="U5" s="72" t="s">
        <v>809</v>
      </c>
      <c r="V5" s="70" t="s">
        <v>797</v>
      </c>
      <c r="W5" s="69" t="s">
        <v>798</v>
      </c>
      <c r="X5" s="71" t="s">
        <v>797</v>
      </c>
      <c r="Y5" s="71" t="s">
        <v>797</v>
      </c>
      <c r="Z5" s="71" t="s">
        <v>799</v>
      </c>
      <c r="AA5" s="71" t="s">
        <v>799</v>
      </c>
      <c r="AB5" s="72" t="s">
        <v>797</v>
      </c>
      <c r="AC5" s="72" t="s">
        <v>799</v>
      </c>
      <c r="AD5" s="71" t="s">
        <v>797</v>
      </c>
      <c r="AE5" s="71" t="s">
        <v>797</v>
      </c>
      <c r="AF5" s="71" t="s">
        <v>797</v>
      </c>
      <c r="AG5" s="71" t="s">
        <v>810</v>
      </c>
      <c r="AH5" s="81" t="s">
        <v>797</v>
      </c>
      <c r="AI5" s="81" t="s">
        <v>797</v>
      </c>
      <c r="AJ5" s="81" t="s">
        <v>797</v>
      </c>
      <c r="AK5" s="82" t="s">
        <v>797</v>
      </c>
      <c r="AL5" s="82" t="s">
        <v>797</v>
      </c>
      <c r="AM5" s="82" t="s">
        <v>797</v>
      </c>
      <c r="AN5" s="127" t="s">
        <v>650</v>
      </c>
    </row>
    <row r="6" spans="1:40" ht="28.5" customHeight="1">
      <c r="A6" s="59" t="s">
        <v>811</v>
      </c>
      <c r="B6" s="59" t="s">
        <v>812</v>
      </c>
      <c r="C6" s="59">
        <v>5</v>
      </c>
      <c r="D6" s="59">
        <v>0</v>
      </c>
      <c r="E6" s="59">
        <v>0</v>
      </c>
      <c r="F6" s="59">
        <v>0</v>
      </c>
      <c r="G6" s="59">
        <v>0</v>
      </c>
      <c r="H6" s="59">
        <v>0</v>
      </c>
      <c r="I6" s="59" t="s">
        <v>664</v>
      </c>
      <c r="J6" s="59" t="s">
        <v>677</v>
      </c>
      <c r="K6" s="59" t="s">
        <v>658</v>
      </c>
      <c r="L6" s="59" t="s">
        <v>672</v>
      </c>
      <c r="M6" s="59" t="s">
        <v>730</v>
      </c>
      <c r="N6" s="59" t="s">
        <v>677</v>
      </c>
      <c r="O6" s="68" t="s">
        <v>796</v>
      </c>
      <c r="P6" s="68" t="s">
        <v>796</v>
      </c>
      <c r="Q6" s="68" t="s">
        <v>796</v>
      </c>
      <c r="R6" s="68" t="s">
        <v>796</v>
      </c>
      <c r="S6" s="69" t="s">
        <v>797</v>
      </c>
      <c r="T6" s="71" t="s">
        <v>813</v>
      </c>
      <c r="U6" s="70" t="s">
        <v>814</v>
      </c>
      <c r="V6" s="70" t="s">
        <v>815</v>
      </c>
      <c r="W6" s="71" t="s">
        <v>816</v>
      </c>
      <c r="X6" s="71" t="s">
        <v>797</v>
      </c>
      <c r="Y6" s="71" t="s">
        <v>804</v>
      </c>
      <c r="Z6" s="71" t="s">
        <v>809</v>
      </c>
      <c r="AA6" s="71" t="s">
        <v>799</v>
      </c>
      <c r="AB6" s="72" t="s">
        <v>799</v>
      </c>
      <c r="AC6" s="72" t="s">
        <v>804</v>
      </c>
      <c r="AD6" s="71" t="s">
        <v>799</v>
      </c>
      <c r="AE6" s="71" t="s">
        <v>817</v>
      </c>
      <c r="AF6" s="71" t="s">
        <v>799</v>
      </c>
      <c r="AG6" s="71" t="s">
        <v>804</v>
      </c>
      <c r="AH6" s="81" t="s">
        <v>797</v>
      </c>
      <c r="AI6" s="81" t="s">
        <v>797</v>
      </c>
      <c r="AJ6" s="81" t="s">
        <v>797</v>
      </c>
      <c r="AK6" s="82" t="s">
        <v>797</v>
      </c>
      <c r="AL6" s="82" t="s">
        <v>797</v>
      </c>
      <c r="AM6" s="82" t="s">
        <v>797</v>
      </c>
      <c r="AN6" s="127" t="s">
        <v>650</v>
      </c>
    </row>
    <row r="7" spans="1:40" ht="99.75" customHeight="1">
      <c r="A7" s="59" t="s">
        <v>818</v>
      </c>
      <c r="B7" s="59" t="s">
        <v>819</v>
      </c>
      <c r="C7" s="59">
        <v>7</v>
      </c>
      <c r="D7" s="59">
        <v>0</v>
      </c>
      <c r="E7" s="59">
        <v>0</v>
      </c>
      <c r="F7" s="59">
        <v>0</v>
      </c>
      <c r="G7" s="59">
        <v>0</v>
      </c>
      <c r="H7" s="59">
        <v>0</v>
      </c>
      <c r="I7" s="59" t="s">
        <v>658</v>
      </c>
      <c r="J7" s="59" t="s">
        <v>664</v>
      </c>
      <c r="K7" s="59" t="s">
        <v>735</v>
      </c>
      <c r="L7" s="59" t="s">
        <v>740</v>
      </c>
      <c r="M7" s="59" t="s">
        <v>658</v>
      </c>
      <c r="N7" s="59" t="s">
        <v>707</v>
      </c>
      <c r="O7" s="59" t="s">
        <v>651</v>
      </c>
      <c r="P7" s="68" t="s">
        <v>796</v>
      </c>
      <c r="Q7" s="68" t="s">
        <v>796</v>
      </c>
      <c r="R7" s="68" t="s">
        <v>796</v>
      </c>
      <c r="S7" s="71" t="s">
        <v>807</v>
      </c>
      <c r="T7" s="71" t="s">
        <v>820</v>
      </c>
      <c r="U7" s="70" t="s">
        <v>797</v>
      </c>
      <c r="V7" s="70" t="s">
        <v>821</v>
      </c>
      <c r="W7" s="71" t="s">
        <v>822</v>
      </c>
      <c r="X7" s="71" t="s">
        <v>807</v>
      </c>
      <c r="Y7" s="71" t="s">
        <v>807</v>
      </c>
      <c r="Z7" s="71" t="s">
        <v>799</v>
      </c>
      <c r="AA7" s="71" t="s">
        <v>799</v>
      </c>
      <c r="AB7" s="72" t="s">
        <v>797</v>
      </c>
      <c r="AC7" s="72" t="s">
        <v>799</v>
      </c>
      <c r="AD7" s="71" t="s">
        <v>804</v>
      </c>
      <c r="AE7" s="71" t="s">
        <v>799</v>
      </c>
      <c r="AF7" s="71" t="s">
        <v>804</v>
      </c>
      <c r="AG7" s="71" t="s">
        <v>804</v>
      </c>
      <c r="AH7" s="81" t="s">
        <v>797</v>
      </c>
      <c r="AI7" s="81" t="s">
        <v>797</v>
      </c>
      <c r="AJ7" s="81" t="s">
        <v>797</v>
      </c>
      <c r="AK7" s="82" t="s">
        <v>797</v>
      </c>
      <c r="AL7" s="82" t="s">
        <v>797</v>
      </c>
      <c r="AM7" s="82" t="s">
        <v>797</v>
      </c>
      <c r="AN7" s="127" t="s">
        <v>650</v>
      </c>
    </row>
    <row r="8" spans="1:40" ht="99.75" customHeight="1">
      <c r="A8" s="59" t="s">
        <v>823</v>
      </c>
      <c r="B8" s="59" t="s">
        <v>824</v>
      </c>
      <c r="C8" s="59">
        <v>10</v>
      </c>
      <c r="D8" s="59">
        <v>0</v>
      </c>
      <c r="E8" s="59">
        <v>25</v>
      </c>
      <c r="F8" s="59">
        <v>20</v>
      </c>
      <c r="G8" s="59">
        <v>10</v>
      </c>
      <c r="H8" s="59">
        <v>0</v>
      </c>
      <c r="I8" s="59" t="s">
        <v>735</v>
      </c>
      <c r="J8" s="59" t="s">
        <v>740</v>
      </c>
      <c r="K8" s="59" t="s">
        <v>658</v>
      </c>
      <c r="L8" s="59" t="s">
        <v>677</v>
      </c>
      <c r="M8" s="59" t="s">
        <v>714</v>
      </c>
      <c r="N8" s="59" t="s">
        <v>651</v>
      </c>
      <c r="O8" s="59" t="s">
        <v>730</v>
      </c>
      <c r="P8" s="68" t="s">
        <v>796</v>
      </c>
      <c r="Q8" s="68" t="s">
        <v>796</v>
      </c>
      <c r="R8" s="68" t="s">
        <v>796</v>
      </c>
      <c r="S8" s="71" t="s">
        <v>804</v>
      </c>
      <c r="T8" s="71" t="s">
        <v>825</v>
      </c>
      <c r="U8" s="70" t="s">
        <v>797</v>
      </c>
      <c r="V8" s="70" t="s">
        <v>821</v>
      </c>
      <c r="W8" s="71" t="s">
        <v>826</v>
      </c>
      <c r="X8" s="71" t="s">
        <v>807</v>
      </c>
      <c r="Y8" s="71" t="s">
        <v>807</v>
      </c>
      <c r="Z8" s="71" t="s">
        <v>797</v>
      </c>
      <c r="AA8" s="71" t="s">
        <v>804</v>
      </c>
      <c r="AB8" s="72" t="s">
        <v>807</v>
      </c>
      <c r="AC8" s="72" t="s">
        <v>797</v>
      </c>
      <c r="AD8" s="72" t="s">
        <v>804</v>
      </c>
      <c r="AE8" s="72" t="s">
        <v>797</v>
      </c>
      <c r="AF8" s="72" t="s">
        <v>827</v>
      </c>
      <c r="AG8" s="71" t="s">
        <v>797</v>
      </c>
      <c r="AH8" s="81" t="s">
        <v>797</v>
      </c>
      <c r="AI8" s="81" t="s">
        <v>797</v>
      </c>
      <c r="AJ8" s="81" t="s">
        <v>797</v>
      </c>
      <c r="AK8" s="82" t="s">
        <v>797</v>
      </c>
      <c r="AL8" s="82" t="s">
        <v>797</v>
      </c>
      <c r="AM8" s="82" t="s">
        <v>797</v>
      </c>
      <c r="AN8" s="127" t="s">
        <v>650</v>
      </c>
    </row>
    <row r="9" spans="1:40" ht="71.25" customHeight="1">
      <c r="A9" s="59" t="s">
        <v>828</v>
      </c>
      <c r="B9" s="59" t="s">
        <v>829</v>
      </c>
      <c r="C9" s="59">
        <v>15</v>
      </c>
      <c r="D9" s="59">
        <v>0</v>
      </c>
      <c r="E9" s="59">
        <v>50</v>
      </c>
      <c r="F9" s="59">
        <v>25</v>
      </c>
      <c r="G9" s="59">
        <v>15</v>
      </c>
      <c r="H9" s="62">
        <v>10</v>
      </c>
      <c r="I9" s="59" t="s">
        <v>664</v>
      </c>
      <c r="J9" s="59" t="s">
        <v>651</v>
      </c>
      <c r="K9" s="59" t="s">
        <v>664</v>
      </c>
      <c r="L9" s="59" t="s">
        <v>651</v>
      </c>
      <c r="M9" s="59" t="s">
        <v>730</v>
      </c>
      <c r="N9" s="59" t="s">
        <v>651</v>
      </c>
      <c r="O9" s="68" t="s">
        <v>796</v>
      </c>
      <c r="P9" s="68" t="s">
        <v>796</v>
      </c>
      <c r="Q9" s="68" t="s">
        <v>796</v>
      </c>
      <c r="R9" s="68" t="s">
        <v>796</v>
      </c>
      <c r="S9" s="69" t="s">
        <v>797</v>
      </c>
      <c r="T9" s="71" t="s">
        <v>830</v>
      </c>
      <c r="U9" s="70" t="s">
        <v>831</v>
      </c>
      <c r="V9" s="70" t="s">
        <v>832</v>
      </c>
      <c r="W9" s="71" t="s">
        <v>833</v>
      </c>
      <c r="X9" s="71" t="s">
        <v>834</v>
      </c>
      <c r="Y9" s="71" t="s">
        <v>834</v>
      </c>
      <c r="Z9" s="71" t="s">
        <v>797</v>
      </c>
      <c r="AA9" s="59">
        <v>0</v>
      </c>
      <c r="AB9" s="71" t="s">
        <v>797</v>
      </c>
      <c r="AC9" s="71" t="s">
        <v>797</v>
      </c>
      <c r="AD9" s="71" t="s">
        <v>804</v>
      </c>
      <c r="AE9" s="71" t="s">
        <v>835</v>
      </c>
      <c r="AF9" s="71" t="s">
        <v>797</v>
      </c>
      <c r="AG9" s="71" t="s">
        <v>797</v>
      </c>
      <c r="AH9" s="81" t="s">
        <v>797</v>
      </c>
      <c r="AI9" s="81" t="s">
        <v>797</v>
      </c>
      <c r="AJ9" s="81" t="s">
        <v>797</v>
      </c>
      <c r="AK9" s="82" t="s">
        <v>797</v>
      </c>
      <c r="AL9" s="82" t="s">
        <v>797</v>
      </c>
      <c r="AM9" s="82" t="s">
        <v>797</v>
      </c>
      <c r="AN9" s="127" t="s">
        <v>650</v>
      </c>
    </row>
    <row r="10" spans="1:40" ht="57" customHeight="1">
      <c r="A10" s="59" t="s">
        <v>836</v>
      </c>
      <c r="B10" s="62" t="s">
        <v>837</v>
      </c>
      <c r="C10" s="62">
        <v>15</v>
      </c>
      <c r="D10" s="59">
        <v>0</v>
      </c>
      <c r="E10" s="59">
        <v>50</v>
      </c>
      <c r="F10" s="59">
        <v>25</v>
      </c>
      <c r="G10" s="59">
        <v>15</v>
      </c>
      <c r="H10" s="62">
        <v>10</v>
      </c>
      <c r="I10" s="59" t="s">
        <v>639</v>
      </c>
      <c r="J10" s="59" t="s">
        <v>696</v>
      </c>
      <c r="K10" s="59" t="s">
        <v>740</v>
      </c>
      <c r="L10" s="59" t="s">
        <v>721</v>
      </c>
      <c r="M10" s="59" t="s">
        <v>639</v>
      </c>
      <c r="N10" s="59" t="s">
        <v>711</v>
      </c>
      <c r="O10" s="68" t="s">
        <v>796</v>
      </c>
      <c r="P10" s="68" t="s">
        <v>796</v>
      </c>
      <c r="Q10" s="68" t="s">
        <v>796</v>
      </c>
      <c r="R10" s="68" t="s">
        <v>796</v>
      </c>
      <c r="S10" s="69" t="s">
        <v>797</v>
      </c>
      <c r="T10" s="71" t="s">
        <v>820</v>
      </c>
      <c r="U10" s="70" t="s">
        <v>649</v>
      </c>
      <c r="V10" s="70" t="s">
        <v>838</v>
      </c>
      <c r="W10" s="71" t="s">
        <v>839</v>
      </c>
      <c r="X10" s="71" t="s">
        <v>804</v>
      </c>
      <c r="Y10" s="71" t="s">
        <v>840</v>
      </c>
      <c r="Z10" s="71" t="s">
        <v>797</v>
      </c>
      <c r="AA10" s="71" t="s">
        <v>797</v>
      </c>
      <c r="AB10" s="71" t="s">
        <v>797</v>
      </c>
      <c r="AC10" s="71" t="s">
        <v>797</v>
      </c>
      <c r="AD10" s="71" t="s">
        <v>797</v>
      </c>
      <c r="AE10" s="71" t="s">
        <v>797</v>
      </c>
      <c r="AF10" s="71" t="s">
        <v>797</v>
      </c>
      <c r="AG10" s="71" t="s">
        <v>797</v>
      </c>
      <c r="AH10" s="82" t="s">
        <v>797</v>
      </c>
      <c r="AI10" s="82" t="s">
        <v>797</v>
      </c>
      <c r="AJ10" s="83" t="s">
        <v>797</v>
      </c>
      <c r="AK10" s="82" t="s">
        <v>797</v>
      </c>
      <c r="AL10" s="82" t="s">
        <v>797</v>
      </c>
      <c r="AM10" s="82" t="s">
        <v>797</v>
      </c>
      <c r="AN10" s="127" t="s">
        <v>650</v>
      </c>
    </row>
    <row r="11" spans="1:40" ht="99.75" customHeight="1">
      <c r="A11" s="59" t="s">
        <v>841</v>
      </c>
      <c r="B11" s="62" t="inlineStr">
        <is>
          <t xml:space="preserve">Advancing a Bill to Protect Hometown Markets</t>
        </is>
      </c>
      <c r="C11" s="62">
        <v>20</v>
      </c>
      <c r="D11" s="59">
        <v>0</v>
      </c>
      <c r="E11" s="59">
        <v>50</v>
      </c>
      <c r="F11" s="59">
        <v>25</v>
      </c>
      <c r="G11" s="59">
        <v>15</v>
      </c>
      <c r="H11" s="62">
        <v>10</v>
      </c>
      <c r="I11" s="59" t="s">
        <v>672</v>
      </c>
      <c r="J11" s="59" t="s">
        <v>664</v>
      </c>
      <c r="K11" s="59" t="s">
        <v>672</v>
      </c>
      <c r="L11" s="59" t="s">
        <v>740</v>
      </c>
      <c r="M11" s="59" t="s">
        <v>735</v>
      </c>
      <c r="N11" s="59" t="s">
        <v>740</v>
      </c>
      <c r="O11" s="59" t="s">
        <v>639</v>
      </c>
      <c r="P11" s="59" t="s">
        <v>677</v>
      </c>
      <c r="Q11" s="59" t="s">
        <v>714</v>
      </c>
      <c r="R11" s="59" t="s">
        <v>651</v>
      </c>
      <c r="S11" s="71" t="s">
        <v>843</v>
      </c>
      <c r="T11" s="71" t="s">
        <v>844</v>
      </c>
      <c r="U11" s="72" t="s">
        <v>845</v>
      </c>
      <c r="V11" s="72" t="s">
        <v>846</v>
      </c>
      <c r="W11" s="71" t="s">
        <v>847</v>
      </c>
      <c r="X11" s="71" t="s">
        <v>797</v>
      </c>
      <c r="Y11" s="71" t="s">
        <v>797</v>
      </c>
      <c r="Z11" s="71" t="s">
        <v>848</v>
      </c>
      <c r="AA11" s="71" t="s">
        <v>849</v>
      </c>
      <c r="AB11" s="72" t="s">
        <v>835</v>
      </c>
      <c r="AC11" s="72" t="s">
        <v>850</v>
      </c>
      <c r="AD11" s="71" t="s">
        <v>851</v>
      </c>
      <c r="AE11" s="71" t="s">
        <v>797</v>
      </c>
      <c r="AF11" s="59">
        <v>0</v>
      </c>
      <c r="AG11" s="71" t="s">
        <v>852</v>
      </c>
      <c r="AH11" s="82" t="s">
        <v>797</v>
      </c>
      <c r="AI11" s="82" t="s">
        <v>797</v>
      </c>
      <c r="AJ11" s="83" t="s">
        <v>797</v>
      </c>
      <c r="AK11" s="82" t="s">
        <v>797</v>
      </c>
      <c r="AL11" s="82" t="s">
        <v>797</v>
      </c>
      <c r="AM11" s="82" t="s">
        <v>797</v>
      </c>
      <c r="AN11" s="127" t="s">
        <v>650</v>
      </c>
    </row>
    <row r="12" spans="1:40">
      <c r="A12" s="59" t="s">
        <v>853</v>
      </c>
      <c r="B12" s="84" t="s">
        <v>854</v>
      </c>
      <c r="C12" s="84">
        <v>5</v>
      </c>
      <c r="D12" s="59">
        <v>1</v>
      </c>
      <c r="E12" s="59">
        <v>150</v>
      </c>
      <c r="F12" s="59">
        <v>100</v>
      </c>
      <c r="G12" s="59">
        <v>50</v>
      </c>
      <c r="H12" s="59">
        <v>10</v>
      </c>
      <c r="I12" s="84" t="s">
        <v>682</v>
      </c>
      <c r="J12" s="84" t="s">
        <v>672</v>
      </c>
      <c r="K12" s="84" t="s">
        <v>740</v>
      </c>
      <c r="L12" s="68" t="s">
        <v>796</v>
      </c>
      <c r="M12" s="68" t="s">
        <v>796</v>
      </c>
      <c r="N12" s="68" t="s">
        <v>796</v>
      </c>
      <c r="O12" s="68" t="s">
        <v>796</v>
      </c>
      <c r="P12" s="68" t="s">
        <v>796</v>
      </c>
      <c r="Q12" s="68" t="s">
        <v>796</v>
      </c>
      <c r="R12" s="68" t="s">
        <v>796</v>
      </c>
      <c r="S12" s="82" t="s">
        <v>799</v>
      </c>
      <c r="T12" s="82" t="s">
        <v>855</v>
      </c>
      <c r="U12" s="82" t="s">
        <v>856</v>
      </c>
      <c r="V12" s="82" t="s">
        <v>857</v>
      </c>
      <c r="W12" s="82" t="s">
        <v>858</v>
      </c>
      <c r="X12" s="82" t="s">
        <v>797</v>
      </c>
      <c r="Y12" s="82" t="s">
        <v>797</v>
      </c>
      <c r="Z12" s="82" t="s">
        <v>799</v>
      </c>
      <c r="AA12" s="82" t="s">
        <v>797</v>
      </c>
      <c r="AB12" s="82" t="s">
        <v>797</v>
      </c>
      <c r="AC12" s="82" t="s">
        <v>797</v>
      </c>
      <c r="AD12" s="82" t="s">
        <v>797</v>
      </c>
      <c r="AE12" s="82" t="s">
        <v>797</v>
      </c>
      <c r="AF12" s="82" t="s">
        <v>797</v>
      </c>
      <c r="AG12" s="82" t="s">
        <v>797</v>
      </c>
      <c r="AH12" s="82" t="s">
        <v>849</v>
      </c>
      <c r="AI12" s="82" t="s">
        <v>797</v>
      </c>
      <c r="AJ12" s="82" t="s">
        <v>797</v>
      </c>
      <c r="AK12" s="82" t="s">
        <v>797</v>
      </c>
      <c r="AL12" s="82" t="s">
        <v>797</v>
      </c>
      <c r="AM12" s="82" t="s">
        <v>797</v>
      </c>
      <c r="AN12" s="127" t="s">
        <v>650</v>
      </c>
    </row>
    <row r="13" spans="1:40">
      <c r="A13" s="59" t="s">
        <v>859</v>
      </c>
      <c r="B13" s="84" t="s">
        <v>860</v>
      </c>
      <c r="C13" s="84">
        <v>6</v>
      </c>
      <c r="D13" s="59">
        <v>1</v>
      </c>
      <c r="E13" s="59">
        <v>150</v>
      </c>
      <c r="F13" s="59">
        <v>100</v>
      </c>
      <c r="G13" s="59">
        <v>50</v>
      </c>
      <c r="H13" s="59">
        <v>10</v>
      </c>
      <c r="I13" s="84" t="s">
        <v>682</v>
      </c>
      <c r="J13" s="84" t="s">
        <v>672</v>
      </c>
      <c r="K13" s="84" t="s">
        <v>696</v>
      </c>
      <c r="L13" s="84" t="s">
        <v>714</v>
      </c>
      <c r="M13" s="68" t="s">
        <v>796</v>
      </c>
      <c r="N13" s="68" t="s">
        <v>796</v>
      </c>
      <c r="O13" s="68" t="s">
        <v>796</v>
      </c>
      <c r="P13" s="68" t="s">
        <v>796</v>
      </c>
      <c r="Q13" s="68" t="s">
        <v>796</v>
      </c>
      <c r="R13" s="68" t="s">
        <v>796</v>
      </c>
      <c r="S13" s="82" t="s">
        <v>804</v>
      </c>
      <c r="T13" s="82" t="s">
        <v>861</v>
      </c>
      <c r="U13" s="82" t="s">
        <v>810</v>
      </c>
      <c r="V13" s="82" t="s">
        <v>862</v>
      </c>
      <c r="W13" s="82" t="s">
        <v>863</v>
      </c>
      <c r="X13" s="82" t="s">
        <v>797</v>
      </c>
      <c r="Y13" s="82" t="s">
        <v>797</v>
      </c>
      <c r="Z13" s="82" t="s">
        <v>799</v>
      </c>
      <c r="AA13" s="82" t="s">
        <v>797</v>
      </c>
      <c r="AB13" s="82" t="s">
        <v>797</v>
      </c>
      <c r="AC13" s="82" t="s">
        <v>856</v>
      </c>
      <c r="AD13" s="82" t="s">
        <v>797</v>
      </c>
      <c r="AE13" s="82" t="s">
        <v>797</v>
      </c>
      <c r="AF13" s="82" t="s">
        <v>797</v>
      </c>
      <c r="AG13" s="82" t="s">
        <v>797</v>
      </c>
      <c r="AH13" s="82" t="s">
        <v>797</v>
      </c>
      <c r="AI13" s="82" t="s">
        <v>849</v>
      </c>
      <c r="AJ13" s="82" t="s">
        <v>797</v>
      </c>
      <c r="AK13" s="82" t="s">
        <v>797</v>
      </c>
      <c r="AL13" s="82" t="s">
        <v>797</v>
      </c>
      <c r="AM13" s="82" t="s">
        <v>797</v>
      </c>
      <c r="AN13" s="127" t="s">
        <v>650</v>
      </c>
    </row>
    <row r="14" spans="1:40">
      <c r="A14" s="59" t="s">
        <v>864</v>
      </c>
      <c r="B14" s="84" t="s">
        <v>865</v>
      </c>
      <c r="C14" s="84">
        <v>6</v>
      </c>
      <c r="D14" s="59">
        <v>1</v>
      </c>
      <c r="E14" s="59">
        <v>150</v>
      </c>
      <c r="F14" s="59">
        <v>100</v>
      </c>
      <c r="G14" s="59">
        <v>50</v>
      </c>
      <c r="H14" s="59">
        <v>10</v>
      </c>
      <c r="I14" s="84" t="s">
        <v>735</v>
      </c>
      <c r="J14" s="84" t="s">
        <v>651</v>
      </c>
      <c r="K14" s="84" t="s">
        <v>717</v>
      </c>
      <c r="L14" s="84" t="s">
        <v>714</v>
      </c>
      <c r="M14" s="68" t="s">
        <v>796</v>
      </c>
      <c r="N14" s="68" t="s">
        <v>796</v>
      </c>
      <c r="O14" s="68" t="s">
        <v>796</v>
      </c>
      <c r="P14" s="68" t="s">
        <v>796</v>
      </c>
      <c r="Q14" s="68" t="s">
        <v>796</v>
      </c>
      <c r="R14" s="68" t="s">
        <v>796</v>
      </c>
      <c r="S14" s="82" t="s">
        <v>804</v>
      </c>
      <c r="T14" s="82" t="s">
        <v>866</v>
      </c>
      <c r="U14" s="82" t="s">
        <v>810</v>
      </c>
      <c r="V14" s="82" t="s">
        <v>862</v>
      </c>
      <c r="W14" s="82" t="s">
        <v>863</v>
      </c>
      <c r="X14" s="82" t="s">
        <v>797</v>
      </c>
      <c r="Y14" s="82" t="s">
        <v>797</v>
      </c>
      <c r="Z14" s="82" t="s">
        <v>797</v>
      </c>
      <c r="AA14" s="82" t="s">
        <v>797</v>
      </c>
      <c r="AB14" s="82" t="s">
        <v>856</v>
      </c>
      <c r="AC14" s="82" t="s">
        <v>797</v>
      </c>
      <c r="AD14" s="82" t="s">
        <v>797</v>
      </c>
      <c r="AE14" s="82" t="s">
        <v>797</v>
      </c>
      <c r="AF14" s="82" t="s">
        <v>797</v>
      </c>
      <c r="AG14" s="82" t="s">
        <v>797</v>
      </c>
      <c r="AH14" s="82" t="s">
        <v>797</v>
      </c>
      <c r="AI14" s="82" t="s">
        <v>797</v>
      </c>
      <c r="AJ14" s="82" t="s">
        <v>849</v>
      </c>
      <c r="AK14" s="82" t="s">
        <v>797</v>
      </c>
      <c r="AL14" s="82" t="s">
        <v>797</v>
      </c>
      <c r="AM14" s="82" t="s">
        <v>797</v>
      </c>
      <c r="AN14" s="127" t="s">
        <v>650</v>
      </c>
    </row>
    <row r="15" spans="1:40">
      <c r="A15" s="59" t="s">
        <v>867</v>
      </c>
      <c r="B15" s="84" t="s">
        <v>868</v>
      </c>
      <c r="C15" s="84">
        <v>8</v>
      </c>
      <c r="D15" s="59">
        <v>1</v>
      </c>
      <c r="E15" s="59">
        <v>150</v>
      </c>
      <c r="F15" s="59">
        <v>100</v>
      </c>
      <c r="G15" s="59">
        <v>50</v>
      </c>
      <c r="H15" s="59">
        <v>10</v>
      </c>
      <c r="I15" s="84" t="s">
        <v>682</v>
      </c>
      <c r="J15" s="84" t="s">
        <v>735</v>
      </c>
      <c r="K15" s="84" t="s">
        <v>714</v>
      </c>
      <c r="L15" s="84" t="s">
        <v>721</v>
      </c>
      <c r="M15" s="84" t="s">
        <v>651</v>
      </c>
      <c r="N15" s="68" t="s">
        <v>796</v>
      </c>
      <c r="O15" s="68" t="s">
        <v>796</v>
      </c>
      <c r="P15" s="68" t="s">
        <v>796</v>
      </c>
      <c r="Q15" s="68" t="s">
        <v>796</v>
      </c>
      <c r="R15" s="68" t="s">
        <v>796</v>
      </c>
      <c r="S15" s="82" t="s">
        <v>804</v>
      </c>
      <c r="T15" s="82" t="s">
        <v>869</v>
      </c>
      <c r="U15" s="82" t="s">
        <v>810</v>
      </c>
      <c r="V15" s="82" t="s">
        <v>870</v>
      </c>
      <c r="W15" s="82" t="s">
        <v>847</v>
      </c>
      <c r="X15" s="82" t="s">
        <v>797</v>
      </c>
      <c r="Y15" s="82" t="s">
        <v>797</v>
      </c>
      <c r="Z15" s="82" t="s">
        <v>797</v>
      </c>
      <c r="AA15" s="82" t="s">
        <v>856</v>
      </c>
      <c r="AB15" s="82" t="s">
        <v>797</v>
      </c>
      <c r="AC15" s="82" t="s">
        <v>797</v>
      </c>
      <c r="AD15" s="82" t="s">
        <v>797</v>
      </c>
      <c r="AE15" s="82" t="s">
        <v>797</v>
      </c>
      <c r="AF15" s="82" t="s">
        <v>797</v>
      </c>
      <c r="AG15" s="82" t="s">
        <v>797</v>
      </c>
      <c r="AH15" s="82" t="s">
        <v>797</v>
      </c>
      <c r="AI15" s="82" t="s">
        <v>797</v>
      </c>
      <c r="AJ15" s="82" t="s">
        <v>797</v>
      </c>
      <c r="AK15" s="82" t="s">
        <v>849</v>
      </c>
      <c r="AL15" s="82" t="s">
        <v>797</v>
      </c>
      <c r="AM15" s="82" t="s">
        <v>797</v>
      </c>
      <c r="AN15" s="127" t="s">
        <v>650</v>
      </c>
    </row>
    <row r="16" spans="1:40">
      <c r="A16" s="59" t="s">
        <v>871</v>
      </c>
      <c r="B16" s="84" t="s">
        <v>872</v>
      </c>
      <c r="C16" s="84">
        <v>10</v>
      </c>
      <c r="D16" s="59">
        <v>1</v>
      </c>
      <c r="E16" s="59">
        <v>150</v>
      </c>
      <c r="F16" s="59">
        <v>100</v>
      </c>
      <c r="G16" s="59">
        <v>50</v>
      </c>
      <c r="H16" s="59">
        <v>10</v>
      </c>
      <c r="I16" s="84" t="s">
        <v>658</v>
      </c>
      <c r="J16" s="84" t="s">
        <v>677</v>
      </c>
      <c r="K16" s="84" t="s">
        <v>711</v>
      </c>
      <c r="L16" s="84" t="s">
        <v>725</v>
      </c>
      <c r="M16" s="84" t="s">
        <v>664</v>
      </c>
      <c r="N16" s="84" t="s">
        <v>651</v>
      </c>
      <c r="O16" s="68" t="s">
        <v>796</v>
      </c>
      <c r="P16" s="68" t="s">
        <v>796</v>
      </c>
      <c r="Q16" s="68" t="s">
        <v>796</v>
      </c>
      <c r="R16" s="68" t="s">
        <v>796</v>
      </c>
      <c r="S16" s="82" t="s">
        <v>810</v>
      </c>
      <c r="T16" s="82" t="s">
        <v>873</v>
      </c>
      <c r="U16" s="82" t="s">
        <v>849</v>
      </c>
      <c r="V16" s="82" t="s">
        <v>874</v>
      </c>
      <c r="W16" s="82" t="s">
        <v>875</v>
      </c>
      <c r="X16" s="82" t="s">
        <v>856</v>
      </c>
      <c r="Y16" s="82" t="s">
        <v>797</v>
      </c>
      <c r="Z16" s="82" t="s">
        <v>797</v>
      </c>
      <c r="AA16" s="82" t="s">
        <v>797</v>
      </c>
      <c r="AB16" s="82" t="s">
        <v>797</v>
      </c>
      <c r="AC16" s="82" t="s">
        <v>797</v>
      </c>
      <c r="AD16" s="82" t="s">
        <v>797</v>
      </c>
      <c r="AE16" s="82" t="s">
        <v>799</v>
      </c>
      <c r="AF16" s="82" t="s">
        <v>797</v>
      </c>
      <c r="AG16" s="82" t="s">
        <v>797</v>
      </c>
      <c r="AH16" s="82" t="s">
        <v>797</v>
      </c>
      <c r="AI16" s="82" t="s">
        <v>797</v>
      </c>
      <c r="AJ16" s="82" t="s">
        <v>797</v>
      </c>
      <c r="AK16" s="82" t="s">
        <v>797</v>
      </c>
      <c r="AL16" s="82" t="s">
        <v>849</v>
      </c>
      <c r="AM16" s="82" t="s">
        <v>797</v>
      </c>
      <c r="AN16" s="127" t="s">
        <v>650</v>
      </c>
    </row>
    <row r="17" spans="1:40">
      <c r="A17" s="59" t="s">
        <v>876</v>
      </c>
      <c r="B17" s="84" t="s">
        <v>877</v>
      </c>
      <c r="C17" s="84">
        <v>12</v>
      </c>
      <c r="D17" s="59">
        <v>1</v>
      </c>
      <c r="E17" s="59">
        <v>150</v>
      </c>
      <c r="F17" s="59">
        <v>100</v>
      </c>
      <c r="G17" s="59">
        <v>50</v>
      </c>
      <c r="H17" s="59">
        <v>10</v>
      </c>
      <c r="I17" s="84" t="s">
        <v>664</v>
      </c>
      <c r="J17" s="84" t="s">
        <v>677</v>
      </c>
      <c r="K17" s="84" t="s">
        <v>704</v>
      </c>
      <c r="L17" s="84" t="s">
        <v>717</v>
      </c>
      <c r="M17" s="84" t="s">
        <v>721</v>
      </c>
      <c r="N17" s="84" t="s">
        <v>740</v>
      </c>
      <c r="O17" s="84" t="s">
        <v>730</v>
      </c>
      <c r="P17" s="84" t="s">
        <v>651</v>
      </c>
      <c r="Q17" s="68" t="s">
        <v>796</v>
      </c>
      <c r="R17" s="68" t="s">
        <v>796</v>
      </c>
      <c r="S17" s="82" t="s">
        <v>810</v>
      </c>
      <c r="T17" s="82" t="s">
        <v>878</v>
      </c>
      <c r="U17" s="82" t="s">
        <v>834</v>
      </c>
      <c r="V17" s="82" t="s">
        <v>879</v>
      </c>
      <c r="W17" s="82" t="s">
        <v>880</v>
      </c>
      <c r="X17" s="82" t="s">
        <v>797</v>
      </c>
      <c r="Y17" s="82" t="s">
        <v>797</v>
      </c>
      <c r="Z17" s="82" t="s">
        <v>797</v>
      </c>
      <c r="AA17" s="82" t="s">
        <v>797</v>
      </c>
      <c r="AB17" s="82" t="s">
        <v>799</v>
      </c>
      <c r="AC17" s="82" t="s">
        <v>797</v>
      </c>
      <c r="AD17" s="82" t="s">
        <v>797</v>
      </c>
      <c r="AE17" s="82" t="s">
        <v>856</v>
      </c>
      <c r="AF17" s="82" t="s">
        <v>797</v>
      </c>
      <c r="AG17" s="82" t="s">
        <v>797</v>
      </c>
      <c r="AH17" s="82" t="s">
        <v>797</v>
      </c>
      <c r="AI17" s="82" t="s">
        <v>797</v>
      </c>
      <c r="AJ17" s="82" t="s">
        <v>797</v>
      </c>
      <c r="AK17" s="82" t="s">
        <v>797</v>
      </c>
      <c r="AL17" s="82" t="s">
        <v>797</v>
      </c>
      <c r="AM17" s="82" t="s">
        <v>849</v>
      </c>
      <c r="AN17" s="127" t="s">
        <v>650</v>
      </c>
    </row>
    <row r="18" spans="1:40">
      <c r="A18" s="59" t="s">
        <v>881</v>
      </c>
      <c r="B18" s="84" t="s">
        <v>882</v>
      </c>
      <c r="C18" s="84">
        <v>14</v>
      </c>
      <c r="D18" s="59">
        <v>1</v>
      </c>
      <c r="E18" s="59">
        <v>150</v>
      </c>
      <c r="F18" s="59">
        <v>100</v>
      </c>
      <c r="G18" s="59">
        <v>50</v>
      </c>
      <c r="H18" s="59">
        <v>10</v>
      </c>
      <c r="I18" s="84" t="s">
        <v>682</v>
      </c>
      <c r="J18" s="84" t="s">
        <v>672</v>
      </c>
      <c r="K18" s="84" t="s">
        <v>740</v>
      </c>
      <c r="L18" s="84" t="s">
        <v>672</v>
      </c>
      <c r="M18" s="84" t="s">
        <v>696</v>
      </c>
      <c r="N18" s="84" t="s">
        <v>714</v>
      </c>
      <c r="O18" s="84" t="s">
        <v>664</v>
      </c>
      <c r="P18" s="84" t="s">
        <v>730</v>
      </c>
      <c r="Q18" s="84" t="s">
        <v>651</v>
      </c>
      <c r="R18" s="68" t="s">
        <v>796</v>
      </c>
      <c r="S18" s="82" t="s">
        <v>850</v>
      </c>
      <c r="T18" s="82" t="s">
        <v>883</v>
      </c>
      <c r="U18" s="82" t="s">
        <v>834</v>
      </c>
      <c r="V18" s="82" t="s">
        <v>884</v>
      </c>
      <c r="W18" s="82" t="s">
        <v>885</v>
      </c>
      <c r="X18" s="82" t="s">
        <v>797</v>
      </c>
      <c r="Y18" s="82" t="s">
        <v>797</v>
      </c>
      <c r="Z18" s="82" t="s">
        <v>799</v>
      </c>
      <c r="AA18" s="82" t="s">
        <v>797</v>
      </c>
      <c r="AB18" s="82" t="s">
        <v>797</v>
      </c>
      <c r="AC18" s="82" t="s">
        <v>799</v>
      </c>
      <c r="AD18" s="82" t="s">
        <v>797</v>
      </c>
      <c r="AE18" s="82" t="s">
        <v>797</v>
      </c>
      <c r="AF18" s="82" t="s">
        <v>797</v>
      </c>
      <c r="AG18" s="82" t="s">
        <v>797</v>
      </c>
      <c r="AH18" s="82" t="s">
        <v>810</v>
      </c>
      <c r="AI18" s="82" t="s">
        <v>810</v>
      </c>
      <c r="AJ18" s="82" t="s">
        <v>797</v>
      </c>
      <c r="AK18" s="82" t="s">
        <v>797</v>
      </c>
      <c r="AL18" s="82" t="s">
        <v>797</v>
      </c>
      <c r="AM18" s="82" t="s">
        <v>797</v>
      </c>
      <c r="AN18" s="127" t="s">
        <v>650</v>
      </c>
    </row>
    <row r="19" spans="1:40">
      <c r="A19" s="59" t="s">
        <v>886</v>
      </c>
      <c r="B19" s="84" t="s">
        <v>887</v>
      </c>
      <c r="C19" s="84">
        <v>15</v>
      </c>
      <c r="D19" s="59">
        <v>1</v>
      </c>
      <c r="E19" s="59">
        <v>150</v>
      </c>
      <c r="F19" s="59">
        <v>100</v>
      </c>
      <c r="G19" s="59">
        <v>50</v>
      </c>
      <c r="H19" s="59">
        <v>10</v>
      </c>
      <c r="I19" s="84" t="s">
        <v>735</v>
      </c>
      <c r="J19" s="84" t="s">
        <v>651</v>
      </c>
      <c r="K19" s="84" t="s">
        <v>717</v>
      </c>
      <c r="L19" s="84" t="s">
        <v>714</v>
      </c>
      <c r="M19" s="84" t="s">
        <v>721</v>
      </c>
      <c r="N19" s="84" t="s">
        <v>735</v>
      </c>
      <c r="O19" s="84" t="s">
        <v>651</v>
      </c>
      <c r="P19" s="84" t="s">
        <v>730</v>
      </c>
      <c r="Q19" s="84" t="s">
        <v>664</v>
      </c>
      <c r="R19" s="84" t="s">
        <v>651</v>
      </c>
      <c r="S19" s="82" t="s">
        <v>849</v>
      </c>
      <c r="T19" s="82" t="s">
        <v>888</v>
      </c>
      <c r="U19" s="82" t="s">
        <v>851</v>
      </c>
      <c r="V19" s="82" t="s">
        <v>889</v>
      </c>
      <c r="W19" s="82" t="s">
        <v>890</v>
      </c>
      <c r="X19" s="82" t="s">
        <v>797</v>
      </c>
      <c r="Y19" s="82" t="s">
        <v>797</v>
      </c>
      <c r="Z19" s="82" t="s">
        <v>797</v>
      </c>
      <c r="AA19" s="82" t="s">
        <v>799</v>
      </c>
      <c r="AB19" s="82" t="s">
        <v>799</v>
      </c>
      <c r="AC19" s="82" t="s">
        <v>797</v>
      </c>
      <c r="AD19" s="82" t="s">
        <v>797</v>
      </c>
      <c r="AE19" s="82" t="s">
        <v>797</v>
      </c>
      <c r="AF19" s="82" t="s">
        <v>797</v>
      </c>
      <c r="AG19" s="82" t="s">
        <v>797</v>
      </c>
      <c r="AH19" s="82" t="s">
        <v>797</v>
      </c>
      <c r="AI19" s="82" t="s">
        <v>797</v>
      </c>
      <c r="AJ19" s="82" t="s">
        <v>810</v>
      </c>
      <c r="AK19" s="82" t="s">
        <v>810</v>
      </c>
      <c r="AL19" s="82" t="s">
        <v>797</v>
      </c>
      <c r="AM19" s="82" t="s">
        <v>797</v>
      </c>
      <c r="AN19" s="127" t="s">
        <v>650</v>
      </c>
    </row>
    <row r="20" spans="1:40">
      <c r="A20" s="59" t="s">
        <v>891</v>
      </c>
      <c r="B20" s="84" t="s">
        <v>892</v>
      </c>
      <c r="C20" s="84">
        <v>15</v>
      </c>
      <c r="D20" s="59">
        <v>1</v>
      </c>
      <c r="E20" s="59">
        <v>150</v>
      </c>
      <c r="F20" s="59">
        <v>100</v>
      </c>
      <c r="G20" s="59">
        <v>50</v>
      </c>
      <c r="H20" s="59">
        <v>10</v>
      </c>
      <c r="I20" s="84" t="s">
        <v>658</v>
      </c>
      <c r="J20" s="84" t="s">
        <v>677</v>
      </c>
      <c r="K20" s="84" t="s">
        <v>725</v>
      </c>
      <c r="L20" s="84" t="s">
        <v>711</v>
      </c>
      <c r="M20" s="84" t="s">
        <v>664</v>
      </c>
      <c r="N20" s="84" t="s">
        <v>704</v>
      </c>
      <c r="O20" s="84" t="s">
        <v>717</v>
      </c>
      <c r="P20" s="84" t="s">
        <v>721</v>
      </c>
      <c r="Q20" s="84" t="s">
        <v>740</v>
      </c>
      <c r="R20" s="84" t="s">
        <v>651</v>
      </c>
      <c r="S20" s="82" t="s">
        <v>849</v>
      </c>
      <c r="T20" s="82" t="s">
        <v>888</v>
      </c>
      <c r="U20" s="82" t="s">
        <v>851</v>
      </c>
      <c r="V20" s="82" t="s">
        <v>889</v>
      </c>
      <c r="W20" s="82" t="s">
        <v>890</v>
      </c>
      <c r="X20" s="82" t="s">
        <v>799</v>
      </c>
      <c r="Y20" s="82" t="s">
        <v>797</v>
      </c>
      <c r="Z20" s="82" t="s">
        <v>797</v>
      </c>
      <c r="AA20" s="82" t="s">
        <v>797</v>
      </c>
      <c r="AB20" s="82" t="s">
        <v>797</v>
      </c>
      <c r="AC20" s="82" t="s">
        <v>797</v>
      </c>
      <c r="AD20" s="82" t="s">
        <v>797</v>
      </c>
      <c r="AE20" s="82" t="s">
        <v>799</v>
      </c>
      <c r="AF20" s="82" t="s">
        <v>797</v>
      </c>
      <c r="AG20" s="82" t="s">
        <v>797</v>
      </c>
      <c r="AH20" s="82" t="s">
        <v>797</v>
      </c>
      <c r="AI20" s="82" t="s">
        <v>797</v>
      </c>
      <c r="AJ20" s="82" t="s">
        <v>797</v>
      </c>
      <c r="AK20" s="82" t="s">
        <v>797</v>
      </c>
      <c r="AL20" s="82" t="s">
        <v>810</v>
      </c>
      <c r="AM20" s="82" t="s">
        <v>810</v>
      </c>
      <c r="AN20" s="127" t="s">
        <v>650</v>
      </c>
    </row>
    <row r="21" spans="1:40">
      <c r="A21" s="59" t="s">
        <v>893</v>
      </c>
      <c r="B21" s="84" t="s">
        <v>894</v>
      </c>
      <c r="C21" s="84">
        <v>10</v>
      </c>
      <c r="D21" s="59">
        <v>2</v>
      </c>
      <c r="E21" s="59">
        <v>300</v>
      </c>
      <c r="F21" s="59">
        <v>250</v>
      </c>
      <c r="G21" s="59">
        <v>200</v>
      </c>
      <c r="H21" s="59">
        <v>100</v>
      </c>
      <c r="I21" s="84" t="s">
        <v>740</v>
      </c>
      <c r="J21" s="84" t="s">
        <v>688</v>
      </c>
      <c r="K21" s="84" t="s">
        <v>658</v>
      </c>
      <c r="L21" s="84" t="s">
        <v>651</v>
      </c>
      <c r="M21" s="68" t="s">
        <v>796</v>
      </c>
      <c r="N21" s="68" t="s">
        <v>796</v>
      </c>
      <c r="O21" s="68" t="s">
        <v>796</v>
      </c>
      <c r="P21" s="68" t="s">
        <v>796</v>
      </c>
      <c r="Q21" s="68" t="s">
        <v>796</v>
      </c>
      <c r="R21" s="68" t="s">
        <v>796</v>
      </c>
      <c r="S21" s="82" t="s">
        <v>834</v>
      </c>
      <c r="T21" s="82" t="s">
        <v>895</v>
      </c>
      <c r="U21" s="82" t="s">
        <v>896</v>
      </c>
      <c r="V21" s="82" t="s">
        <v>897</v>
      </c>
      <c r="W21" s="82" t="s">
        <v>890</v>
      </c>
      <c r="X21" s="82" t="s">
        <v>797</v>
      </c>
      <c r="Y21" s="82" t="s">
        <v>804</v>
      </c>
      <c r="Z21" s="82" t="s">
        <v>797</v>
      </c>
      <c r="AA21" s="82" t="s">
        <v>797</v>
      </c>
      <c r="AB21" s="82" t="s">
        <v>797</v>
      </c>
      <c r="AC21" s="82" t="s">
        <v>797</v>
      </c>
      <c r="AD21" s="82" t="s">
        <v>797</v>
      </c>
      <c r="AE21" s="82" t="s">
        <v>797</v>
      </c>
      <c r="AF21" s="82" t="s">
        <v>849</v>
      </c>
      <c r="AG21" s="82" t="s">
        <v>797</v>
      </c>
      <c r="AH21" s="82" t="s">
        <v>834</v>
      </c>
      <c r="AI21" s="82" t="s">
        <v>797</v>
      </c>
      <c r="AJ21" s="82" t="s">
        <v>797</v>
      </c>
      <c r="AK21" s="82" t="s">
        <v>797</v>
      </c>
      <c r="AL21" s="82" t="s">
        <v>797</v>
      </c>
      <c r="AM21" s="82" t="s">
        <v>797</v>
      </c>
      <c r="AN21" s="127" t="s">
        <v>650</v>
      </c>
    </row>
    <row r="22" spans="1:40">
      <c r="A22" s="59" t="s">
        <v>898</v>
      </c>
      <c r="B22" s="128" t="s">
        <v>4778</v>
      </c>
      <c r="C22" s="84">
        <v>12</v>
      </c>
      <c r="D22" s="59">
        <v>2</v>
      </c>
      <c r="E22" s="59">
        <v>300</v>
      </c>
      <c r="F22" s="59">
        <v>250</v>
      </c>
      <c r="G22" s="59">
        <v>200</v>
      </c>
      <c r="H22" s="59">
        <v>100</v>
      </c>
      <c r="I22" s="84" t="s">
        <v>672</v>
      </c>
      <c r="J22" s="84" t="s">
        <v>696</v>
      </c>
      <c r="K22" s="84" t="s">
        <v>714</v>
      </c>
      <c r="L22" s="84" t="s">
        <v>688</v>
      </c>
      <c r="M22" s="84" t="s">
        <v>651</v>
      </c>
      <c r="N22" s="68" t="s">
        <v>796</v>
      </c>
      <c r="O22" s="68" t="s">
        <v>796</v>
      </c>
      <c r="P22" s="68" t="s">
        <v>796</v>
      </c>
      <c r="Q22" s="68" t="s">
        <v>796</v>
      </c>
      <c r="R22" s="68" t="s">
        <v>796</v>
      </c>
      <c r="S22" s="82" t="s">
        <v>834</v>
      </c>
      <c r="T22" s="82" t="s">
        <v>899</v>
      </c>
      <c r="U22" s="82" t="s">
        <v>896</v>
      </c>
      <c r="V22" s="82" t="s">
        <v>900</v>
      </c>
      <c r="W22" s="82" t="s">
        <v>901</v>
      </c>
      <c r="X22" s="82" t="s">
        <v>797</v>
      </c>
      <c r="Y22" s="82" t="s">
        <v>797</v>
      </c>
      <c r="Z22" s="82" t="s">
        <v>804</v>
      </c>
      <c r="AA22" s="82" t="s">
        <v>797</v>
      </c>
      <c r="AB22" s="82" t="s">
        <v>797</v>
      </c>
      <c r="AC22" s="82" t="s">
        <v>849</v>
      </c>
      <c r="AD22" s="82" t="s">
        <v>797</v>
      </c>
      <c r="AE22" s="82" t="s">
        <v>797</v>
      </c>
      <c r="AF22" s="82" t="s">
        <v>797</v>
      </c>
      <c r="AG22" s="82" t="s">
        <v>797</v>
      </c>
      <c r="AH22" s="82" t="s">
        <v>797</v>
      </c>
      <c r="AI22" s="82" t="s">
        <v>834</v>
      </c>
      <c r="AJ22" s="82" t="s">
        <v>797</v>
      </c>
      <c r="AK22" s="82" t="s">
        <v>797</v>
      </c>
      <c r="AL22" s="82" t="s">
        <v>797</v>
      </c>
      <c r="AM22" s="82" t="s">
        <v>797</v>
      </c>
      <c r="AN22" s="127" t="s">
        <v>650</v>
      </c>
    </row>
    <row r="23" spans="1:40">
      <c r="A23" s="59" t="s">
        <v>902</v>
      </c>
      <c r="B23" s="128" t="s">
        <v>4779</v>
      </c>
      <c r="C23" s="84">
        <v>15</v>
      </c>
      <c r="D23" s="59">
        <v>2</v>
      </c>
      <c r="E23" s="59">
        <v>300</v>
      </c>
      <c r="F23" s="59">
        <v>250</v>
      </c>
      <c r="G23" s="59">
        <v>200</v>
      </c>
      <c r="H23" s="59">
        <v>100</v>
      </c>
      <c r="I23" s="84" t="s">
        <v>735</v>
      </c>
      <c r="J23" s="84" t="s">
        <v>651</v>
      </c>
      <c r="K23" s="84" t="s">
        <v>717</v>
      </c>
      <c r="L23" s="84" t="s">
        <v>664</v>
      </c>
      <c r="M23" s="84" t="s">
        <v>677</v>
      </c>
      <c r="N23" s="84" t="s">
        <v>714</v>
      </c>
      <c r="O23" s="84" t="s">
        <v>651</v>
      </c>
      <c r="P23" s="68" t="s">
        <v>796</v>
      </c>
      <c r="Q23" s="68" t="s">
        <v>796</v>
      </c>
      <c r="R23" s="68" t="s">
        <v>796</v>
      </c>
      <c r="S23" s="82" t="s">
        <v>851</v>
      </c>
      <c r="T23" s="82" t="s">
        <v>903</v>
      </c>
      <c r="U23" s="82" t="s">
        <v>904</v>
      </c>
      <c r="V23" s="82" t="s">
        <v>905</v>
      </c>
      <c r="W23" s="82" t="s">
        <v>906</v>
      </c>
      <c r="X23" s="82" t="s">
        <v>799</v>
      </c>
      <c r="Y23" s="82" t="s">
        <v>797</v>
      </c>
      <c r="Z23" s="82" t="s">
        <v>797</v>
      </c>
      <c r="AA23" s="82" t="s">
        <v>797</v>
      </c>
      <c r="AB23" s="82" t="s">
        <v>849</v>
      </c>
      <c r="AC23" s="82" t="s">
        <v>797</v>
      </c>
      <c r="AD23" s="82" t="s">
        <v>797</v>
      </c>
      <c r="AE23" s="82" t="s">
        <v>797</v>
      </c>
      <c r="AF23" s="82" t="s">
        <v>797</v>
      </c>
      <c r="AG23" s="82" t="s">
        <v>797</v>
      </c>
      <c r="AH23" s="82" t="s">
        <v>797</v>
      </c>
      <c r="AI23" s="82" t="s">
        <v>797</v>
      </c>
      <c r="AJ23" s="82" t="s">
        <v>834</v>
      </c>
      <c r="AK23" s="82" t="s">
        <v>797</v>
      </c>
      <c r="AL23" s="82" t="s">
        <v>797</v>
      </c>
      <c r="AM23" s="82" t="s">
        <v>797</v>
      </c>
      <c r="AN23" s="127" t="s">
        <v>650</v>
      </c>
    </row>
    <row r="24" spans="1:40">
      <c r="A24" s="59" t="s">
        <v>907</v>
      </c>
      <c r="B24" s="128" t="s">
        <v>4780</v>
      </c>
      <c r="C24" s="84">
        <v>20</v>
      </c>
      <c r="D24" s="59">
        <v>2</v>
      </c>
      <c r="E24" s="59">
        <v>300</v>
      </c>
      <c r="F24" s="59">
        <v>250</v>
      </c>
      <c r="G24" s="59">
        <v>200</v>
      </c>
      <c r="H24" s="59">
        <v>100</v>
      </c>
      <c r="I24" s="84" t="s">
        <v>682</v>
      </c>
      <c r="J24" s="84" t="s">
        <v>735</v>
      </c>
      <c r="K24" s="84" t="s">
        <v>721</v>
      </c>
      <c r="L24" s="84" t="s">
        <v>714</v>
      </c>
      <c r="M24" s="84" t="s">
        <v>651</v>
      </c>
      <c r="N24" s="84" t="s">
        <v>664</v>
      </c>
      <c r="O24" s="84" t="s">
        <v>730</v>
      </c>
      <c r="P24" s="84" t="s">
        <v>688</v>
      </c>
      <c r="Q24" s="84" t="s">
        <v>717</v>
      </c>
      <c r="R24" s="84" t="s">
        <v>651</v>
      </c>
      <c r="S24" s="82" t="s">
        <v>904</v>
      </c>
      <c r="T24" s="82" t="s">
        <v>908</v>
      </c>
      <c r="U24" s="82" t="s">
        <v>909</v>
      </c>
      <c r="V24" s="82" t="s">
        <v>910</v>
      </c>
      <c r="W24" s="82" t="s">
        <v>911</v>
      </c>
      <c r="X24" s="82" t="s">
        <v>797</v>
      </c>
      <c r="Y24" s="82" t="s">
        <v>797</v>
      </c>
      <c r="Z24" s="82" t="s">
        <v>797</v>
      </c>
      <c r="AA24" s="82" t="s">
        <v>834</v>
      </c>
      <c r="AB24" s="82" t="s">
        <v>804</v>
      </c>
      <c r="AC24" s="82" t="s">
        <v>797</v>
      </c>
      <c r="AD24" s="82" t="s">
        <v>797</v>
      </c>
      <c r="AE24" s="82" t="s">
        <v>797</v>
      </c>
      <c r="AF24" s="82" t="s">
        <v>797</v>
      </c>
      <c r="AG24" s="82" t="s">
        <v>797</v>
      </c>
      <c r="AH24" s="82" t="s">
        <v>797</v>
      </c>
      <c r="AI24" s="82" t="s">
        <v>797</v>
      </c>
      <c r="AJ24" s="82" t="s">
        <v>797</v>
      </c>
      <c r="AK24" s="82" t="s">
        <v>851</v>
      </c>
      <c r="AL24" s="82" t="s">
        <v>797</v>
      </c>
      <c r="AM24" s="82" t="s">
        <v>797</v>
      </c>
      <c r="AN24" s="127" t="s">
        <v>650</v>
      </c>
    </row>
    <row r="25" spans="1:40">
      <c r="A25" s="59" t="s">
        <v>912</v>
      </c>
      <c r="B25" s="84" t="s">
        <v>913</v>
      </c>
      <c r="C25" s="84">
        <v>20</v>
      </c>
      <c r="D25" s="59">
        <v>2</v>
      </c>
      <c r="E25" s="59">
        <v>300</v>
      </c>
      <c r="F25" s="59">
        <v>250</v>
      </c>
      <c r="G25" s="59">
        <v>200</v>
      </c>
      <c r="H25" s="59">
        <v>100</v>
      </c>
      <c r="I25" s="84" t="s">
        <v>658</v>
      </c>
      <c r="J25" s="84" t="s">
        <v>688</v>
      </c>
      <c r="K25" s="84" t="s">
        <v>725</v>
      </c>
      <c r="L25" s="84" t="s">
        <v>711</v>
      </c>
      <c r="M25" s="84" t="s">
        <v>677</v>
      </c>
      <c r="N25" s="84" t="s">
        <v>664</v>
      </c>
      <c r="O25" s="84" t="s">
        <v>700</v>
      </c>
      <c r="P25" s="84" t="s">
        <v>651</v>
      </c>
      <c r="Q25" s="84" t="s">
        <v>730</v>
      </c>
      <c r="R25" s="84" t="s">
        <v>651</v>
      </c>
      <c r="S25" s="82" t="s">
        <v>904</v>
      </c>
      <c r="T25" s="82" t="s">
        <v>908</v>
      </c>
      <c r="U25" s="82" t="s">
        <v>909</v>
      </c>
      <c r="V25" s="82" t="s">
        <v>910</v>
      </c>
      <c r="W25" s="82" t="s">
        <v>911</v>
      </c>
      <c r="X25" s="82" t="s">
        <v>804</v>
      </c>
      <c r="Y25" s="82" t="s">
        <v>834</v>
      </c>
      <c r="Z25" s="82" t="s">
        <v>797</v>
      </c>
      <c r="AA25" s="82" t="s">
        <v>797</v>
      </c>
      <c r="AB25" s="82" t="s">
        <v>797</v>
      </c>
      <c r="AC25" s="82" t="s">
        <v>797</v>
      </c>
      <c r="AD25" s="82" t="s">
        <v>797</v>
      </c>
      <c r="AE25" s="82" t="s">
        <v>797</v>
      </c>
      <c r="AF25" s="82" t="s">
        <v>797</v>
      </c>
      <c r="AG25" s="82" t="s">
        <v>797</v>
      </c>
      <c r="AH25" s="82" t="s">
        <v>797</v>
      </c>
      <c r="AI25" s="82" t="s">
        <v>797</v>
      </c>
      <c r="AJ25" s="82" t="s">
        <v>797</v>
      </c>
      <c r="AK25" s="82" t="s">
        <v>797</v>
      </c>
      <c r="AL25" s="82" t="s">
        <v>851</v>
      </c>
      <c r="AM25" s="82" t="s">
        <v>797</v>
      </c>
      <c r="AN25" s="127" t="s">
        <v>650</v>
      </c>
    </row>
    <row r="26" spans="1:40">
      <c r="A26" s="59" t="s">
        <v>914</v>
      </c>
      <c r="B26" s="84" t="s">
        <v>915</v>
      </c>
      <c r="C26" s="84">
        <v>20</v>
      </c>
      <c r="D26" s="59">
        <v>2</v>
      </c>
      <c r="E26" s="59">
        <v>300</v>
      </c>
      <c r="F26" s="59">
        <v>250</v>
      </c>
      <c r="G26" s="59">
        <v>200</v>
      </c>
      <c r="H26" s="59">
        <v>100</v>
      </c>
      <c r="I26" s="84" t="s">
        <v>664</v>
      </c>
      <c r="J26" s="84" t="s">
        <v>677</v>
      </c>
      <c r="K26" s="84" t="s">
        <v>730</v>
      </c>
      <c r="L26" s="84" t="s">
        <v>704</v>
      </c>
      <c r="M26" s="84" t="s">
        <v>717</v>
      </c>
      <c r="N26" s="84" t="s">
        <v>721</v>
      </c>
      <c r="O26" s="84" t="s">
        <v>740</v>
      </c>
      <c r="P26" s="84" t="s">
        <v>651</v>
      </c>
      <c r="Q26" s="84" t="s">
        <v>688</v>
      </c>
      <c r="R26" s="84" t="s">
        <v>725</v>
      </c>
      <c r="S26" s="82" t="s">
        <v>904</v>
      </c>
      <c r="T26" s="82" t="s">
        <v>908</v>
      </c>
      <c r="U26" s="82" t="s">
        <v>909</v>
      </c>
      <c r="V26" s="82" t="s">
        <v>910</v>
      </c>
      <c r="W26" s="82" t="s">
        <v>911</v>
      </c>
      <c r="X26" s="82" t="s">
        <v>797</v>
      </c>
      <c r="Y26" s="82" t="s">
        <v>797</v>
      </c>
      <c r="Z26" s="82" t="s">
        <v>797</v>
      </c>
      <c r="AA26" s="82" t="s">
        <v>797</v>
      </c>
      <c r="AB26" s="82" t="s">
        <v>797</v>
      </c>
      <c r="AC26" s="82" t="s">
        <v>797</v>
      </c>
      <c r="AD26" s="82" t="s">
        <v>797</v>
      </c>
      <c r="AE26" s="82" t="s">
        <v>834</v>
      </c>
      <c r="AF26" s="82" t="s">
        <v>804</v>
      </c>
      <c r="AG26" s="82" t="s">
        <v>797</v>
      </c>
      <c r="AH26" s="82" t="s">
        <v>797</v>
      </c>
      <c r="AI26" s="82" t="s">
        <v>797</v>
      </c>
      <c r="AJ26" s="82" t="s">
        <v>797</v>
      </c>
      <c r="AK26" s="82" t="s">
        <v>797</v>
      </c>
      <c r="AL26" s="82" t="s">
        <v>797</v>
      </c>
      <c r="AM26" s="82" t="s">
        <v>851</v>
      </c>
      <c r="AN26" s="127" t="s">
        <v>650</v>
      </c>
    </row>
    <row r="27" spans="1:40">
      <c r="A27" s="84" t="s">
        <v>916</v>
      </c>
      <c r="B27" s="84" t="s">
        <v>917</v>
      </c>
      <c r="C27" s="84">
        <v>5</v>
      </c>
      <c r="D27" s="84">
        <v>1</v>
      </c>
      <c r="E27" s="84">
        <v>150</v>
      </c>
      <c r="F27" s="84">
        <v>100</v>
      </c>
      <c r="G27" s="84">
        <v>50</v>
      </c>
      <c r="H27" s="84">
        <v>10</v>
      </c>
      <c r="I27" s="84" t="s">
        <v>682</v>
      </c>
      <c r="J27" s="84" t="s">
        <v>672</v>
      </c>
      <c r="K27" s="84" t="s">
        <v>735</v>
      </c>
      <c r="L27" s="85" t="s">
        <v>796</v>
      </c>
      <c r="M27" s="85" t="s">
        <v>796</v>
      </c>
      <c r="N27" s="85" t="s">
        <v>796</v>
      </c>
      <c r="O27" s="85" t="s">
        <v>796</v>
      </c>
      <c r="P27" s="85" t="s">
        <v>796</v>
      </c>
      <c r="Q27" s="85" t="s">
        <v>796</v>
      </c>
      <c r="R27" s="85" t="s">
        <v>796</v>
      </c>
      <c r="S27" s="82" t="s">
        <v>799</v>
      </c>
      <c r="T27" s="82" t="s">
        <v>918</v>
      </c>
      <c r="U27" s="82" t="s">
        <v>856</v>
      </c>
      <c r="V27" s="82" t="s">
        <v>919</v>
      </c>
      <c r="W27" s="82" t="s">
        <v>920</v>
      </c>
      <c r="X27" s="82" t="s">
        <v>797</v>
      </c>
      <c r="Y27" s="82" t="s">
        <v>797</v>
      </c>
      <c r="Z27" s="82" t="s">
        <v>797</v>
      </c>
      <c r="AA27" s="82" t="s">
        <v>797</v>
      </c>
      <c r="AB27" s="82" t="s">
        <v>797</v>
      </c>
      <c r="AC27" s="82" t="s">
        <v>797</v>
      </c>
      <c r="AD27" s="82" t="s">
        <v>797</v>
      </c>
      <c r="AE27" s="82" t="s">
        <v>797</v>
      </c>
      <c r="AF27" s="82" t="s">
        <v>797</v>
      </c>
      <c r="AG27" s="82" t="s">
        <v>797</v>
      </c>
      <c r="AH27" s="82" t="s">
        <v>799</v>
      </c>
      <c r="AI27" s="82" t="s">
        <v>799</v>
      </c>
      <c r="AJ27" s="82" t="s">
        <v>799</v>
      </c>
      <c r="AK27" s="82" t="s">
        <v>799</v>
      </c>
      <c r="AL27" s="82" t="s">
        <v>799</v>
      </c>
      <c r="AM27" s="82" t="s">
        <v>799</v>
      </c>
      <c r="AN27" s="127" t="s">
        <v>650</v>
      </c>
    </row>
    <row r="28" spans="1:40">
      <c r="A28" s="84" t="s">
        <v>921</v>
      </c>
      <c r="B28" s="84" t="s">
        <v>922</v>
      </c>
      <c r="C28" s="84">
        <v>13</v>
      </c>
      <c r="D28" s="84">
        <v>2</v>
      </c>
      <c r="E28" s="84">
        <v>300</v>
      </c>
      <c r="F28" s="84">
        <v>250</v>
      </c>
      <c r="G28" s="84">
        <v>200</v>
      </c>
      <c r="H28" s="84">
        <v>100</v>
      </c>
      <c r="I28" s="84" t="s">
        <v>682</v>
      </c>
      <c r="J28" s="84" t="s">
        <v>740</v>
      </c>
      <c r="K28" s="84" t="s">
        <v>707</v>
      </c>
      <c r="L28" s="84" t="s">
        <v>696</v>
      </c>
      <c r="M28" s="84" t="s">
        <v>672</v>
      </c>
      <c r="N28" s="84" t="s">
        <v>651</v>
      </c>
      <c r="O28" s="85" t="s">
        <v>796</v>
      </c>
      <c r="P28" s="85" t="s">
        <v>796</v>
      </c>
      <c r="Q28" s="85" t="s">
        <v>796</v>
      </c>
      <c r="R28" s="85" t="s">
        <v>796</v>
      </c>
      <c r="S28" s="82" t="s">
        <v>834</v>
      </c>
      <c r="T28" s="82" t="s">
        <v>899</v>
      </c>
      <c r="U28" s="82" t="s">
        <v>896</v>
      </c>
      <c r="V28" s="82" t="s">
        <v>900</v>
      </c>
      <c r="W28" s="82" t="s">
        <v>901</v>
      </c>
      <c r="X28" s="82" t="s">
        <v>797</v>
      </c>
      <c r="Y28" s="82" t="s">
        <v>797</v>
      </c>
      <c r="Z28" s="82" t="s">
        <v>797</v>
      </c>
      <c r="AA28" s="82" t="s">
        <v>797</v>
      </c>
      <c r="AB28" s="82" t="s">
        <v>797</v>
      </c>
      <c r="AC28" s="82" t="s">
        <v>797</v>
      </c>
      <c r="AD28" s="82" t="s">
        <v>804</v>
      </c>
      <c r="AE28" s="82" t="s">
        <v>797</v>
      </c>
      <c r="AF28" s="82" t="s">
        <v>797</v>
      </c>
      <c r="AG28" s="82" t="s">
        <v>849</v>
      </c>
      <c r="AH28" s="82" t="s">
        <v>834</v>
      </c>
      <c r="AI28" s="82" t="s">
        <v>797</v>
      </c>
      <c r="AJ28" s="82" t="s">
        <v>797</v>
      </c>
      <c r="AK28" s="82" t="s">
        <v>797</v>
      </c>
      <c r="AL28" s="82" t="s">
        <v>797</v>
      </c>
      <c r="AM28" s="82" t="s">
        <v>797</v>
      </c>
      <c r="AN28" s="127" t="s">
        <v>650</v>
      </c>
    </row>
    <row r="29" spans="1:40">
      <c r="A29" s="84" t="s">
        <v>923</v>
      </c>
      <c r="B29" s="84" t="s">
        <v>924</v>
      </c>
      <c r="C29" s="84">
        <v>15</v>
      </c>
      <c r="D29" s="84">
        <v>2</v>
      </c>
      <c r="E29" s="84">
        <v>300</v>
      </c>
      <c r="F29" s="84">
        <v>250</v>
      </c>
      <c r="G29" s="84">
        <v>200</v>
      </c>
      <c r="H29" s="84">
        <v>100</v>
      </c>
      <c r="I29" s="84" t="s">
        <v>672</v>
      </c>
      <c r="J29" s="84" t="s">
        <v>682</v>
      </c>
      <c r="K29" s="84" t="s">
        <v>696</v>
      </c>
      <c r="L29" s="84" t="s">
        <v>714</v>
      </c>
      <c r="M29" s="84" t="s">
        <v>658</v>
      </c>
      <c r="N29" s="84" t="s">
        <v>688</v>
      </c>
      <c r="O29" s="84" t="s">
        <v>651</v>
      </c>
      <c r="P29" s="85" t="s">
        <v>796</v>
      </c>
      <c r="Q29" s="85" t="s">
        <v>796</v>
      </c>
      <c r="R29" s="85" t="s">
        <v>796</v>
      </c>
      <c r="S29" s="82" t="s">
        <v>851</v>
      </c>
      <c r="T29" s="82" t="s">
        <v>903</v>
      </c>
      <c r="U29" s="82" t="s">
        <v>904</v>
      </c>
      <c r="V29" s="82" t="s">
        <v>905</v>
      </c>
      <c r="W29" s="82" t="s">
        <v>906</v>
      </c>
      <c r="X29" s="82" t="s">
        <v>797</v>
      </c>
      <c r="Y29" s="82" t="s">
        <v>797</v>
      </c>
      <c r="Z29" s="82" t="s">
        <v>849</v>
      </c>
      <c r="AA29" s="82" t="s">
        <v>797</v>
      </c>
      <c r="AB29" s="82" t="s">
        <v>797</v>
      </c>
      <c r="AC29" s="82" t="s">
        <v>804</v>
      </c>
      <c r="AD29" s="82" t="s">
        <v>797</v>
      </c>
      <c r="AE29" s="82" t="s">
        <v>797</v>
      </c>
      <c r="AF29" s="82" t="s">
        <v>797</v>
      </c>
      <c r="AG29" s="82" t="s">
        <v>797</v>
      </c>
      <c r="AH29" s="82" t="s">
        <v>797</v>
      </c>
      <c r="AI29" s="82" t="s">
        <v>834</v>
      </c>
      <c r="AJ29" s="82" t="s">
        <v>797</v>
      </c>
      <c r="AK29" s="82" t="s">
        <v>797</v>
      </c>
      <c r="AL29" s="82" t="s">
        <v>797</v>
      </c>
      <c r="AM29" s="82" t="s">
        <v>797</v>
      </c>
      <c r="AN29" s="127" t="s">
        <v>650</v>
      </c>
    </row>
    <row r="30" spans="1:40">
      <c r="A30" s="84" t="s">
        <v>925</v>
      </c>
      <c r="B30" s="128" t="s">
        <v>4777</v>
      </c>
      <c r="C30" s="84">
        <v>17</v>
      </c>
      <c r="D30" s="84">
        <v>2</v>
      </c>
      <c r="E30" s="84">
        <v>300</v>
      </c>
      <c r="F30" s="84">
        <v>250</v>
      </c>
      <c r="G30" s="84">
        <v>200</v>
      </c>
      <c r="H30" s="84">
        <v>100</v>
      </c>
      <c r="I30" s="84" t="s">
        <v>735</v>
      </c>
      <c r="J30" s="84" t="s">
        <v>651</v>
      </c>
      <c r="K30" s="84" t="s">
        <v>717</v>
      </c>
      <c r="L30" s="84" t="s">
        <v>714</v>
      </c>
      <c r="M30" s="84" t="s">
        <v>721</v>
      </c>
      <c r="N30" s="84" t="s">
        <v>664</v>
      </c>
      <c r="O30" s="84" t="s">
        <v>730</v>
      </c>
      <c r="P30" s="84" t="s">
        <v>725</v>
      </c>
      <c r="Q30" s="85" t="s">
        <v>796</v>
      </c>
      <c r="R30" s="85" t="s">
        <v>796</v>
      </c>
      <c r="S30" s="82" t="s">
        <v>896</v>
      </c>
      <c r="T30" s="82" t="s">
        <v>926</v>
      </c>
      <c r="U30" s="82" t="s">
        <v>927</v>
      </c>
      <c r="V30" s="82" t="s">
        <v>928</v>
      </c>
      <c r="W30" s="82" t="s">
        <v>929</v>
      </c>
      <c r="X30" s="82" t="s">
        <v>797</v>
      </c>
      <c r="Y30" s="82" t="s">
        <v>797</v>
      </c>
      <c r="Z30" s="82" t="s">
        <v>797</v>
      </c>
      <c r="AA30" s="82" t="s">
        <v>804</v>
      </c>
      <c r="AB30" s="82" t="s">
        <v>804</v>
      </c>
      <c r="AC30" s="82" t="s">
        <v>797</v>
      </c>
      <c r="AD30" s="82" t="s">
        <v>797</v>
      </c>
      <c r="AE30" s="82" t="s">
        <v>797</v>
      </c>
      <c r="AF30" s="82" t="s">
        <v>797</v>
      </c>
      <c r="AG30" s="82" t="s">
        <v>797</v>
      </c>
      <c r="AH30" s="82" t="s">
        <v>797</v>
      </c>
      <c r="AI30" s="82" t="s">
        <v>797</v>
      </c>
      <c r="AJ30" s="82" t="s">
        <v>851</v>
      </c>
      <c r="AK30" s="82" t="s">
        <v>851</v>
      </c>
      <c r="AL30" s="82" t="s">
        <v>797</v>
      </c>
      <c r="AM30" s="82" t="s">
        <v>797</v>
      </c>
      <c r="AN30" s="127" t="s">
        <v>650</v>
      </c>
    </row>
    <row r="31" spans="1:40">
      <c r="A31" s="84" t="s">
        <v>930</v>
      </c>
      <c r="B31" s="128" t="s">
        <v>4776</v>
      </c>
      <c r="C31" s="84">
        <v>18</v>
      </c>
      <c r="D31" s="84">
        <v>2</v>
      </c>
      <c r="E31" s="84">
        <v>300</v>
      </c>
      <c r="F31" s="84">
        <v>250</v>
      </c>
      <c r="G31" s="84">
        <v>200</v>
      </c>
      <c r="H31" s="84">
        <v>100</v>
      </c>
      <c r="I31" s="84" t="s">
        <v>658</v>
      </c>
      <c r="J31" s="84" t="s">
        <v>725</v>
      </c>
      <c r="K31" s="84" t="s">
        <v>677</v>
      </c>
      <c r="L31" s="84" t="s">
        <v>664</v>
      </c>
      <c r="M31" s="84" t="s">
        <v>704</v>
      </c>
      <c r="N31" s="84" t="s">
        <v>717</v>
      </c>
      <c r="O31" s="84" t="s">
        <v>721</v>
      </c>
      <c r="P31" s="84" t="s">
        <v>688</v>
      </c>
      <c r="Q31" s="84" t="s">
        <v>651</v>
      </c>
      <c r="R31" s="85" t="s">
        <v>796</v>
      </c>
      <c r="S31" s="82" t="s">
        <v>909</v>
      </c>
      <c r="T31" s="82" t="s">
        <v>931</v>
      </c>
      <c r="U31" s="82" t="s">
        <v>932</v>
      </c>
      <c r="V31" s="82" t="s">
        <v>933</v>
      </c>
      <c r="W31" s="82" t="s">
        <v>934</v>
      </c>
      <c r="X31" s="82" t="s">
        <v>810</v>
      </c>
      <c r="Y31" s="82" t="s">
        <v>797</v>
      </c>
      <c r="Z31" s="82" t="s">
        <v>797</v>
      </c>
      <c r="AA31" s="82" t="s">
        <v>797</v>
      </c>
      <c r="AB31" s="82" t="s">
        <v>797</v>
      </c>
      <c r="AC31" s="82" t="s">
        <v>797</v>
      </c>
      <c r="AD31" s="82" t="s">
        <v>797</v>
      </c>
      <c r="AE31" s="82" t="s">
        <v>810</v>
      </c>
      <c r="AF31" s="82" t="s">
        <v>797</v>
      </c>
      <c r="AG31" s="82" t="s">
        <v>797</v>
      </c>
      <c r="AH31" s="82" t="s">
        <v>797</v>
      </c>
      <c r="AI31" s="82" t="s">
        <v>797</v>
      </c>
      <c r="AJ31" s="82" t="s">
        <v>797</v>
      </c>
      <c r="AK31" s="82" t="s">
        <v>797</v>
      </c>
      <c r="AL31" s="82" t="s">
        <v>851</v>
      </c>
      <c r="AM31" s="82" t="s">
        <v>851</v>
      </c>
      <c r="AN31" s="127" t="s">
        <v>650</v>
      </c>
    </row>
    <row r="32" spans="1:40">
      <c r="A32" s="84" t="s">
        <v>4812</v>
      </c>
      <c r="B32" t="s">
        <v>4528</v>
      </c>
      <c r="C32" s="128">
        <v>999</v>
      </c>
      <c r="D32" s="128">
        <v>0</v>
      </c>
      <c r="E32" s="128">
        <v>50</v>
      </c>
      <c r="F32" s="128">
        <v>40</v>
      </c>
      <c r="G32" s="128">
        <v>30</v>
      </c>
      <c r="H32" s="128">
        <v>0</v>
      </c>
      <c r="I32" s="4" t="s">
        <v>682</v>
      </c>
      <c r="J32" s="4" t="s">
        <v>672</v>
      </c>
      <c r="K32" s="61" t="s">
        <v>721</v>
      </c>
      <c r="L32" s="4" t="s">
        <v>658</v>
      </c>
      <c r="M32" t="s">
        <v>4781</v>
      </c>
      <c r="N32" s="85" t="s">
        <v>796</v>
      </c>
      <c r="O32" s="85" t="s">
        <v>796</v>
      </c>
      <c r="P32" s="85" t="s">
        <v>796</v>
      </c>
      <c r="Q32" s="85" t="s">
        <v>796</v>
      </c>
      <c r="R32" s="85" t="s">
        <v>796</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
        <v>671</v>
      </c>
    </row>
    <row r="33" spans="1:40">
      <c r="A33" s="84" t="s">
        <v>4813</v>
      </c>
      <c r="B33" t="inlineStr">
        <is>
          <t xml:space="preserve">Agricultural Price Stabilization Act</t>
        </is>
      </c>
      <c r="C33" s="128">
        <v>999</v>
      </c>
      <c r="D33" s="128">
        <v>0</v>
      </c>
      <c r="E33" s="128">
        <v>50</v>
      </c>
      <c r="F33" s="128">
        <v>40</v>
      </c>
      <c r="G33" s="128">
        <v>30</v>
      </c>
      <c r="H33" s="128">
        <v>0</v>
      </c>
      <c r="I33" s="4" t="s">
        <v>664</v>
      </c>
      <c r="J33" s="4" t="s">
        <v>696</v>
      </c>
      <c r="K33" s="61" t="s">
        <v>707</v>
      </c>
      <c r="L33" s="4" t="s">
        <v>658</v>
      </c>
      <c r="M33" t="s">
        <v>4782</v>
      </c>
      <c r="N33" s="85" t="s">
        <v>796</v>
      </c>
      <c r="O33" s="85" t="s">
        <v>796</v>
      </c>
      <c r="P33" s="85" t="s">
        <v>796</v>
      </c>
      <c r="Q33" s="85" t="s">
        <v>796</v>
      </c>
      <c r="R33" s="85" t="s">
        <v>796</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
        <v>671</v>
      </c>
    </row>
    <row r="34" spans="1:40">
      <c r="A34" s="84" t="s">
        <v>4814</v>
      </c>
      <c r="B34" t="s">
        <v>4532</v>
      </c>
      <c r="C34" s="128">
        <v>999</v>
      </c>
      <c r="D34" s="128">
        <v>0</v>
      </c>
      <c r="E34" s="128">
        <v>50</v>
      </c>
      <c r="F34" s="128">
        <v>40</v>
      </c>
      <c r="G34" s="128">
        <v>30</v>
      </c>
      <c r="H34" s="128">
        <v>0</v>
      </c>
      <c r="I34" s="4" t="s">
        <v>664</v>
      </c>
      <c r="J34" s="4" t="s">
        <v>711</v>
      </c>
      <c r="K34" s="4" t="s">
        <v>740</v>
      </c>
      <c r="L34" s="61" t="s">
        <v>714</v>
      </c>
      <c r="M34" s="4" t="s">
        <v>735</v>
      </c>
      <c r="N34" s="61" t="s">
        <v>717</v>
      </c>
      <c r="O34" s="4" t="s">
        <v>658</v>
      </c>
      <c r="P34" t="s">
        <v>4783</v>
      </c>
      <c r="Q34" s="85" t="s">
        <v>796</v>
      </c>
      <c r="R34" s="85" t="s">
        <v>796</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
        <v>671</v>
      </c>
    </row>
    <row r="35" spans="1:40">
      <c r="A35" s="84" t="s">
        <v>4815</v>
      </c>
      <c r="B35" t="s">
        <v>4534</v>
      </c>
      <c r="C35" s="128">
        <v>999</v>
      </c>
      <c r="D35" s="128">
        <v>0</v>
      </c>
      <c r="E35" s="128">
        <v>50</v>
      </c>
      <c r="F35" s="128">
        <v>40</v>
      </c>
      <c r="G35" s="128">
        <v>30</v>
      </c>
      <c r="H35" s="128">
        <v>0</v>
      </c>
      <c r="I35" s="4" t="s">
        <v>672</v>
      </c>
      <c r="J35" s="4" t="s">
        <v>717</v>
      </c>
      <c r="K35" s="4" t="s">
        <v>735</v>
      </c>
      <c r="L35" s="61" t="s">
        <v>714</v>
      </c>
      <c r="M35" s="4" t="s">
        <v>711</v>
      </c>
      <c r="N35" s="4" t="s">
        <v>658</v>
      </c>
      <c r="O35" t="s">
        <v>4784</v>
      </c>
      <c r="P35" s="85" t="s">
        <v>796</v>
      </c>
      <c r="Q35" s="85" t="s">
        <v>796</v>
      </c>
      <c r="R35" s="85" t="s">
        <v>796</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
        <v>671</v>
      </c>
    </row>
    <row r="36" spans="1:40">
      <c r="A36" s="84" t="s">
        <v>4816</v>
      </c>
      <c r="B36" t="s">
        <v>4536</v>
      </c>
      <c r="C36" s="128">
        <v>999</v>
      </c>
      <c r="D36" s="128">
        <v>0</v>
      </c>
      <c r="E36" s="128">
        <v>50</v>
      </c>
      <c r="F36" s="128">
        <v>40</v>
      </c>
      <c r="G36" s="128">
        <v>30</v>
      </c>
      <c r="H36" s="128">
        <v>0</v>
      </c>
      <c r="I36" s="4" t="s">
        <v>664</v>
      </c>
      <c r="J36" s="61" t="s">
        <v>700</v>
      </c>
      <c r="K36" s="4" t="s">
        <v>658</v>
      </c>
      <c r="L36" t="s">
        <v>4785</v>
      </c>
      <c r="M36" s="85" t="s">
        <v>796</v>
      </c>
      <c r="N36" s="85" t="s">
        <v>796</v>
      </c>
      <c r="O36" s="85" t="s">
        <v>796</v>
      </c>
      <c r="P36" s="85" t="s">
        <v>796</v>
      </c>
      <c r="Q36" s="85" t="s">
        <v>796</v>
      </c>
      <c r="R36" s="85" t="s">
        <v>796</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
        <v>671</v>
      </c>
    </row>
    <row r="37" spans="1:40">
      <c r="A37" s="84" t="s">
        <v>4817</v>
      </c>
      <c r="B37" t="s">
        <v>4538</v>
      </c>
      <c r="C37" s="128">
        <v>999</v>
      </c>
      <c r="D37" s="128">
        <v>1</v>
      </c>
      <c r="E37" s="128">
        <v>100</v>
      </c>
      <c r="F37" s="128">
        <v>80</v>
      </c>
      <c r="G37" s="128">
        <v>60</v>
      </c>
      <c r="H37" s="128">
        <v>40</v>
      </c>
      <c r="I37" s="4" t="s">
        <v>682</v>
      </c>
      <c r="J37" s="61" t="s">
        <v>721</v>
      </c>
      <c r="K37" s="4" t="s">
        <v>711</v>
      </c>
      <c r="L37" s="4" t="s">
        <v>658</v>
      </c>
      <c r="M37" t="s">
        <v>4786</v>
      </c>
      <c r="N37" s="85" t="s">
        <v>796</v>
      </c>
      <c r="O37" s="85" t="s">
        <v>796</v>
      </c>
      <c r="P37" s="85" t="s">
        <v>796</v>
      </c>
      <c r="Q37" s="85" t="s">
        <v>796</v>
      </c>
      <c r="R37" s="85" t="s">
        <v>796</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t="s">
        <v>671</v>
      </c>
    </row>
    <row r="38" spans="1:40">
      <c r="A38" s="84" t="s">
        <v>4818</v>
      </c>
      <c r="B38" t="s">
        <v>4540</v>
      </c>
      <c r="C38" s="128">
        <v>999</v>
      </c>
      <c r="D38" s="128">
        <v>1</v>
      </c>
      <c r="E38" s="128">
        <v>100</v>
      </c>
      <c r="F38" s="128">
        <v>80</v>
      </c>
      <c r="G38" s="128">
        <v>60</v>
      </c>
      <c r="H38" s="128">
        <v>40</v>
      </c>
      <c r="I38" s="4" t="s">
        <v>672</v>
      </c>
      <c r="J38" s="61" t="s">
        <v>696</v>
      </c>
      <c r="K38" s="61" t="s">
        <v>714</v>
      </c>
      <c r="L38" s="4" t="s">
        <v>658</v>
      </c>
      <c r="M38" t="s">
        <v>4787</v>
      </c>
      <c r="N38" s="85" t="s">
        <v>796</v>
      </c>
      <c r="O38" s="85" t="s">
        <v>796</v>
      </c>
      <c r="P38" s="85" t="s">
        <v>796</v>
      </c>
      <c r="Q38" s="85" t="s">
        <v>796</v>
      </c>
      <c r="R38" s="85" t="s">
        <v>796</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t="s">
        <v>671</v>
      </c>
    </row>
    <row r="39" spans="1:40">
      <c r="A39" s="84" t="s">
        <v>4819</v>
      </c>
      <c r="B39" t="s">
        <v>4542</v>
      </c>
      <c r="C39" s="128">
        <v>999</v>
      </c>
      <c r="D39" s="128">
        <v>1</v>
      </c>
      <c r="E39" s="128">
        <v>100</v>
      </c>
      <c r="F39" s="128">
        <v>80</v>
      </c>
      <c r="G39" s="128">
        <v>60</v>
      </c>
      <c r="H39" s="128">
        <v>40</v>
      </c>
      <c r="I39" s="4" t="s">
        <v>682</v>
      </c>
      <c r="J39" s="4" t="s">
        <v>735</v>
      </c>
      <c r="K39" s="61" t="s">
        <v>717</v>
      </c>
      <c r="L39" s="4" t="s">
        <v>658</v>
      </c>
      <c r="M39" t="s">
        <v>4788</v>
      </c>
      <c r="N39" s="85" t="s">
        <v>796</v>
      </c>
      <c r="O39" s="85" t="s">
        <v>796</v>
      </c>
      <c r="P39" s="85" t="s">
        <v>796</v>
      </c>
      <c r="Q39" s="85" t="s">
        <v>796</v>
      </c>
      <c r="R39" s="85" t="s">
        <v>796</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t="s">
        <v>671</v>
      </c>
    </row>
    <row r="40" spans="1:40">
      <c r="A40" s="84" t="s">
        <v>4820</v>
      </c>
      <c r="B40" t="s">
        <v>4544</v>
      </c>
      <c r="C40" s="128">
        <v>999</v>
      </c>
      <c r="D40" s="128">
        <v>1</v>
      </c>
      <c r="E40" s="128">
        <v>100</v>
      </c>
      <c r="F40" s="128">
        <v>80</v>
      </c>
      <c r="G40" s="128">
        <v>60</v>
      </c>
      <c r="H40" s="128">
        <v>40</v>
      </c>
      <c r="I40" s="4" t="s">
        <v>664</v>
      </c>
      <c r="J40" s="61" t="s">
        <v>721</v>
      </c>
      <c r="K40" s="61" t="s">
        <v>717</v>
      </c>
      <c r="L40" s="4" t="s">
        <v>658</v>
      </c>
      <c r="M40" t="s">
        <v>4789</v>
      </c>
      <c r="N40" s="85" t="s">
        <v>796</v>
      </c>
      <c r="O40" s="85" t="s">
        <v>796</v>
      </c>
      <c r="P40" s="85" t="s">
        <v>796</v>
      </c>
      <c r="Q40" s="85" t="s">
        <v>796</v>
      </c>
      <c r="R40" s="85" t="s">
        <v>796</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t="s">
        <v>671</v>
      </c>
    </row>
    <row r="41" spans="1:40">
      <c r="A41" s="84" t="s">
        <v>4821</v>
      </c>
      <c r="B41" t="s">
        <v>4546</v>
      </c>
      <c r="C41" s="128">
        <v>999</v>
      </c>
      <c r="D41" s="128">
        <v>1</v>
      </c>
      <c r="E41" s="128">
        <v>100</v>
      </c>
      <c r="F41" s="128">
        <v>80</v>
      </c>
      <c r="G41" s="128">
        <v>60</v>
      </c>
      <c r="H41" s="128">
        <v>40</v>
      </c>
      <c r="I41" s="4" t="s">
        <v>664</v>
      </c>
      <c r="J41" s="61" t="s">
        <v>721</v>
      </c>
      <c r="K41" s="4" t="s">
        <v>704</v>
      </c>
      <c r="L41" s="4" t="s">
        <v>658</v>
      </c>
      <c r="M41" t="s">
        <v>4790</v>
      </c>
      <c r="N41" s="85" t="s">
        <v>796</v>
      </c>
      <c r="O41" s="85" t="s">
        <v>796</v>
      </c>
      <c r="P41" s="85" t="s">
        <v>796</v>
      </c>
      <c r="Q41" s="85" t="s">
        <v>796</v>
      </c>
      <c r="R41" s="85" t="s">
        <v>796</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t="s">
        <v>671</v>
      </c>
    </row>
    <row r="42" spans="1:40">
      <c r="A42" s="84" t="s">
        <v>4822</v>
      </c>
      <c r="B42" t="s">
        <v>4548</v>
      </c>
      <c r="C42" s="128">
        <v>999</v>
      </c>
      <c r="D42" s="128">
        <v>1</v>
      </c>
      <c r="E42" s="128">
        <v>100</v>
      </c>
      <c r="F42" s="128">
        <v>80</v>
      </c>
      <c r="G42" s="128">
        <v>60</v>
      </c>
      <c r="H42" s="128">
        <v>40</v>
      </c>
      <c r="I42" s="4" t="s">
        <v>735</v>
      </c>
      <c r="J42" s="61" t="s">
        <v>711</v>
      </c>
      <c r="K42" s="4" t="s">
        <v>664</v>
      </c>
      <c r="L42" s="4" t="s">
        <v>717</v>
      </c>
      <c r="M42" s="4" t="s">
        <v>658</v>
      </c>
      <c r="N42" t="s">
        <v>4792</v>
      </c>
      <c r="O42" s="85" t="s">
        <v>796</v>
      </c>
      <c r="P42" s="85" t="s">
        <v>796</v>
      </c>
      <c r="Q42" s="85" t="s">
        <v>796</v>
      </c>
      <c r="R42" s="85" t="s">
        <v>796</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t="s">
        <v>671</v>
      </c>
    </row>
    <row r="43" spans="1:40">
      <c r="A43" s="84" t="s">
        <v>4823</v>
      </c>
      <c r="B43" t="s">
        <v>4550</v>
      </c>
      <c r="C43" s="128">
        <v>999</v>
      </c>
      <c r="D43" s="128">
        <v>1</v>
      </c>
      <c r="E43" s="128">
        <v>100</v>
      </c>
      <c r="F43" s="128">
        <v>80</v>
      </c>
      <c r="G43" s="128">
        <v>60</v>
      </c>
      <c r="H43" s="128">
        <v>40</v>
      </c>
      <c r="I43" s="4" t="s">
        <v>682</v>
      </c>
      <c r="J43" s="4" t="s">
        <v>664</v>
      </c>
      <c r="K43" s="61" t="s">
        <v>692</v>
      </c>
      <c r="L43" s="4" t="s">
        <v>658</v>
      </c>
      <c r="M43" t="s">
        <v>4793</v>
      </c>
      <c r="N43" s="85" t="s">
        <v>796</v>
      </c>
      <c r="O43" s="85" t="s">
        <v>796</v>
      </c>
      <c r="P43" s="85" t="s">
        <v>796</v>
      </c>
      <c r="Q43" s="85" t="s">
        <v>796</v>
      </c>
      <c r="R43" s="85" t="s">
        <v>796</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t="s">
        <v>671</v>
      </c>
    </row>
    <row r="44" spans="1:40">
      <c r="A44" s="84" t="s">
        <v>4824</v>
      </c>
      <c r="B44" t="s">
        <v>4552</v>
      </c>
      <c r="C44" s="128">
        <v>999</v>
      </c>
      <c r="D44" s="128">
        <v>1</v>
      </c>
      <c r="E44" s="128">
        <v>100</v>
      </c>
      <c r="F44" s="128">
        <v>80</v>
      </c>
      <c r="G44" s="128">
        <v>60</v>
      </c>
      <c r="H44" s="128">
        <v>40</v>
      </c>
      <c r="I44" s="4" t="s">
        <v>672</v>
      </c>
      <c r="J44" s="4" t="s">
        <v>735</v>
      </c>
      <c r="K44" s="4" t="s">
        <v>682</v>
      </c>
      <c r="L44" s="4" t="s">
        <v>696</v>
      </c>
      <c r="M44" s="4" t="s">
        <v>717</v>
      </c>
      <c r="N44" s="4" t="s">
        <v>658</v>
      </c>
      <c r="O44" t="s">
        <v>4794</v>
      </c>
      <c r="P44" s="85" t="s">
        <v>796</v>
      </c>
      <c r="Q44" s="85" t="s">
        <v>796</v>
      </c>
      <c r="R44" s="85" t="s">
        <v>796</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t="s">
        <v>671</v>
      </c>
    </row>
    <row r="45" spans="1:40">
      <c r="A45" s="84" t="s">
        <v>4825</v>
      </c>
      <c r="B45" t="s">
        <v>4554</v>
      </c>
      <c r="C45" s="128">
        <v>999</v>
      </c>
      <c r="D45" s="128">
        <v>1</v>
      </c>
      <c r="E45" s="128">
        <v>100</v>
      </c>
      <c r="F45" s="128">
        <v>80</v>
      </c>
      <c r="G45" s="128">
        <v>60</v>
      </c>
      <c r="H45" s="128">
        <v>40</v>
      </c>
      <c r="I45" s="4" t="s">
        <v>672</v>
      </c>
      <c r="J45" s="4" t="s">
        <v>682</v>
      </c>
      <c r="K45" s="4" t="s">
        <v>664</v>
      </c>
      <c r="L45" s="61" t="s">
        <v>714</v>
      </c>
      <c r="M45" s="61" t="s">
        <v>717</v>
      </c>
      <c r="N45" s="4" t="s">
        <v>658</v>
      </c>
      <c r="O45" t="s">
        <v>4795</v>
      </c>
      <c r="P45" s="85" t="s">
        <v>796</v>
      </c>
      <c r="Q45" s="85" t="s">
        <v>796</v>
      </c>
      <c r="R45" s="85" t="s">
        <v>796</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t="s">
        <v>671</v>
      </c>
    </row>
    <row r="46" spans="1:40">
      <c r="A46" s="84" t="s">
        <v>4826</v>
      </c>
      <c r="B46" t="s">
        <v>4556</v>
      </c>
      <c r="C46" s="128">
        <v>999</v>
      </c>
      <c r="D46" s="128">
        <v>1</v>
      </c>
      <c r="E46" s="128">
        <v>100</v>
      </c>
      <c r="F46" s="128">
        <v>80</v>
      </c>
      <c r="G46" s="128">
        <v>60</v>
      </c>
      <c r="H46" s="128">
        <v>40</v>
      </c>
      <c r="I46" s="4" t="s">
        <v>735</v>
      </c>
      <c r="J46" s="4" t="s">
        <v>740</v>
      </c>
      <c r="K46" s="4" t="s">
        <v>730</v>
      </c>
      <c r="L46" s="61" t="s">
        <v>717</v>
      </c>
      <c r="M46" s="4" t="s">
        <v>664</v>
      </c>
      <c r="N46" s="61" t="s">
        <v>714</v>
      </c>
      <c r="O46" s="4" t="s">
        <v>658</v>
      </c>
      <c r="P46" t="s">
        <v>4796</v>
      </c>
      <c r="Q46" s="85" t="s">
        <v>796</v>
      </c>
      <c r="R46" s="85" t="s">
        <v>796</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t="s">
        <v>671</v>
      </c>
    </row>
    <row r="47" spans="1:40">
      <c r="A47" s="84" t="s">
        <v>4827</v>
      </c>
      <c r="B47" t="s">
        <v>4558</v>
      </c>
      <c r="C47" s="128">
        <v>999</v>
      </c>
      <c r="D47" s="128">
        <v>1</v>
      </c>
      <c r="E47" s="128">
        <v>100</v>
      </c>
      <c r="F47" s="128">
        <v>80</v>
      </c>
      <c r="G47" s="128">
        <v>60</v>
      </c>
      <c r="H47" s="128">
        <v>40</v>
      </c>
      <c r="I47" s="4" t="s">
        <v>682</v>
      </c>
      <c r="J47" s="4" t="s">
        <v>730</v>
      </c>
      <c r="K47" s="61" t="s">
        <v>692</v>
      </c>
      <c r="L47" s="4" t="s">
        <v>664</v>
      </c>
      <c r="M47" s="4" t="s">
        <v>658</v>
      </c>
      <c r="N47" t="s">
        <v>4797</v>
      </c>
      <c r="O47" s="85" t="s">
        <v>796</v>
      </c>
      <c r="P47" s="85" t="s">
        <v>796</v>
      </c>
      <c r="Q47" s="85" t="s">
        <v>796</v>
      </c>
      <c r="R47" s="85" t="s">
        <v>796</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t="s">
        <v>671</v>
      </c>
    </row>
    <row r="48" spans="1:40">
      <c r="A48" s="84" t="s">
        <v>4828</v>
      </c>
      <c r="B48" t="s">
        <v>4560</v>
      </c>
      <c r="C48" s="128">
        <v>999</v>
      </c>
      <c r="D48" s="128">
        <v>1</v>
      </c>
      <c r="E48" s="128">
        <v>100</v>
      </c>
      <c r="F48" s="128">
        <v>80</v>
      </c>
      <c r="G48" s="128">
        <v>60</v>
      </c>
      <c r="H48" s="128">
        <v>40</v>
      </c>
      <c r="I48" s="4" t="s">
        <v>672</v>
      </c>
      <c r="J48" s="61" t="s">
        <v>721</v>
      </c>
      <c r="K48" s="4" t="s">
        <v>658</v>
      </c>
      <c r="L48" t="s">
        <v>4798</v>
      </c>
      <c r="M48" s="85" t="s">
        <v>796</v>
      </c>
      <c r="N48" s="85" t="s">
        <v>796</v>
      </c>
      <c r="O48" s="85" t="s">
        <v>796</v>
      </c>
      <c r="P48" s="85" t="s">
        <v>796</v>
      </c>
      <c r="Q48" s="85" t="s">
        <v>796</v>
      </c>
      <c r="R48" s="85" t="s">
        <v>796</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t="s">
        <v>671</v>
      </c>
    </row>
    <row r="49" spans="1:40">
      <c r="A49" s="84" t="s">
        <v>4829</v>
      </c>
      <c r="B49" t="s">
        <v>4562</v>
      </c>
      <c r="C49" s="128">
        <v>999</v>
      </c>
      <c r="D49" s="128">
        <v>1</v>
      </c>
      <c r="E49" s="128">
        <v>100</v>
      </c>
      <c r="F49" s="128">
        <v>80</v>
      </c>
      <c r="G49" s="128">
        <v>60</v>
      </c>
      <c r="H49" s="128">
        <v>40</v>
      </c>
      <c r="I49" s="4" t="s">
        <v>740</v>
      </c>
      <c r="J49" t="s">
        <v>704</v>
      </c>
      <c r="K49" s="4" t="s">
        <v>730</v>
      </c>
      <c r="L49" s="61" t="s">
        <v>721</v>
      </c>
      <c r="M49" s="4" t="s">
        <v>677</v>
      </c>
      <c r="N49" s="61" t="s">
        <v>700</v>
      </c>
      <c r="O49" s="4" t="s">
        <v>658</v>
      </c>
      <c r="P49" t="s">
        <v>4799</v>
      </c>
      <c r="Q49" s="85" t="s">
        <v>796</v>
      </c>
      <c r="R49" s="85" t="s">
        <v>796</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t="s">
        <v>671</v>
      </c>
    </row>
    <row r="50" spans="1:40">
      <c r="A50" s="84" t="s">
        <v>4830</v>
      </c>
      <c r="B50" t="s">
        <v>4564</v>
      </c>
      <c r="C50" s="128">
        <v>999</v>
      </c>
      <c r="D50" s="128">
        <v>2</v>
      </c>
      <c r="E50" s="128">
        <v>200</v>
      </c>
      <c r="F50" s="128">
        <v>150</v>
      </c>
      <c r="G50" s="128">
        <v>100</v>
      </c>
      <c r="H50" s="128">
        <v>50</v>
      </c>
      <c r="I50" s="4" t="s">
        <v>740</v>
      </c>
      <c r="J50" s="61" t="s">
        <v>711</v>
      </c>
      <c r="K50" s="4" t="s">
        <v>664</v>
      </c>
      <c r="L50" s="61" t="s">
        <v>700</v>
      </c>
      <c r="M50" s="4" t="s">
        <v>658</v>
      </c>
      <c r="N50" t="s">
        <v>4800</v>
      </c>
      <c r="O50" s="85" t="s">
        <v>796</v>
      </c>
      <c r="P50" s="85" t="s">
        <v>796</v>
      </c>
      <c r="Q50" s="85" t="s">
        <v>796</v>
      </c>
      <c r="R50" s="85" t="s">
        <v>796</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t="s">
        <v>671</v>
      </c>
    </row>
    <row r="51" spans="1:40">
      <c r="A51" s="84" t="s">
        <v>4831</v>
      </c>
      <c r="B51" t="s">
        <v>4566</v>
      </c>
      <c r="C51" s="128">
        <v>999</v>
      </c>
      <c r="D51" s="128">
        <v>2</v>
      </c>
      <c r="E51" s="128">
        <v>200</v>
      </c>
      <c r="F51" s="128">
        <v>150</v>
      </c>
      <c r="G51" s="128">
        <v>100</v>
      </c>
      <c r="H51" s="128">
        <v>50</v>
      </c>
      <c r="I51" s="4" t="s">
        <v>682</v>
      </c>
      <c r="J51" s="4" t="s">
        <v>740</v>
      </c>
      <c r="K51" s="61" t="s">
        <v>711</v>
      </c>
      <c r="L51" s="61" t="s">
        <v>717</v>
      </c>
      <c r="M51" s="4" t="s">
        <v>658</v>
      </c>
      <c r="N51" t="s">
        <v>4801</v>
      </c>
      <c r="O51" s="85" t="s">
        <v>796</v>
      </c>
      <c r="P51" s="85" t="s">
        <v>796</v>
      </c>
      <c r="Q51" s="85" t="s">
        <v>796</v>
      </c>
      <c r="R51" s="85" t="s">
        <v>796</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t="s">
        <v>671</v>
      </c>
    </row>
    <row r="52" spans="1:40">
      <c r="A52" s="84" t="s">
        <v>4832</v>
      </c>
      <c r="B52" t="s">
        <v>4568</v>
      </c>
      <c r="C52" s="128">
        <v>999</v>
      </c>
      <c r="D52" s="128">
        <v>2</v>
      </c>
      <c r="E52" s="128">
        <v>200</v>
      </c>
      <c r="F52" s="128">
        <v>150</v>
      </c>
      <c r="G52" s="128">
        <v>100</v>
      </c>
      <c r="H52" s="128">
        <v>50</v>
      </c>
      <c r="I52" s="4" t="s">
        <v>664</v>
      </c>
      <c r="J52" s="4" t="s">
        <v>639</v>
      </c>
      <c r="K52" s="61" t="s">
        <v>700</v>
      </c>
      <c r="L52" s="61" t="s">
        <v>714</v>
      </c>
      <c r="M52" s="4" t="s">
        <v>658</v>
      </c>
      <c r="N52" t="s">
        <v>4802</v>
      </c>
      <c r="O52" s="85" t="s">
        <v>796</v>
      </c>
      <c r="P52" s="85" t="s">
        <v>796</v>
      </c>
      <c r="Q52" s="85" t="s">
        <v>796</v>
      </c>
      <c r="R52" s="85" t="s">
        <v>796</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
        <v>671</v>
      </c>
    </row>
    <row r="53" spans="1:40">
      <c r="A53" s="84" t="s">
        <v>4833</v>
      </c>
      <c r="B53" t="s">
        <v>4570</v>
      </c>
      <c r="C53" s="128">
        <v>999</v>
      </c>
      <c r="D53" s="128">
        <v>2</v>
      </c>
      <c r="E53" s="128">
        <v>200</v>
      </c>
      <c r="F53" s="128">
        <v>150</v>
      </c>
      <c r="G53" s="128">
        <v>100</v>
      </c>
      <c r="H53" s="128">
        <v>50</v>
      </c>
      <c r="I53" s="61" t="s">
        <v>711</v>
      </c>
      <c r="J53" s="4" t="s">
        <v>677</v>
      </c>
      <c r="K53" s="61" t="s">
        <v>721</v>
      </c>
      <c r="L53" s="4" t="s">
        <v>658</v>
      </c>
      <c r="M53" t="s">
        <v>4803</v>
      </c>
      <c r="N53" s="85" t="s">
        <v>796</v>
      </c>
      <c r="O53" s="85" t="s">
        <v>796</v>
      </c>
      <c r="P53" s="85" t="s">
        <v>796</v>
      </c>
      <c r="Q53" s="85" t="s">
        <v>796</v>
      </c>
      <c r="R53" s="85" t="s">
        <v>796</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t="s">
        <v>671</v>
      </c>
    </row>
    <row r="54" spans="1:40">
      <c r="A54" s="84" t="s">
        <v>4834</v>
      </c>
      <c r="B54" t="s">
        <v>4572</v>
      </c>
      <c r="C54" s="128">
        <v>999</v>
      </c>
      <c r="D54" s="128">
        <v>2</v>
      </c>
      <c r="E54" s="128">
        <v>200</v>
      </c>
      <c r="F54" s="128">
        <v>150</v>
      </c>
      <c r="G54" s="128">
        <v>100</v>
      </c>
      <c r="H54" s="128">
        <v>50</v>
      </c>
      <c r="I54" s="4" t="s">
        <v>682</v>
      </c>
      <c r="J54" s="61" t="s">
        <v>711</v>
      </c>
      <c r="K54" s="4" t="s">
        <v>658</v>
      </c>
      <c r="L54" t="s">
        <v>4804</v>
      </c>
      <c r="M54" s="85" t="s">
        <v>796</v>
      </c>
      <c r="N54" s="85" t="s">
        <v>796</v>
      </c>
      <c r="O54" s="85" t="s">
        <v>796</v>
      </c>
      <c r="P54" s="85" t="s">
        <v>796</v>
      </c>
      <c r="Q54" s="85" t="s">
        <v>796</v>
      </c>
      <c r="R54" s="85" t="s">
        <v>796</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
        <v>671</v>
      </c>
    </row>
    <row r="55" spans="1:40">
      <c r="A55" s="84" t="s">
        <v>4835</v>
      </c>
      <c r="B55" t="s">
        <v>4574</v>
      </c>
      <c r="C55" s="128">
        <v>999</v>
      </c>
      <c r="D55" s="128">
        <v>2</v>
      </c>
      <c r="E55" s="128">
        <v>200</v>
      </c>
      <c r="F55" s="128">
        <v>150</v>
      </c>
      <c r="G55" s="128">
        <v>100</v>
      </c>
      <c r="H55" s="128">
        <v>50</v>
      </c>
      <c r="I55" s="61" t="s">
        <v>696</v>
      </c>
      <c r="J55" s="61" t="s">
        <v>714</v>
      </c>
      <c r="K55" s="4" t="s">
        <v>658</v>
      </c>
      <c r="L55" t="s">
        <v>4805</v>
      </c>
      <c r="M55" s="85" t="s">
        <v>796</v>
      </c>
      <c r="N55" s="85" t="s">
        <v>796</v>
      </c>
      <c r="O55" s="85" t="s">
        <v>796</v>
      </c>
      <c r="P55" s="85" t="s">
        <v>796</v>
      </c>
      <c r="Q55" s="85" t="s">
        <v>796</v>
      </c>
      <c r="R55" s="85" t="s">
        <v>796</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t="s">
        <v>671</v>
      </c>
    </row>
    <row r="56" spans="1:40">
      <c r="A56" s="84" t="s">
        <v>4836</v>
      </c>
      <c r="B56" t="s">
        <v>4576</v>
      </c>
      <c r="C56" s="128">
        <v>999</v>
      </c>
      <c r="D56" s="128">
        <v>2</v>
      </c>
      <c r="E56" s="128">
        <v>200</v>
      </c>
      <c r="F56" s="128">
        <v>150</v>
      </c>
      <c r="G56" s="128">
        <v>100</v>
      </c>
      <c r="H56" s="128">
        <v>50</v>
      </c>
      <c r="I56" s="4" t="s">
        <v>735</v>
      </c>
      <c r="J56" s="4" t="s">
        <v>730</v>
      </c>
      <c r="K56" s="4" t="s">
        <v>740</v>
      </c>
      <c r="L56" s="61" t="s">
        <v>714</v>
      </c>
      <c r="M56" s="4" t="s">
        <v>735</v>
      </c>
      <c r="N56" s="61" t="s">
        <v>717</v>
      </c>
      <c r="O56" s="4" t="s">
        <v>658</v>
      </c>
      <c r="P56" t="s">
        <v>4806</v>
      </c>
      <c r="Q56" s="85" t="s">
        <v>796</v>
      </c>
      <c r="R56" s="85" t="s">
        <v>796</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
        <v>671</v>
      </c>
    </row>
    <row r="57" spans="1:40">
      <c r="A57" s="84" t="s">
        <v>4837</v>
      </c>
      <c r="B57" t="s">
        <v>4578</v>
      </c>
      <c r="C57" s="128">
        <v>999</v>
      </c>
      <c r="D57" s="128">
        <v>2</v>
      </c>
      <c r="E57" s="128">
        <v>200</v>
      </c>
      <c r="F57" s="128">
        <v>150</v>
      </c>
      <c r="G57" s="128">
        <v>100</v>
      </c>
      <c r="H57" s="128">
        <v>50</v>
      </c>
      <c r="I57" s="4" t="s">
        <v>664</v>
      </c>
      <c r="J57" s="61" t="s">
        <v>721</v>
      </c>
      <c r="K57" s="61" t="s">
        <v>704</v>
      </c>
      <c r="L57" s="4" t="s">
        <v>658</v>
      </c>
      <c r="M57" t="s">
        <v>4807</v>
      </c>
      <c r="N57" s="85" t="s">
        <v>796</v>
      </c>
      <c r="O57" s="85" t="s">
        <v>796</v>
      </c>
      <c r="P57" s="85" t="s">
        <v>796</v>
      </c>
      <c r="Q57" s="85" t="s">
        <v>796</v>
      </c>
      <c r="R57" s="85" t="s">
        <v>796</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
        <v>671</v>
      </c>
    </row>
    <row r="58" spans="1:40">
      <c r="A58" s="84" t="s">
        <v>4838</v>
      </c>
      <c r="B58" t="s">
        <v>4580</v>
      </c>
      <c r="C58" s="128">
        <v>999</v>
      </c>
      <c r="D58" s="128">
        <v>2</v>
      </c>
      <c r="E58" s="128">
        <v>200</v>
      </c>
      <c r="F58" s="128">
        <v>150</v>
      </c>
      <c r="G58" s="128">
        <v>100</v>
      </c>
      <c r="H58" s="128">
        <v>50</v>
      </c>
      <c r="I58" s="4" t="s">
        <v>682</v>
      </c>
      <c r="J58" s="4" t="s">
        <v>639</v>
      </c>
      <c r="K58" s="4" t="s">
        <v>677</v>
      </c>
      <c r="L58" s="61" t="s">
        <v>721</v>
      </c>
      <c r="M58" s="61" t="s">
        <v>717</v>
      </c>
      <c r="N58" s="4" t="s">
        <v>658</v>
      </c>
      <c r="O58" t="s">
        <v>4808</v>
      </c>
      <c r="P58" s="85" t="s">
        <v>796</v>
      </c>
      <c r="Q58" s="85" t="s">
        <v>796</v>
      </c>
      <c r="R58" s="85" t="s">
        <v>796</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
        <v>671</v>
      </c>
    </row>
    <row r="59" spans="1:40">
      <c r="A59" s="84" t="s">
        <v>4839</v>
      </c>
      <c r="B59" t="s">
        <v>4582</v>
      </c>
      <c r="C59" s="128">
        <v>999</v>
      </c>
      <c r="D59" s="128">
        <v>2</v>
      </c>
      <c r="E59" s="128">
        <v>200</v>
      </c>
      <c r="F59" s="128">
        <v>150</v>
      </c>
      <c r="G59" s="128">
        <v>100</v>
      </c>
      <c r="H59" s="128">
        <v>50</v>
      </c>
      <c r="I59" s="4" t="s">
        <v>664</v>
      </c>
      <c r="J59" s="61" t="s">
        <v>704</v>
      </c>
      <c r="K59" s="61" t="s">
        <v>692</v>
      </c>
      <c r="L59" s="4" t="s">
        <v>658</v>
      </c>
      <c r="M59" t="s">
        <v>4809</v>
      </c>
      <c r="N59" s="85" t="s">
        <v>796</v>
      </c>
      <c r="O59" s="85" t="s">
        <v>796</v>
      </c>
      <c r="P59" s="85" t="s">
        <v>796</v>
      </c>
      <c r="Q59" s="85" t="s">
        <v>796</v>
      </c>
      <c r="R59" s="85" t="s">
        <v>796</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
        <v>671</v>
      </c>
    </row>
    <row r="60" spans="1:40">
      <c r="A60" s="84" t="s">
        <v>4840</v>
      </c>
      <c r="B60" t="s">
        <v>4584</v>
      </c>
      <c r="C60" s="128">
        <v>999</v>
      </c>
      <c r="D60" s="128">
        <v>2</v>
      </c>
      <c r="E60" s="128">
        <v>200</v>
      </c>
      <c r="F60" s="128">
        <v>150</v>
      </c>
      <c r="G60" s="128">
        <v>100</v>
      </c>
      <c r="H60" s="128">
        <v>50</v>
      </c>
      <c r="I60" s="4" t="s">
        <v>682</v>
      </c>
      <c r="J60" s="4" t="s">
        <v>639</v>
      </c>
      <c r="K60" s="61" t="s">
        <v>721</v>
      </c>
      <c r="L60" s="4" t="s">
        <v>658</v>
      </c>
      <c r="M60" t="s">
        <v>4810</v>
      </c>
      <c r="N60" s="85" t="s">
        <v>796</v>
      </c>
      <c r="O60" s="85" t="s">
        <v>796</v>
      </c>
      <c r="P60" s="85" t="s">
        <v>796</v>
      </c>
      <c r="Q60" s="85" t="s">
        <v>796</v>
      </c>
      <c r="R60" s="85" t="s">
        <v>796</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
        <v>671</v>
      </c>
    </row>
    <row r="61" spans="1:40">
      <c r="A61" s="84" t="s">
        <v>4841</v>
      </c>
      <c r="B61" t="s">
        <v>4586</v>
      </c>
      <c r="C61" s="128">
        <v>999</v>
      </c>
      <c r="D61" s="128">
        <v>2</v>
      </c>
      <c r="E61" s="128">
        <v>200</v>
      </c>
      <c r="F61" s="128">
        <v>150</v>
      </c>
      <c r="G61" s="128">
        <v>100</v>
      </c>
      <c r="H61" s="128">
        <v>50</v>
      </c>
      <c r="I61" s="4" t="s">
        <v>664</v>
      </c>
      <c r="J61" s="61" t="s">
        <v>721</v>
      </c>
      <c r="K61" s="4" t="s">
        <v>658</v>
      </c>
      <c r="L61" t="s">
        <v>4811</v>
      </c>
      <c r="M61" s="85" t="s">
        <v>796</v>
      </c>
      <c r="N61" s="85" t="s">
        <v>796</v>
      </c>
      <c r="O61" s="85" t="s">
        <v>796</v>
      </c>
      <c r="P61" s="85" t="s">
        <v>796</v>
      </c>
      <c r="Q61" s="85" t="s">
        <v>796</v>
      </c>
      <c r="R61" s="85" t="s">
        <v>796</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
        <v>671</v>
      </c>
    </row>
    <row r="62">
      <c r="A62" s="84" t="inlineStr">
        <is>
          <t xml:space="preserve">LV61</t>
        </is>
      </c>
      <c r="B62" t="inlineStr">
        <is>
          <t xml:space="preserve">Rail Fares and Timetables</t>
        </is>
      </c>
      <c r="C62" s="128">
        <v>8</v>
      </c>
      <c r="D62" s="128">
        <v>1</v>
      </c>
      <c r="E62" s="128">
        <v>150</v>
      </c>
      <c r="F62" s="128">
        <v>100</v>
      </c>
      <c r="G62" s="128">
        <v>50</v>
      </c>
      <c r="H62" s="128">
        <v>10</v>
      </c>
      <c r="I62" s="4" t="inlineStr">
        <is>
          <t xml:space="preserve">ST07</t>
        </is>
      </c>
      <c r="J62" s="61" t="inlineStr">
        <is>
          <t xml:space="preserve">ST24</t>
        </is>
      </c>
      <c r="K62" s="4" t="inlineStr">
        <is>
          <t xml:space="preserve">ST25</t>
        </is>
      </c>
      <c r="L62" t="inlineStr">
        <is>
          <t xml:space="preserve">ST26</t>
        </is>
      </c>
      <c r="M62" s="85" t="inlineStr">
        <is>
          <t xml:space="preserve">ST27</t>
        </is>
      </c>
      <c r="N62" s="85" t="inlineStr">
        <is>
          <t xml:space="preserve">N/A</t>
        </is>
      </c>
      <c r="O62" s="85" t="inlineStr">
        <is>
          <t xml:space="preserve">N/A</t>
        </is>
      </c>
      <c r="P62" s="85" t="inlineStr">
        <is>
          <t xml:space="preserve">N/A</t>
        </is>
      </c>
      <c r="Q62" s="85" t="inlineStr">
        <is>
          <t xml:space="preserve">N/A</t>
        </is>
      </c>
      <c r="R62" s="85" t="inlineStr">
        <is>
          <t xml:space="preserve">N/A</t>
        </is>
      </c>
      <c r="S62" t="inlineStr">
        <is>
          <t xml:space="preserve">0-2</t>
        </is>
      </c>
      <c r="T62" t="inlineStr">
        <is>
          <t xml:space="preserve">6000-20000</t>
        </is>
      </c>
      <c r="U62" t="inlineStr">
        <is>
          <t xml:space="preserve">1-3</t>
        </is>
      </c>
      <c r="V62" t="inlineStr">
        <is>
          <t xml:space="preserve">25-40</t>
        </is>
      </c>
      <c r="W62" t="inlineStr">
        <is>
          <t xml:space="preserve">2-6%</t>
        </is>
      </c>
      <c r="X62" t="inlineStr">
        <is>
          <t xml:space="preserve">0</t>
        </is>
      </c>
      <c r="Y62" t="inlineStr">
        <is>
          <t xml:space="preserve">0</t>
        </is>
      </c>
      <c r="Z62" t="inlineStr">
        <is>
          <t xml:space="preserve">0</t>
        </is>
      </c>
      <c r="AA62" t="inlineStr">
        <is>
          <t xml:space="preserve">0</t>
        </is>
      </c>
      <c r="AB62" t="inlineStr">
        <is>
          <t xml:space="preserve">0</t>
        </is>
      </c>
      <c r="AC62" t="inlineStr">
        <is>
          <t xml:space="preserve">0</t>
        </is>
      </c>
      <c r="AD62" t="inlineStr">
        <is>
          <t xml:space="preserve">0</t>
        </is>
      </c>
      <c r="AE62" t="inlineStr">
        <is>
          <t xml:space="preserve">0</t>
        </is>
      </c>
      <c r="AF62" t="inlineStr">
        <is>
          <t xml:space="preserve">0</t>
        </is>
      </c>
      <c r="AG62" t="inlineStr">
        <is>
          <t xml:space="preserve">0</t>
        </is>
      </c>
      <c r="AH62" t="inlineStr">
        <is>
          <t xml:space="preserve">0</t>
        </is>
      </c>
      <c r="AI62" t="inlineStr">
        <is>
          <t xml:space="preserve">0</t>
        </is>
      </c>
      <c r="AJ62" t="inlineStr">
        <is>
          <t xml:space="preserve">0</t>
        </is>
      </c>
      <c r="AK62" t="inlineStr">
        <is>
          <t xml:space="preserve">1-2</t>
        </is>
      </c>
      <c r="AL62" t="inlineStr">
        <is>
          <t xml:space="preserve">0</t>
        </is>
      </c>
      <c r="AM62" t="inlineStr">
        <is>
          <t xml:space="preserve">0</t>
        </is>
      </c>
      <c r="AN62" t="inlineStr">
        <is>
          <t xml:space="preserve">No</t>
        </is>
      </c>
    </row>
    <row r="63">
      <c r="A63" s="84" t="inlineStr">
        <is>
          <t xml:space="preserve">LV62</t>
        </is>
      </c>
      <c r="B63" t="inlineStr">
        <is>
          <t xml:space="preserve">Fishing Quotas and Harbours</t>
        </is>
      </c>
      <c r="C63" s="128">
        <v>8</v>
      </c>
      <c r="D63" s="128">
        <v>1</v>
      </c>
      <c r="E63" s="128">
        <v>150</v>
      </c>
      <c r="F63" s="128">
        <v>100</v>
      </c>
      <c r="G63" s="128">
        <v>50</v>
      </c>
      <c r="H63" s="128">
        <v>10</v>
      </c>
      <c r="I63" s="4" t="inlineStr">
        <is>
          <t xml:space="preserve">ST07</t>
        </is>
      </c>
      <c r="J63" s="61" t="inlineStr">
        <is>
          <t xml:space="preserve">ST28</t>
        </is>
      </c>
      <c r="K63" s="4" t="inlineStr">
        <is>
          <t xml:space="preserve">ST29</t>
        </is>
      </c>
      <c r="L63" t="inlineStr">
        <is>
          <t xml:space="preserve">ST30</t>
        </is>
      </c>
      <c r="M63" s="85" t="inlineStr">
        <is>
          <t xml:space="preserve">ST31</t>
        </is>
      </c>
      <c r="N63" s="85" t="inlineStr">
        <is>
          <t xml:space="preserve">N/A</t>
        </is>
      </c>
      <c r="O63" s="85" t="inlineStr">
        <is>
          <t xml:space="preserve">N/A</t>
        </is>
      </c>
      <c r="P63" s="85" t="inlineStr">
        <is>
          <t xml:space="preserve">N/A</t>
        </is>
      </c>
      <c r="Q63" s="85" t="inlineStr">
        <is>
          <t xml:space="preserve">N/A</t>
        </is>
      </c>
      <c r="R63" s="85" t="inlineStr">
        <is>
          <t xml:space="preserve">N/A</t>
        </is>
      </c>
      <c r="S63" t="inlineStr">
        <is>
          <t xml:space="preserve">0-2</t>
        </is>
      </c>
      <c r="T63" t="inlineStr">
        <is>
          <t xml:space="preserve">6000-20000</t>
        </is>
      </c>
      <c r="U63" t="inlineStr">
        <is>
          <t xml:space="preserve">1-3</t>
        </is>
      </c>
      <c r="V63" t="inlineStr">
        <is>
          <t xml:space="preserve">25-40</t>
        </is>
      </c>
      <c r="W63" t="inlineStr">
        <is>
          <t xml:space="preserve">2-6%</t>
        </is>
      </c>
      <c r="X63" t="inlineStr">
        <is>
          <t xml:space="preserve">0</t>
        </is>
      </c>
      <c r="Y63" t="inlineStr">
        <is>
          <t xml:space="preserve">0</t>
        </is>
      </c>
      <c r="Z63" t="inlineStr">
        <is>
          <t xml:space="preserve">0</t>
        </is>
      </c>
      <c r="AA63" t="inlineStr">
        <is>
          <t xml:space="preserve">0</t>
        </is>
      </c>
      <c r="AB63" t="inlineStr">
        <is>
          <t xml:space="preserve">0</t>
        </is>
      </c>
      <c r="AC63" t="inlineStr">
        <is>
          <t xml:space="preserve">0</t>
        </is>
      </c>
      <c r="AD63" t="inlineStr">
        <is>
          <t xml:space="preserve">1-2</t>
        </is>
      </c>
      <c r="AE63" t="inlineStr">
        <is>
          <t xml:space="preserve">0</t>
        </is>
      </c>
      <c r="AF63" t="inlineStr">
        <is>
          <t xml:space="preserve">0</t>
        </is>
      </c>
      <c r="AG63" t="inlineStr">
        <is>
          <t xml:space="preserve">0</t>
        </is>
      </c>
      <c r="AH63" t="inlineStr">
        <is>
          <t xml:space="preserve">0</t>
        </is>
      </c>
      <c r="AI63" t="inlineStr">
        <is>
          <t xml:space="preserve">0</t>
        </is>
      </c>
      <c r="AJ63" t="inlineStr">
        <is>
          <t xml:space="preserve">0</t>
        </is>
      </c>
      <c r="AK63" t="inlineStr">
        <is>
          <t xml:space="preserve">0</t>
        </is>
      </c>
      <c r="AL63" t="inlineStr">
        <is>
          <t xml:space="preserve">0</t>
        </is>
      </c>
      <c r="AM63" t="inlineStr">
        <is>
          <t xml:space="preserve">0</t>
        </is>
      </c>
      <c r="AN63" t="inlineStr">
        <is>
          <t xml:space="preserve">No</t>
        </is>
      </c>
    </row>
    <row r="64">
      <c r="A64" s="84" t="inlineStr">
        <is>
          <t xml:space="preserve">LV63</t>
        </is>
      </c>
      <c r="B64" t="inlineStr">
        <is>
          <t xml:space="preserve">Wilderness and Wildlife Protection Act</t>
        </is>
      </c>
      <c r="C64" s="128">
        <v>999</v>
      </c>
      <c r="D64" s="128">
        <v>1</v>
      </c>
      <c r="E64" s="128">
        <v>100</v>
      </c>
      <c r="F64" s="128">
        <v>80</v>
      </c>
      <c r="G64" s="128">
        <v>60</v>
      </c>
      <c r="H64" s="128">
        <v>40</v>
      </c>
      <c r="I64" s="4" t="inlineStr">
        <is>
          <t xml:space="preserve">ST07</t>
        </is>
      </c>
      <c r="J64" s="61" t="inlineStr">
        <is>
          <t xml:space="preserve">ST32</t>
        </is>
      </c>
      <c r="K64" s="4" t="inlineStr">
        <is>
          <t xml:space="preserve">ST33</t>
        </is>
      </c>
      <c r="L64" t="inlineStr">
        <is>
          <t xml:space="preserve">ST34</t>
        </is>
      </c>
      <c r="M64" s="85" t="inlineStr">
        <is>
          <t xml:space="preserve">ST35</t>
        </is>
      </c>
      <c r="N64" s="85" t="inlineStr">
        <is>
          <t xml:space="preserve">BI31</t>
        </is>
      </c>
      <c r="O64" s="85" t="inlineStr">
        <is>
          <t xml:space="preserve">N/A</t>
        </is>
      </c>
      <c r="P64" s="85" t="inlineStr">
        <is>
          <t xml:space="preserve">N/A</t>
        </is>
      </c>
      <c r="Q64" s="85" t="inlineStr">
        <is>
          <t xml:space="preserve">N/A</t>
        </is>
      </c>
      <c r="R64" s="85" t="inlineStr">
        <is>
          <t xml:space="preserve">N/A</t>
        </is>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t="inlineStr">
        <is>
          <t xml:space="preserve">Yes</t>
        </is>
      </c>
    </row>
    <row r="65">
      <c r="A65" s="84" t="inlineStr">
        <is>
          <t xml:space="preserve">LV64</t>
        </is>
      </c>
      <c r="B65" t="inlineStr">
        <is>
          <t xml:space="preserve">Rural Hospital Network Act</t>
        </is>
      </c>
      <c r="C65" s="128">
        <v>999</v>
      </c>
      <c r="D65" s="128">
        <v>2</v>
      </c>
      <c r="E65" s="128">
        <v>200</v>
      </c>
      <c r="F65" s="128">
        <v>150</v>
      </c>
      <c r="G65" s="128">
        <v>100</v>
      </c>
      <c r="H65" s="128">
        <v>50</v>
      </c>
      <c r="I65" s="4" t="inlineStr">
        <is>
          <t xml:space="preserve">ST07</t>
        </is>
      </c>
      <c r="J65" s="61" t="inlineStr">
        <is>
          <t xml:space="preserve">ST36</t>
        </is>
      </c>
      <c r="K65" s="4" t="inlineStr">
        <is>
          <t xml:space="preserve">ST37</t>
        </is>
      </c>
      <c r="L65" t="inlineStr">
        <is>
          <t xml:space="preserve">ST38</t>
        </is>
      </c>
      <c r="M65" s="85" t="inlineStr">
        <is>
          <t xml:space="preserve">ST39</t>
        </is>
      </c>
      <c r="N65" s="85" t="inlineStr">
        <is>
          <t xml:space="preserve">BI32</t>
        </is>
      </c>
      <c r="O65" s="85" t="inlineStr">
        <is>
          <t xml:space="preserve">N/A</t>
        </is>
      </c>
      <c r="P65" s="85" t="inlineStr">
        <is>
          <t xml:space="preserve">N/A</t>
        </is>
      </c>
      <c r="Q65" s="85" t="inlineStr">
        <is>
          <t xml:space="preserve">N/A</t>
        </is>
      </c>
      <c r="R65" s="85" t="inlineStr">
        <is>
          <t xml:space="preserve">N/A</t>
        </is>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t="inlineStr">
        <is>
          <t xml:space="preserve">Yes</t>
        </is>
      </c>
    </row>
    <row r="66">
      <c r="A66" s="84" t="inlineStr">
        <is>
          <t xml:space="preserve">LV65</t>
        </is>
      </c>
      <c r="B66" t="inlineStr">
        <is>
          <t xml:space="preserve">Digital Identity Card Act</t>
        </is>
      </c>
      <c r="C66" s="128">
        <v>999</v>
      </c>
      <c r="D66" s="128">
        <v>2</v>
      </c>
      <c r="E66" s="128">
        <v>200</v>
      </c>
      <c r="F66" s="128">
        <v>150</v>
      </c>
      <c r="G66" s="128">
        <v>100</v>
      </c>
      <c r="H66" s="128">
        <v>50</v>
      </c>
      <c r="I66" s="60" t="inlineStr">
        <is>
          <t xml:space="preserve">ST07</t>
        </is>
      </c>
      <c r="J66" s="60" t="inlineStr">
        <is>
          <t xml:space="preserve">ST40</t>
        </is>
      </c>
      <c r="K66" s="60" t="inlineStr">
        <is>
          <t xml:space="preserve">ST41</t>
        </is>
      </c>
      <c r="L66" s="60" t="inlineStr">
        <is>
          <t xml:space="preserve">ST42</t>
        </is>
      </c>
      <c r="M66" s="60" t="inlineStr">
        <is>
          <t xml:space="preserve">BI33</t>
        </is>
      </c>
      <c r="N66" s="85" t="inlineStr">
        <is>
          <t xml:space="preserve">N/A</t>
        </is>
      </c>
      <c r="O66" s="85" t="inlineStr">
        <is>
          <t xml:space="preserve">N/A</t>
        </is>
      </c>
      <c r="P66" s="85" t="inlineStr">
        <is>
          <t xml:space="preserve">N/A</t>
        </is>
      </c>
      <c r="Q66" s="85" t="inlineStr">
        <is>
          <t xml:space="preserve">N/A</t>
        </is>
      </c>
      <c r="R66" s="85" t="inlineStr">
        <is>
          <t xml:space="preserve">N/A</t>
        </is>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t="inlineStr">
        <is>
          <t xml:space="preserve">Yes</t>
        </is>
      </c>
    </row>
    <row r="67">
      <c r="A67" s="84" t="inlineStr">
        <is>
          <t xml:space="preserve">LV66</t>
        </is>
      </c>
      <c r="B67" t="inlineStr">
        <is>
          <t xml:space="preserve">Public Broadcasting Independence Act</t>
        </is>
      </c>
      <c r="C67" s="128">
        <v>999</v>
      </c>
      <c r="D67" s="128">
        <v>1</v>
      </c>
      <c r="E67" s="128">
        <v>100</v>
      </c>
      <c r="F67" s="128">
        <v>80</v>
      </c>
      <c r="G67" s="128">
        <v>60</v>
      </c>
      <c r="H67" s="128">
        <v>40</v>
      </c>
      <c r="I67" s="61" t="inlineStr">
        <is>
          <t xml:space="preserve">ST07</t>
        </is>
      </c>
      <c r="J67" s="60" t="inlineStr">
        <is>
          <t xml:space="preserve">ST43</t>
        </is>
      </c>
      <c r="K67" s="60" t="inlineStr">
        <is>
          <t xml:space="preserve">ST44</t>
        </is>
      </c>
      <c r="L67" s="60" t="inlineStr">
        <is>
          <t xml:space="preserve">ST45</t>
        </is>
      </c>
      <c r="M67" s="60" t="inlineStr">
        <is>
          <t xml:space="preserve">BI34</t>
        </is>
      </c>
      <c r="N67" s="85" t="inlineStr">
        <is>
          <t xml:space="preserve">N/A</t>
        </is>
      </c>
      <c r="O67" s="85" t="inlineStr">
        <is>
          <t xml:space="preserve">N/A</t>
        </is>
      </c>
      <c r="P67" s="85" t="inlineStr">
        <is>
          <t xml:space="preserve">N/A</t>
        </is>
      </c>
      <c r="Q67" s="85" t="inlineStr">
        <is>
          <t xml:space="preserve">N/A</t>
        </is>
      </c>
      <c r="R67" s="85" t="inlineStr">
        <is>
          <t xml:space="preserve">N/A</t>
        </is>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t="inlineStr">
        <is>
          <t xml:space="preserve">Yes</t>
        </is>
      </c>
    </row>
    <row r="68">
      <c r="A68" s="84" t="inlineStr">
        <is>
          <t xml:space="preserve">LV67</t>
        </is>
      </c>
      <c r="B68" t="inlineStr">
        <is>
          <t xml:space="preserve">Political Donation Transparency Act</t>
        </is>
      </c>
      <c r="C68" s="128">
        <v>999</v>
      </c>
      <c r="D68" s="128">
        <v>2</v>
      </c>
      <c r="E68" s="128">
        <v>200</v>
      </c>
      <c r="F68" s="128">
        <v>150</v>
      </c>
      <c r="G68" s="128">
        <v>100</v>
      </c>
      <c r="H68" s="128">
        <v>50</v>
      </c>
      <c r="I68" s="61" t="inlineStr">
        <is>
          <t xml:space="preserve">ST07</t>
        </is>
      </c>
      <c r="J68" s="60" t="inlineStr">
        <is>
          <t xml:space="preserve">ST46</t>
        </is>
      </c>
      <c r="K68" s="60" t="inlineStr">
        <is>
          <t xml:space="preserve">ST47</t>
        </is>
      </c>
      <c r="L68" s="60" t="inlineStr">
        <is>
          <t xml:space="preserve">ST48</t>
        </is>
      </c>
      <c r="M68" s="60" t="inlineStr">
        <is>
          <t xml:space="preserve">ST49</t>
        </is>
      </c>
      <c r="N68" s="85" t="inlineStr">
        <is>
          <t xml:space="preserve">BI35</t>
        </is>
      </c>
      <c r="O68" s="85" t="inlineStr">
        <is>
          <t xml:space="preserve">N/A</t>
        </is>
      </c>
      <c r="P68" s="85" t="inlineStr">
        <is>
          <t xml:space="preserve">N/A</t>
        </is>
      </c>
      <c r="Q68" s="85" t="inlineStr">
        <is>
          <t xml:space="preserve">N/A</t>
        </is>
      </c>
      <c r="R68" s="85" t="inlineStr">
        <is>
          <t xml:space="preserve">N/A</t>
        </is>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t="inlineStr">
        <is>
          <t xml:space="preserve">Yes</t>
        </is>
      </c>
    </row>
    <row r="69">
      <c r="A69" s="84" t="inlineStr">
        <is>
          <t xml:space="preserve">LV68</t>
        </is>
      </c>
      <c r="B69" t="inlineStr">
        <is>
          <t xml:space="preserve">Corporate Tax Reduction Act</t>
        </is>
      </c>
      <c r="C69" s="128">
        <v>999</v>
      </c>
      <c r="D69" s="128">
        <v>2</v>
      </c>
      <c r="E69" s="128">
        <v>200</v>
      </c>
      <c r="F69" s="128">
        <v>150</v>
      </c>
      <c r="G69" s="128">
        <v>100</v>
      </c>
      <c r="H69" s="128">
        <v>50</v>
      </c>
      <c r="I69" s="61" t="inlineStr">
        <is>
          <t xml:space="preserve">ST07</t>
        </is>
      </c>
      <c r="J69" s="60" t="inlineStr">
        <is>
          <t xml:space="preserve">ST50</t>
        </is>
      </c>
      <c r="K69" s="60" t="inlineStr">
        <is>
          <t xml:space="preserve">ST51</t>
        </is>
      </c>
      <c r="L69" s="60" t="inlineStr">
        <is>
          <t xml:space="preserve">ST52</t>
        </is>
      </c>
      <c r="M69" s="60" t="inlineStr">
        <is>
          <t xml:space="preserve">BI36</t>
        </is>
      </c>
      <c r="N69" s="85" t="inlineStr">
        <is>
          <t xml:space="preserve">N/A</t>
        </is>
      </c>
      <c r="O69" s="85" t="inlineStr">
        <is>
          <t xml:space="preserve">N/A</t>
        </is>
      </c>
      <c r="P69" s="85" t="inlineStr">
        <is>
          <t xml:space="preserve">N/A</t>
        </is>
      </c>
      <c r="Q69" s="85" t="inlineStr">
        <is>
          <t xml:space="preserve">N/A</t>
        </is>
      </c>
      <c r="R69" s="85" t="inlineStr">
        <is>
          <t xml:space="preserve">N/A</t>
        </is>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t="inlineStr">
        <is>
          <t xml:space="preserve">Yes</t>
        </is>
      </c>
    </row>
    <row r="70">
      <c r="A70" s="84" t="inlineStr">
        <is>
          <t xml:space="preserve">LV69</t>
        </is>
      </c>
      <c r="B70" t="inlineStr">
        <is>
          <t xml:space="preserve">Carbon Levy Act</t>
        </is>
      </c>
      <c r="C70" s="128">
        <v>999</v>
      </c>
      <c r="D70" s="128">
        <v>2</v>
      </c>
      <c r="E70" s="128">
        <v>200</v>
      </c>
      <c r="F70" s="128">
        <v>150</v>
      </c>
      <c r="G70" s="128">
        <v>100</v>
      </c>
      <c r="H70" s="128">
        <v>50</v>
      </c>
      <c r="I70" s="61" t="inlineStr">
        <is>
          <t xml:space="preserve">ST07</t>
        </is>
      </c>
      <c r="J70" s="60" t="inlineStr">
        <is>
          <t xml:space="preserve">ST53</t>
        </is>
      </c>
      <c r="K70" s="60" t="inlineStr">
        <is>
          <t xml:space="preserve">ST54</t>
        </is>
      </c>
      <c r="L70" s="60" t="inlineStr">
        <is>
          <t xml:space="preserve">ST55</t>
        </is>
      </c>
      <c r="M70" s="60" t="inlineStr">
        <is>
          <t xml:space="preserve">ST56</t>
        </is>
      </c>
      <c r="N70" s="85" t="inlineStr">
        <is>
          <t xml:space="preserve">BI37</t>
        </is>
      </c>
      <c r="O70" s="85" t="inlineStr">
        <is>
          <t xml:space="preserve">N/A</t>
        </is>
      </c>
      <c r="P70" s="85" t="inlineStr">
        <is>
          <t xml:space="preserve">N/A</t>
        </is>
      </c>
      <c r="Q70" s="85" t="inlineStr">
        <is>
          <t xml:space="preserve">N/A</t>
        </is>
      </c>
      <c r="R70" s="85" t="inlineStr">
        <is>
          <t xml:space="preserve">N/A</t>
        </is>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t="inlineStr">
        <is>
          <t xml:space="preserve">Yes</t>
        </is>
      </c>
    </row>
    <row r="71">
      <c r="A71" s="84" t="inlineStr">
        <is>
          <t xml:space="preserve">LV70</t>
        </is>
      </c>
      <c r="B71" t="inlineStr">
        <is>
          <t xml:space="preserve">Fisheries Quota Modernization Act</t>
        </is>
      </c>
      <c r="C71" s="128">
        <v>999</v>
      </c>
      <c r="D71" s="128">
        <v>1</v>
      </c>
      <c r="E71" s="128">
        <v>100</v>
      </c>
      <c r="F71" s="128">
        <v>80</v>
      </c>
      <c r="G71" s="128">
        <v>60</v>
      </c>
      <c r="H71" s="128">
        <v>40</v>
      </c>
      <c r="I71" s="61" t="inlineStr">
        <is>
          <t xml:space="preserve">ST07</t>
        </is>
      </c>
      <c r="J71" s="60" t="inlineStr">
        <is>
          <t xml:space="preserve">ST57</t>
        </is>
      </c>
      <c r="K71" s="60" t="inlineStr">
        <is>
          <t xml:space="preserve">ST58</t>
        </is>
      </c>
      <c r="L71" s="60" t="inlineStr">
        <is>
          <t xml:space="preserve">ST59</t>
        </is>
      </c>
      <c r="M71" s="60" t="inlineStr">
        <is>
          <t xml:space="preserve">BI38</t>
        </is>
      </c>
      <c r="N71" s="85" t="inlineStr">
        <is>
          <t xml:space="preserve">N/A</t>
        </is>
      </c>
      <c r="O71" s="85" t="inlineStr">
        <is>
          <t xml:space="preserve">N/A</t>
        </is>
      </c>
      <c r="P71" s="85" t="inlineStr">
        <is>
          <t xml:space="preserve">N/A</t>
        </is>
      </c>
      <c r="Q71" s="85" t="inlineStr">
        <is>
          <t xml:space="preserve">N/A</t>
        </is>
      </c>
      <c r="R71" s="85" t="inlineStr">
        <is>
          <t xml:space="preserve">N/A</t>
        </is>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t="inlineStr">
        <is>
          <t xml:space="preserve">Yes</t>
        </is>
      </c>
    </row>
    <row r="72">
      <c r="A72" s="84" t="inlineStr">
        <is>
          <t xml:space="preserve">LV71</t>
        </is>
      </c>
      <c r="B72" t="inlineStr">
        <is>
          <t xml:space="preserve">Shipbuilding and Defense Industry Act</t>
        </is>
      </c>
      <c r="C72" s="128">
        <v>999</v>
      </c>
      <c r="D72" s="128">
        <v>2</v>
      </c>
      <c r="E72" s="128">
        <v>200</v>
      </c>
      <c r="F72" s="128">
        <v>150</v>
      </c>
      <c r="G72" s="128">
        <v>100</v>
      </c>
      <c r="H72" s="128">
        <v>50</v>
      </c>
      <c r="I72" s="61" t="inlineStr">
        <is>
          <t xml:space="preserve">ST07</t>
        </is>
      </c>
      <c r="J72" s="60" t="inlineStr">
        <is>
          <t xml:space="preserve">ST60</t>
        </is>
      </c>
      <c r="K72" s="60" t="inlineStr">
        <is>
          <t xml:space="preserve">ST61</t>
        </is>
      </c>
      <c r="L72" s="60" t="inlineStr">
        <is>
          <t xml:space="preserve">ST62</t>
        </is>
      </c>
      <c r="M72" s="60" t="inlineStr">
        <is>
          <t xml:space="preserve">BI39</t>
        </is>
      </c>
      <c r="N72" s="85" t="inlineStr">
        <is>
          <t xml:space="preserve">N/A</t>
        </is>
      </c>
      <c r="O72" s="85" t="inlineStr">
        <is>
          <t xml:space="preserve">N/A</t>
        </is>
      </c>
      <c r="P72" s="85" t="inlineStr">
        <is>
          <t xml:space="preserve">N/A</t>
        </is>
      </c>
      <c r="Q72" s="85" t="inlineStr">
        <is>
          <t xml:space="preserve">N/A</t>
        </is>
      </c>
      <c r="R72" s="85" t="inlineStr">
        <is>
          <t xml:space="preserve">N/A</t>
        </is>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t="inlineStr">
        <is>
          <t xml:space="preserve">Yes</t>
        </is>
      </c>
    </row>
    <row r="73">
      <c r="A73" s="84" t="inlineStr">
        <is>
          <t xml:space="preserve">LV72</t>
        </is>
      </c>
      <c r="B73" t="inlineStr">
        <is>
          <t xml:space="preserve">Constitutional Review Commission Act</t>
        </is>
      </c>
      <c r="C73" s="128">
        <v>999</v>
      </c>
      <c r="D73" s="128">
        <v>1</v>
      </c>
      <c r="E73" s="128">
        <v>100</v>
      </c>
      <c r="F73" s="128">
        <v>80</v>
      </c>
      <c r="G73" s="128">
        <v>60</v>
      </c>
      <c r="H73" s="128">
        <v>40</v>
      </c>
      <c r="I73" s="61" t="inlineStr">
        <is>
          <t xml:space="preserve">ST07</t>
        </is>
      </c>
      <c r="J73" s="60" t="inlineStr">
        <is>
          <t xml:space="preserve">ST63</t>
        </is>
      </c>
      <c r="K73" s="60" t="inlineStr">
        <is>
          <t xml:space="preserve">ST64</t>
        </is>
      </c>
      <c r="L73" s="60" t="inlineStr">
        <is>
          <t xml:space="preserve">ST65</t>
        </is>
      </c>
      <c r="M73" s="60" t="inlineStr">
        <is>
          <t xml:space="preserve">BI40</t>
        </is>
      </c>
      <c r="N73" s="85" t="inlineStr">
        <is>
          <t xml:space="preserve">N/A</t>
        </is>
      </c>
      <c r="O73" s="85" t="inlineStr">
        <is>
          <t xml:space="preserve">N/A</t>
        </is>
      </c>
      <c r="P73" s="85" t="inlineStr">
        <is>
          <t xml:space="preserve">N/A</t>
        </is>
      </c>
      <c r="Q73" s="85" t="inlineStr">
        <is>
          <t xml:space="preserve">N/A</t>
        </is>
      </c>
      <c r="R73" s="85" t="inlineStr">
        <is>
          <t xml:space="preserve">N/A</t>
        </is>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t="inlineStr">
        <is>
          <t xml:space="preserve">Yes</t>
        </is>
      </c>
    </row>
    <row r="74">
      <c r="A74" s="84" t="inlineStr">
        <is>
          <t xml:space="preserve">LV73</t>
        </is>
      </c>
      <c r="B74" t="inlineStr">
        <is>
          <t xml:space="preserve">Japan Customs and Border Cooperation Act</t>
        </is>
      </c>
      <c r="C74" s="128">
        <v>999</v>
      </c>
      <c r="D74" s="128">
        <v>1</v>
      </c>
      <c r="E74" s="128">
        <v>100</v>
      </c>
      <c r="F74" s="128">
        <v>80</v>
      </c>
      <c r="G74" s="128">
        <v>60</v>
      </c>
      <c r="H74" s="128">
        <v>40</v>
      </c>
      <c r="I74" s="61" t="inlineStr">
        <is>
          <t xml:space="preserve">ST07</t>
        </is>
      </c>
      <c r="J74" s="60" t="inlineStr">
        <is>
          <t xml:space="preserve">ST66</t>
        </is>
      </c>
      <c r="K74" s="60" t="inlineStr">
        <is>
          <t xml:space="preserve">ST67</t>
        </is>
      </c>
      <c r="L74" s="60" t="inlineStr">
        <is>
          <t xml:space="preserve">ST68</t>
        </is>
      </c>
      <c r="M74" s="60" t="inlineStr">
        <is>
          <t xml:space="preserve">BI41</t>
        </is>
      </c>
      <c r="N74" s="85" t="inlineStr">
        <is>
          <t xml:space="preserve">N/A</t>
        </is>
      </c>
      <c r="O74" s="85" t="inlineStr">
        <is>
          <t xml:space="preserve">N/A</t>
        </is>
      </c>
      <c r="P74" s="85" t="inlineStr">
        <is>
          <t xml:space="preserve">N/A</t>
        </is>
      </c>
      <c r="Q74" s="85" t="inlineStr">
        <is>
          <t xml:space="preserve">N/A</t>
        </is>
      </c>
      <c r="R74" s="85" t="inlineStr">
        <is>
          <t xml:space="preserve">N/A</t>
        </is>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t="inlineStr">
        <is>
          <t xml:space="preserve">Yes</t>
        </is>
      </c>
    </row>
    <row r="75">
      <c r="A75" s="84" t="inlineStr">
        <is>
          <t xml:space="preserve">LV74</t>
        </is>
      </c>
      <c r="B75" t="inlineStr">
        <is>
          <t xml:space="preserve">Chishima Resource Development Agreement Act</t>
        </is>
      </c>
      <c r="C75" s="128">
        <v>999</v>
      </c>
      <c r="D75" s="128">
        <v>1</v>
      </c>
      <c r="E75" s="128">
        <v>100</v>
      </c>
      <c r="F75" s="128">
        <v>80</v>
      </c>
      <c r="G75" s="128">
        <v>60</v>
      </c>
      <c r="H75" s="128">
        <v>40</v>
      </c>
      <c r="I75" s="61" t="inlineStr">
        <is>
          <t xml:space="preserve">ST07</t>
        </is>
      </c>
      <c r="J75" s="60" t="inlineStr">
        <is>
          <t xml:space="preserve">ST69</t>
        </is>
      </c>
      <c r="K75" s="60" t="inlineStr">
        <is>
          <t xml:space="preserve">ST70</t>
        </is>
      </c>
      <c r="L75" s="60" t="inlineStr">
        <is>
          <t xml:space="preserve">ST71</t>
        </is>
      </c>
      <c r="M75" s="60" t="inlineStr">
        <is>
          <t xml:space="preserve">ST72</t>
        </is>
      </c>
      <c r="N75" s="85" t="inlineStr">
        <is>
          <t xml:space="preserve">BI42</t>
        </is>
      </c>
      <c r="O75" s="85" t="inlineStr">
        <is>
          <t xml:space="preserve">N/A</t>
        </is>
      </c>
      <c r="P75" s="85" t="inlineStr">
        <is>
          <t xml:space="preserve">N/A</t>
        </is>
      </c>
      <c r="Q75" s="85" t="inlineStr">
        <is>
          <t xml:space="preserve">N/A</t>
        </is>
      </c>
      <c r="R75" s="85" t="inlineStr">
        <is>
          <t xml:space="preserve">N/A</t>
        </is>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t="inlineStr">
        <is>
          <t xml:space="preserve">Yes</t>
        </is>
      </c>
    </row>
    <row r="76">
      <c r="A76" s="84" t="inlineStr">
        <is>
          <t xml:space="preserve">LV75</t>
        </is>
      </c>
      <c r="B76" t="inlineStr">
        <is>
          <t xml:space="preserve">Yezo–China Trade Normalization Act</t>
        </is>
      </c>
      <c r="C76" s="128">
        <v>999</v>
      </c>
      <c r="D76" s="128">
        <v>2</v>
      </c>
      <c r="E76" s="128">
        <v>200</v>
      </c>
      <c r="F76" s="128">
        <v>150</v>
      </c>
      <c r="G76" s="128">
        <v>100</v>
      </c>
      <c r="H76" s="128">
        <v>50</v>
      </c>
      <c r="I76" s="61" t="inlineStr">
        <is>
          <t xml:space="preserve">ST07</t>
        </is>
      </c>
      <c r="J76" s="60" t="inlineStr">
        <is>
          <t xml:space="preserve">ST73</t>
        </is>
      </c>
      <c r="K76" s="60" t="inlineStr">
        <is>
          <t xml:space="preserve">ST74</t>
        </is>
      </c>
      <c r="L76" s="60" t="inlineStr">
        <is>
          <t xml:space="preserve">ST75</t>
        </is>
      </c>
      <c r="M76" s="60" t="inlineStr">
        <is>
          <t xml:space="preserve">BI43</t>
        </is>
      </c>
      <c r="N76" s="85" t="inlineStr">
        <is>
          <t xml:space="preserve">N/A</t>
        </is>
      </c>
      <c r="O76" s="85" t="inlineStr">
        <is>
          <t xml:space="preserve">N/A</t>
        </is>
      </c>
      <c r="P76" s="85" t="inlineStr">
        <is>
          <t xml:space="preserve">N/A</t>
        </is>
      </c>
      <c r="Q76" s="85" t="inlineStr">
        <is>
          <t xml:space="preserve">N/A</t>
        </is>
      </c>
      <c r="R76" s="85" t="inlineStr">
        <is>
          <t xml:space="preserve">N/A</t>
        </is>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t="inlineStr">
        <is>
          <t xml:space="preserve">Yes</t>
        </is>
      </c>
    </row>
    <row r="77">
      <c r="A77" s="84" t="inlineStr">
        <is>
          <t xml:space="preserve">LV76</t>
        </is>
      </c>
      <c r="B77" t="inlineStr">
        <is>
          <t xml:space="preserve">Farm Succession Support Act</t>
        </is>
      </c>
      <c r="C77" s="128">
        <v>999</v>
      </c>
      <c r="D77" s="128">
        <v>1</v>
      </c>
      <c r="E77" s="128">
        <v>100</v>
      </c>
      <c r="F77" s="128">
        <v>80</v>
      </c>
      <c r="G77" s="128">
        <v>60</v>
      </c>
      <c r="H77" s="128">
        <v>40</v>
      </c>
      <c r="I77" s="61" t="inlineStr">
        <is>
          <t xml:space="preserve">ST07</t>
        </is>
      </c>
      <c r="J77" s="60" t="inlineStr">
        <is>
          <t xml:space="preserve">ST76</t>
        </is>
      </c>
      <c r="K77" s="60" t="inlineStr">
        <is>
          <t xml:space="preserve">ST77</t>
        </is>
      </c>
      <c r="L77" s="60" t="inlineStr">
        <is>
          <t xml:space="preserve">ST78</t>
        </is>
      </c>
      <c r="M77" s="60" t="inlineStr">
        <is>
          <t xml:space="preserve">BI44</t>
        </is>
      </c>
      <c r="N77" s="85" t="inlineStr">
        <is>
          <t xml:space="preserve">N/A</t>
        </is>
      </c>
      <c r="O77" s="85" t="inlineStr">
        <is>
          <t xml:space="preserve">N/A</t>
        </is>
      </c>
      <c r="P77" s="85" t="inlineStr">
        <is>
          <t xml:space="preserve">N/A</t>
        </is>
      </c>
      <c r="Q77" s="85" t="inlineStr">
        <is>
          <t xml:space="preserve">N/A</t>
        </is>
      </c>
      <c r="R77" s="85" t="inlineStr">
        <is>
          <t xml:space="preserve">N/A</t>
        </is>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t="inlineStr">
        <is>
          <t xml:space="preserve">Yes</t>
        </is>
      </c>
    </row>
    <row r="78">
      <c r="A78" s="84" t="inlineStr">
        <is>
          <t xml:space="preserve">LV77</t>
        </is>
      </c>
      <c r="B78" t="inlineStr">
        <is>
          <t xml:space="preserve">University Autonomy and Research Funding Act</t>
        </is>
      </c>
      <c r="C78" s="128">
        <v>999</v>
      </c>
      <c r="D78" s="128">
        <v>1</v>
      </c>
      <c r="E78" s="128">
        <v>100</v>
      </c>
      <c r="F78" s="128">
        <v>80</v>
      </c>
      <c r="G78" s="128">
        <v>60</v>
      </c>
      <c r="H78" s="128">
        <v>40</v>
      </c>
      <c r="I78" s="61" t="inlineStr">
        <is>
          <t xml:space="preserve">ST07</t>
        </is>
      </c>
      <c r="J78" s="60" t="inlineStr">
        <is>
          <t xml:space="preserve">ST79</t>
        </is>
      </c>
      <c r="K78" s="60" t="inlineStr">
        <is>
          <t xml:space="preserve">ST80</t>
        </is>
      </c>
      <c r="L78" s="60" t="inlineStr">
        <is>
          <t xml:space="preserve">ST81</t>
        </is>
      </c>
      <c r="M78" s="60" t="inlineStr">
        <is>
          <t xml:space="preserve">BI45</t>
        </is>
      </c>
      <c r="N78" s="85" t="inlineStr">
        <is>
          <t xml:space="preserve">N/A</t>
        </is>
      </c>
      <c r="O78" s="85" t="inlineStr">
        <is>
          <t xml:space="preserve">N/A</t>
        </is>
      </c>
      <c r="P78" s="85" t="inlineStr">
        <is>
          <t xml:space="preserve">N/A</t>
        </is>
      </c>
      <c r="Q78" s="85" t="inlineStr">
        <is>
          <t xml:space="preserve">N/A</t>
        </is>
      </c>
      <c r="R78" s="85" t="inlineStr">
        <is>
          <t xml:space="preserve">N/A</t>
        </is>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t="inlineStr">
        <is>
          <t xml:space="preserve">Yes</t>
        </is>
      </c>
    </row>
    <row r="79">
      <c r="A79" s="84" t="inlineStr">
        <is>
          <t xml:space="preserve">LV78</t>
        </is>
      </c>
      <c r="B79" t="inlineStr">
        <is>
          <t xml:space="preserve">Workplace Equality Act</t>
        </is>
      </c>
      <c r="C79" s="128">
        <v>999</v>
      </c>
      <c r="D79" s="128">
        <v>2</v>
      </c>
      <c r="E79" s="128">
        <v>200</v>
      </c>
      <c r="F79" s="128">
        <v>150</v>
      </c>
      <c r="G79" s="128">
        <v>100</v>
      </c>
      <c r="H79" s="128">
        <v>50</v>
      </c>
      <c r="I79" s="61" t="inlineStr">
        <is>
          <t xml:space="preserve">ST07</t>
        </is>
      </c>
      <c r="J79" s="60" t="inlineStr">
        <is>
          <t xml:space="preserve">ST82</t>
        </is>
      </c>
      <c r="K79" s="60" t="inlineStr">
        <is>
          <t xml:space="preserve">ST83</t>
        </is>
      </c>
      <c r="L79" s="60" t="inlineStr">
        <is>
          <t xml:space="preserve">ST84</t>
        </is>
      </c>
      <c r="M79" s="60" t="inlineStr">
        <is>
          <t xml:space="preserve">ST85</t>
        </is>
      </c>
      <c r="N79" s="85" t="inlineStr">
        <is>
          <t xml:space="preserve">BI46</t>
        </is>
      </c>
      <c r="O79" s="85" t="inlineStr">
        <is>
          <t xml:space="preserve">N/A</t>
        </is>
      </c>
      <c r="P79" s="85" t="inlineStr">
        <is>
          <t xml:space="preserve">N/A</t>
        </is>
      </c>
      <c r="Q79" s="85" t="inlineStr">
        <is>
          <t xml:space="preserve">N/A</t>
        </is>
      </c>
      <c r="R79" s="85" t="inlineStr">
        <is>
          <t xml:space="preserve">N/A</t>
        </is>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t="inlineStr">
        <is>
          <t xml:space="preserve">Yes</t>
        </is>
      </c>
    </row>
    <row r="80">
      <c r="A80" s="84" t="inlineStr">
        <is>
          <t xml:space="preserve">LV79</t>
        </is>
      </c>
      <c r="B80" t="inlineStr">
        <is>
          <t xml:space="preserve">Parental Leave and Childcare Act</t>
        </is>
      </c>
      <c r="C80" s="128">
        <v>999</v>
      </c>
      <c r="D80" s="128">
        <v>2</v>
      </c>
      <c r="E80" s="128">
        <v>200</v>
      </c>
      <c r="F80" s="128">
        <v>150</v>
      </c>
      <c r="G80" s="128">
        <v>100</v>
      </c>
      <c r="H80" s="128">
        <v>50</v>
      </c>
      <c r="I80" s="61" t="inlineStr">
        <is>
          <t xml:space="preserve">ST07</t>
        </is>
      </c>
      <c r="J80" s="60" t="inlineStr">
        <is>
          <t xml:space="preserve">ST86</t>
        </is>
      </c>
      <c r="K80" s="60" t="inlineStr">
        <is>
          <t xml:space="preserve">ST87</t>
        </is>
      </c>
      <c r="L80" s="60" t="inlineStr">
        <is>
          <t xml:space="preserve">ST88</t>
        </is>
      </c>
      <c r="M80" s="60" t="inlineStr">
        <is>
          <t xml:space="preserve">ST89</t>
        </is>
      </c>
      <c r="N80" s="85" t="inlineStr">
        <is>
          <t xml:space="preserve">BI47</t>
        </is>
      </c>
      <c r="O80" s="85" t="inlineStr">
        <is>
          <t xml:space="preserve">N/A</t>
        </is>
      </c>
      <c r="P80" s="85" t="inlineStr">
        <is>
          <t xml:space="preserve">N/A</t>
        </is>
      </c>
      <c r="Q80" s="85" t="inlineStr">
        <is>
          <t xml:space="preserve">N/A</t>
        </is>
      </c>
      <c r="R80" s="85" t="inlineStr">
        <is>
          <t xml:space="preserve">N/A</t>
        </is>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t="inlineStr">
        <is>
          <t xml:space="preserve">Yes</t>
        </is>
      </c>
    </row>
    <row r="81">
      <c r="A81" s="84" t="inlineStr">
        <is>
          <t xml:space="preserve">LV80</t>
        </is>
      </c>
      <c r="B81" t="inlineStr">
        <is>
          <t xml:space="preserve">Public Safety Surveillance Act</t>
        </is>
      </c>
      <c r="C81" s="128">
        <v>999</v>
      </c>
      <c r="D81" s="128">
        <v>2</v>
      </c>
      <c r="E81" s="128">
        <v>200</v>
      </c>
      <c r="F81" s="128">
        <v>150</v>
      </c>
      <c r="G81" s="128">
        <v>100</v>
      </c>
      <c r="H81" s="128">
        <v>50</v>
      </c>
      <c r="I81" s="61" t="inlineStr">
        <is>
          <t xml:space="preserve">ST07</t>
        </is>
      </c>
      <c r="J81" s="60" t="inlineStr">
        <is>
          <t xml:space="preserve">ST90</t>
        </is>
      </c>
      <c r="K81" s="60" t="inlineStr">
        <is>
          <t xml:space="preserve">ST91</t>
        </is>
      </c>
      <c r="L81" s="60" t="inlineStr">
        <is>
          <t xml:space="preserve">ST92</t>
        </is>
      </c>
      <c r="M81" s="60" t="inlineStr">
        <is>
          <t xml:space="preserve">ST93</t>
        </is>
      </c>
      <c r="N81" s="85" t="inlineStr">
        <is>
          <t xml:space="preserve">BI48</t>
        </is>
      </c>
      <c r="O81" s="85" t="inlineStr">
        <is>
          <t xml:space="preserve">N/A</t>
        </is>
      </c>
      <c r="P81" s="85" t="inlineStr">
        <is>
          <t xml:space="preserve">N/A</t>
        </is>
      </c>
      <c r="Q81" s="85" t="inlineStr">
        <is>
          <t xml:space="preserve">N/A</t>
        </is>
      </c>
      <c r="R81" s="85" t="inlineStr">
        <is>
          <t xml:space="preserve">N/A</t>
        </is>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t="inlineStr">
        <is>
          <t xml:space="preserve">Yes</t>
        </is>
      </c>
    </row>
    <row r="82">
      <c r="A82" s="84" t="inlineStr">
        <is>
          <t xml:space="preserve">LV81</t>
        </is>
      </c>
      <c r="B82" t="inlineStr">
        <is>
          <t xml:space="preserve">Local Government Mergers Act</t>
        </is>
      </c>
      <c r="C82" s="128">
        <v>999</v>
      </c>
      <c r="D82" s="128">
        <v>1</v>
      </c>
      <c r="E82" s="128">
        <v>100</v>
      </c>
      <c r="F82" s="128">
        <v>80</v>
      </c>
      <c r="G82" s="128">
        <v>60</v>
      </c>
      <c r="H82" s="128">
        <v>40</v>
      </c>
      <c r="I82" s="61" t="inlineStr">
        <is>
          <t xml:space="preserve">ST07</t>
        </is>
      </c>
      <c r="J82" s="60" t="inlineStr">
        <is>
          <t xml:space="preserve">ST94</t>
        </is>
      </c>
      <c r="K82" s="60" t="inlineStr">
        <is>
          <t xml:space="preserve">ST95</t>
        </is>
      </c>
      <c r="L82" s="60" t="inlineStr">
        <is>
          <t xml:space="preserve">ST96</t>
        </is>
      </c>
      <c r="M82" s="60" t="inlineStr">
        <is>
          <t xml:space="preserve">ST97</t>
        </is>
      </c>
      <c r="N82" s="85" t="inlineStr">
        <is>
          <t xml:space="preserve">BI49</t>
        </is>
      </c>
      <c r="O82" s="85" t="inlineStr">
        <is>
          <t xml:space="preserve">N/A</t>
        </is>
      </c>
      <c r="P82" s="85" t="inlineStr">
        <is>
          <t xml:space="preserve">N/A</t>
        </is>
      </c>
      <c r="Q82" s="85" t="inlineStr">
        <is>
          <t xml:space="preserve">N/A</t>
        </is>
      </c>
      <c r="R82" s="85" t="inlineStr">
        <is>
          <t xml:space="preserve">N/A</t>
        </is>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t="inlineStr">
        <is>
          <t xml:space="preserve">Yes</t>
        </is>
      </c>
    </row>
    <row r="83">
      <c r="A83" s="84" t="inlineStr">
        <is>
          <t xml:space="preserve">LV82</t>
        </is>
      </c>
      <c r="B83" t="inlineStr">
        <is>
          <t xml:space="preserve">Party Leadership Selection Act</t>
        </is>
      </c>
      <c r="C83" s="128">
        <v>999</v>
      </c>
      <c r="D83" s="128">
        <v>0</v>
      </c>
      <c r="E83" s="128">
        <v>50</v>
      </c>
      <c r="F83" s="128">
        <v>40</v>
      </c>
      <c r="G83" s="128">
        <v>30</v>
      </c>
      <c r="H83" s="128">
        <v>0</v>
      </c>
      <c r="I83" s="61" t="inlineStr">
        <is>
          <t xml:space="preserve">ST07</t>
        </is>
      </c>
      <c r="J83" s="60" t="inlineStr">
        <is>
          <t xml:space="preserve">ST98</t>
        </is>
      </c>
      <c r="K83" s="60" t="inlineStr">
        <is>
          <t xml:space="preserve">ST99</t>
        </is>
      </c>
      <c r="L83" s="60" t="inlineStr">
        <is>
          <t xml:space="preserve">ST100</t>
        </is>
      </c>
      <c r="M83" s="60" t="inlineStr">
        <is>
          <t xml:space="preserve">BI50</t>
        </is>
      </c>
      <c r="N83" s="85" t="inlineStr">
        <is>
          <t xml:space="preserve">N/A</t>
        </is>
      </c>
      <c r="O83" s="85" t="inlineStr">
        <is>
          <t xml:space="preserve">N/A</t>
        </is>
      </c>
      <c r="P83" s="85" t="inlineStr">
        <is>
          <t xml:space="preserve">N/A</t>
        </is>
      </c>
      <c r="Q83" s="85" t="inlineStr">
        <is>
          <t xml:space="preserve">N/A</t>
        </is>
      </c>
      <c r="R83" s="85" t="inlineStr">
        <is>
          <t xml:space="preserve">N/A</t>
        </is>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t="inlineStr">
        <is>
          <t xml:space="preserve">Yes</t>
        </is>
      </c>
    </row>
    <row r="84" spans="9:9">
      <c r="I84" s="61"/>
    </row>
    <row r="85" spans="9:9">
      <c r="I85" s="61"/>
    </row>
    <row r="86" spans="9:9">
      <c r="I86" s="61"/>
    </row>
    <row r="87" spans="9:9">
      <c r="I87" s="61"/>
    </row>
    <row r="88" spans="9:9">
      <c r="I88" s="61"/>
    </row>
    <row r="89" spans="9:9">
      <c r="I89" s="61"/>
    </row>
    <row r="90" spans="9:9">
      <c r="I90" s="61"/>
    </row>
    <row r="91" spans="9:9">
      <c r="I91" s="61"/>
    </row>
    <row r="92" spans="9:9">
      <c r="I92" s="61"/>
    </row>
    <row r="93" spans="9:9">
      <c r="I93" s="61"/>
    </row>
    <row r="94" spans="9:9">
      <c r="I94" s="61"/>
    </row>
    <row r="95" spans="9:9">
      <c r="I95" s="61"/>
    </row>
    <row r="96" spans="9:9">
      <c r="I96" s="61"/>
    </row>
  </sheetData>
  <phoneticPr fontId="20"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CU29"/>
  <sheetViews>
    <sheetView zoomScaleNormal="100" workbookViewId="0">
      <pane xSplit="1" ySplit="1" topLeftCell="E2" activePane="bottomRight" state="frozen"/>
      <selection pane="topRight" activeCell="B1" sqref="B1"/>
      <selection pane="bottomLeft" activeCell="A2" sqref="A2"/>
      <selection pane="bottomRight" activeCell="G21" sqref="G21"/>
    </sheetView>
  </sheetViews>
  <sheetFormatPr defaultColWidth="8.7109375" defaultRowHeight="15"/>
  <cols>
    <col min="1" max="1" width="16" customWidth="1"/>
    <col min="2" max="8" width="12" customWidth="1"/>
    <col min="10" max="10" width="11.85546875" customWidth="1"/>
    <col min="11" max="11" width="8.42578125" customWidth="1"/>
    <col min="12" max="12" width="7" customWidth="1"/>
    <col min="13" max="13" width="6.28515625" customWidth="1"/>
    <col min="14" max="14" width="15.28515625" customWidth="1"/>
    <col min="15" max="15" width="15.5703125" customWidth="1"/>
    <col min="16" max="16" width="14.42578125" customWidth="1"/>
    <col min="17" max="17" width="15.5703125" customWidth="1"/>
    <col min="18" max="18" width="18.85546875" customWidth="1"/>
    <col min="19" max="19" width="17.28515625" customWidth="1"/>
    <col min="20" max="20" width="17.85546875" customWidth="1"/>
  </cols>
  <sheetData>
    <row r="1" ht="31.5" customHeight="1">
      <c r="A1" s="2" t="s">
        <v>935</v>
      </c>
      <c r="B1" s="2" t="s">
        <v>639</v>
      </c>
      <c r="C1" s="2" t="s">
        <v>651</v>
      </c>
      <c r="D1" s="2" t="s">
        <v>658</v>
      </c>
      <c r="E1" s="2" t="s">
        <v>664</v>
      </c>
      <c r="F1" s="2" t="s">
        <v>672</v>
      </c>
      <c r="G1" s="2" t="s">
        <v>677</v>
      </c>
      <c r="H1" s="2" t="s">
        <v>682</v>
      </c>
      <c r="I1" s="2" t="s">
        <v>688</v>
      </c>
      <c r="J1" s="2" t="s">
        <v>692</v>
      </c>
      <c r="K1" s="2" t="s">
        <v>696</v>
      </c>
      <c r="L1" s="2" t="s">
        <v>700</v>
      </c>
      <c r="M1" s="2" t="s">
        <v>704</v>
      </c>
      <c r="N1" s="2" t="s">
        <v>707</v>
      </c>
      <c r="O1" s="2" t="s">
        <v>711</v>
      </c>
      <c r="P1" s="2" t="s">
        <v>714</v>
      </c>
      <c r="Q1" s="2" t="s">
        <v>717</v>
      </c>
      <c r="R1" s="2" t="s">
        <v>721</v>
      </c>
      <c r="S1" s="2" t="s">
        <v>725</v>
      </c>
      <c r="T1" s="2" t="s">
        <v>730</v>
      </c>
      <c r="U1" s="2" t="s">
        <v>735</v>
      </c>
      <c r="V1" s="2" t="s">
        <v>740</v>
      </c>
      <c r="W1" s="2" t="inlineStr">
        <is>
          <t xml:space="preserve">ST24</t>
        </is>
      </c>
      <c r="X1" s="2" t="inlineStr">
        <is>
          <t xml:space="preserve">ST25</t>
        </is>
      </c>
      <c r="Y1" s="2" t="inlineStr">
        <is>
          <t xml:space="preserve">ST26</t>
        </is>
      </c>
      <c r="Z1" s="2" t="inlineStr">
        <is>
          <t xml:space="preserve">ST27</t>
        </is>
      </c>
      <c r="AA1" s="2" t="inlineStr">
        <is>
          <t xml:space="preserve">ST28</t>
        </is>
      </c>
      <c r="AB1" s="2" t="inlineStr">
        <is>
          <t xml:space="preserve">ST29</t>
        </is>
      </c>
      <c r="AC1" s="2" t="inlineStr">
        <is>
          <t xml:space="preserve">ST30</t>
        </is>
      </c>
      <c r="AD1" s="2" t="inlineStr">
        <is>
          <t xml:space="preserve">ST31</t>
        </is>
      </c>
      <c r="AE1" s="2" t="inlineStr">
        <is>
          <t xml:space="preserve">ST32</t>
        </is>
      </c>
      <c r="AF1" s="2" t="inlineStr">
        <is>
          <t xml:space="preserve">ST33</t>
        </is>
      </c>
      <c r="AG1" s="2" t="inlineStr">
        <is>
          <t xml:space="preserve">ST34</t>
        </is>
      </c>
      <c r="AH1" s="2" t="inlineStr">
        <is>
          <t xml:space="preserve">ST35</t>
        </is>
      </c>
      <c r="AI1" s="2" t="inlineStr">
        <is>
          <t xml:space="preserve">ST36</t>
        </is>
      </c>
      <c r="AJ1" s="2" t="inlineStr">
        <is>
          <t xml:space="preserve">ST37</t>
        </is>
      </c>
      <c r="AK1" s="2" t="inlineStr">
        <is>
          <t xml:space="preserve">ST38</t>
        </is>
      </c>
      <c r="AL1" s="2" t="inlineStr">
        <is>
          <t xml:space="preserve">ST39</t>
        </is>
      </c>
      <c r="AM1" s="2" t="inlineStr">
        <is>
          <t xml:space="preserve">ST40</t>
        </is>
      </c>
      <c r="AN1" s="2" t="inlineStr">
        <is>
          <t xml:space="preserve">ST41</t>
        </is>
      </c>
      <c r="AO1" s="2" t="inlineStr">
        <is>
          <t xml:space="preserve">ST42</t>
        </is>
      </c>
      <c r="AP1" s="2" t="inlineStr">
        <is>
          <t xml:space="preserve">ST43</t>
        </is>
      </c>
      <c r="AQ1" s="2" t="inlineStr">
        <is>
          <t xml:space="preserve">ST44</t>
        </is>
      </c>
      <c r="AR1" s="2" t="inlineStr">
        <is>
          <t xml:space="preserve">ST45</t>
        </is>
      </c>
      <c r="AS1" s="2" t="inlineStr">
        <is>
          <t xml:space="preserve">ST46</t>
        </is>
      </c>
      <c r="AT1" s="2" t="inlineStr">
        <is>
          <t xml:space="preserve">ST47</t>
        </is>
      </c>
      <c r="AU1" s="2" t="inlineStr">
        <is>
          <t xml:space="preserve">ST48</t>
        </is>
      </c>
      <c r="AV1" s="2" t="inlineStr">
        <is>
          <t xml:space="preserve">ST49</t>
        </is>
      </c>
      <c r="AW1" s="2" t="inlineStr">
        <is>
          <t xml:space="preserve">ST50</t>
        </is>
      </c>
      <c r="AX1" s="2" t="inlineStr">
        <is>
          <t xml:space="preserve">ST51</t>
        </is>
      </c>
      <c r="AY1" s="2" t="inlineStr">
        <is>
          <t xml:space="preserve">ST52</t>
        </is>
      </c>
      <c r="AZ1" s="2" t="inlineStr">
        <is>
          <t xml:space="preserve">ST53</t>
        </is>
      </c>
      <c r="BA1" s="2" t="inlineStr">
        <is>
          <t xml:space="preserve">ST54</t>
        </is>
      </c>
      <c r="BB1" s="2" t="inlineStr">
        <is>
          <t xml:space="preserve">ST55</t>
        </is>
      </c>
      <c r="BC1" s="2" t="inlineStr">
        <is>
          <t xml:space="preserve">ST56</t>
        </is>
      </c>
      <c r="BD1" s="2" t="inlineStr">
        <is>
          <t xml:space="preserve">ST57</t>
        </is>
      </c>
      <c r="BE1" s="2" t="inlineStr">
        <is>
          <t xml:space="preserve">ST58</t>
        </is>
      </c>
      <c r="BF1" s="2" t="inlineStr">
        <is>
          <t xml:space="preserve">ST59</t>
        </is>
      </c>
      <c r="BG1" s="2" t="inlineStr">
        <is>
          <t xml:space="preserve">ST60</t>
        </is>
      </c>
      <c r="BH1" s="2" t="inlineStr">
        <is>
          <t xml:space="preserve">ST61</t>
        </is>
      </c>
      <c r="BI1" s="2" t="inlineStr">
        <is>
          <t xml:space="preserve">ST62</t>
        </is>
      </c>
      <c r="BJ1" s="2" t="inlineStr">
        <is>
          <t xml:space="preserve">ST63</t>
        </is>
      </c>
      <c r="BK1" s="2" t="inlineStr">
        <is>
          <t xml:space="preserve">ST64</t>
        </is>
      </c>
      <c r="BL1" s="2" t="inlineStr">
        <is>
          <t xml:space="preserve">ST65</t>
        </is>
      </c>
      <c r="BM1" s="2" t="inlineStr">
        <is>
          <t xml:space="preserve">ST66</t>
        </is>
      </c>
      <c r="BN1" s="2" t="inlineStr">
        <is>
          <t xml:space="preserve">ST67</t>
        </is>
      </c>
      <c r="BO1" s="2" t="inlineStr">
        <is>
          <t xml:space="preserve">ST68</t>
        </is>
      </c>
      <c r="BP1" s="2" t="inlineStr">
        <is>
          <t xml:space="preserve">ST69</t>
        </is>
      </c>
      <c r="BQ1" s="2" t="inlineStr">
        <is>
          <t xml:space="preserve">ST70</t>
        </is>
      </c>
      <c r="BR1" s="2" t="inlineStr">
        <is>
          <t xml:space="preserve">ST71</t>
        </is>
      </c>
      <c r="BS1" s="2" t="inlineStr">
        <is>
          <t xml:space="preserve">ST72</t>
        </is>
      </c>
      <c r="BT1" s="2" t="inlineStr">
        <is>
          <t xml:space="preserve">ST73</t>
        </is>
      </c>
      <c r="BU1" s="2" t="inlineStr">
        <is>
          <t xml:space="preserve">ST74</t>
        </is>
      </c>
      <c r="BV1" s="2" t="inlineStr">
        <is>
          <t xml:space="preserve">ST75</t>
        </is>
      </c>
      <c r="BW1" s="2" t="inlineStr">
        <is>
          <t xml:space="preserve">ST76</t>
        </is>
      </c>
      <c r="BX1" s="2" t="inlineStr">
        <is>
          <t xml:space="preserve">ST77</t>
        </is>
      </c>
      <c r="BY1" s="2" t="inlineStr">
        <is>
          <t xml:space="preserve">ST78</t>
        </is>
      </c>
      <c r="BZ1" s="2" t="inlineStr">
        <is>
          <t xml:space="preserve">ST79</t>
        </is>
      </c>
      <c r="CA1" s="2" t="inlineStr">
        <is>
          <t xml:space="preserve">ST80</t>
        </is>
      </c>
      <c r="CB1" s="2" t="inlineStr">
        <is>
          <t xml:space="preserve">ST81</t>
        </is>
      </c>
      <c r="CC1" s="2" t="inlineStr">
        <is>
          <t xml:space="preserve">ST82</t>
        </is>
      </c>
      <c r="CD1" s="2" t="inlineStr">
        <is>
          <t xml:space="preserve">ST83</t>
        </is>
      </c>
      <c r="CE1" s="2" t="inlineStr">
        <is>
          <t xml:space="preserve">ST84</t>
        </is>
      </c>
      <c r="CF1" s="2" t="inlineStr">
        <is>
          <t xml:space="preserve">ST85</t>
        </is>
      </c>
      <c r="CG1" s="2" t="inlineStr">
        <is>
          <t xml:space="preserve">ST86</t>
        </is>
      </c>
      <c r="CH1" s="2" t="inlineStr">
        <is>
          <t xml:space="preserve">ST87</t>
        </is>
      </c>
      <c r="CI1" s="2" t="inlineStr">
        <is>
          <t xml:space="preserve">ST88</t>
        </is>
      </c>
      <c r="CJ1" s="2" t="inlineStr">
        <is>
          <t xml:space="preserve">ST89</t>
        </is>
      </c>
      <c r="CK1" s="2" t="inlineStr">
        <is>
          <t xml:space="preserve">ST90</t>
        </is>
      </c>
      <c r="CL1" s="2" t="inlineStr">
        <is>
          <t xml:space="preserve">ST91</t>
        </is>
      </c>
      <c r="CM1" s="2" t="inlineStr">
        <is>
          <t xml:space="preserve">ST92</t>
        </is>
      </c>
      <c r="CN1" s="2" t="inlineStr">
        <is>
          <t xml:space="preserve">ST93</t>
        </is>
      </c>
      <c r="CO1" s="2" t="inlineStr">
        <is>
          <t xml:space="preserve">ST94</t>
        </is>
      </c>
      <c r="CP1" s="2" t="inlineStr">
        <is>
          <t xml:space="preserve">ST95</t>
        </is>
      </c>
      <c r="CQ1" s="2" t="inlineStr">
        <is>
          <t xml:space="preserve">ST96</t>
        </is>
      </c>
      <c r="CR1" s="2" t="inlineStr">
        <is>
          <t xml:space="preserve">ST97</t>
        </is>
      </c>
      <c r="CS1" s="2" t="inlineStr">
        <is>
          <t xml:space="preserve">ST98</t>
        </is>
      </c>
      <c r="CT1" s="2" t="inlineStr">
        <is>
          <t xml:space="preserve">ST99</t>
        </is>
      </c>
      <c r="CU1" s="2" t="inlineStr">
        <is>
          <t xml:space="preserve">ST100</t>
        </is>
      </c>
    </row>
    <row r="2" ht="15" customHeight="1">
      <c r="A2" s="4" t="s">
        <v>16</v>
      </c>
      <c r="B2" s="4">
        <v>1.5</v>
      </c>
      <c r="C2" s="4">
        <v>1</v>
      </c>
      <c r="D2" s="4">
        <v>1</v>
      </c>
      <c r="E2" s="4">
        <v>1</v>
      </c>
      <c r="F2" s="4">
        <v>1.5</v>
      </c>
      <c r="G2" s="4">
        <v>0.7</v>
      </c>
      <c r="H2" s="4">
        <v>1.5</v>
      </c>
      <c r="I2" s="4">
        <v>1</v>
      </c>
      <c r="J2" s="4">
        <v>1</v>
      </c>
      <c r="K2" s="4">
        <v>1.5</v>
      </c>
      <c r="L2" s="4">
        <v>1</v>
      </c>
      <c r="M2" s="4">
        <v>1.3</v>
      </c>
      <c r="N2" s="4">
        <v>1</v>
      </c>
      <c r="O2" s="4">
        <v>1</v>
      </c>
      <c r="P2" s="4">
        <v>0.5</v>
      </c>
      <c r="Q2" s="4">
        <v>0.7</v>
      </c>
      <c r="R2" s="4">
        <v>1.3</v>
      </c>
      <c r="S2" s="4">
        <v>1</v>
      </c>
      <c r="T2" s="4">
        <v>0.7</v>
      </c>
      <c r="U2" s="4">
        <v>0.7</v>
      </c>
      <c r="V2" s="4">
        <v>1.5</v>
      </c>
      <c r="W2" s="4">
        <v>1.0</v>
      </c>
      <c r="X2" s="4">
        <v>1.3</v>
      </c>
      <c r="Y2" s="4">
        <v>1.3</v>
      </c>
      <c r="Z2" s="4">
        <v>1.3</v>
      </c>
      <c r="AA2" s="4">
        <v>1.0</v>
      </c>
      <c r="AB2" s="4">
        <v>1.3</v>
      </c>
      <c r="AC2" s="4">
        <v>1.3</v>
      </c>
      <c r="AD2" s="4">
        <v>1.5</v>
      </c>
      <c r="AE2" s="4">
        <v>1.5</v>
      </c>
      <c r="AF2" s="4">
        <v>1.5</v>
      </c>
      <c r="AG2" s="4">
        <v>1.0</v>
      </c>
      <c r="AH2" s="4">
        <v>1.5</v>
      </c>
      <c r="AI2" s="4">
        <v>1.3</v>
      </c>
      <c r="AJ2" s="4">
        <v>1.0</v>
      </c>
      <c r="AK2" s="4">
        <v>1.5</v>
      </c>
      <c r="AL2" s="4">
        <v>0.7</v>
      </c>
      <c r="AM2" s="4">
        <v>1.3</v>
      </c>
      <c r="AN2" s="4">
        <v>1.0</v>
      </c>
      <c r="AO2" s="4">
        <v>1.5</v>
      </c>
      <c r="AP2" s="4">
        <v>1.5</v>
      </c>
      <c r="AQ2" s="4">
        <v>1.5</v>
      </c>
      <c r="AR2" s="4">
        <v>1.0</v>
      </c>
      <c r="AS2" s="4">
        <v>1.3</v>
      </c>
      <c r="AT2" s="4">
        <v>1.0</v>
      </c>
      <c r="AU2" s="4">
        <v>1.5</v>
      </c>
      <c r="AV2" s="4">
        <v>0.7</v>
      </c>
      <c r="AW2" s="4">
        <v>0.5</v>
      </c>
      <c r="AX2" s="4">
        <v>1.0</v>
      </c>
      <c r="AY2" s="4">
        <v>0.5</v>
      </c>
      <c r="AZ2" s="4">
        <v>1.3</v>
      </c>
      <c r="BA2" s="4">
        <v>1.0</v>
      </c>
      <c r="BB2" s="4">
        <v>1.5</v>
      </c>
      <c r="BC2" s="4">
        <v>0.7</v>
      </c>
      <c r="BD2" s="4">
        <v>1.3</v>
      </c>
      <c r="BE2" s="4">
        <v>1.0</v>
      </c>
      <c r="BF2" s="4">
        <v>1.5</v>
      </c>
      <c r="BG2" s="4">
        <v>1.3</v>
      </c>
      <c r="BH2" s="4">
        <v>1.0</v>
      </c>
      <c r="BI2" s="4">
        <v>1.5</v>
      </c>
      <c r="BJ2" s="4">
        <v>1.5</v>
      </c>
      <c r="BK2" s="4">
        <v>1.5</v>
      </c>
      <c r="BL2" s="4">
        <v>1.0</v>
      </c>
      <c r="BM2" s="4">
        <v>1.0</v>
      </c>
      <c r="BN2" s="4">
        <v>1.3</v>
      </c>
      <c r="BO2" s="4">
        <v>1.3</v>
      </c>
      <c r="BP2" s="4">
        <v>1.0</v>
      </c>
      <c r="BQ2" s="4">
        <v>0.7</v>
      </c>
      <c r="BR2" s="4">
        <v>1.0</v>
      </c>
      <c r="BS2" s="4">
        <v>1.3</v>
      </c>
      <c r="BT2" s="4">
        <v>0.5</v>
      </c>
      <c r="BU2" s="4">
        <v>1.0</v>
      </c>
      <c r="BV2" s="4">
        <v>0.5</v>
      </c>
      <c r="BW2" s="4">
        <v>1.3</v>
      </c>
      <c r="BX2" s="4">
        <v>1.0</v>
      </c>
      <c r="BY2" s="4">
        <v>1.5</v>
      </c>
      <c r="BZ2" s="4">
        <v>1.3</v>
      </c>
      <c r="CA2" s="4">
        <v>1.0</v>
      </c>
      <c r="CB2" s="4">
        <v>1.5</v>
      </c>
      <c r="CC2" s="4">
        <v>1.5</v>
      </c>
      <c r="CD2" s="4">
        <v>1.5</v>
      </c>
      <c r="CE2" s="4">
        <v>1.0</v>
      </c>
      <c r="CF2" s="4">
        <v>1.5</v>
      </c>
      <c r="CG2" s="4">
        <v>1.3</v>
      </c>
      <c r="CH2" s="4">
        <v>1.0</v>
      </c>
      <c r="CI2" s="4">
        <v>1.5</v>
      </c>
      <c r="CJ2" s="4">
        <v>0.7</v>
      </c>
      <c r="CK2" s="4">
        <v>1.3</v>
      </c>
      <c r="CL2" s="4">
        <v>1.0</v>
      </c>
      <c r="CM2" s="4">
        <v>1.5</v>
      </c>
      <c r="CN2" s="4">
        <v>0.7</v>
      </c>
      <c r="CO2" s="4">
        <v>1.0</v>
      </c>
      <c r="CP2" s="4">
        <v>0.7</v>
      </c>
      <c r="CQ2" s="4">
        <v>1.0</v>
      </c>
      <c r="CR2" s="4">
        <v>1.3</v>
      </c>
      <c r="CS2" s="4">
        <v>1.5</v>
      </c>
      <c r="CT2" s="4">
        <v>1.5</v>
      </c>
      <c r="CU2" s="4">
        <v>1.0</v>
      </c>
    </row>
    <row r="3" ht="15" customHeight="1">
      <c r="A3" s="4" t="s">
        <v>80</v>
      </c>
      <c r="B3" s="4">
        <v>1</v>
      </c>
      <c r="C3" s="4">
        <v>1.3</v>
      </c>
      <c r="D3" s="4">
        <v>0.7</v>
      </c>
      <c r="E3" s="4">
        <v>1.3</v>
      </c>
      <c r="F3" s="4">
        <v>1.3</v>
      </c>
      <c r="G3" s="4">
        <v>1.3</v>
      </c>
      <c r="H3" s="4">
        <v>1</v>
      </c>
      <c r="I3" s="4">
        <v>0.7</v>
      </c>
      <c r="J3" s="4">
        <v>1.5</v>
      </c>
      <c r="K3" s="4">
        <v>1</v>
      </c>
      <c r="L3" s="4">
        <v>1.3</v>
      </c>
      <c r="M3" s="4">
        <v>0.7</v>
      </c>
      <c r="N3" s="4">
        <v>1.5</v>
      </c>
      <c r="O3" s="4">
        <v>0.5</v>
      </c>
      <c r="P3" s="4">
        <v>1</v>
      </c>
      <c r="Q3" s="4">
        <v>0.5</v>
      </c>
      <c r="R3" s="4">
        <v>0.5</v>
      </c>
      <c r="S3" s="4">
        <v>0.7</v>
      </c>
      <c r="T3" s="4">
        <v>1.5</v>
      </c>
      <c r="U3" s="4">
        <v>0.5</v>
      </c>
      <c r="V3" s="4">
        <v>0.5</v>
      </c>
      <c r="W3" s="4">
        <v>1.5</v>
      </c>
      <c r="X3" s="4">
        <v>0.5</v>
      </c>
      <c r="Y3" s="4">
        <v>1.0</v>
      </c>
      <c r="Z3" s="4">
        <v>1.0</v>
      </c>
      <c r="AA3" s="4">
        <v>0.5</v>
      </c>
      <c r="AB3" s="4">
        <v>1.5</v>
      </c>
      <c r="AC3" s="4">
        <v>1.0</v>
      </c>
      <c r="AD3" s="4">
        <v>1.0</v>
      </c>
      <c r="AE3" s="4">
        <v>1.3</v>
      </c>
      <c r="AF3" s="4">
        <v>1.0</v>
      </c>
      <c r="AG3" s="4">
        <v>1.5</v>
      </c>
      <c r="AH3" s="4">
        <v>0.7</v>
      </c>
      <c r="AI3" s="4">
        <v>1.5</v>
      </c>
      <c r="AJ3" s="4">
        <v>1.5</v>
      </c>
      <c r="AK3" s="4">
        <v>1.0</v>
      </c>
      <c r="AL3" s="4">
        <v>1.5</v>
      </c>
      <c r="AM3" s="4">
        <v>0.5</v>
      </c>
      <c r="AN3" s="4">
        <v>1.0</v>
      </c>
      <c r="AO3" s="4">
        <v>0.5</v>
      </c>
      <c r="AP3" s="4">
        <v>1.0</v>
      </c>
      <c r="AQ3" s="4">
        <v>0.7</v>
      </c>
      <c r="AR3" s="4">
        <v>1.0</v>
      </c>
      <c r="AS3" s="4">
        <v>0.5</v>
      </c>
      <c r="AT3" s="4">
        <v>1.0</v>
      </c>
      <c r="AU3" s="4">
        <v>0.5</v>
      </c>
      <c r="AV3" s="4">
        <v>1.0</v>
      </c>
      <c r="AW3" s="4">
        <v>0.7</v>
      </c>
      <c r="AX3" s="4">
        <v>0.5</v>
      </c>
      <c r="AY3" s="4">
        <v>0.7</v>
      </c>
      <c r="AZ3" s="4">
        <v>1.0</v>
      </c>
      <c r="BA3" s="4">
        <v>1.3</v>
      </c>
      <c r="BB3" s="4">
        <v>1.3</v>
      </c>
      <c r="BC3" s="4">
        <v>1.0</v>
      </c>
      <c r="BD3" s="4">
        <v>1.0</v>
      </c>
      <c r="BE3" s="4">
        <v>0.7</v>
      </c>
      <c r="BF3" s="4">
        <v>1.0</v>
      </c>
      <c r="BG3" s="4">
        <v>0.5</v>
      </c>
      <c r="BH3" s="4">
        <v>1.0</v>
      </c>
      <c r="BI3" s="4">
        <v>0.5</v>
      </c>
      <c r="BJ3" s="4">
        <v>0.5</v>
      </c>
      <c r="BK3" s="4">
        <v>1.0</v>
      </c>
      <c r="BL3" s="4">
        <v>0.5</v>
      </c>
      <c r="BM3" s="4">
        <v>0.7</v>
      </c>
      <c r="BN3" s="4">
        <v>0.5</v>
      </c>
      <c r="BO3" s="4">
        <v>0.7</v>
      </c>
      <c r="BP3" s="4">
        <v>0.5</v>
      </c>
      <c r="BQ3" s="4">
        <v>1.0</v>
      </c>
      <c r="BR3" s="4">
        <v>0.5</v>
      </c>
      <c r="BS3" s="4">
        <v>1.0</v>
      </c>
      <c r="BT3" s="4">
        <v>0.7</v>
      </c>
      <c r="BU3" s="4">
        <v>0.5</v>
      </c>
      <c r="BV3" s="4">
        <v>0.7</v>
      </c>
      <c r="BW3" s="4">
        <v>1.5</v>
      </c>
      <c r="BX3" s="4">
        <v>1.5</v>
      </c>
      <c r="BY3" s="4">
        <v>1.0</v>
      </c>
      <c r="BZ3" s="4">
        <v>1.0</v>
      </c>
      <c r="CA3" s="4">
        <v>0.7</v>
      </c>
      <c r="CB3" s="4">
        <v>1.0</v>
      </c>
      <c r="CC3" s="4">
        <v>1.3</v>
      </c>
      <c r="CD3" s="4">
        <v>1.0</v>
      </c>
      <c r="CE3" s="4">
        <v>1.5</v>
      </c>
      <c r="CF3" s="4">
        <v>0.7</v>
      </c>
      <c r="CG3" s="4">
        <v>1.5</v>
      </c>
      <c r="CH3" s="4">
        <v>1.5</v>
      </c>
      <c r="CI3" s="4">
        <v>1.0</v>
      </c>
      <c r="CJ3" s="4">
        <v>1.5</v>
      </c>
      <c r="CK3" s="4">
        <v>0.7</v>
      </c>
      <c r="CL3" s="4">
        <v>0.5</v>
      </c>
      <c r="CM3" s="4">
        <v>0.7</v>
      </c>
      <c r="CN3" s="4">
        <v>0.5</v>
      </c>
      <c r="CO3" s="4">
        <v>1.0</v>
      </c>
      <c r="CP3" s="4">
        <v>1.3</v>
      </c>
      <c r="CQ3" s="4">
        <v>1.3</v>
      </c>
      <c r="CR3" s="4">
        <v>1.0</v>
      </c>
      <c r="CS3" s="4">
        <v>0.7</v>
      </c>
      <c r="CT3" s="4">
        <v>0.5</v>
      </c>
      <c r="CU3" s="4">
        <v>0.7</v>
      </c>
    </row>
    <row r="4" ht="15" customHeight="1">
      <c r="A4" s="4" t="s">
        <v>144</v>
      </c>
      <c r="B4" s="4">
        <v>1.3</v>
      </c>
      <c r="C4" s="4">
        <v>1.5</v>
      </c>
      <c r="D4" s="4">
        <v>1.3</v>
      </c>
      <c r="E4" s="4">
        <v>1.5</v>
      </c>
      <c r="F4" s="4">
        <v>1</v>
      </c>
      <c r="G4" s="4">
        <v>1.5</v>
      </c>
      <c r="H4" s="4">
        <v>1.3</v>
      </c>
      <c r="I4" s="4">
        <v>1.3</v>
      </c>
      <c r="J4" s="4">
        <v>0.5</v>
      </c>
      <c r="K4" s="4">
        <v>1</v>
      </c>
      <c r="L4" s="4">
        <v>1</v>
      </c>
      <c r="M4" s="4">
        <v>1</v>
      </c>
      <c r="N4" s="4">
        <v>0.7</v>
      </c>
      <c r="O4" s="4">
        <v>1.5</v>
      </c>
      <c r="P4" s="4">
        <v>0.7</v>
      </c>
      <c r="Q4" s="4">
        <v>1</v>
      </c>
      <c r="R4" s="4">
        <v>1</v>
      </c>
      <c r="S4" s="4">
        <v>1.3</v>
      </c>
      <c r="T4" s="4">
        <v>1.3</v>
      </c>
      <c r="U4" s="4">
        <v>1.5</v>
      </c>
      <c r="V4" s="4">
        <v>1</v>
      </c>
      <c r="W4" s="4">
        <v>1.3</v>
      </c>
      <c r="X4" s="4">
        <v>1.0</v>
      </c>
      <c r="Y4" s="4">
        <v>1.5</v>
      </c>
      <c r="Z4" s="4">
        <v>0.7</v>
      </c>
      <c r="AA4" s="4">
        <v>1.0</v>
      </c>
      <c r="AB4" s="4">
        <v>1.0</v>
      </c>
      <c r="AC4" s="4">
        <v>1.5</v>
      </c>
      <c r="AD4" s="4">
        <v>1.0</v>
      </c>
      <c r="AE4" s="4">
        <v>1.0</v>
      </c>
      <c r="AF4" s="4">
        <v>0.7</v>
      </c>
      <c r="AG4" s="4">
        <v>1.0</v>
      </c>
      <c r="AH4" s="4">
        <v>1.3</v>
      </c>
      <c r="AI4" s="4">
        <v>1.0</v>
      </c>
      <c r="AJ4" s="4">
        <v>1.3</v>
      </c>
      <c r="AK4" s="4">
        <v>1.3</v>
      </c>
      <c r="AL4" s="4">
        <v>1.0</v>
      </c>
      <c r="AM4" s="4">
        <v>1.0</v>
      </c>
      <c r="AN4" s="4">
        <v>0.7</v>
      </c>
      <c r="AO4" s="4">
        <v>1.0</v>
      </c>
      <c r="AP4" s="4">
        <v>1.0</v>
      </c>
      <c r="AQ4" s="4">
        <v>1.3</v>
      </c>
      <c r="AR4" s="4">
        <v>1.3</v>
      </c>
      <c r="AS4" s="4">
        <v>1.0</v>
      </c>
      <c r="AT4" s="4">
        <v>0.7</v>
      </c>
      <c r="AU4" s="4">
        <v>1.0</v>
      </c>
      <c r="AV4" s="4">
        <v>1.3</v>
      </c>
      <c r="AW4" s="4">
        <v>1.3</v>
      </c>
      <c r="AX4" s="4">
        <v>1.0</v>
      </c>
      <c r="AY4" s="4">
        <v>1.5</v>
      </c>
      <c r="AZ4" s="4">
        <v>1.0</v>
      </c>
      <c r="BA4" s="4">
        <v>0.7</v>
      </c>
      <c r="BB4" s="4">
        <v>1.0</v>
      </c>
      <c r="BC4" s="4">
        <v>1.3</v>
      </c>
      <c r="BD4" s="4">
        <v>1.0</v>
      </c>
      <c r="BE4" s="4">
        <v>1.3</v>
      </c>
      <c r="BF4" s="4">
        <v>1.3</v>
      </c>
      <c r="BG4" s="4">
        <v>1.5</v>
      </c>
      <c r="BH4" s="4">
        <v>1.5</v>
      </c>
      <c r="BI4" s="4">
        <v>1.0</v>
      </c>
      <c r="BJ4" s="4">
        <v>1.0</v>
      </c>
      <c r="BK4" s="4">
        <v>1.3</v>
      </c>
      <c r="BL4" s="4">
        <v>1.3</v>
      </c>
      <c r="BM4" s="4">
        <v>1.3</v>
      </c>
      <c r="BN4" s="4">
        <v>1.0</v>
      </c>
      <c r="BO4" s="4">
        <v>1.5</v>
      </c>
      <c r="BP4" s="4">
        <v>1.5</v>
      </c>
      <c r="BQ4" s="4">
        <v>1.5</v>
      </c>
      <c r="BR4" s="4">
        <v>1.0</v>
      </c>
      <c r="BS4" s="4">
        <v>1.5</v>
      </c>
      <c r="BT4" s="4">
        <v>1.3</v>
      </c>
      <c r="BU4" s="4">
        <v>1.0</v>
      </c>
      <c r="BV4" s="4">
        <v>1.5</v>
      </c>
      <c r="BW4" s="4">
        <v>1.0</v>
      </c>
      <c r="BX4" s="4">
        <v>1.3</v>
      </c>
      <c r="BY4" s="4">
        <v>1.3</v>
      </c>
      <c r="BZ4" s="4">
        <v>1.0</v>
      </c>
      <c r="CA4" s="4">
        <v>1.3</v>
      </c>
      <c r="CB4" s="4">
        <v>1.3</v>
      </c>
      <c r="CC4" s="4">
        <v>1.0</v>
      </c>
      <c r="CD4" s="4">
        <v>0.7</v>
      </c>
      <c r="CE4" s="4">
        <v>1.0</v>
      </c>
      <c r="CF4" s="4">
        <v>1.3</v>
      </c>
      <c r="CG4" s="4">
        <v>1.0</v>
      </c>
      <c r="CH4" s="4">
        <v>0.7</v>
      </c>
      <c r="CI4" s="4">
        <v>1.0</v>
      </c>
      <c r="CJ4" s="4">
        <v>1.3</v>
      </c>
      <c r="CK4" s="4">
        <v>0.5</v>
      </c>
      <c r="CL4" s="4">
        <v>1.0</v>
      </c>
      <c r="CM4" s="4">
        <v>0.5</v>
      </c>
      <c r="CN4" s="4">
        <v>1.0</v>
      </c>
      <c r="CO4" s="4">
        <v>1.5</v>
      </c>
      <c r="CP4" s="4">
        <v>1.5</v>
      </c>
      <c r="CQ4" s="4">
        <v>1.0</v>
      </c>
      <c r="CR4" s="4">
        <v>1.5</v>
      </c>
      <c r="CS4" s="4">
        <v>1.3</v>
      </c>
      <c r="CT4" s="4">
        <v>1.0</v>
      </c>
      <c r="CU4" s="4">
        <v>1.5</v>
      </c>
    </row>
    <row r="5" ht="15" customHeight="1">
      <c r="A5" s="4" t="s">
        <v>205</v>
      </c>
      <c r="B5" s="4">
        <v>1</v>
      </c>
      <c r="C5" s="4">
        <v>0.7</v>
      </c>
      <c r="D5" s="4">
        <v>0.5</v>
      </c>
      <c r="E5" s="4">
        <v>0.5</v>
      </c>
      <c r="F5" s="4">
        <v>0.7</v>
      </c>
      <c r="G5" s="4">
        <v>0.5</v>
      </c>
      <c r="H5" s="4">
        <v>0.7</v>
      </c>
      <c r="I5" s="4">
        <v>0.5</v>
      </c>
      <c r="J5" s="4">
        <v>1.3</v>
      </c>
      <c r="K5" s="4">
        <v>1.3</v>
      </c>
      <c r="L5" s="4">
        <v>0.5</v>
      </c>
      <c r="M5" s="4">
        <v>1.5</v>
      </c>
      <c r="N5" s="4">
        <v>1</v>
      </c>
      <c r="O5" s="4">
        <v>1.3</v>
      </c>
      <c r="P5" s="4">
        <v>1.3</v>
      </c>
      <c r="Q5" s="4">
        <v>1.5</v>
      </c>
      <c r="R5" s="4">
        <v>1.5</v>
      </c>
      <c r="S5" s="4">
        <v>1.5</v>
      </c>
      <c r="T5" s="4">
        <v>0.5</v>
      </c>
      <c r="U5" s="4">
        <v>1</v>
      </c>
      <c r="V5" s="4">
        <v>1.3</v>
      </c>
      <c r="W5" s="4">
        <v>0.7</v>
      </c>
      <c r="X5" s="4">
        <v>1.5</v>
      </c>
      <c r="Y5" s="4">
        <v>0.5</v>
      </c>
      <c r="Z5" s="4">
        <v>1.5</v>
      </c>
      <c r="AA5" s="4">
        <v>1.5</v>
      </c>
      <c r="AB5" s="4">
        <v>1.0</v>
      </c>
      <c r="AC5" s="4">
        <v>0.7</v>
      </c>
      <c r="AD5" s="4">
        <v>1.3</v>
      </c>
      <c r="AE5" s="4">
        <v>1.0</v>
      </c>
      <c r="AF5" s="4">
        <v>1.3</v>
      </c>
      <c r="AG5" s="4">
        <v>1.3</v>
      </c>
      <c r="AH5" s="4">
        <v>1.0</v>
      </c>
      <c r="AI5" s="4">
        <v>1.0</v>
      </c>
      <c r="AJ5" s="4">
        <v>0.7</v>
      </c>
      <c r="AK5" s="4">
        <v>1.0</v>
      </c>
      <c r="AL5" s="4">
        <v>1.3</v>
      </c>
      <c r="AM5" s="4">
        <v>1.5</v>
      </c>
      <c r="AN5" s="4">
        <v>1.5</v>
      </c>
      <c r="AO5" s="4">
        <v>1.0</v>
      </c>
      <c r="AP5" s="4">
        <v>1.3</v>
      </c>
      <c r="AQ5" s="4">
        <v>1.0</v>
      </c>
      <c r="AR5" s="4">
        <v>1.5</v>
      </c>
      <c r="AS5" s="4">
        <v>1.5</v>
      </c>
      <c r="AT5" s="4">
        <v>1.5</v>
      </c>
      <c r="AU5" s="4">
        <v>1.0</v>
      </c>
      <c r="AV5" s="4">
        <v>1.5</v>
      </c>
      <c r="AW5" s="4">
        <v>1.5</v>
      </c>
      <c r="AX5" s="4">
        <v>1.5</v>
      </c>
      <c r="AY5" s="4">
        <v>1.0</v>
      </c>
      <c r="AZ5" s="4">
        <v>1.5</v>
      </c>
      <c r="BA5" s="4">
        <v>1.5</v>
      </c>
      <c r="BB5" s="4">
        <v>1.0</v>
      </c>
      <c r="BC5" s="4">
        <v>1.5</v>
      </c>
      <c r="BD5" s="4">
        <v>1.5</v>
      </c>
      <c r="BE5" s="4">
        <v>1.5</v>
      </c>
      <c r="BF5" s="4">
        <v>1.0</v>
      </c>
      <c r="BG5" s="4">
        <v>1.0</v>
      </c>
      <c r="BH5" s="4">
        <v>1.3</v>
      </c>
      <c r="BI5" s="4">
        <v>1.3</v>
      </c>
      <c r="BJ5" s="4">
        <v>1.3</v>
      </c>
      <c r="BK5" s="4">
        <v>1.0</v>
      </c>
      <c r="BL5" s="4">
        <v>1.5</v>
      </c>
      <c r="BM5" s="4">
        <v>1.5</v>
      </c>
      <c r="BN5" s="4">
        <v>1.5</v>
      </c>
      <c r="BO5" s="4">
        <v>1.0</v>
      </c>
      <c r="BP5" s="4">
        <v>1.3</v>
      </c>
      <c r="BQ5" s="4">
        <v>1.0</v>
      </c>
      <c r="BR5" s="4">
        <v>1.5</v>
      </c>
      <c r="BS5" s="4">
        <v>0.7</v>
      </c>
      <c r="BT5" s="4">
        <v>1.5</v>
      </c>
      <c r="BU5" s="4">
        <v>1.5</v>
      </c>
      <c r="BV5" s="4">
        <v>1.0</v>
      </c>
      <c r="BW5" s="4">
        <v>1.0</v>
      </c>
      <c r="BX5" s="4">
        <v>0.7</v>
      </c>
      <c r="BY5" s="4">
        <v>1.0</v>
      </c>
      <c r="BZ5" s="4">
        <v>1.5</v>
      </c>
      <c r="CA5" s="4">
        <v>1.5</v>
      </c>
      <c r="CB5" s="4">
        <v>1.0</v>
      </c>
      <c r="CC5" s="4">
        <v>1.0</v>
      </c>
      <c r="CD5" s="4">
        <v>1.3</v>
      </c>
      <c r="CE5" s="4">
        <v>1.3</v>
      </c>
      <c r="CF5" s="4">
        <v>1.0</v>
      </c>
      <c r="CG5" s="4">
        <v>1.0</v>
      </c>
      <c r="CH5" s="4">
        <v>1.3</v>
      </c>
      <c r="CI5" s="4">
        <v>1.3</v>
      </c>
      <c r="CJ5" s="4">
        <v>1.0</v>
      </c>
      <c r="CK5" s="4">
        <v>1.5</v>
      </c>
      <c r="CL5" s="4">
        <v>1.5</v>
      </c>
      <c r="CM5" s="4">
        <v>1.0</v>
      </c>
      <c r="CN5" s="4">
        <v>1.5</v>
      </c>
      <c r="CO5" s="4">
        <v>1.3</v>
      </c>
      <c r="CP5" s="4">
        <v>1.0</v>
      </c>
      <c r="CQ5" s="4">
        <v>1.5</v>
      </c>
      <c r="CR5" s="4">
        <v>0.7</v>
      </c>
      <c r="CS5" s="4">
        <v>1.0</v>
      </c>
      <c r="CT5" s="4">
        <v>1.3</v>
      </c>
      <c r="CU5" s="4">
        <v>1.3</v>
      </c>
    </row>
    <row r="6" ht="15" customHeight="1">
      <c r="A6" s="4" t="s">
        <v>269</v>
      </c>
      <c r="B6" s="4">
        <v>0.7</v>
      </c>
      <c r="C6" s="4">
        <v>1</v>
      </c>
      <c r="D6" s="4">
        <v>1.5</v>
      </c>
      <c r="E6" s="4">
        <v>1</v>
      </c>
      <c r="F6" s="4">
        <v>0.5</v>
      </c>
      <c r="G6" s="4">
        <v>1</v>
      </c>
      <c r="H6" s="4">
        <v>0.5</v>
      </c>
      <c r="I6" s="4">
        <v>1.5</v>
      </c>
      <c r="J6" s="4">
        <v>0.7</v>
      </c>
      <c r="K6" s="4">
        <v>0.5</v>
      </c>
      <c r="L6" s="4">
        <v>1.5</v>
      </c>
      <c r="M6" s="4">
        <v>0.5</v>
      </c>
      <c r="N6" s="4">
        <v>1.3</v>
      </c>
      <c r="O6" s="4">
        <v>0.7</v>
      </c>
      <c r="P6" s="4">
        <v>1</v>
      </c>
      <c r="Q6" s="4">
        <v>1</v>
      </c>
      <c r="R6" s="4">
        <v>0.7</v>
      </c>
      <c r="S6" s="4">
        <v>0.5</v>
      </c>
      <c r="T6" s="4">
        <v>1</v>
      </c>
      <c r="U6" s="4">
        <v>1</v>
      </c>
      <c r="V6" s="4">
        <v>0.7</v>
      </c>
      <c r="W6" s="4">
        <v>0.5</v>
      </c>
      <c r="X6" s="4">
        <v>0.7</v>
      </c>
      <c r="Y6" s="4">
        <v>1.0</v>
      </c>
      <c r="Z6" s="4">
        <v>0.5</v>
      </c>
      <c r="AA6" s="4">
        <v>0.7</v>
      </c>
      <c r="AB6" s="4">
        <v>0.5</v>
      </c>
      <c r="AC6" s="4">
        <v>1.0</v>
      </c>
      <c r="AD6" s="4">
        <v>0.5</v>
      </c>
      <c r="AE6" s="4">
        <v>0.5</v>
      </c>
      <c r="AF6" s="4">
        <v>1.0</v>
      </c>
      <c r="AG6" s="4">
        <v>0.5</v>
      </c>
      <c r="AH6" s="4">
        <v>1.0</v>
      </c>
      <c r="AI6" s="4">
        <v>0.7</v>
      </c>
      <c r="AJ6" s="4">
        <v>0.5</v>
      </c>
      <c r="AK6" s="4">
        <v>0.7</v>
      </c>
      <c r="AL6" s="4">
        <v>0.5</v>
      </c>
      <c r="AM6" s="4">
        <v>0.7</v>
      </c>
      <c r="AN6" s="4">
        <v>0.5</v>
      </c>
      <c r="AO6" s="4">
        <v>0.7</v>
      </c>
      <c r="AP6" s="4">
        <v>0.7</v>
      </c>
      <c r="AQ6" s="4">
        <v>0.5</v>
      </c>
      <c r="AR6" s="4">
        <v>0.7</v>
      </c>
      <c r="AS6" s="4">
        <v>1.0</v>
      </c>
      <c r="AT6" s="4">
        <v>1.3</v>
      </c>
      <c r="AU6" s="4">
        <v>1.3</v>
      </c>
      <c r="AV6" s="4">
        <v>1.0</v>
      </c>
      <c r="AW6" s="4">
        <v>1.0</v>
      </c>
      <c r="AX6" s="4">
        <v>0.7</v>
      </c>
      <c r="AY6" s="4">
        <v>1.0</v>
      </c>
      <c r="AZ6" s="4">
        <v>0.5</v>
      </c>
      <c r="BA6" s="4">
        <v>1.0</v>
      </c>
      <c r="BB6" s="4">
        <v>0.5</v>
      </c>
      <c r="BC6" s="4">
        <v>1.0</v>
      </c>
      <c r="BD6" s="4">
        <v>0.7</v>
      </c>
      <c r="BE6" s="4">
        <v>0.5</v>
      </c>
      <c r="BF6" s="4">
        <v>0.7</v>
      </c>
      <c r="BG6" s="4">
        <v>1.0</v>
      </c>
      <c r="BH6" s="4">
        <v>0.7</v>
      </c>
      <c r="BI6" s="4">
        <v>1.0</v>
      </c>
      <c r="BJ6" s="4">
        <v>0.7</v>
      </c>
      <c r="BK6" s="4">
        <v>0.5</v>
      </c>
      <c r="BL6" s="4">
        <v>0.7</v>
      </c>
      <c r="BM6" s="4">
        <v>0.5</v>
      </c>
      <c r="BN6" s="4">
        <v>1.0</v>
      </c>
      <c r="BO6" s="4">
        <v>0.5</v>
      </c>
      <c r="BP6" s="4">
        <v>0.7</v>
      </c>
      <c r="BQ6" s="4">
        <v>0.5</v>
      </c>
      <c r="BR6" s="4">
        <v>0.7</v>
      </c>
      <c r="BS6" s="4">
        <v>0.5</v>
      </c>
      <c r="BT6" s="4">
        <v>1.0</v>
      </c>
      <c r="BU6" s="4">
        <v>0.7</v>
      </c>
      <c r="BV6" s="4">
        <v>1.0</v>
      </c>
      <c r="BW6" s="4">
        <v>0.7</v>
      </c>
      <c r="BX6" s="4">
        <v>0.5</v>
      </c>
      <c r="BY6" s="4">
        <v>0.7</v>
      </c>
      <c r="BZ6" s="4">
        <v>0.7</v>
      </c>
      <c r="CA6" s="4">
        <v>0.5</v>
      </c>
      <c r="CB6" s="4">
        <v>0.7</v>
      </c>
      <c r="CC6" s="4">
        <v>0.5</v>
      </c>
      <c r="CD6" s="4">
        <v>1.0</v>
      </c>
      <c r="CE6" s="4">
        <v>0.5</v>
      </c>
      <c r="CF6" s="4">
        <v>1.0</v>
      </c>
      <c r="CG6" s="4">
        <v>0.7</v>
      </c>
      <c r="CH6" s="4">
        <v>0.5</v>
      </c>
      <c r="CI6" s="4">
        <v>0.7</v>
      </c>
      <c r="CJ6" s="4">
        <v>0.5</v>
      </c>
      <c r="CK6" s="4">
        <v>1.0</v>
      </c>
      <c r="CL6" s="4">
        <v>1.3</v>
      </c>
      <c r="CM6" s="4">
        <v>1.3</v>
      </c>
      <c r="CN6" s="4">
        <v>1.0</v>
      </c>
      <c r="CO6" s="4">
        <v>0.7</v>
      </c>
      <c r="CP6" s="4">
        <v>0.5</v>
      </c>
      <c r="CQ6" s="4">
        <v>0.7</v>
      </c>
      <c r="CR6" s="4">
        <v>0.5</v>
      </c>
      <c r="CS6" s="4">
        <v>1.0</v>
      </c>
      <c r="CT6" s="4">
        <v>0.7</v>
      </c>
      <c r="CU6" s="4">
        <v>1.0</v>
      </c>
    </row>
    <row r="7" ht="15" customHeight="1">
      <c r="A7" s="4" t="s">
        <v>333</v>
      </c>
      <c r="B7" s="4">
        <v>0.5</v>
      </c>
      <c r="C7" s="4">
        <v>0.5</v>
      </c>
      <c r="D7" s="4">
        <v>1</v>
      </c>
      <c r="E7" s="4">
        <v>0.7</v>
      </c>
      <c r="F7" s="4">
        <v>1</v>
      </c>
      <c r="G7" s="4">
        <v>1</v>
      </c>
      <c r="H7" s="4">
        <v>1</v>
      </c>
      <c r="I7" s="4">
        <v>1</v>
      </c>
      <c r="J7" s="4">
        <v>1</v>
      </c>
      <c r="K7" s="4">
        <v>0.7</v>
      </c>
      <c r="L7" s="4">
        <v>0.7</v>
      </c>
      <c r="M7" s="4">
        <v>1</v>
      </c>
      <c r="N7" s="4">
        <v>0.5</v>
      </c>
      <c r="O7" s="4">
        <v>1</v>
      </c>
      <c r="P7" s="4">
        <v>1.5</v>
      </c>
      <c r="Q7" s="4">
        <v>1.3</v>
      </c>
      <c r="R7" s="4">
        <v>1</v>
      </c>
      <c r="S7" s="4">
        <v>1</v>
      </c>
      <c r="T7" s="4">
        <v>1</v>
      </c>
      <c r="U7" s="4">
        <v>1.3</v>
      </c>
      <c r="V7" s="4">
        <v>1</v>
      </c>
      <c r="W7" s="4">
        <v>1.0</v>
      </c>
      <c r="X7" s="4">
        <v>1.0</v>
      </c>
      <c r="Y7" s="4">
        <v>0.7</v>
      </c>
      <c r="Z7" s="4">
        <v>1.0</v>
      </c>
      <c r="AA7" s="4">
        <v>1.3</v>
      </c>
      <c r="AB7" s="4">
        <v>0.7</v>
      </c>
      <c r="AC7" s="4">
        <v>0.5</v>
      </c>
      <c r="AD7" s="4">
        <v>0.7</v>
      </c>
      <c r="AE7" s="4">
        <v>0.7</v>
      </c>
      <c r="AF7" s="4">
        <v>0.5</v>
      </c>
      <c r="AG7" s="4">
        <v>0.7</v>
      </c>
      <c r="AH7" s="4">
        <v>0.5</v>
      </c>
      <c r="AI7" s="4">
        <v>0.5</v>
      </c>
      <c r="AJ7" s="4">
        <v>1.0</v>
      </c>
      <c r="AK7" s="4">
        <v>0.5</v>
      </c>
      <c r="AL7" s="4">
        <v>1.0</v>
      </c>
      <c r="AM7" s="4">
        <v>1.0</v>
      </c>
      <c r="AN7" s="4">
        <v>1.3</v>
      </c>
      <c r="AO7" s="4">
        <v>1.3</v>
      </c>
      <c r="AP7" s="4">
        <v>0.5</v>
      </c>
      <c r="AQ7" s="4">
        <v>1.0</v>
      </c>
      <c r="AR7" s="4">
        <v>0.5</v>
      </c>
      <c r="AS7" s="4">
        <v>0.7</v>
      </c>
      <c r="AT7" s="4">
        <v>0.5</v>
      </c>
      <c r="AU7" s="4">
        <v>0.7</v>
      </c>
      <c r="AV7" s="4">
        <v>0.5</v>
      </c>
      <c r="AW7" s="4">
        <v>1.0</v>
      </c>
      <c r="AX7" s="4">
        <v>1.3</v>
      </c>
      <c r="AY7" s="4">
        <v>1.3</v>
      </c>
      <c r="AZ7" s="4">
        <v>0.7</v>
      </c>
      <c r="BA7" s="4">
        <v>0.5</v>
      </c>
      <c r="BB7" s="4">
        <v>0.7</v>
      </c>
      <c r="BC7" s="4">
        <v>0.5</v>
      </c>
      <c r="BD7" s="4">
        <v>0.5</v>
      </c>
      <c r="BE7" s="4">
        <v>1.0</v>
      </c>
      <c r="BF7" s="4">
        <v>0.5</v>
      </c>
      <c r="BG7" s="4">
        <v>0.7</v>
      </c>
      <c r="BH7" s="4">
        <v>0.5</v>
      </c>
      <c r="BI7" s="4">
        <v>0.7</v>
      </c>
      <c r="BJ7" s="4">
        <v>1.0</v>
      </c>
      <c r="BK7" s="4">
        <v>0.7</v>
      </c>
      <c r="BL7" s="4">
        <v>1.0</v>
      </c>
      <c r="BM7" s="4">
        <v>1.0</v>
      </c>
      <c r="BN7" s="4">
        <v>0.7</v>
      </c>
      <c r="BO7" s="4">
        <v>1.0</v>
      </c>
      <c r="BP7" s="4">
        <v>1.0</v>
      </c>
      <c r="BQ7" s="4">
        <v>1.3</v>
      </c>
      <c r="BR7" s="4">
        <v>1.3</v>
      </c>
      <c r="BS7" s="4">
        <v>1.0</v>
      </c>
      <c r="BT7" s="4">
        <v>1.0</v>
      </c>
      <c r="BU7" s="4">
        <v>1.3</v>
      </c>
      <c r="BV7" s="4">
        <v>1.3</v>
      </c>
      <c r="BW7" s="4">
        <v>0.5</v>
      </c>
      <c r="BX7" s="4">
        <v>1.0</v>
      </c>
      <c r="BY7" s="4">
        <v>0.5</v>
      </c>
      <c r="BZ7" s="4">
        <v>0.5</v>
      </c>
      <c r="CA7" s="4">
        <v>1.0</v>
      </c>
      <c r="CB7" s="4">
        <v>0.5</v>
      </c>
      <c r="CC7" s="4">
        <v>0.7</v>
      </c>
      <c r="CD7" s="4">
        <v>0.5</v>
      </c>
      <c r="CE7" s="4">
        <v>0.7</v>
      </c>
      <c r="CF7" s="4">
        <v>0.5</v>
      </c>
      <c r="CG7" s="4">
        <v>0.5</v>
      </c>
      <c r="CH7" s="4">
        <v>1.0</v>
      </c>
      <c r="CI7" s="4">
        <v>0.5</v>
      </c>
      <c r="CJ7" s="4">
        <v>1.0</v>
      </c>
      <c r="CK7" s="4">
        <v>1.0</v>
      </c>
      <c r="CL7" s="4">
        <v>0.7</v>
      </c>
      <c r="CM7" s="4">
        <v>1.0</v>
      </c>
      <c r="CN7" s="4">
        <v>1.3</v>
      </c>
      <c r="CO7" s="4">
        <v>0.5</v>
      </c>
      <c r="CP7" s="4">
        <v>1.0</v>
      </c>
      <c r="CQ7" s="4">
        <v>0.5</v>
      </c>
      <c r="CR7" s="4">
        <v>1.0</v>
      </c>
      <c r="CS7" s="4">
        <v>0.5</v>
      </c>
      <c r="CT7" s="4">
        <v>1.0</v>
      </c>
      <c r="CU7" s="4">
        <v>0.5</v>
      </c>
    </row>
    <row r="9" ht="26.25" customHeight="1">
      <c r="A9" s="9" t="s">
        <v>936</v>
      </c>
      <c r="B9" s="3" t="str">
        <f>IFERROR(INDEX(Stages!$B$2:$B$22,MATCH(B$1,Stages!$A$2:$A$9,0)),"")</f>
        <v>Special Committee</v>
      </c>
      <c r="C9" s="3" t="str">
        <f>IFERROR(INDEX(Stages!$B$2:$B$22,MATCH(C$1,Stages!$A$2:$A$9,0)),"")</f>
        <v>Floor Debate</v>
      </c>
      <c r="D9" s="3" t="str">
        <f>IFERROR(INDEX(Stages!$B$2:$B$22,MATCH(D$1,Stages!$A$2:$A$9,0)),"")</f>
        <v>Party Caucus</v>
      </c>
      <c r="E9" s="3" t="str">
        <f>IFERROR(INDEX(Stages!$B$2:$B$22,MATCH(E$1,Stages!$A$2:$A$9,0)),"")</f>
        <v>Press Conference</v>
      </c>
      <c r="F9" s="3" t="str">
        <f>IFERROR(INDEX(Stages!$B$2:$B$22,MATCH(F$1,Stages!$A$2:$A$9,0)),"")</f>
        <v>Town Hall</v>
      </c>
      <c r="G9" s="3" t="str">
        <f>IFERROR(INDEX(Stages!$B$2:$B$22,MATCH(G$1,Stages!$A$2:$A$9,0)),"")</f>
        <v>TV Debate</v>
      </c>
      <c r="H9" s="3" t="str">
        <f>IFERROR(INDEX(Stages!$B$2:$B$22,MATCH(H$1,Stages!$A$2:$A$9,0)),"")</f>
        <v>Office Hours</v>
      </c>
      <c r="I9" s="3" t="str">
        <f>IFERROR(INDEX(Stages!$B$2:$B$22,MATCH(I$1,Stages!$A$2:$A$9,0)),"")</f>
        <v>Party Steering Committee</v>
      </c>
      <c r="J9" s="3" t="str">
        <f>Stages!B10</f>
        <v>Committee on Ethics and Prosecution</v>
      </c>
      <c r="K9" s="3" t="str">
        <f>Stages!B11</f>
        <v>Committee on the Environment</v>
      </c>
      <c r="L9" s="3" t="str">
        <f>Stages!B12</f>
        <v>Committee on War</v>
      </c>
      <c r="M9" s="3" t="str">
        <f>Stages!B13</f>
        <v>Committee on the National Assembly</v>
      </c>
      <c r="N9" s="3" t="str">
        <f>Stages!B14</f>
        <v>Committee on Agriculture</v>
      </c>
      <c r="O9" s="3" t="str">
        <f>Stages!B15</f>
        <v>Committee on Foreign Affairs</v>
      </c>
      <c r="P9" s="3" t="str">
        <f>Stages!B16</f>
        <v>Committee on Construction and Development</v>
      </c>
      <c r="Q9" s="3" t="str">
        <f>Stages!B17</f>
        <v>Committee on Finance</v>
      </c>
      <c r="R9" s="3" t="str">
        <f>Stages!B18</f>
        <v>Committee on Government Administration</v>
      </c>
      <c r="S9" s="3" t="str">
        <f>Stages!B19</f>
        <v>Committee of the Cabinet</v>
      </c>
      <c r="T9" s="3" t="str">
        <f>Stages!B20</f>
        <v>Media Ambush</v>
      </c>
      <c r="U9" s="3" t="str">
        <f>Stages!B21</f>
        <v>Lobbyist Meeting</v>
      </c>
      <c r="V9" s="3" t="str">
        <f>Stages!B22</f>
        <v>Policy Study Session</v>
      </c>
      <c r="W9" s="3" t="inlineStr">
        <is>
          <t xml:space="preserve">Town Hall on Commuter Fares</t>
        </is>
      </c>
      <c r="X9" s="3" t="inlineStr">
        <is>
          <t xml:space="preserve">Policy Study on Rail Timetables</t>
        </is>
      </c>
      <c r="Y9" s="3" t="inlineStr">
        <is>
          <t xml:space="preserve">Press Conference on Raising Train Fares</t>
        </is>
      </c>
      <c r="Z9" s="3" t="inlineStr">
        <is>
          <t xml:space="preserve">Hearing on Rail Safety</t>
        </is>
      </c>
      <c r="AA9" s="3" t="inlineStr">
        <is>
          <t xml:space="preserve">Lobbyist Meeting on Fishing Quotas</t>
        </is>
      </c>
      <c r="AB9" s="3" t="inlineStr">
        <is>
          <t xml:space="preserve">Town Hall at the Harbour</t>
        </is>
      </c>
      <c r="AC9" s="3" t="inlineStr">
        <is>
          <t xml:space="preserve">Media Ambush on Seafood Labelling</t>
        </is>
      </c>
      <c r="AD9" s="3" t="inlineStr">
        <is>
          <t xml:space="preserve">Hearing on Fishery Quotas</t>
        </is>
      </c>
      <c r="AE9" s="3" t="inlineStr">
        <is>
          <t xml:space="preserve">Press Conference on Wilderness Protection</t>
        </is>
      </c>
      <c r="AF9" s="3" t="inlineStr">
        <is>
          <t xml:space="preserve">Hearing on Wilderness Protection</t>
        </is>
      </c>
      <c r="AG9" s="3" t="inlineStr">
        <is>
          <t xml:space="preserve">Town Hall on Wilderness Protection</t>
        </is>
      </c>
      <c r="AH9" s="3" t="inlineStr">
        <is>
          <t xml:space="preserve">Party Caucus on Wilderness Protection</t>
        </is>
      </c>
      <c r="AI9" s="3" t="inlineStr">
        <is>
          <t xml:space="preserve">Town Hall on Rural Hospitals</t>
        </is>
      </c>
      <c r="AJ9" s="3" t="inlineStr">
        <is>
          <t xml:space="preserve">Hearing on Rural Hospitals</t>
        </is>
      </c>
      <c r="AK9" s="3" t="inlineStr">
        <is>
          <t xml:space="preserve">Policy Study on Rural Hospitals</t>
        </is>
      </c>
      <c r="AL9" s="3" t="inlineStr">
        <is>
          <t xml:space="preserve">Party Caucus on Rural Hospitals</t>
        </is>
      </c>
      <c r="AM9" s="3" t="inlineStr">
        <is>
          <t xml:space="preserve">Policy Study on Digital Identity Cards</t>
        </is>
      </c>
      <c r="AN9" s="3" t="inlineStr">
        <is>
          <t xml:space="preserve">TV Debate on Digital Identity Cards</t>
        </is>
      </c>
      <c r="AO9" s="3" t="inlineStr">
        <is>
          <t xml:space="preserve">Party Caucus on Digital Identity Cards</t>
        </is>
      </c>
      <c r="AP9" s="3" t="inlineStr">
        <is>
          <t xml:space="preserve">Press Conference on Broadcaster Independence</t>
        </is>
      </c>
      <c r="AQ9" s="3" t="inlineStr">
        <is>
          <t xml:space="preserve">TV Debate on Broadcaster Independence</t>
        </is>
      </c>
      <c r="AR9" s="3" t="inlineStr">
        <is>
          <t xml:space="preserve">Party Caucus on Broadcaster Independence</t>
        </is>
      </c>
      <c r="AS9" s="3" t="inlineStr">
        <is>
          <t xml:space="preserve">Press Conference on Donation Transparency</t>
        </is>
      </c>
      <c r="AT9" s="3" t="inlineStr">
        <is>
          <t xml:space="preserve">Hearing on Donation Transparency</t>
        </is>
      </c>
      <c r="AU9" s="3" t="inlineStr">
        <is>
          <t xml:space="preserve">Lobbyist Meeting on Donation Transparency</t>
        </is>
      </c>
      <c r="AV9" s="3" t="inlineStr">
        <is>
          <t xml:space="preserve">Party Caucus on Donation Transparency</t>
        </is>
      </c>
      <c r="AW9" s="3" t="inlineStr">
        <is>
          <t xml:space="preserve">Policy Study on Corporate Tax Cuts</t>
        </is>
      </c>
      <c r="AX9" s="3" t="inlineStr">
        <is>
          <t xml:space="preserve">Hearing on Corporate Tax Cuts</t>
        </is>
      </c>
      <c r="AY9" s="3" t="inlineStr">
        <is>
          <t xml:space="preserve">Party Caucus on Corporate Tax Cuts</t>
        </is>
      </c>
      <c r="AZ9" s="3" t="inlineStr">
        <is>
          <t xml:space="preserve">Town Hall on the Carbon Levy</t>
        </is>
      </c>
      <c r="BA9" s="3" t="inlineStr">
        <is>
          <t xml:space="preserve">Hearing on the Carbon Levy</t>
        </is>
      </c>
      <c r="BB9" s="3" t="inlineStr">
        <is>
          <t xml:space="preserve">Press Conference on the Carbon Levy</t>
        </is>
      </c>
      <c r="BC9" s="3" t="inlineStr">
        <is>
          <t xml:space="preserve">Party Caucus on the Carbon Levy</t>
        </is>
      </c>
      <c r="BD9" s="3" t="inlineStr">
        <is>
          <t xml:space="preserve">Hearing on Fishing Quota Reform</t>
        </is>
      </c>
      <c r="BE9" s="3" t="inlineStr">
        <is>
          <t xml:space="preserve">Town Hall on Fishing Quota Reform</t>
        </is>
      </c>
      <c r="BF9" s="3" t="inlineStr">
        <is>
          <t xml:space="preserve">Party Caucus on Fishing Quota Reform</t>
        </is>
      </c>
      <c r="BG9" s="3" t="inlineStr">
        <is>
          <t xml:space="preserve">Hearing on Shipbuilding Support</t>
        </is>
      </c>
      <c r="BH9" s="3" t="inlineStr">
        <is>
          <t xml:space="preserve">Town Hall on Shipbuilding Support</t>
        </is>
      </c>
      <c r="BI9" s="3" t="inlineStr">
        <is>
          <t xml:space="preserve">Party Caucus on Shipbuilding Support</t>
        </is>
      </c>
      <c r="BJ9" s="3" t="inlineStr">
        <is>
          <t xml:space="preserve">Hearing on the Constitutional Review</t>
        </is>
      </c>
      <c r="BK9" s="3" t="inlineStr">
        <is>
          <t xml:space="preserve">Press Conference on the Constitutional Review</t>
        </is>
      </c>
      <c r="BL9" s="3" t="inlineStr">
        <is>
          <t xml:space="preserve">Party Caucus on the Constitutional Review</t>
        </is>
      </c>
      <c r="BM9" s="3" t="inlineStr">
        <is>
          <t xml:space="preserve">Hearing on Border Cooperation</t>
        </is>
      </c>
      <c r="BN9" s="3" t="inlineStr">
        <is>
          <t xml:space="preserve">Lobbyist Meeting on Border Cooperation</t>
        </is>
      </c>
      <c r="BO9" s="3" t="inlineStr">
        <is>
          <t xml:space="preserve">Party Caucus on Border Cooperation</t>
        </is>
      </c>
      <c r="BP9" s="3" t="inlineStr">
        <is>
          <t xml:space="preserve">Hearing on Chishima Development</t>
        </is>
      </c>
      <c r="BQ9" s="3" t="inlineStr">
        <is>
          <t xml:space="preserve">Press Conference on Chishima Development</t>
        </is>
      </c>
      <c r="BR9" s="3" t="inlineStr">
        <is>
          <t xml:space="preserve">Lobbyist Meeting on Chishima Development</t>
        </is>
      </c>
      <c r="BS9" s="3" t="inlineStr">
        <is>
          <t xml:space="preserve">Party Caucus on Chishima Development</t>
        </is>
      </c>
      <c r="BT9" s="3" t="inlineStr">
        <is>
          <t xml:space="preserve">TV Debate on China Trade</t>
        </is>
      </c>
      <c r="BU9" s="3" t="inlineStr">
        <is>
          <t xml:space="preserve">Hearing on China Trade</t>
        </is>
      </c>
      <c r="BV9" s="3" t="inlineStr">
        <is>
          <t xml:space="preserve">Party Caucus on China Trade</t>
        </is>
      </c>
      <c r="BW9" s="3" t="inlineStr">
        <is>
          <t xml:space="preserve">Town Hall on Farm Succession</t>
        </is>
      </c>
      <c r="BX9" s="3" t="inlineStr">
        <is>
          <t xml:space="preserve">Hearing on Farm Succession</t>
        </is>
      </c>
      <c r="BY9" s="3" t="inlineStr">
        <is>
          <t xml:space="preserve">Party Caucus on Farm Succession</t>
        </is>
      </c>
      <c r="BZ9" s="3" t="inlineStr">
        <is>
          <t xml:space="preserve">Policy Study on University Research Funding</t>
        </is>
      </c>
      <c r="CA9" s="3" t="inlineStr">
        <is>
          <t xml:space="preserve">Hearing on University Research Funding</t>
        </is>
      </c>
      <c r="CB9" s="3" t="inlineStr">
        <is>
          <t xml:space="preserve">Party Caucus on University Research Funding</t>
        </is>
      </c>
      <c r="CC9" s="3" t="inlineStr">
        <is>
          <t xml:space="preserve">Town Hall on Workplace Equality</t>
        </is>
      </c>
      <c r="CD9" s="3" t="inlineStr">
        <is>
          <t xml:space="preserve">Press Conference on Workplace Equality</t>
        </is>
      </c>
      <c r="CE9" s="3" t="inlineStr">
        <is>
          <t xml:space="preserve">TV Debate on Workplace Equality</t>
        </is>
      </c>
      <c r="CF9" s="3" t="inlineStr">
        <is>
          <t xml:space="preserve">Party Caucus on Workplace Equality</t>
        </is>
      </c>
      <c r="CG9" s="3" t="inlineStr">
        <is>
          <t xml:space="preserve">Town Hall on Parental Leave</t>
        </is>
      </c>
      <c r="CH9" s="3" t="inlineStr">
        <is>
          <t xml:space="preserve">Policy Study on Parental Leave</t>
        </is>
      </c>
      <c r="CI9" s="3" t="inlineStr">
        <is>
          <t xml:space="preserve">Lobbyist Meeting on Parental Leave</t>
        </is>
      </c>
      <c r="CJ9" s="3" t="inlineStr">
        <is>
          <t xml:space="preserve">Party Caucus on Parental Leave</t>
        </is>
      </c>
      <c r="CK9" s="3" t="inlineStr">
        <is>
          <t xml:space="preserve">Hearing on Surveillance Cameras</t>
        </is>
      </c>
      <c r="CL9" s="3" t="inlineStr">
        <is>
          <t xml:space="preserve">TV Debate on Surveillance Cameras</t>
        </is>
      </c>
      <c r="CM9" s="3" t="inlineStr">
        <is>
          <t xml:space="preserve">Press Conference on Surveillance Cameras</t>
        </is>
      </c>
      <c r="CN9" s="3" t="inlineStr">
        <is>
          <t xml:space="preserve">Party Caucus on Surveillance Cameras</t>
        </is>
      </c>
      <c r="CO9" s="3" t="inlineStr">
        <is>
          <t xml:space="preserve">Town Hall on Town Mergers</t>
        </is>
      </c>
      <c r="CP9" s="3" t="inlineStr">
        <is>
          <t xml:space="preserve">Hearing on Town Mergers</t>
        </is>
      </c>
      <c r="CQ9" s="3" t="inlineStr">
        <is>
          <t xml:space="preserve">Policy Study on Town Mergers</t>
        </is>
      </c>
      <c r="CR9" s="3" t="inlineStr">
        <is>
          <t xml:space="preserve">Party Caucus on Town Mergers</t>
        </is>
      </c>
      <c r="CS9" s="3" t="inlineStr">
        <is>
          <t xml:space="preserve">TV Debate on Party Leadership Ballots</t>
        </is>
      </c>
      <c r="CT9" s="3" t="inlineStr">
        <is>
          <t xml:space="preserve">Press Conference on Party Leadership Ballots</t>
        </is>
      </c>
      <c r="CU9" s="3" t="inlineStr">
        <is>
          <t xml:space="preserve">Party Caucus on Party Leadership Ballots</t>
        </is>
      </c>
    </row>
    <row r="10" ht="15" customHeight="1">
      <c r="A10" s="9" t="s">
        <v>937</v>
      </c>
      <c r="B10" s="10">
        <f t="shared" ref="B10:V10" si="0">AVERAGE(B2:B7)</f>
        <v>1</v>
      </c>
      <c r="C10" s="10">
        <f t="shared" si="0"/>
        <v>1</v>
      </c>
      <c r="D10" s="10">
        <f t="shared" si="0"/>
        <v>1</v>
      </c>
      <c r="E10" s="10">
        <f t="shared" si="0"/>
        <v>1</v>
      </c>
      <c r="F10" s="10">
        <f t="shared" si="0"/>
        <v>1</v>
      </c>
      <c r="G10" s="10">
        <f t="shared" si="0"/>
        <v>1</v>
      </c>
      <c r="H10" s="10">
        <f t="shared" si="0"/>
        <v>1</v>
      </c>
      <c r="I10" s="10">
        <f t="shared" si="0"/>
        <v>1</v>
      </c>
      <c r="J10" s="10">
        <f t="shared" si="0"/>
        <v>1</v>
      </c>
      <c r="K10" s="10">
        <f t="shared" si="0"/>
        <v>1</v>
      </c>
      <c r="L10" s="10">
        <f t="shared" si="0"/>
        <v>1</v>
      </c>
      <c r="M10" s="10">
        <f t="shared" si="0"/>
        <v>1</v>
      </c>
      <c r="N10" s="10">
        <f t="shared" si="0"/>
        <v>1</v>
      </c>
      <c r="O10" s="10">
        <f t="shared" si="0"/>
        <v>1</v>
      </c>
      <c r="P10" s="10">
        <f t="shared" si="0"/>
        <v>1</v>
      </c>
      <c r="Q10" s="10">
        <f t="shared" si="0"/>
        <v>1</v>
      </c>
      <c r="R10" s="10">
        <f t="shared" si="0"/>
        <v>1</v>
      </c>
      <c r="S10" s="10">
        <f t="shared" si="0"/>
        <v>1</v>
      </c>
      <c r="T10" s="10">
        <f t="shared" si="0"/>
        <v>1</v>
      </c>
      <c r="U10" s="10">
        <f t="shared" si="0"/>
        <v>1</v>
      </c>
      <c r="V10" s="10">
        <f t="shared" si="0"/>
        <v>1</v>
      </c>
      <c r="W10" s="10">
        <f>AVERAGE(W2:W7)</f>
        <v>1.0</v>
      </c>
      <c r="X10" s="10">
        <f>AVERAGE(X2:X7)</f>
        <v>1.0</v>
      </c>
      <c r="Y10" s="10">
        <f>AVERAGE(Y2:Y7)</f>
        <v>1.0</v>
      </c>
      <c r="Z10" s="10">
        <f>AVERAGE(Z2:Z7)</f>
        <v>1.0</v>
      </c>
      <c r="AA10" s="10">
        <f>AVERAGE(AA2:AA7)</f>
        <v>1.0</v>
      </c>
      <c r="AB10" s="10">
        <f>AVERAGE(AB2:AB7)</f>
        <v>1.0</v>
      </c>
      <c r="AC10" s="10">
        <f>AVERAGE(AC2:AC7)</f>
        <v>1.0</v>
      </c>
      <c r="AD10" s="10">
        <f>AVERAGE(AD2:AD7)</f>
        <v>1.0</v>
      </c>
      <c r="AE10" s="10">
        <f>AVERAGE(AE2:AE7)</f>
        <v>1.0</v>
      </c>
      <c r="AF10" s="10">
        <f>AVERAGE(AF2:AF7)</f>
        <v>1.0</v>
      </c>
      <c r="AG10" s="10">
        <f>AVERAGE(AG2:AG7)</f>
        <v>1.0</v>
      </c>
      <c r="AH10" s="10">
        <f>AVERAGE(AH2:AH7)</f>
        <v>1.0</v>
      </c>
      <c r="AI10" s="10">
        <f>AVERAGE(AI2:AI7)</f>
        <v>1.0</v>
      </c>
      <c r="AJ10" s="10">
        <f>AVERAGE(AJ2:AJ7)</f>
        <v>1.0</v>
      </c>
      <c r="AK10" s="10">
        <f>AVERAGE(AK2:AK7)</f>
        <v>1.0</v>
      </c>
      <c r="AL10" s="10">
        <f>AVERAGE(AL2:AL7)</f>
        <v>1.0</v>
      </c>
      <c r="AM10" s="10">
        <f>AVERAGE(AM2:AM7)</f>
        <v>1.0</v>
      </c>
      <c r="AN10" s="10">
        <f>AVERAGE(AN2:AN7)</f>
        <v>1.0</v>
      </c>
      <c r="AO10" s="10">
        <f>AVERAGE(AO2:AO7)</f>
        <v>1.0</v>
      </c>
      <c r="AP10" s="10">
        <f>AVERAGE(AP2:AP7)</f>
        <v>1.0</v>
      </c>
      <c r="AQ10" s="10">
        <f>AVERAGE(AQ2:AQ7)</f>
        <v>1.0</v>
      </c>
      <c r="AR10" s="10">
        <f>AVERAGE(AR2:AR7)</f>
        <v>1.0</v>
      </c>
      <c r="AS10" s="10">
        <f>AVERAGE(AS2:AS7)</f>
        <v>1.0</v>
      </c>
      <c r="AT10" s="10">
        <f>AVERAGE(AT2:AT7)</f>
        <v>1.0</v>
      </c>
      <c r="AU10" s="10">
        <f>AVERAGE(AU2:AU7)</f>
        <v>1.0</v>
      </c>
      <c r="AV10" s="10">
        <f>AVERAGE(AV2:AV7)</f>
        <v>1.0</v>
      </c>
      <c r="AW10" s="10">
        <f>AVERAGE(AW2:AW7)</f>
        <v>1.0</v>
      </c>
      <c r="AX10" s="10">
        <f>AVERAGE(AX2:AX7)</f>
        <v>1.0</v>
      </c>
      <c r="AY10" s="10">
        <f>AVERAGE(AY2:AY7)</f>
        <v>1.0</v>
      </c>
      <c r="AZ10" s="10">
        <f>AVERAGE(AZ2:AZ7)</f>
        <v>1.0</v>
      </c>
      <c r="BA10" s="10">
        <f>AVERAGE(BA2:BA7)</f>
        <v>1.0</v>
      </c>
      <c r="BB10" s="10">
        <f>AVERAGE(BB2:BB7)</f>
        <v>1.0</v>
      </c>
      <c r="BC10" s="10">
        <f>AVERAGE(BC2:BC7)</f>
        <v>1.0</v>
      </c>
      <c r="BD10" s="10">
        <f>AVERAGE(BD2:BD7)</f>
        <v>1.0</v>
      </c>
      <c r="BE10" s="10">
        <f>AVERAGE(BE2:BE7)</f>
        <v>1.0</v>
      </c>
      <c r="BF10" s="10">
        <f>AVERAGE(BF2:BF7)</f>
        <v>1.0</v>
      </c>
      <c r="BG10" s="10">
        <f>AVERAGE(BG2:BG7)</f>
        <v>1.0</v>
      </c>
      <c r="BH10" s="10">
        <f>AVERAGE(BH2:BH7)</f>
        <v>1.0</v>
      </c>
      <c r="BI10" s="10">
        <f>AVERAGE(BI2:BI7)</f>
        <v>1.0</v>
      </c>
      <c r="BJ10" s="10">
        <f>AVERAGE(BJ2:BJ7)</f>
        <v>1.0</v>
      </c>
      <c r="BK10" s="10">
        <f>AVERAGE(BK2:BK7)</f>
        <v>1.0</v>
      </c>
      <c r="BL10" s="10">
        <f>AVERAGE(BL2:BL7)</f>
        <v>1.0</v>
      </c>
      <c r="BM10" s="10">
        <f>AVERAGE(BM2:BM7)</f>
        <v>1.0</v>
      </c>
      <c r="BN10" s="10">
        <f>AVERAGE(BN2:BN7)</f>
        <v>1.0</v>
      </c>
      <c r="BO10" s="10">
        <f>AVERAGE(BO2:BO7)</f>
        <v>1.0</v>
      </c>
      <c r="BP10" s="10">
        <f>AVERAGE(BP2:BP7)</f>
        <v>1.0</v>
      </c>
      <c r="BQ10" s="10">
        <f>AVERAGE(BQ2:BQ7)</f>
        <v>1.0</v>
      </c>
      <c r="BR10" s="10">
        <f>AVERAGE(BR2:BR7)</f>
        <v>1.0</v>
      </c>
      <c r="BS10" s="10">
        <f>AVERAGE(BS2:BS7)</f>
        <v>1.0</v>
      </c>
      <c r="BT10" s="10">
        <f>AVERAGE(BT2:BT7)</f>
        <v>1.0</v>
      </c>
      <c r="BU10" s="10">
        <f>AVERAGE(BU2:BU7)</f>
        <v>1.0</v>
      </c>
      <c r="BV10" s="10">
        <f>AVERAGE(BV2:BV7)</f>
        <v>1.0</v>
      </c>
      <c r="BW10" s="10">
        <f>AVERAGE(BW2:BW7)</f>
        <v>1.0</v>
      </c>
      <c r="BX10" s="10">
        <f>AVERAGE(BX2:BX7)</f>
        <v>1.0</v>
      </c>
      <c r="BY10" s="10">
        <f>AVERAGE(BY2:BY7)</f>
        <v>1.0</v>
      </c>
      <c r="BZ10" s="10">
        <f>AVERAGE(BZ2:BZ7)</f>
        <v>1.0</v>
      </c>
      <c r="CA10" s="10">
        <f>AVERAGE(CA2:CA7)</f>
        <v>1.0</v>
      </c>
      <c r="CB10" s="10">
        <f>AVERAGE(CB2:CB7)</f>
        <v>1.0</v>
      </c>
      <c r="CC10" s="10">
        <f>AVERAGE(CC2:CC7)</f>
        <v>1.0</v>
      </c>
      <c r="CD10" s="10">
        <f>AVERAGE(CD2:CD7)</f>
        <v>1.0</v>
      </c>
      <c r="CE10" s="10">
        <f>AVERAGE(CE2:CE7)</f>
        <v>1.0</v>
      </c>
      <c r="CF10" s="10">
        <f>AVERAGE(CF2:CF7)</f>
        <v>1.0</v>
      </c>
      <c r="CG10" s="10">
        <f>AVERAGE(CG2:CG7)</f>
        <v>1.0</v>
      </c>
      <c r="CH10" s="10">
        <f>AVERAGE(CH2:CH7)</f>
        <v>1.0</v>
      </c>
      <c r="CI10" s="10">
        <f>AVERAGE(CI2:CI7)</f>
        <v>1.0</v>
      </c>
      <c r="CJ10" s="10">
        <f>AVERAGE(CJ2:CJ7)</f>
        <v>1.0</v>
      </c>
      <c r="CK10" s="10">
        <f>AVERAGE(CK2:CK7)</f>
        <v>1.0</v>
      </c>
      <c r="CL10" s="10">
        <f>AVERAGE(CL2:CL7)</f>
        <v>1.0</v>
      </c>
      <c r="CM10" s="10">
        <f>AVERAGE(CM2:CM7)</f>
        <v>1.0</v>
      </c>
      <c r="CN10" s="10">
        <f>AVERAGE(CN2:CN7)</f>
        <v>1.0</v>
      </c>
      <c r="CO10" s="10">
        <f>AVERAGE(CO2:CO7)</f>
        <v>1.0</v>
      </c>
      <c r="CP10" s="10">
        <f>AVERAGE(CP2:CP7)</f>
        <v>1.0</v>
      </c>
      <c r="CQ10" s="10">
        <f>AVERAGE(CQ2:CQ7)</f>
        <v>1.0</v>
      </c>
      <c r="CR10" s="10">
        <f>AVERAGE(CR2:CR7)</f>
        <v>1.0</v>
      </c>
      <c r="CS10" s="10">
        <f>AVERAGE(CS2:CS7)</f>
        <v>1.0</v>
      </c>
      <c r="CT10" s="10">
        <f>AVERAGE(CT2:CT7)</f>
        <v>1.0</v>
      </c>
      <c r="CU10" s="10">
        <f>AVERAGE(CU2:CU7)</f>
        <v>1.0</v>
      </c>
    </row>
    <row r="14" spans="1:26">
      <c r="A14" s="60"/>
      <c r="B14" s="65"/>
      <c r="C14" s="65"/>
      <c r="D14" s="65"/>
      <c r="E14" s="65"/>
      <c r="F14" s="65"/>
      <c r="G14" s="65"/>
      <c r="H14" s="65"/>
      <c r="I14" s="65"/>
      <c r="J14" s="65"/>
      <c r="K14" s="65"/>
      <c r="L14" s="65"/>
      <c r="M14" s="65"/>
      <c r="N14" s="65"/>
      <c r="O14" s="65"/>
      <c r="P14" s="65"/>
      <c r="Q14" s="65"/>
      <c r="R14" s="65"/>
      <c r="S14" s="65"/>
      <c r="T14" s="65"/>
      <c r="U14" s="65"/>
      <c r="V14" s="65"/>
    </row>
    <row r="15" spans="1:26">
      <c r="A15" s="66"/>
      <c r="B15" s="64"/>
      <c r="C15" s="64"/>
      <c r="D15" s="64"/>
      <c r="E15" s="64"/>
      <c r="F15" s="64"/>
      <c r="G15" s="64"/>
      <c r="H15" s="64"/>
      <c r="I15" s="64"/>
      <c r="J15" s="64"/>
      <c r="K15" s="64"/>
      <c r="L15" s="64"/>
      <c r="M15" s="64"/>
      <c r="N15" s="64"/>
      <c r="O15" s="64"/>
      <c r="P15" s="64"/>
      <c r="Q15" s="64"/>
      <c r="R15" s="64"/>
      <c r="S15" s="64"/>
      <c r="T15" s="64"/>
      <c r="U15" s="64"/>
      <c r="V15" s="64"/>
    </row>
    <row r="16" spans="1:26">
      <c r="A16" s="66"/>
      <c r="B16" s="64"/>
      <c r="C16" s="64"/>
      <c r="D16" s="64"/>
      <c r="E16" s="64"/>
      <c r="F16" s="64"/>
      <c r="G16" s="64"/>
      <c r="H16" s="64"/>
      <c r="I16" s="64"/>
      <c r="J16" s="64"/>
      <c r="K16" s="64"/>
      <c r="L16" s="64"/>
      <c r="M16" s="64"/>
      <c r="N16" s="64"/>
      <c r="O16" s="64"/>
      <c r="P16" s="64"/>
      <c r="Q16" s="64"/>
      <c r="R16" s="64"/>
      <c r="S16" s="64"/>
      <c r="T16" s="64"/>
      <c r="U16" s="64"/>
      <c r="V16" s="64"/>
    </row>
    <row r="17" spans="1:22">
      <c r="A17" s="66"/>
      <c r="B17" s="64"/>
      <c r="C17" s="64"/>
      <c r="D17" s="64"/>
      <c r="E17" s="64"/>
      <c r="F17" s="64"/>
      <c r="G17" s="64"/>
      <c r="H17" s="64"/>
      <c r="I17" s="64"/>
      <c r="J17" s="64"/>
      <c r="K17" s="64"/>
      <c r="L17" s="64"/>
      <c r="M17" s="64"/>
      <c r="N17" s="64"/>
      <c r="O17" s="64"/>
      <c r="P17" s="64"/>
      <c r="Q17" s="64"/>
      <c r="R17" s="64"/>
      <c r="S17" s="64"/>
      <c r="T17" s="64"/>
      <c r="U17" s="64"/>
      <c r="V17" s="64"/>
    </row>
    <row r="18" spans="1:22">
      <c r="A18" s="66"/>
      <c r="B18" s="64"/>
      <c r="C18" s="64"/>
      <c r="D18" s="64"/>
      <c r="E18" s="64"/>
      <c r="F18" s="64"/>
      <c r="G18" s="64"/>
      <c r="H18" s="64"/>
      <c r="I18" s="64"/>
      <c r="J18" s="64"/>
      <c r="K18" s="64"/>
      <c r="L18" s="64"/>
      <c r="M18" s="64"/>
      <c r="N18" s="64"/>
      <c r="O18" s="64"/>
      <c r="P18" s="64"/>
      <c r="Q18" s="64"/>
      <c r="R18" s="64"/>
      <c r="S18" s="64"/>
      <c r="T18" s="64"/>
      <c r="U18" s="64"/>
      <c r="V18" s="64"/>
    </row>
    <row r="19" spans="1:22">
      <c r="A19" s="66"/>
      <c r="B19" s="64"/>
      <c r="C19" s="64"/>
      <c r="D19" s="64"/>
      <c r="E19" s="64"/>
      <c r="F19" s="64"/>
      <c r="G19" s="64"/>
      <c r="H19" s="64"/>
      <c r="I19" s="64"/>
      <c r="J19" s="64"/>
      <c r="K19" s="64"/>
      <c r="L19" s="64"/>
      <c r="M19" s="64"/>
      <c r="N19" s="64"/>
      <c r="O19" s="64"/>
      <c r="P19" s="64"/>
      <c r="Q19" s="64"/>
      <c r="R19" s="64"/>
      <c r="S19" s="64"/>
      <c r="T19" s="64"/>
      <c r="U19" s="64"/>
      <c r="V19" s="64"/>
    </row>
    <row r="20" spans="1:22">
      <c r="A20" s="66"/>
      <c r="B20" s="64"/>
      <c r="C20" s="64"/>
      <c r="D20" s="64"/>
      <c r="E20" s="64"/>
      <c r="F20" s="64"/>
      <c r="G20" s="64"/>
      <c r="H20" s="64"/>
      <c r="I20" s="64"/>
      <c r="J20" s="64"/>
      <c r="K20" s="64"/>
      <c r="L20" s="64"/>
      <c r="M20" s="64"/>
      <c r="N20" s="64"/>
      <c r="O20" s="64"/>
      <c r="P20" s="64"/>
      <c r="Q20" s="64"/>
      <c r="R20" s="64"/>
      <c r="S20" s="64"/>
      <c r="T20" s="64"/>
      <c r="U20" s="64"/>
      <c r="V20" s="64"/>
    </row>
    <row r="21" spans="1:22">
      <c r="B21" s="61"/>
    </row>
    <row r="23" spans="1:22">
      <c r="A23" s="60"/>
      <c r="B23" s="65"/>
      <c r="C23" s="65"/>
      <c r="D23" s="65"/>
      <c r="E23" s="65"/>
      <c r="F23" s="65"/>
      <c r="G23" s="65"/>
      <c r="H23" s="65"/>
      <c r="I23" s="65"/>
      <c r="J23" s="65"/>
      <c r="K23" s="65"/>
      <c r="L23" s="65"/>
      <c r="M23" s="65"/>
      <c r="N23" s="65"/>
      <c r="O23" s="65"/>
      <c r="P23" s="65"/>
      <c r="Q23" s="65"/>
      <c r="R23" s="65"/>
      <c r="S23" s="65"/>
      <c r="T23" s="65"/>
      <c r="U23" s="65"/>
      <c r="V23" s="65"/>
    </row>
    <row r="24" spans="1:22">
      <c r="A24" s="66"/>
      <c r="B24" s="64"/>
      <c r="C24" s="64"/>
      <c r="D24" s="64"/>
      <c r="E24" s="64"/>
      <c r="F24" s="64"/>
      <c r="G24" s="64"/>
      <c r="H24" s="64"/>
      <c r="I24" s="64"/>
      <c r="J24" s="64"/>
      <c r="K24" s="64"/>
      <c r="L24" s="64"/>
      <c r="M24" s="64"/>
      <c r="N24" s="64"/>
      <c r="O24" s="64"/>
      <c r="P24" s="64"/>
      <c r="Q24" s="64"/>
      <c r="R24" s="64"/>
      <c r="S24" s="64"/>
      <c r="T24" s="64"/>
      <c r="U24" s="64"/>
      <c r="V24" s="64"/>
    </row>
    <row r="25" spans="1:22">
      <c r="A25" s="66"/>
      <c r="B25" s="64"/>
      <c r="C25" s="64"/>
      <c r="D25" s="64"/>
      <c r="E25" s="64"/>
      <c r="F25" s="64"/>
      <c r="G25" s="64"/>
      <c r="H25" s="64"/>
      <c r="I25" s="64"/>
      <c r="J25" s="64"/>
      <c r="K25" s="64"/>
      <c r="L25" s="64"/>
      <c r="M25" s="64"/>
      <c r="N25" s="64"/>
      <c r="O25" s="64"/>
      <c r="P25" s="64"/>
      <c r="Q25" s="64"/>
      <c r="R25" s="64"/>
      <c r="S25" s="64"/>
      <c r="T25" s="65"/>
      <c r="U25" s="64"/>
      <c r="V25" s="64"/>
    </row>
    <row r="26" spans="1:22">
      <c r="A26" s="66"/>
      <c r="B26" s="64"/>
      <c r="C26" s="65"/>
      <c r="D26" s="64"/>
      <c r="E26" s="65"/>
      <c r="F26" s="64"/>
      <c r="G26" s="65"/>
      <c r="H26" s="64"/>
      <c r="I26" s="64"/>
      <c r="J26" s="64"/>
      <c r="K26" s="64"/>
      <c r="L26" s="64"/>
      <c r="M26" s="64"/>
      <c r="N26" s="64"/>
      <c r="O26" s="65"/>
      <c r="P26" s="64"/>
      <c r="Q26" s="64"/>
      <c r="R26" s="64"/>
      <c r="S26" s="64"/>
      <c r="T26" s="64"/>
      <c r="U26" s="65"/>
      <c r="V26" s="64"/>
    </row>
    <row r="27" spans="1:22">
      <c r="A27" s="66"/>
      <c r="B27" s="64"/>
      <c r="C27" s="64"/>
      <c r="D27" s="64"/>
      <c r="E27" s="64"/>
      <c r="F27" s="64"/>
      <c r="G27" s="64"/>
      <c r="H27" s="64"/>
      <c r="I27" s="64"/>
      <c r="J27" s="64"/>
      <c r="K27" s="64"/>
      <c r="L27" s="65"/>
      <c r="M27" s="65"/>
      <c r="N27" s="64"/>
      <c r="O27" s="64"/>
      <c r="P27" s="65"/>
      <c r="Q27" s="65"/>
      <c r="R27" s="65"/>
      <c r="S27" s="65"/>
      <c r="T27" s="64"/>
      <c r="U27" s="64"/>
      <c r="V27" s="64"/>
    </row>
    <row r="28" spans="1:22">
      <c r="A28" s="66"/>
      <c r="B28" s="64"/>
      <c r="C28" s="64"/>
      <c r="D28" s="65"/>
      <c r="E28" s="64"/>
      <c r="F28" s="64"/>
      <c r="G28" s="64"/>
      <c r="H28" s="64"/>
      <c r="I28" s="65"/>
      <c r="J28" s="64"/>
      <c r="K28" s="64"/>
      <c r="L28" s="64"/>
      <c r="M28" s="64"/>
      <c r="N28" s="64"/>
      <c r="O28" s="64"/>
      <c r="P28" s="64"/>
      <c r="Q28" s="64"/>
      <c r="R28" s="64"/>
      <c r="S28" s="64"/>
      <c r="T28" s="64"/>
      <c r="U28" s="64"/>
      <c r="V28" s="64"/>
    </row>
    <row r="29" spans="1:22">
      <c r="A29" s="66"/>
      <c r="B29" s="64"/>
      <c r="C29" s="64"/>
      <c r="D29" s="64"/>
      <c r="E29" s="64"/>
      <c r="F29" s="64"/>
      <c r="G29" s="64"/>
      <c r="H29" s="64"/>
      <c r="I29" s="64"/>
      <c r="J29" s="64"/>
      <c r="K29" s="64"/>
      <c r="L29" s="64"/>
      <c r="M29" s="64"/>
      <c r="N29" s="64"/>
      <c r="O29" s="64"/>
      <c r="P29" s="64"/>
      <c r="Q29" s="65"/>
      <c r="R29" s="64"/>
      <c r="S29" s="64"/>
      <c r="T29" s="64"/>
      <c r="U29" s="65"/>
      <c r="V29" s="64"/>
    </row>
  </sheetData>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T55"/>
  <sheetViews>
    <sheetView workbookViewId="0">
      <selection activeCell="L22" sqref="L22"/>
    </sheetView>
  </sheetViews>
  <sheetFormatPr defaultRowHeight="15"/>
  <cols>
    <col min="2" max="2" width="15.85546875" customWidth="1"/>
    <col min="16" max="16" width="40" customWidth="1"/>
    <col min="18" max="18" width="38.85546875" customWidth="1"/>
  </cols>
  <sheetData>
    <row r="1" spans="1:20">
      <c r="A1" t="s">
        <v>0</v>
      </c>
      <c r="B1" t="s">
        <v>1</v>
      </c>
      <c r="C1" t="s">
        <v>938</v>
      </c>
      <c r="D1" t="s">
        <v>570</v>
      </c>
      <c r="E1" t="s">
        <v>939</v>
      </c>
      <c r="F1" t="s">
        <v>569</v>
      </c>
      <c r="G1" t="s">
        <v>940</v>
      </c>
      <c r="H1" t="s">
        <v>941</v>
      </c>
      <c r="I1" t="s">
        <v>942</v>
      </c>
      <c r="J1" t="s">
        <v>943</v>
      </c>
      <c r="K1" t="s">
        <v>944</v>
      </c>
      <c r="L1" t="s">
        <v>945</v>
      </c>
      <c r="M1" t="s">
        <v>946</v>
      </c>
      <c r="N1" t="s">
        <v>947</v>
      </c>
      <c r="O1" t="s">
        <v>948</v>
      </c>
      <c r="P1" t="s">
        <v>949</v>
      </c>
      <c r="Q1" t="s">
        <v>950</v>
      </c>
      <c r="R1" t="s">
        <v>951</v>
      </c>
      <c r="S1" t="s">
        <v>952</v>
      </c>
      <c r="T1" t="s">
        <v>953</v>
      </c>
    </row>
    <row r="2" spans="1:20">
      <c r="A2" t="s">
        <v>14</v>
      </c>
      <c r="B2" t="s">
        <v>15</v>
      </c>
      <c r="C2" t="s">
        <v>1012</v>
      </c>
      <c r="D2" t="s">
        <v>1013</v>
      </c>
      <c r="E2" t="s">
        <v>16</v>
      </c>
      <c r="F2" t="s">
        <v>573</v>
      </c>
      <c r="G2">
        <v>10</v>
      </c>
      <c r="H2" t="s">
        <v>961</v>
      </c>
      <c r="I2">
        <v>2</v>
      </c>
      <c r="J2">
        <v>4</v>
      </c>
      <c r="K2">
        <v>0</v>
      </c>
      <c r="L2">
        <v>0</v>
      </c>
      <c r="M2">
        <v>0</v>
      </c>
      <c r="N2">
        <v>0</v>
      </c>
      <c r="O2" t="s">
        <v>957</v>
      </c>
      <c r="P2" t="s">
        <v>1014</v>
      </c>
      <c r="Q2">
        <v>2</v>
      </c>
    </row>
    <row r="3" spans="1:20">
      <c r="A3" t="s">
        <v>22</v>
      </c>
      <c r="B3" t="s">
        <v>23</v>
      </c>
      <c r="C3" t="s">
        <v>954</v>
      </c>
      <c r="D3" t="s">
        <v>955</v>
      </c>
      <c r="E3" t="s">
        <v>16</v>
      </c>
      <c r="F3" t="s">
        <v>573</v>
      </c>
      <c r="G3">
        <v>5</v>
      </c>
      <c r="H3" t="s">
        <v>956</v>
      </c>
      <c r="I3">
        <v>1</v>
      </c>
      <c r="J3">
        <v>1</v>
      </c>
      <c r="K3">
        <v>0</v>
      </c>
      <c r="L3">
        <v>4</v>
      </c>
      <c r="M3">
        <v>0</v>
      </c>
      <c r="N3">
        <v>0</v>
      </c>
      <c r="O3" t="s">
        <v>957</v>
      </c>
      <c r="P3" t="s">
        <v>958</v>
      </c>
      <c r="Q3">
        <v>0</v>
      </c>
    </row>
    <row r="4" spans="1:20">
      <c r="A4" t="s">
        <v>29</v>
      </c>
      <c r="B4" t="s">
        <v>30</v>
      </c>
      <c r="C4" t="s">
        <v>1015</v>
      </c>
      <c r="D4" t="s">
        <v>1016</v>
      </c>
      <c r="E4" t="s">
        <v>16</v>
      </c>
      <c r="F4" t="s">
        <v>573</v>
      </c>
      <c r="G4">
        <v>10</v>
      </c>
      <c r="H4" t="s">
        <v>961</v>
      </c>
      <c r="I4">
        <v>3</v>
      </c>
      <c r="J4">
        <v>2</v>
      </c>
      <c r="K4">
        <v>0</v>
      </c>
      <c r="L4">
        <v>0</v>
      </c>
      <c r="M4">
        <v>0</v>
      </c>
      <c r="N4">
        <v>-2</v>
      </c>
      <c r="O4" t="s">
        <v>957</v>
      </c>
      <c r="P4" t="s">
        <v>1017</v>
      </c>
      <c r="Q4">
        <v>2</v>
      </c>
    </row>
    <row r="5" spans="1:20">
      <c r="A5" t="s">
        <v>36</v>
      </c>
      <c r="B5" t="s">
        <v>37</v>
      </c>
      <c r="C5" t="s">
        <v>1117</v>
      </c>
      <c r="D5" t="s">
        <v>1118</v>
      </c>
      <c r="E5" t="s">
        <v>16</v>
      </c>
      <c r="F5" t="s">
        <v>573</v>
      </c>
      <c r="G5">
        <v>15</v>
      </c>
      <c r="H5" t="s">
        <v>961</v>
      </c>
      <c r="I5">
        <v>3</v>
      </c>
      <c r="J5">
        <v>6</v>
      </c>
      <c r="K5">
        <v>0</v>
      </c>
      <c r="L5">
        <v>0</v>
      </c>
      <c r="M5">
        <v>0</v>
      </c>
      <c r="N5">
        <v>0</v>
      </c>
      <c r="O5" t="s">
        <v>975</v>
      </c>
      <c r="P5" t="s">
        <v>1119</v>
      </c>
      <c r="Q5">
        <v>3</v>
      </c>
      <c r="R5" t="s">
        <v>1120</v>
      </c>
      <c r="S5">
        <v>2</v>
      </c>
      <c r="T5" t="s">
        <v>1121</v>
      </c>
    </row>
    <row r="6" spans="1:20">
      <c r="A6" t="s">
        <v>78</v>
      </c>
      <c r="B6" t="s">
        <v>79</v>
      </c>
      <c r="C6" t="s">
        <v>959</v>
      </c>
      <c r="D6" t="s">
        <v>960</v>
      </c>
      <c r="E6" t="s">
        <v>80</v>
      </c>
      <c r="F6" t="s">
        <v>577</v>
      </c>
      <c r="G6">
        <v>5</v>
      </c>
      <c r="H6" t="s">
        <v>961</v>
      </c>
      <c r="I6">
        <v>2</v>
      </c>
      <c r="J6">
        <v>5</v>
      </c>
      <c r="K6">
        <v>0</v>
      </c>
      <c r="L6">
        <v>0</v>
      </c>
      <c r="M6">
        <v>0</v>
      </c>
      <c r="N6">
        <v>1</v>
      </c>
      <c r="O6" t="s">
        <v>957</v>
      </c>
      <c r="P6" t="s">
        <v>962</v>
      </c>
      <c r="Q6">
        <v>0</v>
      </c>
    </row>
    <row r="7" spans="1:20">
      <c r="A7" t="s">
        <v>86</v>
      </c>
      <c r="B7" t="s">
        <v>87</v>
      </c>
      <c r="C7" t="s">
        <v>1018</v>
      </c>
      <c r="D7" t="s">
        <v>1019</v>
      </c>
      <c r="E7" t="s">
        <v>80</v>
      </c>
      <c r="F7" t="s">
        <v>577</v>
      </c>
      <c r="G7">
        <v>10</v>
      </c>
      <c r="H7" t="s">
        <v>961</v>
      </c>
      <c r="I7">
        <v>2</v>
      </c>
      <c r="J7">
        <v>4</v>
      </c>
      <c r="K7">
        <v>0</v>
      </c>
      <c r="L7">
        <v>0</v>
      </c>
      <c r="M7">
        <v>0</v>
      </c>
      <c r="N7">
        <v>0</v>
      </c>
      <c r="O7" t="s">
        <v>975</v>
      </c>
      <c r="P7" t="s">
        <v>1020</v>
      </c>
      <c r="Q7">
        <v>2</v>
      </c>
      <c r="R7" t="s">
        <v>1021</v>
      </c>
      <c r="T7" t="s">
        <v>1022</v>
      </c>
    </row>
    <row r="8" spans="1:20">
      <c r="A8" t="s">
        <v>93</v>
      </c>
      <c r="B8" t="s">
        <v>94</v>
      </c>
      <c r="C8" t="s">
        <v>983</v>
      </c>
      <c r="D8" t="s">
        <v>984</v>
      </c>
      <c r="E8" t="s">
        <v>80</v>
      </c>
      <c r="F8" t="s">
        <v>577</v>
      </c>
      <c r="G8">
        <v>5</v>
      </c>
      <c r="H8" t="s">
        <v>961</v>
      </c>
      <c r="I8">
        <v>1</v>
      </c>
      <c r="J8">
        <v>1</v>
      </c>
      <c r="K8">
        <v>0</v>
      </c>
      <c r="L8">
        <v>0</v>
      </c>
      <c r="M8">
        <v>1</v>
      </c>
      <c r="N8">
        <v>0</v>
      </c>
      <c r="O8" t="s">
        <v>957</v>
      </c>
      <c r="P8" t="s">
        <v>985</v>
      </c>
      <c r="Q8">
        <v>1</v>
      </c>
    </row>
    <row r="9" spans="1:20">
      <c r="A9" t="s">
        <v>100</v>
      </c>
      <c r="B9" t="s">
        <v>101</v>
      </c>
      <c r="C9" t="s">
        <v>1122</v>
      </c>
      <c r="D9" t="s">
        <v>1123</v>
      </c>
      <c r="E9" t="s">
        <v>80</v>
      </c>
      <c r="F9" t="s">
        <v>577</v>
      </c>
      <c r="G9">
        <v>15</v>
      </c>
      <c r="H9" t="s">
        <v>961</v>
      </c>
      <c r="I9">
        <v>3</v>
      </c>
      <c r="J9">
        <v>9</v>
      </c>
      <c r="K9">
        <v>0</v>
      </c>
      <c r="L9">
        <v>0</v>
      </c>
      <c r="M9">
        <v>0</v>
      </c>
      <c r="N9">
        <v>2</v>
      </c>
      <c r="O9" t="s">
        <v>957</v>
      </c>
      <c r="P9" t="s">
        <v>1124</v>
      </c>
      <c r="Q9">
        <v>3</v>
      </c>
    </row>
    <row r="10" spans="1:20">
      <c r="A10" t="s">
        <v>142</v>
      </c>
      <c r="B10" t="s">
        <v>143</v>
      </c>
      <c r="C10" t="s">
        <v>963</v>
      </c>
      <c r="D10" t="s">
        <v>964</v>
      </c>
      <c r="E10" t="s">
        <v>144</v>
      </c>
      <c r="F10" t="s">
        <v>581</v>
      </c>
      <c r="G10">
        <v>5</v>
      </c>
      <c r="H10" t="s">
        <v>961</v>
      </c>
      <c r="I10">
        <v>2</v>
      </c>
      <c r="J10">
        <v>4</v>
      </c>
      <c r="K10">
        <v>0</v>
      </c>
      <c r="L10">
        <v>0</v>
      </c>
      <c r="M10">
        <v>0</v>
      </c>
      <c r="N10">
        <v>0</v>
      </c>
      <c r="O10" t="s">
        <v>965</v>
      </c>
      <c r="P10" t="s">
        <v>966</v>
      </c>
      <c r="Q10">
        <v>0</v>
      </c>
      <c r="R10" t="s">
        <v>967</v>
      </c>
      <c r="S10">
        <v>2</v>
      </c>
      <c r="T10" t="s">
        <v>968</v>
      </c>
    </row>
    <row r="11" spans="1:20">
      <c r="A11" t="s">
        <v>150</v>
      </c>
      <c r="B11" t="s">
        <v>151</v>
      </c>
      <c r="C11" t="s">
        <v>1023</v>
      </c>
      <c r="D11" t="s">
        <v>1024</v>
      </c>
      <c r="E11" t="s">
        <v>144</v>
      </c>
      <c r="F11" t="s">
        <v>581</v>
      </c>
      <c r="G11">
        <v>10</v>
      </c>
      <c r="H11" t="s">
        <v>961</v>
      </c>
      <c r="I11">
        <v>2</v>
      </c>
      <c r="J11">
        <v>4</v>
      </c>
      <c r="K11">
        <v>0</v>
      </c>
      <c r="L11">
        <v>0</v>
      </c>
      <c r="M11">
        <v>0</v>
      </c>
      <c r="N11">
        <v>0</v>
      </c>
      <c r="O11" t="s">
        <v>975</v>
      </c>
      <c r="P11" t="s">
        <v>1025</v>
      </c>
      <c r="Q11">
        <v>2</v>
      </c>
      <c r="R11" t="s">
        <v>967</v>
      </c>
      <c r="S11">
        <v>2</v>
      </c>
      <c r="T11" t="s">
        <v>1026</v>
      </c>
    </row>
    <row r="12" spans="1:20">
      <c r="A12" t="s">
        <v>157</v>
      </c>
      <c r="B12" t="s">
        <v>158</v>
      </c>
      <c r="C12" t="s">
        <v>1027</v>
      </c>
      <c r="D12" t="s">
        <v>1028</v>
      </c>
      <c r="E12" t="s">
        <v>144</v>
      </c>
      <c r="F12" t="s">
        <v>581</v>
      </c>
      <c r="G12">
        <v>10</v>
      </c>
      <c r="H12" t="s">
        <v>1029</v>
      </c>
      <c r="I12">
        <v>1</v>
      </c>
      <c r="J12">
        <v>0</v>
      </c>
      <c r="K12">
        <v>0</v>
      </c>
      <c r="L12">
        <v>0</v>
      </c>
      <c r="M12">
        <v>0</v>
      </c>
      <c r="N12">
        <v>0</v>
      </c>
      <c r="O12" t="s">
        <v>957</v>
      </c>
      <c r="P12" t="s">
        <v>5143</v>
      </c>
      <c r="Q12">
        <v>2</v>
      </c>
      <c r="R12" t="s">
        <v>1030</v>
      </c>
      <c r="S12">
        <v>2</v>
      </c>
      <c r="T12" t="s">
        <v>1031</v>
      </c>
    </row>
    <row r="13" spans="1:20">
      <c r="A13" t="s">
        <v>164</v>
      </c>
      <c r="B13" t="s">
        <v>165</v>
      </c>
      <c r="C13" t="s">
        <v>1032</v>
      </c>
      <c r="D13" t="s">
        <v>1033</v>
      </c>
      <c r="E13" t="s">
        <v>144</v>
      </c>
      <c r="F13" t="s">
        <v>581</v>
      </c>
      <c r="G13">
        <v>10</v>
      </c>
      <c r="H13" t="s">
        <v>1029</v>
      </c>
      <c r="I13">
        <v>1</v>
      </c>
      <c r="J13">
        <v>0</v>
      </c>
      <c r="K13">
        <v>0</v>
      </c>
      <c r="L13">
        <v>0</v>
      </c>
      <c r="M13">
        <v>2</v>
      </c>
      <c r="N13">
        <v>0</v>
      </c>
      <c r="O13" t="s">
        <v>957</v>
      </c>
      <c r="P13" t="s">
        <v>1034</v>
      </c>
      <c r="Q13">
        <v>2</v>
      </c>
      <c r="R13" t="s">
        <v>1035</v>
      </c>
      <c r="T13" t="s">
        <v>1036</v>
      </c>
    </row>
    <row r="14" spans="1:20">
      <c r="A14" t="s">
        <v>203</v>
      </c>
      <c r="B14" t="s">
        <v>204</v>
      </c>
      <c r="C14" t="s">
        <v>1037</v>
      </c>
      <c r="D14" t="s">
        <v>1038</v>
      </c>
      <c r="E14" t="s">
        <v>205</v>
      </c>
      <c r="F14" t="s">
        <v>585</v>
      </c>
      <c r="G14">
        <v>10</v>
      </c>
      <c r="H14" t="s">
        <v>980</v>
      </c>
      <c r="I14">
        <v>1</v>
      </c>
      <c r="J14">
        <v>0</v>
      </c>
      <c r="K14">
        <v>3</v>
      </c>
      <c r="L14">
        <v>0</v>
      </c>
      <c r="M14">
        <v>0</v>
      </c>
      <c r="N14">
        <v>0</v>
      </c>
      <c r="O14" t="s">
        <v>957</v>
      </c>
      <c r="P14" t="s">
        <v>1039</v>
      </c>
      <c r="Q14">
        <v>2</v>
      </c>
    </row>
    <row r="15" spans="1:20">
      <c r="A15" t="s">
        <v>211</v>
      </c>
      <c r="B15" t="s">
        <v>212</v>
      </c>
      <c r="C15" t="s">
        <v>969</v>
      </c>
      <c r="D15" t="s">
        <v>970</v>
      </c>
      <c r="E15" t="s">
        <v>205</v>
      </c>
      <c r="F15" t="s">
        <v>585</v>
      </c>
      <c r="G15">
        <v>5</v>
      </c>
      <c r="H15" t="s">
        <v>980</v>
      </c>
      <c r="I15">
        <v>1</v>
      </c>
      <c r="J15">
        <v>0</v>
      </c>
      <c r="K15">
        <v>1</v>
      </c>
      <c r="L15">
        <v>0</v>
      </c>
      <c r="M15">
        <v>1</v>
      </c>
      <c r="N15">
        <v>0</v>
      </c>
      <c r="O15" t="s">
        <v>971</v>
      </c>
      <c r="P15" t="s">
        <v>972</v>
      </c>
      <c r="Q15">
        <v>0</v>
      </c>
    </row>
    <row r="16" spans="1:20">
      <c r="A16" t="s">
        <v>218</v>
      </c>
      <c r="B16" t="s">
        <v>219</v>
      </c>
      <c r="C16" t="s">
        <v>1040</v>
      </c>
      <c r="D16" t="s">
        <v>1041</v>
      </c>
      <c r="E16" t="s">
        <v>205</v>
      </c>
      <c r="F16" t="s">
        <v>585</v>
      </c>
      <c r="G16">
        <v>10</v>
      </c>
      <c r="H16" t="s">
        <v>980</v>
      </c>
      <c r="I16">
        <v>2</v>
      </c>
      <c r="J16">
        <v>0</v>
      </c>
      <c r="K16">
        <v>5</v>
      </c>
      <c r="L16">
        <v>0</v>
      </c>
      <c r="M16">
        <v>0</v>
      </c>
      <c r="N16">
        <v>0</v>
      </c>
      <c r="O16" t="s">
        <v>957</v>
      </c>
      <c r="P16" t="s">
        <v>1042</v>
      </c>
      <c r="Q16">
        <v>2</v>
      </c>
      <c r="S16">
        <v>2</v>
      </c>
    </row>
    <row r="17" spans="1:20">
      <c r="A17" t="s">
        <v>225</v>
      </c>
      <c r="B17" t="s">
        <v>226</v>
      </c>
      <c r="C17" t="s">
        <v>1125</v>
      </c>
      <c r="D17" t="s">
        <v>1126</v>
      </c>
      <c r="E17" t="s">
        <v>205</v>
      </c>
      <c r="F17" t="s">
        <v>585</v>
      </c>
      <c r="G17">
        <v>15</v>
      </c>
      <c r="H17" t="s">
        <v>980</v>
      </c>
      <c r="I17">
        <v>3</v>
      </c>
      <c r="J17">
        <v>0</v>
      </c>
      <c r="K17">
        <v>6</v>
      </c>
      <c r="L17">
        <v>0</v>
      </c>
      <c r="M17">
        <v>0</v>
      </c>
      <c r="N17">
        <v>0</v>
      </c>
      <c r="O17" t="s">
        <v>971</v>
      </c>
      <c r="P17" t="s">
        <v>1127</v>
      </c>
      <c r="Q17">
        <v>3</v>
      </c>
      <c r="R17" t="s">
        <v>1088</v>
      </c>
      <c r="S17">
        <v>3</v>
      </c>
      <c r="T17" t="s">
        <v>1128</v>
      </c>
    </row>
    <row r="18" spans="1:20">
      <c r="A18" t="s">
        <v>267</v>
      </c>
      <c r="B18" t="s">
        <v>268</v>
      </c>
      <c r="C18" t="s">
        <v>986</v>
      </c>
      <c r="D18" t="s">
        <v>987</v>
      </c>
      <c r="E18" t="s">
        <v>269</v>
      </c>
      <c r="F18" t="s">
        <v>589</v>
      </c>
      <c r="G18">
        <v>5</v>
      </c>
      <c r="H18" t="s">
        <v>980</v>
      </c>
      <c r="I18">
        <v>1</v>
      </c>
      <c r="J18">
        <v>0</v>
      </c>
      <c r="K18">
        <v>3</v>
      </c>
      <c r="L18">
        <v>0</v>
      </c>
      <c r="M18">
        <v>0</v>
      </c>
      <c r="N18">
        <v>1</v>
      </c>
      <c r="O18" t="s">
        <v>957</v>
      </c>
      <c r="P18" t="s">
        <v>988</v>
      </c>
      <c r="Q18">
        <v>1</v>
      </c>
    </row>
    <row r="19" spans="1:20">
      <c r="A19" t="s">
        <v>275</v>
      </c>
      <c r="B19" t="s">
        <v>276</v>
      </c>
      <c r="C19" t="s">
        <v>1043</v>
      </c>
      <c r="D19" t="s">
        <v>1044</v>
      </c>
      <c r="E19" t="s">
        <v>269</v>
      </c>
      <c r="F19" t="s">
        <v>589</v>
      </c>
      <c r="G19">
        <v>10</v>
      </c>
      <c r="H19" t="s">
        <v>980</v>
      </c>
      <c r="I19">
        <v>2</v>
      </c>
      <c r="J19">
        <v>3</v>
      </c>
      <c r="K19">
        <v>3</v>
      </c>
      <c r="L19">
        <v>0</v>
      </c>
      <c r="M19">
        <v>0</v>
      </c>
      <c r="N19">
        <v>1</v>
      </c>
      <c r="O19" t="s">
        <v>965</v>
      </c>
      <c r="P19" t="s">
        <v>1045</v>
      </c>
      <c r="Q19">
        <v>2</v>
      </c>
      <c r="R19" t="s">
        <v>967</v>
      </c>
      <c r="S19">
        <v>2</v>
      </c>
      <c r="T19" t="s">
        <v>968</v>
      </c>
    </row>
    <row r="20" spans="1:20">
      <c r="A20" t="s">
        <v>282</v>
      </c>
      <c r="B20" t="s">
        <v>283</v>
      </c>
      <c r="C20" t="s">
        <v>973</v>
      </c>
      <c r="D20" t="s">
        <v>974</v>
      </c>
      <c r="E20" t="s">
        <v>269</v>
      </c>
      <c r="F20" t="s">
        <v>589</v>
      </c>
      <c r="G20">
        <v>5</v>
      </c>
      <c r="H20" t="s">
        <v>961</v>
      </c>
      <c r="I20">
        <v>2</v>
      </c>
      <c r="J20">
        <v>5</v>
      </c>
      <c r="K20">
        <v>2</v>
      </c>
      <c r="L20">
        <v>0</v>
      </c>
      <c r="M20">
        <v>0</v>
      </c>
      <c r="N20">
        <v>2</v>
      </c>
      <c r="O20" t="s">
        <v>975</v>
      </c>
      <c r="P20" t="s">
        <v>976</v>
      </c>
      <c r="Q20">
        <v>0</v>
      </c>
      <c r="R20" t="s">
        <v>967</v>
      </c>
      <c r="S20">
        <v>2</v>
      </c>
      <c r="T20" t="s">
        <v>977</v>
      </c>
    </row>
    <row r="21" spans="1:20">
      <c r="A21" t="s">
        <v>289</v>
      </c>
      <c r="B21" t="s">
        <v>290</v>
      </c>
      <c r="C21" t="s">
        <v>1046</v>
      </c>
      <c r="D21" t="s">
        <v>1047</v>
      </c>
      <c r="E21" t="s">
        <v>269</v>
      </c>
      <c r="F21" t="s">
        <v>589</v>
      </c>
      <c r="G21">
        <v>10</v>
      </c>
      <c r="H21" t="s">
        <v>980</v>
      </c>
      <c r="I21">
        <v>2</v>
      </c>
      <c r="J21">
        <v>0</v>
      </c>
      <c r="K21">
        <v>7</v>
      </c>
      <c r="L21">
        <v>0</v>
      </c>
      <c r="M21">
        <v>0</v>
      </c>
      <c r="N21">
        <v>2</v>
      </c>
      <c r="O21" t="s">
        <v>965</v>
      </c>
      <c r="P21" t="s">
        <v>1048</v>
      </c>
      <c r="Q21">
        <v>2</v>
      </c>
    </row>
    <row r="22" spans="1:20">
      <c r="A22" t="s">
        <v>331</v>
      </c>
      <c r="B22" t="s">
        <v>332</v>
      </c>
      <c r="C22" t="s">
        <v>1049</v>
      </c>
      <c r="D22" t="s">
        <v>1050</v>
      </c>
      <c r="E22" t="s">
        <v>333</v>
      </c>
      <c r="F22" t="s">
        <v>593</v>
      </c>
      <c r="G22">
        <v>10</v>
      </c>
      <c r="H22" t="s">
        <v>956</v>
      </c>
      <c r="I22">
        <v>0</v>
      </c>
      <c r="J22">
        <v>3</v>
      </c>
      <c r="K22">
        <v>0</v>
      </c>
      <c r="L22">
        <v>5</v>
      </c>
      <c r="M22">
        <v>0</v>
      </c>
      <c r="N22">
        <v>2</v>
      </c>
      <c r="O22" t="s">
        <v>981</v>
      </c>
      <c r="P22" t="s">
        <v>5144</v>
      </c>
      <c r="Q22">
        <v>2</v>
      </c>
    </row>
    <row r="23" spans="1:20">
      <c r="A23" t="s">
        <v>339</v>
      </c>
      <c r="B23" t="s">
        <v>340</v>
      </c>
      <c r="C23" t="s">
        <v>989</v>
      </c>
      <c r="D23" t="s">
        <v>990</v>
      </c>
      <c r="E23" t="s">
        <v>333</v>
      </c>
      <c r="F23" t="s">
        <v>593</v>
      </c>
      <c r="G23">
        <v>5</v>
      </c>
      <c r="H23" t="s">
        <v>956</v>
      </c>
      <c r="I23">
        <v>1</v>
      </c>
      <c r="J23">
        <v>0</v>
      </c>
      <c r="K23">
        <v>0</v>
      </c>
      <c r="L23">
        <v>5</v>
      </c>
      <c r="M23">
        <v>1</v>
      </c>
      <c r="N23">
        <v>2</v>
      </c>
      <c r="O23" t="s">
        <v>981</v>
      </c>
      <c r="P23" t="s">
        <v>991</v>
      </c>
      <c r="Q23">
        <v>1</v>
      </c>
    </row>
    <row r="24" spans="1:20">
      <c r="A24" t="s">
        <v>346</v>
      </c>
      <c r="B24" t="s">
        <v>347</v>
      </c>
      <c r="C24" t="s">
        <v>978</v>
      </c>
      <c r="D24" t="s">
        <v>979</v>
      </c>
      <c r="E24" t="s">
        <v>333</v>
      </c>
      <c r="F24" t="s">
        <v>593</v>
      </c>
      <c r="G24">
        <v>5</v>
      </c>
      <c r="H24" t="s">
        <v>980</v>
      </c>
      <c r="I24">
        <v>1</v>
      </c>
      <c r="J24">
        <v>2</v>
      </c>
      <c r="K24">
        <v>3</v>
      </c>
      <c r="L24">
        <v>0</v>
      </c>
      <c r="M24">
        <v>0</v>
      </c>
      <c r="N24">
        <v>1</v>
      </c>
      <c r="O24" t="s">
        <v>981</v>
      </c>
      <c r="P24" t="s">
        <v>982</v>
      </c>
      <c r="Q24">
        <v>0</v>
      </c>
    </row>
    <row r="25" spans="1:20">
      <c r="A25" t="s">
        <v>352</v>
      </c>
      <c r="B25" t="s">
        <v>353</v>
      </c>
      <c r="C25" t="s">
        <v>1051</v>
      </c>
      <c r="D25" t="s">
        <v>1052</v>
      </c>
      <c r="E25" t="s">
        <v>333</v>
      </c>
      <c r="F25" t="s">
        <v>593</v>
      </c>
      <c r="G25">
        <v>10</v>
      </c>
      <c r="H25" t="s">
        <v>961</v>
      </c>
      <c r="I25">
        <v>2</v>
      </c>
      <c r="J25">
        <v>7</v>
      </c>
      <c r="K25">
        <v>0</v>
      </c>
      <c r="L25">
        <v>0</v>
      </c>
      <c r="M25">
        <v>0</v>
      </c>
      <c r="N25">
        <v>1</v>
      </c>
      <c r="O25" t="s">
        <v>1053</v>
      </c>
      <c r="P25" t="s">
        <v>1054</v>
      </c>
      <c r="Q25">
        <v>2</v>
      </c>
      <c r="R25" t="s">
        <v>967</v>
      </c>
      <c r="S25">
        <v>3</v>
      </c>
      <c r="T25" t="s">
        <v>1055</v>
      </c>
    </row>
    <row r="26" spans="1:20">
      <c r="A26" t="s">
        <v>43</v>
      </c>
      <c r="B26" t="s">
        <v>44</v>
      </c>
      <c r="C26" t="s">
        <v>1056</v>
      </c>
      <c r="D26" t="s">
        <v>1057</v>
      </c>
      <c r="E26" t="s">
        <v>16</v>
      </c>
      <c r="F26" t="s">
        <v>573</v>
      </c>
      <c r="G26">
        <v>10</v>
      </c>
      <c r="H26" t="s">
        <v>961</v>
      </c>
      <c r="I26">
        <v>2</v>
      </c>
      <c r="J26">
        <v>5</v>
      </c>
      <c r="K26">
        <v>0</v>
      </c>
      <c r="L26">
        <v>0</v>
      </c>
      <c r="M26">
        <v>0</v>
      </c>
      <c r="N26">
        <v>0</v>
      </c>
      <c r="O26" t="s">
        <v>957</v>
      </c>
      <c r="P26" t="s">
        <v>1058</v>
      </c>
      <c r="Q26">
        <v>2</v>
      </c>
      <c r="R26" t="s">
        <v>1059</v>
      </c>
      <c r="S26">
        <v>2</v>
      </c>
      <c r="T26" t="s">
        <v>1060</v>
      </c>
    </row>
    <row r="27" spans="1:20">
      <c r="A27" t="s">
        <v>50</v>
      </c>
      <c r="B27" t="s">
        <v>51</v>
      </c>
      <c r="C27" t="s">
        <v>992</v>
      </c>
      <c r="D27" t="s">
        <v>993</v>
      </c>
      <c r="E27" t="s">
        <v>16</v>
      </c>
      <c r="F27" t="s">
        <v>573</v>
      </c>
      <c r="G27">
        <v>5</v>
      </c>
      <c r="H27" t="s">
        <v>1029</v>
      </c>
      <c r="I27">
        <v>1</v>
      </c>
      <c r="J27">
        <v>0</v>
      </c>
      <c r="K27">
        <v>0</v>
      </c>
      <c r="L27">
        <v>0</v>
      </c>
      <c r="M27">
        <v>0</v>
      </c>
      <c r="N27">
        <v>-2</v>
      </c>
      <c r="O27" t="s">
        <v>957</v>
      </c>
      <c r="P27" t="s">
        <v>994</v>
      </c>
      <c r="Q27">
        <v>1</v>
      </c>
    </row>
    <row r="28" spans="1:20">
      <c r="A28" t="s">
        <v>57</v>
      </c>
      <c r="B28" t="s">
        <v>58</v>
      </c>
      <c r="C28" t="s">
        <v>1061</v>
      </c>
      <c r="D28" t="s">
        <v>1062</v>
      </c>
      <c r="E28" t="s">
        <v>16</v>
      </c>
      <c r="F28" t="s">
        <v>573</v>
      </c>
      <c r="G28">
        <v>10</v>
      </c>
      <c r="H28" t="s">
        <v>980</v>
      </c>
      <c r="I28">
        <v>2</v>
      </c>
      <c r="J28">
        <v>3</v>
      </c>
      <c r="K28">
        <v>2</v>
      </c>
      <c r="L28">
        <v>0</v>
      </c>
      <c r="M28">
        <v>0</v>
      </c>
      <c r="N28">
        <v>0</v>
      </c>
      <c r="O28" t="s">
        <v>957</v>
      </c>
      <c r="P28" t="s">
        <v>1063</v>
      </c>
      <c r="Q28">
        <v>2</v>
      </c>
    </row>
    <row r="29" spans="1:20">
      <c r="A29" t="s">
        <v>64</v>
      </c>
      <c r="B29" t="s">
        <v>65</v>
      </c>
      <c r="C29" t="s">
        <v>995</v>
      </c>
      <c r="D29" t="s">
        <v>996</v>
      </c>
      <c r="E29" t="s">
        <v>16</v>
      </c>
      <c r="F29" t="s">
        <v>573</v>
      </c>
      <c r="G29">
        <v>5</v>
      </c>
      <c r="H29" t="s">
        <v>961</v>
      </c>
      <c r="I29">
        <v>2</v>
      </c>
      <c r="J29">
        <v>3</v>
      </c>
      <c r="K29">
        <v>0</v>
      </c>
      <c r="L29">
        <v>0</v>
      </c>
      <c r="M29">
        <v>1</v>
      </c>
      <c r="N29">
        <v>0</v>
      </c>
      <c r="O29" t="s">
        <v>975</v>
      </c>
      <c r="P29" t="s">
        <v>997</v>
      </c>
      <c r="Q29">
        <v>1</v>
      </c>
      <c r="R29" t="s">
        <v>967</v>
      </c>
      <c r="S29">
        <v>2</v>
      </c>
      <c r="T29" t="s">
        <v>977</v>
      </c>
    </row>
    <row r="30" spans="1:20">
      <c r="A30" t="s">
        <v>71</v>
      </c>
      <c r="B30" t="s">
        <v>72</v>
      </c>
      <c r="C30" t="s">
        <v>1129</v>
      </c>
      <c r="D30" t="s">
        <v>1130</v>
      </c>
      <c r="E30" t="s">
        <v>16</v>
      </c>
      <c r="F30" t="s">
        <v>573</v>
      </c>
      <c r="G30">
        <v>15</v>
      </c>
      <c r="H30" t="s">
        <v>961</v>
      </c>
      <c r="I30">
        <v>3</v>
      </c>
      <c r="J30">
        <v>6</v>
      </c>
      <c r="K30">
        <v>2</v>
      </c>
      <c r="L30">
        <v>0</v>
      </c>
      <c r="M30">
        <v>0</v>
      </c>
      <c r="N30">
        <v>0</v>
      </c>
      <c r="O30" t="s">
        <v>957</v>
      </c>
      <c r="P30" t="s">
        <v>1131</v>
      </c>
      <c r="Q30">
        <v>3</v>
      </c>
      <c r="R30" t="s">
        <v>1059</v>
      </c>
      <c r="S30">
        <v>3</v>
      </c>
      <c r="T30" t="s">
        <v>1132</v>
      </c>
    </row>
    <row r="31" spans="1:20">
      <c r="A31" t="s">
        <v>107</v>
      </c>
      <c r="B31" t="s">
        <v>108</v>
      </c>
      <c r="C31" t="s">
        <v>998</v>
      </c>
      <c r="D31" t="s">
        <v>999</v>
      </c>
      <c r="E31" t="s">
        <v>80</v>
      </c>
      <c r="F31" t="s">
        <v>577</v>
      </c>
      <c r="G31">
        <v>5</v>
      </c>
      <c r="H31" t="s">
        <v>961</v>
      </c>
      <c r="I31">
        <v>1</v>
      </c>
      <c r="J31">
        <v>4</v>
      </c>
      <c r="K31">
        <v>0</v>
      </c>
      <c r="L31">
        <v>0</v>
      </c>
      <c r="M31">
        <v>0</v>
      </c>
      <c r="N31">
        <v>1</v>
      </c>
      <c r="O31" t="s">
        <v>965</v>
      </c>
      <c r="P31" t="s">
        <v>1000</v>
      </c>
      <c r="Q31">
        <v>1</v>
      </c>
      <c r="R31" t="s">
        <v>967</v>
      </c>
      <c r="S31">
        <v>2</v>
      </c>
      <c r="T31" t="s">
        <v>968</v>
      </c>
    </row>
    <row r="32" spans="1:20">
      <c r="A32" t="s">
        <v>114</v>
      </c>
      <c r="B32" t="s">
        <v>115</v>
      </c>
      <c r="C32" t="s">
        <v>1064</v>
      </c>
      <c r="D32" t="s">
        <v>1065</v>
      </c>
      <c r="E32" t="s">
        <v>80</v>
      </c>
      <c r="F32" t="s">
        <v>577</v>
      </c>
      <c r="G32">
        <v>10</v>
      </c>
      <c r="H32" t="s">
        <v>980</v>
      </c>
      <c r="I32">
        <v>2</v>
      </c>
      <c r="J32">
        <v>1</v>
      </c>
      <c r="K32">
        <v>5</v>
      </c>
      <c r="L32">
        <v>0</v>
      </c>
      <c r="M32">
        <v>0</v>
      </c>
      <c r="N32">
        <v>2</v>
      </c>
      <c r="O32" t="s">
        <v>957</v>
      </c>
      <c r="P32" t="s">
        <v>1066</v>
      </c>
      <c r="Q32">
        <v>2</v>
      </c>
    </row>
    <row r="33" spans="1:20">
      <c r="A33" t="s">
        <v>121</v>
      </c>
      <c r="B33" t="s">
        <v>122</v>
      </c>
      <c r="C33" t="s">
        <v>1067</v>
      </c>
      <c r="D33" t="s">
        <v>1068</v>
      </c>
      <c r="E33" t="s">
        <v>80</v>
      </c>
      <c r="F33" t="s">
        <v>577</v>
      </c>
      <c r="G33">
        <v>10</v>
      </c>
      <c r="H33" t="s">
        <v>961</v>
      </c>
      <c r="I33">
        <v>2</v>
      </c>
      <c r="J33">
        <v>5</v>
      </c>
      <c r="K33">
        <v>2</v>
      </c>
      <c r="L33">
        <v>0</v>
      </c>
      <c r="M33">
        <v>0</v>
      </c>
      <c r="N33">
        <v>1</v>
      </c>
      <c r="O33" t="s">
        <v>957</v>
      </c>
      <c r="P33" t="s">
        <v>1069</v>
      </c>
      <c r="Q33">
        <v>2</v>
      </c>
    </row>
    <row r="34" spans="1:20">
      <c r="A34" t="s">
        <v>128</v>
      </c>
      <c r="B34" t="s">
        <v>129</v>
      </c>
      <c r="C34" t="s">
        <v>1001</v>
      </c>
      <c r="D34" t="s">
        <v>1002</v>
      </c>
      <c r="E34" t="s">
        <v>80</v>
      </c>
      <c r="F34" t="s">
        <v>577</v>
      </c>
      <c r="G34">
        <v>5</v>
      </c>
      <c r="H34" t="s">
        <v>961</v>
      </c>
      <c r="I34">
        <v>2</v>
      </c>
      <c r="J34">
        <v>3</v>
      </c>
      <c r="K34">
        <v>0</v>
      </c>
      <c r="L34">
        <v>0</v>
      </c>
      <c r="M34">
        <v>1</v>
      </c>
      <c r="N34">
        <v>0</v>
      </c>
      <c r="O34" t="s">
        <v>957</v>
      </c>
      <c r="P34" t="s">
        <v>1003</v>
      </c>
      <c r="Q34">
        <v>1</v>
      </c>
      <c r="R34" t="s">
        <v>1004</v>
      </c>
      <c r="S34">
        <v>3</v>
      </c>
      <c r="T34" t="s">
        <v>1005</v>
      </c>
    </row>
    <row r="35" spans="1:20">
      <c r="A35" t="s">
        <v>135</v>
      </c>
      <c r="B35" t="s">
        <v>136</v>
      </c>
      <c r="C35" t="s">
        <v>1070</v>
      </c>
      <c r="D35" t="s">
        <v>1071</v>
      </c>
      <c r="E35" t="s">
        <v>80</v>
      </c>
      <c r="F35" t="s">
        <v>577</v>
      </c>
      <c r="G35">
        <v>10</v>
      </c>
      <c r="H35" t="s">
        <v>961</v>
      </c>
      <c r="I35">
        <v>2</v>
      </c>
      <c r="J35">
        <v>7</v>
      </c>
      <c r="K35">
        <v>0</v>
      </c>
      <c r="L35">
        <v>0</v>
      </c>
      <c r="M35">
        <v>0</v>
      </c>
      <c r="N35">
        <v>1</v>
      </c>
      <c r="O35" t="s">
        <v>975</v>
      </c>
      <c r="P35" t="s">
        <v>1072</v>
      </c>
      <c r="Q35">
        <v>2</v>
      </c>
      <c r="R35" t="s">
        <v>967</v>
      </c>
      <c r="S35">
        <v>3</v>
      </c>
      <c r="T35" t="s">
        <v>1073</v>
      </c>
    </row>
    <row r="36" spans="1:20">
      <c r="A36" t="s">
        <v>171</v>
      </c>
      <c r="B36" t="s">
        <v>172</v>
      </c>
      <c r="C36" t="s">
        <v>1074</v>
      </c>
      <c r="D36" t="s">
        <v>1075</v>
      </c>
      <c r="E36" t="s">
        <v>144</v>
      </c>
      <c r="F36" t="s">
        <v>581</v>
      </c>
      <c r="G36">
        <v>10</v>
      </c>
      <c r="H36" t="s">
        <v>961</v>
      </c>
      <c r="I36">
        <v>2</v>
      </c>
      <c r="J36">
        <v>4</v>
      </c>
      <c r="K36">
        <v>1</v>
      </c>
      <c r="L36">
        <v>0</v>
      </c>
      <c r="M36">
        <v>0</v>
      </c>
      <c r="N36">
        <v>0</v>
      </c>
      <c r="O36" t="s">
        <v>965</v>
      </c>
      <c r="P36" t="s">
        <v>1076</v>
      </c>
      <c r="Q36">
        <v>2</v>
      </c>
    </row>
    <row r="37" spans="1:20">
      <c r="A37" t="s">
        <v>178</v>
      </c>
      <c r="B37" t="s">
        <v>179</v>
      </c>
      <c r="C37" t="s">
        <v>1077</v>
      </c>
      <c r="D37" t="s">
        <v>1078</v>
      </c>
      <c r="E37" t="s">
        <v>144</v>
      </c>
      <c r="F37" t="s">
        <v>581</v>
      </c>
      <c r="G37">
        <v>10</v>
      </c>
      <c r="H37" t="s">
        <v>1029</v>
      </c>
      <c r="I37">
        <v>1</v>
      </c>
      <c r="J37">
        <v>2</v>
      </c>
      <c r="K37">
        <v>0</v>
      </c>
      <c r="L37">
        <v>0</v>
      </c>
      <c r="M37">
        <v>0</v>
      </c>
      <c r="N37">
        <v>0</v>
      </c>
      <c r="O37" t="s">
        <v>1053</v>
      </c>
      <c r="P37" t="s">
        <v>1079</v>
      </c>
      <c r="Q37">
        <v>2</v>
      </c>
      <c r="R37" t="s">
        <v>1080</v>
      </c>
      <c r="S37">
        <v>1</v>
      </c>
      <c r="T37" t="s">
        <v>1081</v>
      </c>
    </row>
    <row r="38" spans="1:20">
      <c r="A38" t="s">
        <v>184</v>
      </c>
      <c r="B38" t="s">
        <v>185</v>
      </c>
      <c r="C38" t="s">
        <v>1133</v>
      </c>
      <c r="D38" t="s">
        <v>1134</v>
      </c>
      <c r="E38" t="s">
        <v>144</v>
      </c>
      <c r="F38" t="s">
        <v>581</v>
      </c>
      <c r="G38">
        <v>15</v>
      </c>
      <c r="H38" t="s">
        <v>961</v>
      </c>
      <c r="I38">
        <v>3</v>
      </c>
      <c r="J38">
        <v>6</v>
      </c>
      <c r="K38">
        <v>2</v>
      </c>
      <c r="L38">
        <v>0</v>
      </c>
      <c r="M38">
        <v>0</v>
      </c>
      <c r="N38">
        <v>0</v>
      </c>
      <c r="O38" t="s">
        <v>957</v>
      </c>
      <c r="P38" t="s">
        <v>1135</v>
      </c>
      <c r="Q38">
        <v>3</v>
      </c>
    </row>
    <row r="39" spans="1:20">
      <c r="A39" t="s">
        <v>191</v>
      </c>
      <c r="B39" t="s">
        <v>192</v>
      </c>
      <c r="C39" t="s">
        <v>1006</v>
      </c>
      <c r="D39" t="s">
        <v>1007</v>
      </c>
      <c r="E39" t="s">
        <v>144</v>
      </c>
      <c r="F39" t="s">
        <v>581</v>
      </c>
      <c r="G39">
        <v>5</v>
      </c>
      <c r="H39" t="s">
        <v>961</v>
      </c>
      <c r="I39">
        <v>1</v>
      </c>
      <c r="J39">
        <v>1</v>
      </c>
      <c r="K39">
        <v>0</v>
      </c>
      <c r="L39">
        <v>0</v>
      </c>
      <c r="M39">
        <v>1</v>
      </c>
      <c r="N39">
        <v>0</v>
      </c>
      <c r="O39" t="s">
        <v>965</v>
      </c>
      <c r="P39" t="s">
        <v>1008</v>
      </c>
      <c r="Q39">
        <v>1</v>
      </c>
      <c r="R39" t="s">
        <v>967</v>
      </c>
      <c r="S39">
        <v>2</v>
      </c>
      <c r="T39" t="s">
        <v>968</v>
      </c>
    </row>
    <row r="40" spans="1:20">
      <c r="A40" t="s">
        <v>198</v>
      </c>
      <c r="B40" t="s">
        <v>199</v>
      </c>
      <c r="C40" t="s">
        <v>1136</v>
      </c>
      <c r="D40" t="s">
        <v>1137</v>
      </c>
      <c r="E40" t="s">
        <v>144</v>
      </c>
      <c r="F40" t="s">
        <v>581</v>
      </c>
      <c r="G40">
        <v>15</v>
      </c>
      <c r="H40" t="s">
        <v>961</v>
      </c>
      <c r="I40">
        <v>3</v>
      </c>
      <c r="J40">
        <v>7</v>
      </c>
      <c r="K40">
        <v>1</v>
      </c>
      <c r="L40">
        <v>0</v>
      </c>
      <c r="M40">
        <v>0</v>
      </c>
      <c r="N40">
        <v>0</v>
      </c>
      <c r="O40" t="s">
        <v>965</v>
      </c>
      <c r="P40" t="s">
        <v>1138</v>
      </c>
      <c r="Q40">
        <v>3</v>
      </c>
      <c r="R40" t="s">
        <v>967</v>
      </c>
      <c r="S40">
        <v>3</v>
      </c>
      <c r="T40" t="s">
        <v>1099</v>
      </c>
    </row>
    <row r="41" spans="1:20">
      <c r="A41" t="s">
        <v>232</v>
      </c>
      <c r="B41" t="s">
        <v>233</v>
      </c>
      <c r="C41" t="s">
        <v>1082</v>
      </c>
      <c r="D41" t="s">
        <v>1083</v>
      </c>
      <c r="E41" t="s">
        <v>205</v>
      </c>
      <c r="F41" t="s">
        <v>585</v>
      </c>
      <c r="G41">
        <v>10</v>
      </c>
      <c r="H41" t="s">
        <v>980</v>
      </c>
      <c r="I41">
        <v>2</v>
      </c>
      <c r="J41">
        <v>1</v>
      </c>
      <c r="K41">
        <v>4</v>
      </c>
      <c r="L41">
        <v>0</v>
      </c>
      <c r="M41">
        <v>0</v>
      </c>
      <c r="N41">
        <v>0</v>
      </c>
      <c r="O41" t="s">
        <v>1053</v>
      </c>
      <c r="P41" t="s">
        <v>1084</v>
      </c>
      <c r="Q41">
        <v>2</v>
      </c>
    </row>
    <row r="42" spans="1:20">
      <c r="A42" t="s">
        <v>239</v>
      </c>
      <c r="B42" t="s">
        <v>240</v>
      </c>
      <c r="C42" t="s">
        <v>1139</v>
      </c>
      <c r="D42" t="s">
        <v>1140</v>
      </c>
      <c r="E42" t="s">
        <v>205</v>
      </c>
      <c r="F42" t="s">
        <v>585</v>
      </c>
      <c r="G42">
        <v>15</v>
      </c>
      <c r="H42" t="s">
        <v>961</v>
      </c>
      <c r="I42">
        <v>1</v>
      </c>
      <c r="J42">
        <v>1</v>
      </c>
      <c r="K42">
        <v>0</v>
      </c>
      <c r="L42">
        <v>0</v>
      </c>
      <c r="M42">
        <v>1</v>
      </c>
      <c r="N42">
        <v>-1</v>
      </c>
      <c r="O42" t="s">
        <v>981</v>
      </c>
      <c r="P42" t="s">
        <v>1141</v>
      </c>
      <c r="Q42">
        <v>3</v>
      </c>
    </row>
    <row r="43" spans="1:20">
      <c r="A43" t="s">
        <v>246</v>
      </c>
      <c r="B43" t="s">
        <v>247</v>
      </c>
      <c r="C43" t="s">
        <v>1085</v>
      </c>
      <c r="D43" t="s">
        <v>1086</v>
      </c>
      <c r="E43" t="s">
        <v>205</v>
      </c>
      <c r="F43" t="s">
        <v>585</v>
      </c>
      <c r="G43">
        <v>10</v>
      </c>
      <c r="H43" t="s">
        <v>980</v>
      </c>
      <c r="I43">
        <v>1</v>
      </c>
      <c r="J43">
        <v>0</v>
      </c>
      <c r="K43">
        <v>3</v>
      </c>
      <c r="L43">
        <v>0</v>
      </c>
      <c r="M43">
        <v>1</v>
      </c>
      <c r="N43">
        <v>0</v>
      </c>
      <c r="O43" t="s">
        <v>971</v>
      </c>
      <c r="P43" t="s">
        <v>1087</v>
      </c>
      <c r="Q43">
        <v>2</v>
      </c>
      <c r="R43" t="s">
        <v>1088</v>
      </c>
      <c r="S43">
        <v>2</v>
      </c>
      <c r="T43" t="s">
        <v>1089</v>
      </c>
    </row>
    <row r="44" spans="1:20">
      <c r="A44" t="s">
        <v>253</v>
      </c>
      <c r="B44" t="s">
        <v>254</v>
      </c>
      <c r="C44" t="s">
        <v>1009</v>
      </c>
      <c r="D44" t="s">
        <v>1010</v>
      </c>
      <c r="E44" t="s">
        <v>205</v>
      </c>
      <c r="F44" t="s">
        <v>585</v>
      </c>
      <c r="G44">
        <v>5</v>
      </c>
      <c r="H44" t="s">
        <v>980</v>
      </c>
      <c r="I44">
        <v>1</v>
      </c>
      <c r="J44">
        <v>0</v>
      </c>
      <c r="K44">
        <v>2</v>
      </c>
      <c r="L44">
        <v>0</v>
      </c>
      <c r="M44">
        <v>0</v>
      </c>
      <c r="N44">
        <v>0</v>
      </c>
      <c r="O44" t="s">
        <v>981</v>
      </c>
      <c r="P44" t="s">
        <v>1011</v>
      </c>
      <c r="Q44">
        <v>1</v>
      </c>
      <c r="S44">
        <v>3</v>
      </c>
    </row>
    <row r="45" spans="1:20">
      <c r="A45" t="s">
        <v>260</v>
      </c>
      <c r="B45" t="s">
        <v>261</v>
      </c>
      <c r="C45" t="s">
        <v>1142</v>
      </c>
      <c r="D45" t="s">
        <v>1143</v>
      </c>
      <c r="E45" t="s">
        <v>205</v>
      </c>
      <c r="F45" t="s">
        <v>585</v>
      </c>
      <c r="G45">
        <v>15</v>
      </c>
      <c r="H45" t="s">
        <v>980</v>
      </c>
      <c r="I45">
        <v>3</v>
      </c>
      <c r="J45">
        <v>0</v>
      </c>
      <c r="K45">
        <v>6</v>
      </c>
      <c r="L45">
        <v>0</v>
      </c>
      <c r="M45">
        <v>0</v>
      </c>
      <c r="N45">
        <v>-1</v>
      </c>
      <c r="O45" t="s">
        <v>971</v>
      </c>
      <c r="P45" t="s">
        <v>1144</v>
      </c>
      <c r="Q45">
        <v>3</v>
      </c>
      <c r="S45">
        <v>3</v>
      </c>
    </row>
    <row r="46" spans="1:20">
      <c r="A46" t="s">
        <v>296</v>
      </c>
      <c r="B46" t="s">
        <v>297</v>
      </c>
      <c r="C46" t="s">
        <v>1090</v>
      </c>
      <c r="D46" t="s">
        <v>1091</v>
      </c>
      <c r="E46" t="s">
        <v>269</v>
      </c>
      <c r="F46" t="s">
        <v>589</v>
      </c>
      <c r="G46">
        <v>10</v>
      </c>
      <c r="H46" t="s">
        <v>980</v>
      </c>
      <c r="I46">
        <v>2</v>
      </c>
      <c r="J46">
        <v>0</v>
      </c>
      <c r="K46">
        <v>6</v>
      </c>
      <c r="L46">
        <v>0</v>
      </c>
      <c r="M46">
        <v>0</v>
      </c>
      <c r="N46">
        <v>2</v>
      </c>
      <c r="O46" t="s">
        <v>957</v>
      </c>
      <c r="P46" t="s">
        <v>1092</v>
      </c>
      <c r="Q46">
        <v>2</v>
      </c>
    </row>
    <row r="47" spans="1:20">
      <c r="A47" t="s">
        <v>303</v>
      </c>
      <c r="B47" t="s">
        <v>304</v>
      </c>
      <c r="C47" t="s">
        <v>1093</v>
      </c>
      <c r="D47" t="s">
        <v>1094</v>
      </c>
      <c r="E47" t="s">
        <v>269</v>
      </c>
      <c r="F47" t="s">
        <v>589</v>
      </c>
      <c r="G47">
        <v>10</v>
      </c>
      <c r="H47" t="s">
        <v>980</v>
      </c>
      <c r="I47">
        <v>2</v>
      </c>
      <c r="J47">
        <v>2</v>
      </c>
      <c r="K47">
        <v>3</v>
      </c>
      <c r="L47">
        <v>0</v>
      </c>
      <c r="M47">
        <v>0</v>
      </c>
      <c r="N47">
        <v>1</v>
      </c>
      <c r="O47" t="s">
        <v>975</v>
      </c>
      <c r="P47" t="s">
        <v>1095</v>
      </c>
      <c r="Q47">
        <v>2</v>
      </c>
      <c r="R47" t="s">
        <v>967</v>
      </c>
      <c r="S47">
        <v>2</v>
      </c>
      <c r="T47" t="s">
        <v>977</v>
      </c>
    </row>
    <row r="48" spans="1:20">
      <c r="A48" t="s">
        <v>310</v>
      </c>
      <c r="B48" t="s">
        <v>311</v>
      </c>
      <c r="C48" t="s">
        <v>1096</v>
      </c>
      <c r="D48" t="s">
        <v>1097</v>
      </c>
      <c r="E48" t="s">
        <v>269</v>
      </c>
      <c r="F48" t="s">
        <v>589</v>
      </c>
      <c r="G48">
        <v>10</v>
      </c>
      <c r="H48" t="s">
        <v>980</v>
      </c>
      <c r="I48">
        <v>2</v>
      </c>
      <c r="J48">
        <v>2</v>
      </c>
      <c r="K48">
        <v>5</v>
      </c>
      <c r="L48">
        <v>0</v>
      </c>
      <c r="M48">
        <v>0</v>
      </c>
      <c r="N48">
        <v>3</v>
      </c>
      <c r="O48" t="s">
        <v>965</v>
      </c>
      <c r="P48" t="s">
        <v>1098</v>
      </c>
      <c r="Q48">
        <v>2</v>
      </c>
      <c r="R48" t="s">
        <v>967</v>
      </c>
      <c r="S48">
        <v>3</v>
      </c>
      <c r="T48" t="s">
        <v>1099</v>
      </c>
    </row>
    <row r="49" spans="1:20">
      <c r="A49" t="s">
        <v>317</v>
      </c>
      <c r="B49" t="s">
        <v>318</v>
      </c>
      <c r="C49" t="s">
        <v>1100</v>
      </c>
      <c r="D49" t="s">
        <v>1101</v>
      </c>
      <c r="E49" t="s">
        <v>269</v>
      </c>
      <c r="F49" t="s">
        <v>589</v>
      </c>
      <c r="G49">
        <v>10</v>
      </c>
      <c r="H49" t="s">
        <v>961</v>
      </c>
      <c r="I49">
        <v>2</v>
      </c>
      <c r="J49">
        <v>3</v>
      </c>
      <c r="K49">
        <v>2</v>
      </c>
      <c r="L49">
        <v>0</v>
      </c>
      <c r="M49">
        <v>1</v>
      </c>
      <c r="N49">
        <v>1</v>
      </c>
      <c r="O49" t="s">
        <v>981</v>
      </c>
      <c r="P49" t="s">
        <v>1102</v>
      </c>
      <c r="Q49">
        <v>2</v>
      </c>
      <c r="R49" t="s">
        <v>967</v>
      </c>
      <c r="S49">
        <v>2</v>
      </c>
      <c r="T49" t="s">
        <v>1103</v>
      </c>
    </row>
    <row r="50" spans="1:20">
      <c r="A50" t="s">
        <v>324</v>
      </c>
      <c r="B50" t="s">
        <v>325</v>
      </c>
      <c r="C50" t="s">
        <v>1145</v>
      </c>
      <c r="D50" t="s">
        <v>1146</v>
      </c>
      <c r="E50" t="s">
        <v>269</v>
      </c>
      <c r="F50" t="s">
        <v>589</v>
      </c>
      <c r="G50">
        <v>15</v>
      </c>
      <c r="H50" t="s">
        <v>980</v>
      </c>
      <c r="I50">
        <v>3</v>
      </c>
      <c r="J50">
        <v>0</v>
      </c>
      <c r="K50">
        <v>9</v>
      </c>
      <c r="L50">
        <v>0</v>
      </c>
      <c r="M50">
        <v>0</v>
      </c>
      <c r="N50">
        <v>3</v>
      </c>
      <c r="O50" t="s">
        <v>957</v>
      </c>
      <c r="P50" t="s">
        <v>1147</v>
      </c>
      <c r="Q50">
        <v>3</v>
      </c>
      <c r="R50" t="s">
        <v>1088</v>
      </c>
      <c r="S50">
        <v>3</v>
      </c>
      <c r="T50" t="s">
        <v>1128</v>
      </c>
    </row>
    <row r="51" spans="1:20">
      <c r="A51" t="s">
        <v>359</v>
      </c>
      <c r="B51" t="s">
        <v>360</v>
      </c>
      <c r="C51" t="s">
        <v>1104</v>
      </c>
      <c r="D51" t="s">
        <v>1105</v>
      </c>
      <c r="E51" t="s">
        <v>333</v>
      </c>
      <c r="F51" t="s">
        <v>593</v>
      </c>
      <c r="G51">
        <v>10</v>
      </c>
      <c r="H51" t="s">
        <v>956</v>
      </c>
      <c r="I51">
        <v>1</v>
      </c>
      <c r="J51">
        <v>1</v>
      </c>
      <c r="K51">
        <v>2</v>
      </c>
      <c r="L51">
        <v>5</v>
      </c>
      <c r="M51">
        <v>0</v>
      </c>
      <c r="N51">
        <v>2</v>
      </c>
      <c r="O51" t="s">
        <v>981</v>
      </c>
      <c r="P51" t="s">
        <v>1106</v>
      </c>
      <c r="Q51">
        <v>2</v>
      </c>
    </row>
    <row r="52" spans="1:20">
      <c r="A52" t="s">
        <v>366</v>
      </c>
      <c r="B52" t="s">
        <v>367</v>
      </c>
      <c r="C52" t="s">
        <v>1107</v>
      </c>
      <c r="D52" t="s">
        <v>1108</v>
      </c>
      <c r="E52" t="s">
        <v>333</v>
      </c>
      <c r="F52" t="s">
        <v>593</v>
      </c>
      <c r="G52">
        <v>10</v>
      </c>
      <c r="H52" t="s">
        <v>980</v>
      </c>
      <c r="I52">
        <v>2</v>
      </c>
      <c r="J52">
        <v>1</v>
      </c>
      <c r="K52">
        <v>4</v>
      </c>
      <c r="L52">
        <v>0</v>
      </c>
      <c r="M52">
        <v>0</v>
      </c>
      <c r="N52">
        <v>1</v>
      </c>
      <c r="O52" t="s">
        <v>981</v>
      </c>
      <c r="P52" t="s">
        <v>1109</v>
      </c>
      <c r="Q52">
        <v>2</v>
      </c>
      <c r="R52" t="s">
        <v>967</v>
      </c>
      <c r="S52">
        <v>2</v>
      </c>
      <c r="T52" t="s">
        <v>1103</v>
      </c>
    </row>
    <row r="53" spans="1:20">
      <c r="A53" t="s">
        <v>372</v>
      </c>
      <c r="B53" t="s">
        <v>373</v>
      </c>
      <c r="C53" t="s">
        <v>1110</v>
      </c>
      <c r="D53" t="s">
        <v>1111</v>
      </c>
      <c r="E53" t="s">
        <v>333</v>
      </c>
      <c r="F53" t="s">
        <v>593</v>
      </c>
      <c r="G53">
        <v>10</v>
      </c>
      <c r="H53" t="s">
        <v>961</v>
      </c>
      <c r="I53">
        <v>2</v>
      </c>
      <c r="J53">
        <v>4</v>
      </c>
      <c r="K53">
        <v>0</v>
      </c>
      <c r="L53">
        <v>0</v>
      </c>
      <c r="M53">
        <v>1</v>
      </c>
      <c r="N53">
        <v>1</v>
      </c>
      <c r="O53" t="s">
        <v>971</v>
      </c>
      <c r="P53" t="s">
        <v>1112</v>
      </c>
      <c r="Q53">
        <v>2</v>
      </c>
      <c r="R53" t="s">
        <v>967</v>
      </c>
      <c r="S53">
        <v>2</v>
      </c>
      <c r="T53" t="s">
        <v>1113</v>
      </c>
    </row>
    <row r="54" spans="1:20">
      <c r="A54" t="s">
        <v>379</v>
      </c>
      <c r="B54" t="s">
        <v>380</v>
      </c>
      <c r="C54" t="s">
        <v>1148</v>
      </c>
      <c r="D54" t="s">
        <v>1149</v>
      </c>
      <c r="E54" t="s">
        <v>333</v>
      </c>
      <c r="F54" t="s">
        <v>593</v>
      </c>
      <c r="G54">
        <v>15</v>
      </c>
      <c r="H54" t="s">
        <v>961</v>
      </c>
      <c r="I54">
        <v>2</v>
      </c>
      <c r="J54">
        <v>7</v>
      </c>
      <c r="K54">
        <v>0</v>
      </c>
      <c r="L54">
        <v>0</v>
      </c>
      <c r="M54">
        <v>0</v>
      </c>
      <c r="N54">
        <v>2</v>
      </c>
      <c r="O54" t="s">
        <v>957</v>
      </c>
      <c r="P54" t="s">
        <v>1150</v>
      </c>
      <c r="Q54">
        <v>3</v>
      </c>
      <c r="R54" t="s">
        <v>1004</v>
      </c>
      <c r="S54">
        <v>3</v>
      </c>
      <c r="T54" t="s">
        <v>1005</v>
      </c>
    </row>
    <row r="55" spans="1:20">
      <c r="A55" t="s">
        <v>386</v>
      </c>
      <c r="B55" t="s">
        <v>387</v>
      </c>
      <c r="C55" t="s">
        <v>1114</v>
      </c>
      <c r="D55" t="s">
        <v>1115</v>
      </c>
      <c r="E55" t="s">
        <v>333</v>
      </c>
      <c r="F55" t="s">
        <v>593</v>
      </c>
      <c r="G55">
        <v>10</v>
      </c>
      <c r="H55" t="s">
        <v>956</v>
      </c>
      <c r="I55">
        <v>2</v>
      </c>
      <c r="J55">
        <v>5</v>
      </c>
      <c r="K55">
        <v>0</v>
      </c>
      <c r="L55">
        <v>2</v>
      </c>
      <c r="M55">
        <v>0</v>
      </c>
      <c r="N55">
        <v>1</v>
      </c>
      <c r="O55" t="s">
        <v>981</v>
      </c>
      <c r="P55" t="s">
        <v>1116</v>
      </c>
      <c r="Q55">
        <v>2</v>
      </c>
    </row>
  </sheetData>
  <autoFilter ref="A1:T55" xr:uid="{00000000-0009-0000-0000-000008000000}">
    <sortState xmlns:xlrd2="http://schemas.microsoft.com/office/spreadsheetml/2017/richdata2" ref="A2:T55">
      <sortCondition ref="A1:A55"/>
    </sortState>
  </autoFilter>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F6"/>
  <sheetViews>
    <sheetView zoomScaleNormal="100" workbookViewId="0">
      <pane xSplit="1" ySplit="1" topLeftCell="B2" activePane="bottomRight" state="frozen"/>
      <selection pane="topRight" activeCell="B1" sqref="B1"/>
      <selection pane="bottomLeft" activeCell="A2" sqref="A2"/>
      <selection pane="bottomRight" activeCell="D34" sqref="D34"/>
    </sheetView>
  </sheetViews>
  <sheetFormatPr defaultColWidth="8.7109375" defaultRowHeight="15"/>
  <cols>
    <col min="1" max="1" width="10" customWidth="1"/>
    <col min="2" max="2" width="14" customWidth="1"/>
    <col min="3" max="3" width="10" customWidth="1"/>
    <col min="4" max="4" width="12" customWidth="1"/>
    <col min="5" max="5" width="60" customWidth="1"/>
    <col min="6" max="6" width="16.7109375" customWidth="1"/>
  </cols>
  <sheetData>
    <row r="1" spans="1:6" ht="31.5" customHeight="1">
      <c r="A1" s="2" t="s">
        <v>1151</v>
      </c>
      <c r="B1" s="2" t="s">
        <v>1152</v>
      </c>
      <c r="C1" s="2" t="s">
        <v>1153</v>
      </c>
      <c r="D1" s="2" t="s">
        <v>570</v>
      </c>
      <c r="E1" s="2" t="s">
        <v>1154</v>
      </c>
      <c r="F1" s="2" t="s">
        <v>1155</v>
      </c>
    </row>
    <row r="2" spans="1:6" ht="16.5" customHeight="1">
      <c r="A2" s="4" t="s">
        <v>1156</v>
      </c>
      <c r="B2" s="4" t="s">
        <v>981</v>
      </c>
      <c r="C2" s="6" t="s">
        <v>1157</v>
      </c>
      <c r="D2" s="4" t="s">
        <v>1158</v>
      </c>
      <c r="E2" s="4" t="s">
        <v>1159</v>
      </c>
      <c r="F2" s="4">
        <v>5</v>
      </c>
    </row>
    <row r="3" spans="1:6" ht="16.5" customHeight="1">
      <c r="A3" s="4" t="s">
        <v>1160</v>
      </c>
      <c r="B3" s="4" t="s">
        <v>965</v>
      </c>
      <c r="C3" s="6" t="s">
        <v>1161</v>
      </c>
      <c r="D3" s="4" t="s">
        <v>1162</v>
      </c>
      <c r="E3" s="4" t="s">
        <v>1163</v>
      </c>
      <c r="F3" s="4">
        <v>10</v>
      </c>
    </row>
    <row r="4" spans="1:6" ht="16.5" customHeight="1">
      <c r="A4" s="4" t="s">
        <v>1164</v>
      </c>
      <c r="B4" s="4" t="s">
        <v>975</v>
      </c>
      <c r="C4" s="6" t="s">
        <v>1165</v>
      </c>
      <c r="D4" s="4" t="s">
        <v>1166</v>
      </c>
      <c r="E4" s="4" t="s">
        <v>1167</v>
      </c>
      <c r="F4" s="4">
        <v>15</v>
      </c>
    </row>
    <row r="5" spans="1:6" ht="16.5" customHeight="1">
      <c r="A5" s="4" t="s">
        <v>1168</v>
      </c>
      <c r="B5" s="4" t="s">
        <v>1053</v>
      </c>
      <c r="C5" s="6" t="s">
        <v>1169</v>
      </c>
      <c r="D5" s="4" t="s">
        <v>1170</v>
      </c>
      <c r="E5" s="4" t="s">
        <v>1171</v>
      </c>
      <c r="F5" s="4">
        <v>5</v>
      </c>
    </row>
    <row r="6" spans="1:6" ht="16.5" customHeight="1">
      <c r="A6" s="4" t="s">
        <v>1172</v>
      </c>
      <c r="B6" s="4" t="s">
        <v>971</v>
      </c>
      <c r="C6" s="6" t="s">
        <v>1173</v>
      </c>
      <c r="D6" s="4" t="s">
        <v>1174</v>
      </c>
      <c r="E6" s="4" t="s">
        <v>1175</v>
      </c>
      <c r="F6" s="4">
        <v>5</v>
      </c>
    </row>
  </sheetData>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M31"/>
  <sheetViews>
    <sheetView zoomScaleNormal="100" workbookViewId="0">
      <pane xSplit="1" ySplit="1" topLeftCell="B2" activePane="bottomRight" state="frozen"/>
      <selection pane="topRight" activeCell="B1" sqref="B1"/>
      <selection pane="bottomLeft" activeCell="A2" sqref="A2"/>
      <selection pane="bottomRight" activeCell="G11" sqref="G11"/>
    </sheetView>
  </sheetViews>
  <sheetFormatPr defaultColWidth="8.7109375" defaultRowHeight="15"/>
  <cols>
    <col min="1" max="1" width="8" customWidth="1"/>
    <col min="2" max="2" width="26" customWidth="1"/>
    <col min="3" max="3" width="16" customWidth="1"/>
    <col min="4" max="4" width="22" customWidth="1"/>
    <col min="5" max="5" width="13" customWidth="1"/>
    <col min="6" max="6" width="9" customWidth="1"/>
    <col min="7" max="7" width="45" customWidth="1"/>
    <col min="8" max="8" width="15.28515625" customWidth="1"/>
    <col min="9" max="9" width="13.42578125" customWidth="1"/>
    <col min="10" max="10" width="12.7109375" customWidth="1"/>
    <col min="11" max="11" width="20" customWidth="1"/>
    <col min="12" max="12" width="14" customWidth="1"/>
    <col min="13" max="13" width="13" customWidth="1"/>
  </cols>
  <sheetData>
    <row r="1" spans="1:13" ht="31.5" customHeight="1">
      <c r="A1" s="2" t="s">
        <v>1176</v>
      </c>
      <c r="B1" s="2" t="s">
        <v>1</v>
      </c>
      <c r="C1" s="2" t="s">
        <v>938</v>
      </c>
      <c r="D1" s="2" t="s">
        <v>570</v>
      </c>
      <c r="E1" s="2" t="s">
        <v>1177</v>
      </c>
      <c r="F1" s="2" t="s">
        <v>1178</v>
      </c>
      <c r="G1" s="2" t="s">
        <v>1179</v>
      </c>
      <c r="H1" s="2" t="s">
        <v>1180</v>
      </c>
      <c r="I1" s="2" t="s">
        <v>1181</v>
      </c>
      <c r="J1" s="2" t="s">
        <v>1182</v>
      </c>
      <c r="K1" s="80" t="s">
        <v>1183</v>
      </c>
      <c r="L1" s="80" t="s">
        <v>1184</v>
      </c>
      <c r="M1" s="80" t="s">
        <v>1185</v>
      </c>
    </row>
    <row r="2" spans="1:13" ht="16.5" customHeight="1">
      <c r="A2" s="4" t="s">
        <v>1186</v>
      </c>
      <c r="B2" s="4" t="s">
        <v>1187</v>
      </c>
      <c r="C2" s="6" t="s">
        <v>1188</v>
      </c>
      <c r="D2" s="4" t="s">
        <v>1189</v>
      </c>
      <c r="E2" s="4" t="s">
        <v>1164</v>
      </c>
      <c r="F2" s="5">
        <v>0.65</v>
      </c>
      <c r="G2" s="69" t="s">
        <v>1190</v>
      </c>
      <c r="H2" s="73">
        <v>10</v>
      </c>
      <c r="I2" s="73">
        <v>0</v>
      </c>
      <c r="J2" s="73">
        <v>0</v>
      </c>
      <c r="K2" s="84" t="s">
        <v>1191</v>
      </c>
      <c r="L2" s="84" t="s">
        <v>1192</v>
      </c>
      <c r="M2" s="84">
        <v>10</v>
      </c>
    </row>
    <row r="3" spans="1:13" ht="16.5" customHeight="1">
      <c r="A3" s="4" t="s">
        <v>1193</v>
      </c>
      <c r="B3" s="4" t="s">
        <v>1194</v>
      </c>
      <c r="C3" s="6" t="s">
        <v>1195</v>
      </c>
      <c r="D3" s="4" t="s">
        <v>1196</v>
      </c>
      <c r="E3" s="4" t="s">
        <v>1168</v>
      </c>
      <c r="F3" s="5">
        <v>0.65</v>
      </c>
      <c r="G3" s="69" t="s">
        <v>1197</v>
      </c>
      <c r="H3" s="73">
        <v>10</v>
      </c>
      <c r="I3" s="73">
        <v>0</v>
      </c>
      <c r="J3" s="73">
        <v>0</v>
      </c>
      <c r="K3" s="84" t="s">
        <v>1191</v>
      </c>
      <c r="L3" s="84" t="s">
        <v>1198</v>
      </c>
      <c r="M3" s="84">
        <v>1500</v>
      </c>
    </row>
    <row r="4" spans="1:13" ht="16.5" customHeight="1">
      <c r="A4" s="4" t="s">
        <v>1199</v>
      </c>
      <c r="B4" s="4" t="s">
        <v>1200</v>
      </c>
      <c r="C4" s="6" t="s">
        <v>1201</v>
      </c>
      <c r="D4" s="4" t="s">
        <v>1202</v>
      </c>
      <c r="E4" s="4" t="s">
        <v>1156</v>
      </c>
      <c r="F4" s="5">
        <v>0.35</v>
      </c>
      <c r="G4" s="4" t="s">
        <v>1203</v>
      </c>
      <c r="H4" s="73">
        <v>5</v>
      </c>
      <c r="I4" s="73">
        <v>0</v>
      </c>
      <c r="J4" s="4">
        <v>25000</v>
      </c>
      <c r="K4" s="84" t="s">
        <v>1204</v>
      </c>
      <c r="L4" s="84" t="s">
        <v>664</v>
      </c>
      <c r="M4" s="84">
        <v>5</v>
      </c>
    </row>
    <row r="5" spans="1:13" ht="16.5" customHeight="1">
      <c r="A5" s="4" t="s">
        <v>1205</v>
      </c>
      <c r="B5" s="4" t="s">
        <v>1206</v>
      </c>
      <c r="C5" s="6" t="s">
        <v>1207</v>
      </c>
      <c r="D5" s="4" t="s">
        <v>1208</v>
      </c>
      <c r="E5" s="4" t="s">
        <v>1156</v>
      </c>
      <c r="F5" s="86">
        <v>0.5</v>
      </c>
      <c r="G5" s="81" t="s">
        <v>1209</v>
      </c>
      <c r="H5" s="87">
        <v>5</v>
      </c>
      <c r="I5" s="87">
        <v>0</v>
      </c>
      <c r="J5" s="87">
        <v>15000</v>
      </c>
      <c r="K5" s="84" t="s">
        <v>1204</v>
      </c>
      <c r="L5" s="84" t="s">
        <v>677</v>
      </c>
      <c r="M5" s="84">
        <v>10</v>
      </c>
    </row>
    <row r="6" spans="1:13" ht="26.25" customHeight="1">
      <c r="A6" s="4" t="s">
        <v>1210</v>
      </c>
      <c r="B6" s="4" t="s">
        <v>1211</v>
      </c>
      <c r="C6" s="6" t="s">
        <v>1212</v>
      </c>
      <c r="D6" s="4" t="s">
        <v>1213</v>
      </c>
      <c r="E6" s="4" t="s">
        <v>1214</v>
      </c>
      <c r="F6" s="87">
        <v>15</v>
      </c>
      <c r="G6" s="81" t="s">
        <v>1215</v>
      </c>
      <c r="H6" s="87">
        <v>5</v>
      </c>
      <c r="I6" s="87">
        <v>5</v>
      </c>
      <c r="J6" s="87">
        <v>0</v>
      </c>
      <c r="K6" s="84" t="s">
        <v>1191</v>
      </c>
      <c r="L6" s="84" t="s">
        <v>1198</v>
      </c>
      <c r="M6" s="84">
        <v>1000</v>
      </c>
    </row>
    <row r="7" spans="1:13" ht="26.25" customHeight="1">
      <c r="A7" s="4" t="s">
        <v>1216</v>
      </c>
      <c r="B7" s="4" t="s">
        <v>1217</v>
      </c>
      <c r="C7" s="6" t="s">
        <v>1218</v>
      </c>
      <c r="D7" s="4" t="s">
        <v>1219</v>
      </c>
      <c r="E7" s="4" t="s">
        <v>1220</v>
      </c>
      <c r="F7" s="87">
        <v>20</v>
      </c>
      <c r="G7" s="81" t="s">
        <v>1221</v>
      </c>
      <c r="H7" s="87">
        <v>5</v>
      </c>
      <c r="I7" s="87">
        <v>0</v>
      </c>
      <c r="J7" s="87">
        <v>0</v>
      </c>
      <c r="K7" s="84" t="s">
        <v>1191</v>
      </c>
      <c r="L7" s="84" t="s">
        <v>1192</v>
      </c>
      <c r="M7" s="84">
        <v>15</v>
      </c>
    </row>
    <row r="8" spans="1:13" ht="32.25" customHeight="1">
      <c r="A8" s="4" t="s">
        <v>1222</v>
      </c>
      <c r="B8" s="4" t="s">
        <v>1223</v>
      </c>
      <c r="C8" s="6" t="s">
        <v>1224</v>
      </c>
      <c r="D8" s="4" t="s">
        <v>1225</v>
      </c>
      <c r="E8" s="4" t="s">
        <v>1226</v>
      </c>
      <c r="F8" s="87">
        <v>15</v>
      </c>
      <c r="G8" s="81" t="s">
        <v>1227</v>
      </c>
      <c r="H8" s="87">
        <v>15</v>
      </c>
      <c r="I8" s="87">
        <v>0</v>
      </c>
      <c r="J8" s="87">
        <v>20000</v>
      </c>
      <c r="K8" s="84" t="s">
        <v>1228</v>
      </c>
      <c r="L8" s="84" t="s">
        <v>677</v>
      </c>
      <c r="M8" s="84">
        <v>1</v>
      </c>
    </row>
    <row r="9" spans="1:13" ht="16.5" customHeight="1">
      <c r="A9" s="4" t="s">
        <v>1229</v>
      </c>
      <c r="B9" s="4" t="s">
        <v>1230</v>
      </c>
      <c r="C9" s="6" t="s">
        <v>1231</v>
      </c>
      <c r="D9" s="4" t="s">
        <v>1232</v>
      </c>
      <c r="E9" s="4" t="s">
        <v>1233</v>
      </c>
      <c r="F9" s="87">
        <v>10</v>
      </c>
      <c r="G9" s="81" t="s">
        <v>1234</v>
      </c>
      <c r="H9" s="87">
        <v>0</v>
      </c>
      <c r="I9" s="87">
        <v>10</v>
      </c>
      <c r="J9" s="87">
        <v>0</v>
      </c>
      <c r="K9" s="84" t="s">
        <v>1204</v>
      </c>
      <c r="L9" s="84" t="s">
        <v>658</v>
      </c>
      <c r="M9" s="84">
        <v>10</v>
      </c>
    </row>
    <row r="10" spans="1:13" ht="26.25" customHeight="1">
      <c r="A10" s="4" t="s">
        <v>1235</v>
      </c>
      <c r="B10" s="4" t="s">
        <v>1236</v>
      </c>
      <c r="C10" s="6" t="s">
        <v>1237</v>
      </c>
      <c r="D10" s="4" t="s">
        <v>1238</v>
      </c>
      <c r="E10" s="4" t="s">
        <v>1160</v>
      </c>
      <c r="F10" s="86">
        <v>0.6</v>
      </c>
      <c r="G10" s="81" t="s">
        <v>1239</v>
      </c>
      <c r="H10" s="87">
        <v>0</v>
      </c>
      <c r="I10" s="87">
        <v>10</v>
      </c>
      <c r="J10" s="87">
        <v>0</v>
      </c>
      <c r="K10" s="84" t="s">
        <v>1191</v>
      </c>
      <c r="L10" s="84" t="s">
        <v>1240</v>
      </c>
      <c r="M10" s="84">
        <v>5</v>
      </c>
    </row>
    <row r="11" spans="1:13" ht="26.85" customHeight="1">
      <c r="A11" s="4" t="s">
        <v>1249</v>
      </c>
      <c r="B11" s="4" t="s">
        <v>1250</v>
      </c>
      <c r="C11" s="11" t="s">
        <v>1251</v>
      </c>
      <c r="D11" s="4" t="s">
        <v>1252</v>
      </c>
      <c r="E11" s="4" t="s">
        <v>1245</v>
      </c>
      <c r="F11" s="87">
        <v>20</v>
      </c>
      <c r="G11" s="81" t="s">
        <v>1253</v>
      </c>
      <c r="H11" s="87">
        <v>5</v>
      </c>
      <c r="I11" s="87">
        <v>0</v>
      </c>
      <c r="J11" s="87">
        <v>0</v>
      </c>
      <c r="K11" s="84" t="s">
        <v>1191</v>
      </c>
      <c r="L11" s="84" t="s">
        <v>1254</v>
      </c>
      <c r="M11" s="84">
        <v>2</v>
      </c>
    </row>
    <row r="12" spans="1:13" ht="26.85" customHeight="1">
      <c r="A12" s="4" t="s">
        <v>1261</v>
      </c>
      <c r="B12" s="4" t="s">
        <v>1262</v>
      </c>
      <c r="C12" s="11" t="s">
        <v>1263</v>
      </c>
      <c r="D12" s="4" t="s">
        <v>1264</v>
      </c>
      <c r="E12" s="4" t="s">
        <v>1265</v>
      </c>
      <c r="F12" s="87">
        <v>15</v>
      </c>
      <c r="G12" s="81" t="s">
        <v>1266</v>
      </c>
      <c r="H12" s="87">
        <v>5</v>
      </c>
      <c r="I12" s="87">
        <v>5</v>
      </c>
      <c r="J12" s="87">
        <v>0</v>
      </c>
      <c r="K12" s="84" t="s">
        <v>1204</v>
      </c>
      <c r="L12" s="84" t="s">
        <v>714</v>
      </c>
      <c r="M12" s="84">
        <v>10</v>
      </c>
    </row>
    <row r="13" spans="1:13" ht="26.85" customHeight="1">
      <c r="A13" s="4" t="s">
        <v>1267</v>
      </c>
      <c r="B13" s="4" t="s">
        <v>1268</v>
      </c>
      <c r="C13" s="11" t="s">
        <v>1269</v>
      </c>
      <c r="D13" s="4" t="s">
        <v>1270</v>
      </c>
      <c r="E13" s="4" t="s">
        <v>1164</v>
      </c>
      <c r="F13" s="86">
        <v>0.5</v>
      </c>
      <c r="G13" s="81" t="s">
        <v>1271</v>
      </c>
      <c r="H13" s="87">
        <v>0</v>
      </c>
      <c r="I13" s="87">
        <v>5</v>
      </c>
      <c r="J13" s="87">
        <v>0</v>
      </c>
      <c r="K13" s="84" t="s">
        <v>1272</v>
      </c>
      <c r="L13" s="84" t="s">
        <v>672</v>
      </c>
      <c r="M13" s="84">
        <v>1</v>
      </c>
    </row>
    <row r="14" spans="1:13" ht="26.85" customHeight="1">
      <c r="A14" s="4" t="s">
        <v>1273</v>
      </c>
      <c r="B14" s="4" t="s">
        <v>1274</v>
      </c>
      <c r="C14" s="11" t="s">
        <v>1275</v>
      </c>
      <c r="D14" s="4" t="s">
        <v>1276</v>
      </c>
      <c r="E14" s="4" t="s">
        <v>1214</v>
      </c>
      <c r="F14" s="87">
        <v>25</v>
      </c>
      <c r="G14" s="81" t="s">
        <v>1277</v>
      </c>
      <c r="H14" s="87">
        <v>5</v>
      </c>
      <c r="I14" s="87">
        <v>0</v>
      </c>
      <c r="J14" s="87">
        <v>0</v>
      </c>
      <c r="K14" s="84" t="s">
        <v>1191</v>
      </c>
      <c r="L14" s="84" t="s">
        <v>1198</v>
      </c>
      <c r="M14" s="84">
        <v>2000</v>
      </c>
    </row>
    <row r="15" spans="1:13" ht="28.5" customHeight="1">
      <c r="A15" s="4" t="s">
        <v>1278</v>
      </c>
      <c r="B15" s="4" t="s">
        <v>1279</v>
      </c>
      <c r="C15" s="88" t="s">
        <v>1280</v>
      </c>
      <c r="D15" s="81" t="s">
        <v>1281</v>
      </c>
      <c r="E15" s="4" t="s">
        <v>1245</v>
      </c>
      <c r="F15" s="87">
        <v>30</v>
      </c>
      <c r="G15" s="81" t="s">
        <v>1282</v>
      </c>
      <c r="H15" s="87">
        <v>10</v>
      </c>
      <c r="I15" s="87">
        <v>10</v>
      </c>
      <c r="J15" s="87">
        <v>0</v>
      </c>
      <c r="K15" s="84" t="s">
        <v>1204</v>
      </c>
      <c r="L15" s="84" t="s">
        <v>688</v>
      </c>
      <c r="M15" s="84">
        <v>15</v>
      </c>
    </row>
    <row r="16" spans="1:13" ht="28.5" customHeight="1">
      <c r="A16" s="4" t="s">
        <v>1283</v>
      </c>
      <c r="B16" s="4" t="s">
        <v>1284</v>
      </c>
      <c r="C16" s="88" t="s">
        <v>1285</v>
      </c>
      <c r="D16" s="81" t="s">
        <v>1286</v>
      </c>
      <c r="E16" s="4" t="s">
        <v>1233</v>
      </c>
      <c r="F16" s="87">
        <v>30</v>
      </c>
      <c r="G16" s="81" t="s">
        <v>1287</v>
      </c>
      <c r="H16" s="87">
        <v>0</v>
      </c>
      <c r="I16" s="87">
        <v>15</v>
      </c>
      <c r="J16" s="87">
        <v>0</v>
      </c>
      <c r="K16" s="84" t="s">
        <v>1191</v>
      </c>
      <c r="L16" s="84" t="s">
        <v>1240</v>
      </c>
      <c r="M16" s="84">
        <v>3</v>
      </c>
    </row>
    <row r="17" spans="1:13" ht="28.5" customHeight="1">
      <c r="A17" s="4" t="s">
        <v>1288</v>
      </c>
      <c r="B17" s="4" t="s">
        <v>1289</v>
      </c>
      <c r="C17" s="88" t="s">
        <v>1290</v>
      </c>
      <c r="D17" s="81" t="s">
        <v>1291</v>
      </c>
      <c r="E17" s="4" t="s">
        <v>1292</v>
      </c>
      <c r="F17" s="87">
        <v>15</v>
      </c>
      <c r="G17" s="81" t="s">
        <v>1253</v>
      </c>
      <c r="H17" s="87">
        <v>0</v>
      </c>
      <c r="I17" s="87">
        <v>0</v>
      </c>
      <c r="J17" s="87">
        <v>5000</v>
      </c>
      <c r="K17" s="84" t="s">
        <v>1191</v>
      </c>
      <c r="L17" s="84" t="s">
        <v>1254</v>
      </c>
      <c r="M17" s="84">
        <v>2</v>
      </c>
    </row>
    <row r="18" spans="1:13" ht="28.5" customHeight="1">
      <c r="A18" s="4" t="s">
        <v>1293</v>
      </c>
      <c r="B18" s="4" t="s">
        <v>1294</v>
      </c>
      <c r="C18" s="88" t="s">
        <v>1295</v>
      </c>
      <c r="D18" s="81" t="s">
        <v>1296</v>
      </c>
      <c r="E18" s="4" t="s">
        <v>1265</v>
      </c>
      <c r="F18" s="87">
        <v>25</v>
      </c>
      <c r="G18" s="81" t="s">
        <v>1297</v>
      </c>
      <c r="H18" s="87">
        <v>5</v>
      </c>
      <c r="I18" s="87">
        <v>10</v>
      </c>
      <c r="J18" s="87">
        <v>0</v>
      </c>
      <c r="K18" s="84" t="s">
        <v>1204</v>
      </c>
      <c r="L18" s="84" t="s">
        <v>721</v>
      </c>
      <c r="M18" s="84">
        <v>10</v>
      </c>
    </row>
    <row r="19" spans="1:13" ht="28.5" customHeight="1">
      <c r="A19" s="4" t="s">
        <v>1298</v>
      </c>
      <c r="B19" s="4" t="s">
        <v>1299</v>
      </c>
      <c r="C19" s="88" t="s">
        <v>1300</v>
      </c>
      <c r="D19" s="81" t="s">
        <v>1301</v>
      </c>
      <c r="E19" s="4" t="s">
        <v>1302</v>
      </c>
      <c r="F19" s="87">
        <v>20</v>
      </c>
      <c r="G19" s="81" t="s">
        <v>1303</v>
      </c>
      <c r="H19" s="87">
        <v>5</v>
      </c>
      <c r="I19" s="87">
        <v>0</v>
      </c>
      <c r="J19" s="87">
        <v>0</v>
      </c>
      <c r="K19" s="84" t="s">
        <v>1191</v>
      </c>
      <c r="L19" s="84" t="s">
        <v>1198</v>
      </c>
      <c r="M19" s="84">
        <v>2500</v>
      </c>
    </row>
    <row r="20" spans="1:13" ht="28.5" customHeight="1">
      <c r="A20" s="4" t="s">
        <v>1304</v>
      </c>
      <c r="B20" s="4" t="s">
        <v>1305</v>
      </c>
      <c r="C20" s="88" t="s">
        <v>1306</v>
      </c>
      <c r="D20" s="81" t="s">
        <v>1307</v>
      </c>
      <c r="E20" s="4" t="s">
        <v>1308</v>
      </c>
      <c r="F20" s="87">
        <v>15</v>
      </c>
      <c r="G20" s="81" t="s">
        <v>1309</v>
      </c>
      <c r="H20" s="87">
        <v>0</v>
      </c>
      <c r="I20" s="87">
        <v>5</v>
      </c>
      <c r="J20" s="87">
        <v>0</v>
      </c>
      <c r="K20" s="84" t="s">
        <v>1272</v>
      </c>
      <c r="L20" s="84" t="s">
        <v>639</v>
      </c>
      <c r="M20" s="84">
        <v>1</v>
      </c>
    </row>
    <row r="21" spans="1:13" ht="28.5" customHeight="1">
      <c r="A21" s="4" t="s">
        <v>1310</v>
      </c>
      <c r="B21" s="4" t="s">
        <v>1311</v>
      </c>
      <c r="C21" s="88" t="s">
        <v>1312</v>
      </c>
      <c r="D21" s="81" t="s">
        <v>1313</v>
      </c>
      <c r="E21" s="4" t="s">
        <v>1314</v>
      </c>
      <c r="F21" s="87">
        <v>15</v>
      </c>
      <c r="G21" s="81" t="s">
        <v>1315</v>
      </c>
      <c r="H21" s="87">
        <v>5</v>
      </c>
      <c r="I21" s="87">
        <v>5</v>
      </c>
      <c r="J21" s="87">
        <v>0</v>
      </c>
      <c r="K21" s="84" t="s">
        <v>1204</v>
      </c>
      <c r="L21" s="84" t="s">
        <v>707</v>
      </c>
      <c r="M21" s="84">
        <v>10</v>
      </c>
    </row>
    <row r="22" spans="1:13" ht="28.5" customHeight="1">
      <c r="A22" s="4" t="s">
        <v>1316</v>
      </c>
      <c r="B22" s="4" t="s">
        <v>1317</v>
      </c>
      <c r="C22" s="88" t="s">
        <v>1318</v>
      </c>
      <c r="D22" s="81" t="s">
        <v>1319</v>
      </c>
      <c r="E22" s="4" t="s">
        <v>1226</v>
      </c>
      <c r="F22" s="87">
        <v>25</v>
      </c>
      <c r="G22" s="81" t="s">
        <v>1320</v>
      </c>
      <c r="H22" s="87">
        <v>10</v>
      </c>
      <c r="I22" s="87">
        <v>0</v>
      </c>
      <c r="J22" s="87">
        <v>20000</v>
      </c>
      <c r="K22" s="84" t="s">
        <v>1204</v>
      </c>
      <c r="L22" s="84" t="s">
        <v>664</v>
      </c>
      <c r="M22" s="84">
        <v>10</v>
      </c>
    </row>
    <row r="23" spans="1:13">
      <c r="A23" s="4" t="s">
        <v>1321</v>
      </c>
      <c r="B23" s="4" t="s">
        <v>1217</v>
      </c>
      <c r="C23" s="88" t="s">
        <v>1322</v>
      </c>
      <c r="D23" s="81" t="s">
        <v>1323</v>
      </c>
      <c r="E23" s="4" t="s">
        <v>1220</v>
      </c>
      <c r="F23" s="87">
        <v>30</v>
      </c>
      <c r="G23" s="81" t="s">
        <v>1324</v>
      </c>
      <c r="H23" s="87">
        <v>5</v>
      </c>
      <c r="I23" s="87">
        <v>10</v>
      </c>
      <c r="J23" s="87">
        <v>0</v>
      </c>
      <c r="K23" s="84" t="s">
        <v>1204</v>
      </c>
      <c r="L23" s="84" t="s">
        <v>651</v>
      </c>
      <c r="M23" s="84">
        <v>10</v>
      </c>
    </row>
    <row r="24" spans="1:13" ht="28.5" customHeight="1">
      <c r="A24" s="4" t="s">
        <v>1325</v>
      </c>
      <c r="B24" s="4" t="s">
        <v>1211</v>
      </c>
      <c r="C24" s="88" t="s">
        <v>1326</v>
      </c>
      <c r="D24" s="81" t="s">
        <v>1327</v>
      </c>
      <c r="E24" s="4" t="s">
        <v>1214</v>
      </c>
      <c r="F24" s="87">
        <v>30</v>
      </c>
      <c r="G24" s="81" t="s">
        <v>1328</v>
      </c>
      <c r="H24" s="87">
        <v>5</v>
      </c>
      <c r="I24" s="87">
        <v>5</v>
      </c>
      <c r="J24" s="87">
        <v>0</v>
      </c>
      <c r="K24" s="84" t="s">
        <v>1204</v>
      </c>
      <c r="L24" s="84" t="s">
        <v>696</v>
      </c>
      <c r="M24" s="84">
        <v>10</v>
      </c>
    </row>
    <row r="25" spans="1:13">
      <c r="A25" s="84" t="s">
        <v>1329</v>
      </c>
      <c r="B25" s="84" t="s">
        <v>1330</v>
      </c>
      <c r="C25" s="89" t="s">
        <v>1331</v>
      </c>
      <c r="D25" s="84" t="s">
        <v>1332</v>
      </c>
      <c r="E25" s="84" t="s">
        <v>1333</v>
      </c>
      <c r="F25" s="90">
        <v>15</v>
      </c>
      <c r="G25" s="82" t="s">
        <v>1334</v>
      </c>
      <c r="H25" s="90">
        <v>0</v>
      </c>
      <c r="I25" s="90">
        <v>5</v>
      </c>
      <c r="J25" s="90">
        <v>0</v>
      </c>
      <c r="K25" s="84" t="s">
        <v>1272</v>
      </c>
      <c r="L25" s="84" t="s">
        <v>740</v>
      </c>
      <c r="M25" s="84">
        <v>1</v>
      </c>
    </row>
    <row r="26" spans="1:13">
      <c r="A26" s="84" t="s">
        <v>1335</v>
      </c>
      <c r="B26" s="84" t="s">
        <v>1336</v>
      </c>
      <c r="C26" s="89" t="s">
        <v>1337</v>
      </c>
      <c r="D26" s="84" t="s">
        <v>1338</v>
      </c>
      <c r="E26" s="84" t="s">
        <v>1339</v>
      </c>
      <c r="F26" s="90">
        <v>15</v>
      </c>
      <c r="G26" s="82" t="s">
        <v>1340</v>
      </c>
      <c r="H26" s="90">
        <v>0</v>
      </c>
      <c r="I26" s="90">
        <v>5</v>
      </c>
      <c r="J26" s="90">
        <v>0</v>
      </c>
      <c r="K26" s="84" t="s">
        <v>1204</v>
      </c>
      <c r="L26" s="84" t="s">
        <v>672</v>
      </c>
      <c r="M26" s="84">
        <v>10</v>
      </c>
    </row>
    <row r="27" spans="1:13">
      <c r="A27" s="84" t="s">
        <v>1341</v>
      </c>
      <c r="B27" s="84" t="s">
        <v>1342</v>
      </c>
      <c r="C27" s="89" t="s">
        <v>1343</v>
      </c>
      <c r="D27" s="84" t="s">
        <v>1344</v>
      </c>
      <c r="E27" s="84" t="s">
        <v>1345</v>
      </c>
      <c r="F27" s="90">
        <v>15</v>
      </c>
      <c r="G27" s="82" t="s">
        <v>1197</v>
      </c>
      <c r="H27" s="90">
        <v>5</v>
      </c>
      <c r="I27" s="90">
        <v>0</v>
      </c>
      <c r="J27" s="90">
        <v>0</v>
      </c>
      <c r="K27" s="84" t="s">
        <v>1191</v>
      </c>
      <c r="L27" s="84" t="s">
        <v>1198</v>
      </c>
      <c r="M27" s="84">
        <v>1500</v>
      </c>
    </row>
    <row r="28" spans="1:13">
      <c r="A28" s="84" t="s">
        <v>1346</v>
      </c>
      <c r="B28" s="84" t="s">
        <v>1347</v>
      </c>
      <c r="C28" s="89" t="s">
        <v>1348</v>
      </c>
      <c r="D28" s="84" t="s">
        <v>1349</v>
      </c>
      <c r="E28" s="84" t="s">
        <v>1350</v>
      </c>
      <c r="F28" s="90">
        <v>15</v>
      </c>
      <c r="G28" s="82" t="s">
        <v>1351</v>
      </c>
      <c r="H28" s="90">
        <v>0</v>
      </c>
      <c r="I28" s="90">
        <v>5</v>
      </c>
      <c r="J28" s="90">
        <v>0</v>
      </c>
      <c r="K28" s="84" t="s">
        <v>1204</v>
      </c>
      <c r="L28" s="84" t="s">
        <v>639</v>
      </c>
      <c r="M28" s="84">
        <v>5</v>
      </c>
    </row>
    <row r="29" spans="1:13">
      <c r="A29" s="84" t="s">
        <v>1352</v>
      </c>
      <c r="B29" s="84" t="s">
        <v>1353</v>
      </c>
      <c r="C29" s="89" t="s">
        <v>1354</v>
      </c>
      <c r="D29" s="84" t="s">
        <v>1355</v>
      </c>
      <c r="E29" s="84" t="s">
        <v>1356</v>
      </c>
      <c r="F29" s="90">
        <v>20</v>
      </c>
      <c r="G29" s="82" t="s">
        <v>1357</v>
      </c>
      <c r="H29" s="90">
        <v>10</v>
      </c>
      <c r="I29" s="90">
        <v>10</v>
      </c>
      <c r="J29" s="90">
        <v>0</v>
      </c>
      <c r="K29" s="84" t="s">
        <v>1204</v>
      </c>
      <c r="L29" s="84" t="s">
        <v>725</v>
      </c>
      <c r="M29" s="84">
        <v>10</v>
      </c>
    </row>
    <row r="30" spans="1:13">
      <c r="A30" s="84" t="s">
        <v>1358</v>
      </c>
      <c r="B30" s="84" t="s">
        <v>1359</v>
      </c>
      <c r="C30" s="89" t="s">
        <v>1360</v>
      </c>
      <c r="D30" s="84" t="s">
        <v>1361</v>
      </c>
      <c r="E30" s="84" t="s">
        <v>1362</v>
      </c>
      <c r="F30" s="90">
        <v>20</v>
      </c>
      <c r="G30" s="82" t="s">
        <v>1363</v>
      </c>
      <c r="H30" s="90">
        <v>10</v>
      </c>
      <c r="I30" s="90">
        <v>5</v>
      </c>
      <c r="J30" s="90">
        <v>0</v>
      </c>
      <c r="K30" s="84" t="s">
        <v>1204</v>
      </c>
      <c r="L30" s="84" t="s">
        <v>717</v>
      </c>
      <c r="M30" s="84">
        <v>10</v>
      </c>
    </row>
    <row r="31" spans="1:11">
      <c r="A31" s="84"/>
      <c r="B31" s="84"/>
      <c r="C31" s="89"/>
      <c r="D31" s="84"/>
      <c r="G31" s="82"/>
      <c r="H31" s="90"/>
      <c r="I31" s="90"/>
      <c r="J31" s="90"/>
      <c r="K31" s="84"/>
    </row>
  </sheetData>
  <pageMargins left="0.75" right="0.75" top="1" bottom="1"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G31"/>
  <sheetViews>
    <sheetView zoomScaleNormal="100" workbookViewId="0">
      <pane xSplit="1" ySplit="1" topLeftCell="B2" activePane="bottomRight" state="frozen"/>
      <selection pane="topRight" activeCell="B1" sqref="B1"/>
      <selection pane="bottomLeft" activeCell="A2" sqref="A2"/>
      <selection pane="bottomRight" activeCell="I13" sqref="I13"/>
    </sheetView>
  </sheetViews>
  <sheetFormatPr defaultColWidth="8.7109375" defaultRowHeight="15"/>
  <cols>
    <col min="1" max="1" width="10" customWidth="1"/>
    <col min="2" max="2" width="26" customWidth="1"/>
    <col min="3" max="3" width="16" customWidth="1"/>
    <col min="4" max="4" width="22" customWidth="1"/>
    <col min="5" max="5" width="13" customWidth="1"/>
    <col min="6" max="6" width="22" customWidth="1"/>
    <col min="7" max="7" width="18" customWidth="1"/>
  </cols>
  <sheetData>
    <row r="1" spans="1:7" ht="31.5" customHeight="1">
      <c r="A1" s="2" t="s">
        <v>1364</v>
      </c>
      <c r="B1" s="2" t="s">
        <v>1365</v>
      </c>
      <c r="C1" s="2" t="s">
        <v>1366</v>
      </c>
      <c r="D1" s="2" t="s">
        <v>570</v>
      </c>
      <c r="E1" s="2" t="s">
        <v>950</v>
      </c>
      <c r="F1" s="2" t="s">
        <v>1367</v>
      </c>
      <c r="G1" s="2" t="s">
        <v>4849</v>
      </c>
    </row>
    <row r="2" spans="1:7" ht="26.85" customHeight="1">
      <c r="A2" s="4" t="s">
        <v>1245</v>
      </c>
      <c r="B2" s="4" t="s">
        <v>1279</v>
      </c>
      <c r="C2" s="11" t="s">
        <v>1368</v>
      </c>
      <c r="D2" s="4" t="s">
        <v>1369</v>
      </c>
      <c r="E2" s="4" t="s">
        <v>1370</v>
      </c>
      <c r="F2" s="91" t="inlineStr">
        <is>
          <t xml:space="preserve">M11, M16</t>
        </is>
      </c>
      <c r="G2">
        <v>30</v>
      </c>
    </row>
    <row r="3" spans="1:7" ht="17.100000000000001" customHeight="1">
      <c r="A3" s="4" t="s">
        <v>1233</v>
      </c>
      <c r="B3" s="4" t="s">
        <v>1284</v>
      </c>
      <c r="C3" s="11" t="s">
        <v>1372</v>
      </c>
      <c r="D3" s="4" t="s">
        <v>1373</v>
      </c>
      <c r="E3" s="4" t="s">
        <v>1370</v>
      </c>
      <c r="F3" s="91" t="inlineStr">
        <is>
          <t xml:space="preserve">M08, M17</t>
        </is>
      </c>
      <c r="G3">
        <v>35</v>
      </c>
    </row>
    <row r="4" spans="1:7" ht="26.85" customHeight="1">
      <c r="A4" s="4" t="s">
        <v>1292</v>
      </c>
      <c r="B4" s="4" t="s">
        <v>1289</v>
      </c>
      <c r="C4" s="11" t="s">
        <v>1375</v>
      </c>
      <c r="D4" s="4" t="s">
        <v>1376</v>
      </c>
      <c r="E4" s="4" t="s">
        <v>1377</v>
      </c>
      <c r="F4" s="91" t="s">
        <v>1288</v>
      </c>
      <c r="G4">
        <v>45</v>
      </c>
    </row>
    <row r="5" spans="1:7" ht="17.100000000000001" customHeight="1">
      <c r="A5" s="4" t="s">
        <v>1265</v>
      </c>
      <c r="B5" s="4" t="s">
        <v>1294</v>
      </c>
      <c r="C5" s="11" t="s">
        <v>1378</v>
      </c>
      <c r="D5" s="4" t="s">
        <v>1379</v>
      </c>
      <c r="E5" s="4" t="s">
        <v>1377</v>
      </c>
      <c r="F5" s="91" t="s">
        <v>1380</v>
      </c>
      <c r="G5">
        <v>20</v>
      </c>
    </row>
    <row r="6" spans="1:7" ht="17.100000000000001" customHeight="1">
      <c r="A6" s="4" t="s">
        <v>1302</v>
      </c>
      <c r="B6" s="4" t="s">
        <v>1299</v>
      </c>
      <c r="C6" s="11" t="s">
        <v>1381</v>
      </c>
      <c r="D6" s="4" t="s">
        <v>1382</v>
      </c>
      <c r="E6" s="4" t="s">
        <v>1383</v>
      </c>
      <c r="F6" s="91" t="s">
        <v>1298</v>
      </c>
      <c r="G6">
        <v>20</v>
      </c>
    </row>
    <row r="7" spans="1:7" ht="17.100000000000001" customHeight="1">
      <c r="A7" s="4" t="s">
        <v>1308</v>
      </c>
      <c r="B7" s="4" t="s">
        <v>1305</v>
      </c>
      <c r="C7" s="11" t="s">
        <v>1384</v>
      </c>
      <c r="D7" s="4" t="s">
        <v>1385</v>
      </c>
      <c r="E7" s="4" t="s">
        <v>1377</v>
      </c>
      <c r="F7" s="91" t="s">
        <v>1304</v>
      </c>
      <c r="G7">
        <v>35</v>
      </c>
    </row>
    <row r="8" spans="1:7" ht="17.100000000000001" customHeight="1">
      <c r="A8" s="4" t="s">
        <v>1314</v>
      </c>
      <c r="B8" s="4" t="s">
        <v>1311</v>
      </c>
      <c r="C8" s="11" t="s">
        <v>1386</v>
      </c>
      <c r="D8" s="4" t="s">
        <v>1387</v>
      </c>
      <c r="E8" s="4" t="s">
        <v>1377</v>
      </c>
      <c r="F8" s="91" t="s">
        <v>1310</v>
      </c>
      <c r="G8">
        <v>15</v>
      </c>
    </row>
    <row r="9" spans="1:7" ht="17.100000000000001" customHeight="1">
      <c r="A9" s="4" t="s">
        <v>1226</v>
      </c>
      <c r="B9" s="4" t="s">
        <v>1317</v>
      </c>
      <c r="C9" s="11" t="s">
        <v>1388</v>
      </c>
      <c r="D9" s="4" t="s">
        <v>1389</v>
      </c>
      <c r="E9" s="4" t="s">
        <v>1383</v>
      </c>
      <c r="F9" s="91" t="s">
        <v>1390</v>
      </c>
      <c r="G9">
        <v>10</v>
      </c>
    </row>
    <row r="10" spans="1:7" ht="17.100000000000001" customHeight="1">
      <c r="A10" s="4" t="s">
        <v>1220</v>
      </c>
      <c r="B10" s="4" t="s">
        <v>1217</v>
      </c>
      <c r="C10" s="11" t="s">
        <v>1218</v>
      </c>
      <c r="D10" s="4" t="s">
        <v>1219</v>
      </c>
      <c r="E10" s="4" t="s">
        <v>1383</v>
      </c>
      <c r="F10" s="91" t="s">
        <v>1391</v>
      </c>
      <c r="G10">
        <v>15</v>
      </c>
    </row>
    <row r="11" spans="1:7" ht="17.100000000000001" customHeight="1">
      <c r="A11" s="4" t="s">
        <v>1214</v>
      </c>
      <c r="B11" s="4" t="s">
        <v>1211</v>
      </c>
      <c r="C11" s="11" t="s">
        <v>1212</v>
      </c>
      <c r="D11" s="4" t="s">
        <v>1213</v>
      </c>
      <c r="E11" s="4" t="s">
        <v>1383</v>
      </c>
      <c r="F11" s="91" t="s">
        <v>1392</v>
      </c>
      <c r="G11">
        <v>15</v>
      </c>
    </row>
    <row r="12" spans="1:7">
      <c r="A12" s="84" t="s">
        <v>1333</v>
      </c>
      <c r="B12" s="84" t="s">
        <v>1393</v>
      </c>
      <c r="C12" s="89" t="s">
        <v>1394</v>
      </c>
      <c r="D12" s="84" t="s">
        <v>1395</v>
      </c>
      <c r="E12" s="84" t="s">
        <v>1377</v>
      </c>
      <c r="F12" s="84" t="s">
        <v>1329</v>
      </c>
      <c r="G12">
        <v>10</v>
      </c>
    </row>
    <row r="13" spans="1:7" ht="15" customHeight="1">
      <c r="A13" s="84" t="s">
        <v>1339</v>
      </c>
      <c r="B13" s="84" t="s">
        <v>1396</v>
      </c>
      <c r="C13" s="89" t="s">
        <v>1397</v>
      </c>
      <c r="D13" s="92" t="s">
        <v>1398</v>
      </c>
      <c r="E13" s="84" t="s">
        <v>1377</v>
      </c>
      <c r="F13" s="84" t="s">
        <v>1335</v>
      </c>
      <c r="G13">
        <v>20</v>
      </c>
    </row>
    <row r="14" spans="1:7" ht="15" customHeight="1">
      <c r="A14" s="84" t="s">
        <v>1345</v>
      </c>
      <c r="B14" s="84" t="s">
        <v>1399</v>
      </c>
      <c r="C14" s="89" t="s">
        <v>1400</v>
      </c>
      <c r="D14" s="91" t="s">
        <v>1401</v>
      </c>
      <c r="E14" s="91" t="s">
        <v>1383</v>
      </c>
      <c r="F14" s="84" t="s">
        <v>1341</v>
      </c>
      <c r="G14">
        <v>20</v>
      </c>
    </row>
    <row r="15" spans="1:7" ht="15" customHeight="1">
      <c r="A15" s="84" t="s">
        <v>1350</v>
      </c>
      <c r="B15" s="84" t="s">
        <v>1402</v>
      </c>
      <c r="C15" s="89" t="s">
        <v>1403</v>
      </c>
      <c r="D15" s="91" t="s">
        <v>1404</v>
      </c>
      <c r="E15" s="91" t="s">
        <v>1377</v>
      </c>
      <c r="F15" s="84" t="s">
        <v>1346</v>
      </c>
      <c r="G15">
        <v>20</v>
      </c>
    </row>
    <row r="16" spans="1:7" ht="15" customHeight="1">
      <c r="A16" s="84" t="s">
        <v>1356</v>
      </c>
      <c r="B16" s="84" t="s">
        <v>1405</v>
      </c>
      <c r="C16" s="89" t="s">
        <v>1406</v>
      </c>
      <c r="D16" s="91" t="s">
        <v>1407</v>
      </c>
      <c r="E16" s="91" t="s">
        <v>1383</v>
      </c>
      <c r="F16" s="84" t="s">
        <v>1352</v>
      </c>
      <c r="G16">
        <v>15</v>
      </c>
    </row>
    <row r="17" spans="1:7">
      <c r="A17" s="84" t="s">
        <v>1362</v>
      </c>
      <c r="B17" s="84" t="s">
        <v>1408</v>
      </c>
      <c r="C17" s="89" t="s">
        <v>1409</v>
      </c>
      <c r="D17" s="84" t="s">
        <v>1410</v>
      </c>
      <c r="E17" s="84" t="s">
        <v>1383</v>
      </c>
      <c r="F17" s="84" t="s">
        <v>1358</v>
      </c>
      <c r="G17">
        <v>15</v>
      </c>
    </row>
    <row r="18" spans="1:7">
      <c r="A18" t="s">
        <v>1411</v>
      </c>
      <c r="B18" t="s">
        <v>4999</v>
      </c>
      <c r="C18" t="s">
        <v>1412</v>
      </c>
      <c r="D18" t="s">
        <v>1413</v>
      </c>
      <c r="E18" t="s">
        <v>1383</v>
      </c>
      <c r="G18">
        <v>20</v>
      </c>
    </row>
    <row r="19" spans="1:7">
      <c r="A19" t="s">
        <v>1414</v>
      </c>
      <c r="B19" t="s">
        <v>1415</v>
      </c>
      <c r="C19" t="s">
        <v>1416</v>
      </c>
      <c r="D19" t="s">
        <v>1417</v>
      </c>
      <c r="E19" t="s">
        <v>1377</v>
      </c>
      <c r="G19">
        <v>35</v>
      </c>
    </row>
    <row r="20">
      <c r="A20" t="inlineStr">
        <is>
          <t xml:space="preserve">BO19</t>
        </is>
      </c>
      <c r="B20" t="inlineStr">
        <is>
          <t xml:space="preserve">Buddhist Temples Association</t>
        </is>
      </c>
      <c r="C20" t="inlineStr">
        <is>
          <t xml:space="preserve">仏教寺院連合</t>
        </is>
      </c>
      <c r="D20" t="inlineStr">
        <is>
          <t xml:space="preserve">Bukkyō Jiin Rengō</t>
        </is>
      </c>
      <c r="E20" t="inlineStr">
        <is>
          <t xml:space="preserve">National</t>
        </is>
      </c>
    </row>
    <row r="21">
      <c r="A21" t="inlineStr">
        <is>
          <t xml:space="preserve">BO20</t>
        </is>
      </c>
      <c r="B21" t="inlineStr">
        <is>
          <t xml:space="preserve">Shrine Association</t>
        </is>
      </c>
      <c r="C21" t="inlineStr">
        <is>
          <t xml:space="preserve">神社会</t>
        </is>
      </c>
      <c r="D21" t="inlineStr">
        <is>
          <t xml:space="preserve">Jinja-kai</t>
        </is>
      </c>
      <c r="E21" t="inlineStr">
        <is>
          <t xml:space="preserve">National</t>
        </is>
      </c>
    </row>
    <row r="22">
      <c r="A22" t="inlineStr">
        <is>
          <t xml:space="preserve">BO21</t>
        </is>
      </c>
      <c r="B22" t="inlineStr">
        <is>
          <t xml:space="preserve">Care and Welfare Council</t>
        </is>
      </c>
      <c r="C22" t="inlineStr">
        <is>
          <t xml:space="preserve">福祉協議会</t>
        </is>
      </c>
      <c r="D22" t="inlineStr">
        <is>
          <t xml:space="preserve">Fukushi Kyōgikai</t>
        </is>
      </c>
      <c r="E22" t="inlineStr">
        <is>
          <t xml:space="preserve">National</t>
        </is>
      </c>
    </row>
    <row r="23">
      <c r="A23" t="inlineStr">
        <is>
          <t xml:space="preserve">BO22</t>
        </is>
      </c>
      <c r="B23" t="inlineStr">
        <is>
          <t xml:space="preserve">Veterans' Association</t>
        </is>
      </c>
      <c r="C23" t="inlineStr">
        <is>
          <t xml:space="preserve">退役軍人会</t>
        </is>
      </c>
      <c r="D23" t="inlineStr">
        <is>
          <t xml:space="preserve">Taieki Gunjin-kai</t>
        </is>
      </c>
      <c r="E23" t="inlineStr">
        <is>
          <t xml:space="preserve">National</t>
        </is>
      </c>
    </row>
    <row r="24">
      <c r="A24" t="inlineStr">
        <is>
          <t xml:space="preserve">BO23</t>
        </is>
      </c>
      <c r="B24" t="inlineStr">
        <is>
          <t xml:space="preserve">Taxpayers' Alliance</t>
        </is>
      </c>
      <c r="C24" t="inlineStr">
        <is>
          <t xml:space="preserve">納税者連盟</t>
        </is>
      </c>
      <c r="D24" t="inlineStr">
        <is>
          <t xml:space="preserve">Nōzeisha Renmei</t>
        </is>
      </c>
      <c r="E24" t="inlineStr">
        <is>
          <t xml:space="preserve">National</t>
        </is>
      </c>
    </row>
    <row r="25">
      <c r="A25" t="inlineStr">
        <is>
          <t xml:space="preserve">BO24</t>
        </is>
      </c>
      <c r="B25" t="inlineStr">
        <is>
          <t xml:space="preserve">Financial Industry Association</t>
        </is>
      </c>
      <c r="C25" t="inlineStr">
        <is>
          <t xml:space="preserve">金融業協会</t>
        </is>
      </c>
      <c r="D25" t="inlineStr">
        <is>
          <t xml:space="preserve">Kin'yūgyō Kyōkai</t>
        </is>
      </c>
      <c r="E25" t="inlineStr">
        <is>
          <t xml:space="preserve">National</t>
        </is>
      </c>
    </row>
    <row r="26">
      <c r="A26" t="inlineStr">
        <is>
          <t xml:space="preserve">BO25</t>
        </is>
      </c>
      <c r="B26" t="inlineStr">
        <is>
          <t xml:space="preserve">Small Business Owners' Association</t>
        </is>
      </c>
      <c r="C26" t="inlineStr">
        <is>
          <t xml:space="preserve">中小企業主会</t>
        </is>
      </c>
      <c r="D26" t="inlineStr">
        <is>
          <t xml:space="preserve">Chūshō Kigyōnushi-kai</t>
        </is>
      </c>
      <c r="E26" t="inlineStr">
        <is>
          <t xml:space="preserve">Constituency</t>
        </is>
      </c>
    </row>
    <row r="27">
      <c r="A27" t="inlineStr">
        <is>
          <t xml:space="preserve">BO26</t>
        </is>
      </c>
      <c r="B27" t="inlineStr">
        <is>
          <t xml:space="preserve">Consumer Advocacy Network</t>
        </is>
      </c>
      <c r="C27" t="inlineStr">
        <is>
          <t xml:space="preserve">消費者ネットワーク</t>
        </is>
      </c>
      <c r="D27" t="inlineStr">
        <is>
          <t xml:space="preserve">Shōhisha Nettowāku</t>
        </is>
      </c>
      <c r="E27" t="inlineStr">
        <is>
          <t xml:space="preserve">Constituency</t>
        </is>
      </c>
    </row>
    <row r="28">
      <c r="A28" t="inlineStr">
        <is>
          <t xml:space="preserve">BO27</t>
        </is>
      </c>
      <c r="B28" t="inlineStr">
        <is>
          <t xml:space="preserve">Urban Neighbourhood Alliance</t>
        </is>
      </c>
      <c r="C28" t="inlineStr">
        <is>
          <t xml:space="preserve">都市部町内連合</t>
        </is>
      </c>
      <c r="D28" t="inlineStr">
        <is>
          <t xml:space="preserve">Toshibu Chōnai Rengō</t>
        </is>
      </c>
      <c r="E28" t="inlineStr">
        <is>
          <t xml:space="preserve">Constituency</t>
        </is>
      </c>
    </row>
    <row r="29">
      <c r="A29" t="inlineStr">
        <is>
          <t xml:space="preserve">BO28</t>
        </is>
      </c>
      <c r="B29" t="inlineStr">
        <is>
          <t xml:space="preserve">Ainu Community Council</t>
        </is>
      </c>
      <c r="C29" t="inlineStr">
        <is>
          <t xml:space="preserve">アイヌ協議会</t>
        </is>
      </c>
      <c r="D29" t="inlineStr">
        <is>
          <t xml:space="preserve">Ainu Kyōgikai</t>
        </is>
      </c>
      <c r="E29" t="inlineStr">
        <is>
          <t xml:space="preserve">Constituency</t>
        </is>
      </c>
    </row>
    <row r="30">
      <c r="A30" t="inlineStr">
        <is>
          <t xml:space="preserve">BO29</t>
        </is>
      </c>
      <c r="B30" t="inlineStr">
        <is>
          <t xml:space="preserve">Ainu Language and Culture Foundation</t>
        </is>
      </c>
      <c r="C30" t="inlineStr">
        <is>
          <t xml:space="preserve">アイヌ語文化財団</t>
        </is>
      </c>
      <c r="D30" t="inlineStr">
        <is>
          <t xml:space="preserve">Ainugo Bunka Zaidan</t>
        </is>
      </c>
      <c r="E30" t="inlineStr">
        <is>
          <t xml:space="preserve">National</t>
        </is>
      </c>
    </row>
    <row r="31">
      <c r="A31" t="inlineStr">
        <is>
          <t xml:space="preserve">BO30</t>
        </is>
      </c>
      <c r="B31" t="inlineStr">
        <is>
          <t xml:space="preserve">Rural Revitalization Council</t>
        </is>
      </c>
      <c r="C31" t="inlineStr">
        <is>
          <t xml:space="preserve">地域振興会議</t>
        </is>
      </c>
      <c r="D31" t="inlineStr">
        <is>
          <t xml:space="preserve">Chiiki Shinkō Kaigi</t>
        </is>
      </c>
      <c r="E31" t="inlineStr">
        <is>
          <t xml:space="preserve">Constituency</t>
        </is>
      </c>
    </row>
  </sheetData>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4"/>
  <sheetViews>
    <sheetView workbookViewId="0">
      <pane ySplit="1" topLeftCell="A2" activePane="bottomLeft" state="frozen"/>
      <selection pane="bottomLeft" activeCell="B22" sqref="B22"/>
    </sheetView>
  </sheetViews>
  <sheetFormatPr defaultRowHeight="15"/>
  <cols>
    <col min="2" max="2" width="20.85546875" customWidth="1"/>
    <col min="3" max="3" width="24" customWidth="1"/>
    <col min="6" max="6" width="21.5703125" customWidth="1"/>
    <col min="7" max="7" width="20" customWidth="1"/>
  </cols>
  <sheetData>
    <row r="1" spans="1:29" ht="75" customHeight="1">
      <c r="A1" s="100" t="s">
        <v>1418</v>
      </c>
      <c r="B1" s="100" t="s">
        <v>1419</v>
      </c>
      <c r="C1" s="100" t="s">
        <v>1154</v>
      </c>
      <c r="D1" s="100" t="s">
        <v>1420</v>
      </c>
      <c r="E1" s="100" t="s">
        <v>1421</v>
      </c>
      <c r="F1" s="100" t="s">
        <v>1422</v>
      </c>
      <c r="G1" s="100" t="s">
        <v>1423</v>
      </c>
      <c r="H1" s="100" t="s">
        <v>1424</v>
      </c>
      <c r="I1" s="100" t="s">
        <v>1425</v>
      </c>
      <c r="J1" s="100" t="s">
        <v>1426</v>
      </c>
      <c r="K1" s="100" t="s">
        <v>1427</v>
      </c>
      <c r="L1" s="100" t="s">
        <v>1428</v>
      </c>
      <c r="M1" s="100" t="s">
        <v>1429</v>
      </c>
      <c r="N1" s="100" t="s">
        <v>1430</v>
      </c>
      <c r="O1" s="100" t="s">
        <v>1431</v>
      </c>
      <c r="P1" s="100" t="s">
        <v>1432</v>
      </c>
      <c r="Q1" s="100" t="s">
        <v>1433</v>
      </c>
      <c r="R1" s="100" t="s">
        <v>1434</v>
      </c>
      <c r="S1" s="100" t="s">
        <v>1435</v>
      </c>
      <c r="T1" s="100" t="s">
        <v>1436</v>
      </c>
      <c r="U1" s="100" t="s">
        <v>1437</v>
      </c>
      <c r="V1" s="100" t="s">
        <v>1438</v>
      </c>
      <c r="W1" s="100" t="s">
        <v>1439</v>
      </c>
      <c r="X1" s="100" t="s">
        <v>1440</v>
      </c>
      <c r="Y1" s="100" t="s">
        <v>1441</v>
      </c>
      <c r="Z1" s="100" t="s">
        <v>1442</v>
      </c>
      <c r="AA1" s="100" t="s">
        <v>758</v>
      </c>
      <c r="AB1" s="100" t="s">
        <v>1443</v>
      </c>
      <c r="AC1" s="100" t="s">
        <v>1444</v>
      </c>
    </row>
    <row r="2" spans="1:29" ht="135" customHeight="1">
      <c r="A2" s="101" t="s">
        <v>1445</v>
      </c>
      <c r="B2" s="101" t="s">
        <v>1446</v>
      </c>
      <c r="C2" s="101" t="s">
        <v>1447</v>
      </c>
      <c r="D2" s="102">
        <v>0</v>
      </c>
      <c r="E2" s="102">
        <v>200000</v>
      </c>
      <c r="F2" s="101" t="s">
        <v>1448</v>
      </c>
      <c r="G2" s="101" t="s">
        <v>1449</v>
      </c>
      <c r="H2" s="101" t="s">
        <v>1450</v>
      </c>
      <c r="I2" s="101" t="s">
        <v>1451</v>
      </c>
      <c r="J2" s="101" t="s">
        <v>671</v>
      </c>
      <c r="K2" s="101" t="s">
        <v>650</v>
      </c>
      <c r="O2" s="102">
        <v>1</v>
      </c>
      <c r="Q2" s="101" t="s">
        <v>1452</v>
      </c>
      <c r="R2" s="102">
        <v>1</v>
      </c>
      <c r="S2" s="102">
        <v>0</v>
      </c>
      <c r="T2" s="101" t="s">
        <v>1452</v>
      </c>
      <c r="U2" s="102">
        <v>2</v>
      </c>
      <c r="V2" s="102">
        <v>1</v>
      </c>
    </row>
    <row r="3" spans="1:29" ht="135" customHeight="1">
      <c r="A3" s="101" t="s">
        <v>1453</v>
      </c>
      <c r="B3" s="101" t="s">
        <v>1454</v>
      </c>
      <c r="C3" s="101" t="s">
        <v>1455</v>
      </c>
      <c r="D3" s="102">
        <v>0</v>
      </c>
      <c r="E3" s="102">
        <v>200000</v>
      </c>
      <c r="F3" s="101" t="s">
        <v>1456</v>
      </c>
      <c r="G3" s="101" t="s">
        <v>1457</v>
      </c>
      <c r="H3" s="101" t="s">
        <v>1458</v>
      </c>
      <c r="I3" s="101" t="s">
        <v>1459</v>
      </c>
      <c r="J3" s="101" t="s">
        <v>671</v>
      </c>
      <c r="K3" s="101" t="s">
        <v>650</v>
      </c>
      <c r="O3" s="102">
        <v>1</v>
      </c>
      <c r="Q3" s="101" t="s">
        <v>1460</v>
      </c>
      <c r="R3" s="102">
        <v>1</v>
      </c>
      <c r="S3" s="102">
        <v>0</v>
      </c>
      <c r="T3" s="101" t="s">
        <v>1460</v>
      </c>
      <c r="U3" s="102">
        <v>2</v>
      </c>
      <c r="V3" s="102">
        <v>2</v>
      </c>
    </row>
    <row r="4" spans="1:29" ht="120" customHeight="1">
      <c r="A4" s="101" t="s">
        <v>1461</v>
      </c>
      <c r="B4" s="101" t="s">
        <v>1462</v>
      </c>
      <c r="C4" s="101" t="s">
        <v>1463</v>
      </c>
      <c r="D4" s="102">
        <v>0</v>
      </c>
      <c r="E4" s="102">
        <v>200000</v>
      </c>
      <c r="F4" s="101" t="s">
        <v>1464</v>
      </c>
      <c r="G4" s="101" t="s">
        <v>1465</v>
      </c>
      <c r="H4" s="101" t="s">
        <v>1466</v>
      </c>
      <c r="I4" s="101" t="s">
        <v>1467</v>
      </c>
      <c r="J4" s="101" t="s">
        <v>671</v>
      </c>
      <c r="K4" s="101" t="s">
        <v>650</v>
      </c>
      <c r="O4" s="102">
        <v>1</v>
      </c>
      <c r="Q4" s="101" t="s">
        <v>556</v>
      </c>
      <c r="R4" s="102">
        <v>1</v>
      </c>
      <c r="S4" s="102">
        <v>0</v>
      </c>
      <c r="T4" s="101" t="s">
        <v>556</v>
      </c>
      <c r="U4" s="102">
        <v>2</v>
      </c>
      <c r="V4" s="102">
        <v>2</v>
      </c>
    </row>
    <row r="5" spans="1:29" ht="45" customHeight="1">
      <c r="A5" s="101" t="s">
        <v>1468</v>
      </c>
      <c r="B5" s="101" t="s">
        <v>1469</v>
      </c>
      <c r="C5" s="101" t="s">
        <v>1470</v>
      </c>
      <c r="D5" s="102">
        <v>0</v>
      </c>
      <c r="E5" s="102">
        <v>10000</v>
      </c>
      <c r="F5" s="103" t="s">
        <v>796</v>
      </c>
      <c r="G5" s="103" t="s">
        <v>796</v>
      </c>
      <c r="H5" s="101" t="s">
        <v>1471</v>
      </c>
      <c r="I5" s="101" t="s">
        <v>1472</v>
      </c>
      <c r="J5" s="101" t="s">
        <v>671</v>
      </c>
      <c r="K5" s="101" t="s">
        <v>671</v>
      </c>
      <c r="L5" s="101" t="s">
        <v>1473</v>
      </c>
      <c r="M5" s="102">
        <v>1</v>
      </c>
    </row>
    <row r="6" spans="1:29" ht="60" customHeight="1">
      <c r="A6" s="101" t="s">
        <v>1474</v>
      </c>
      <c r="B6" s="101" t="s">
        <v>1475</v>
      </c>
      <c r="C6" s="101" t="s">
        <v>1476</v>
      </c>
      <c r="D6" s="102">
        <v>0</v>
      </c>
      <c r="E6" s="102">
        <v>10000</v>
      </c>
      <c r="F6" s="103" t="s">
        <v>796</v>
      </c>
      <c r="G6" s="103" t="s">
        <v>796</v>
      </c>
      <c r="H6" s="101" t="s">
        <v>1477</v>
      </c>
      <c r="I6" s="101" t="s">
        <v>1478</v>
      </c>
      <c r="J6" s="101" t="s">
        <v>671</v>
      </c>
      <c r="K6" s="101" t="s">
        <v>671</v>
      </c>
      <c r="L6" s="101" t="s">
        <v>1473</v>
      </c>
      <c r="M6" s="102">
        <v>1</v>
      </c>
    </row>
    <row r="7" spans="1:29" ht="60" customHeight="1">
      <c r="A7" s="101" t="s">
        <v>1479</v>
      </c>
      <c r="B7" s="101" t="s">
        <v>1480</v>
      </c>
      <c r="C7" s="101" t="s">
        <v>1481</v>
      </c>
      <c r="D7" s="102">
        <v>0</v>
      </c>
      <c r="E7" s="102">
        <v>10000</v>
      </c>
      <c r="F7" s="103" t="s">
        <v>796</v>
      </c>
      <c r="G7" s="103" t="s">
        <v>796</v>
      </c>
      <c r="H7" s="101" t="s">
        <v>1482</v>
      </c>
      <c r="I7" s="101" t="s">
        <v>1483</v>
      </c>
      <c r="J7" s="101" t="s">
        <v>671</v>
      </c>
      <c r="K7" s="101" t="s">
        <v>671</v>
      </c>
      <c r="L7" s="101" t="s">
        <v>1473</v>
      </c>
      <c r="M7" s="102">
        <v>1</v>
      </c>
    </row>
    <row r="8" spans="1:29" ht="45" customHeight="1">
      <c r="A8" s="101" t="s">
        <v>1484</v>
      </c>
      <c r="B8" s="101" t="s">
        <v>1485</v>
      </c>
      <c r="C8" s="101" t="s">
        <v>1486</v>
      </c>
      <c r="D8" s="102">
        <v>0</v>
      </c>
      <c r="E8" s="102">
        <v>10000</v>
      </c>
      <c r="F8" s="103" t="s">
        <v>796</v>
      </c>
      <c r="G8" s="103" t="s">
        <v>796</v>
      </c>
      <c r="H8" s="101" t="s">
        <v>1487</v>
      </c>
      <c r="I8" s="101" t="s">
        <v>1488</v>
      </c>
      <c r="J8" s="101" t="s">
        <v>671</v>
      </c>
      <c r="K8" s="101" t="s">
        <v>671</v>
      </c>
      <c r="L8" s="101" t="s">
        <v>1473</v>
      </c>
      <c r="M8" s="102">
        <v>1</v>
      </c>
    </row>
    <row r="9" spans="1:29" ht="45" customHeight="1">
      <c r="A9" s="101" t="s">
        <v>1489</v>
      </c>
      <c r="B9" s="101" t="s">
        <v>6891</v>
      </c>
      <c r="C9" s="101" t="s">
        <v>1491</v>
      </c>
      <c r="D9" s="102">
        <v>0</v>
      </c>
      <c r="E9" s="102">
        <v>10000</v>
      </c>
      <c r="F9" s="103" t="s">
        <v>796</v>
      </c>
      <c r="G9" s="103" t="s">
        <v>796</v>
      </c>
      <c r="H9" s="101" t="s">
        <v>1492</v>
      </c>
      <c r="I9" s="101" t="s">
        <v>1493</v>
      </c>
      <c r="J9" s="101" t="s">
        <v>671</v>
      </c>
      <c r="K9" s="101" t="s">
        <v>671</v>
      </c>
      <c r="L9" s="101" t="s">
        <v>1473</v>
      </c>
      <c r="M9" s="102">
        <v>1</v>
      </c>
    </row>
    <row r="10" spans="1:29" ht="60" customHeight="1">
      <c r="A10" s="101" t="s">
        <v>1494</v>
      </c>
      <c r="B10" s="101" t="s">
        <v>1507</v>
      </c>
      <c r="C10" s="101" t="s">
        <v>1508</v>
      </c>
      <c r="D10" s="102">
        <v>250</v>
      </c>
      <c r="E10" s="102">
        <v>0</v>
      </c>
      <c r="F10" s="101" t="s">
        <v>1509</v>
      </c>
      <c r="G10" s="103" t="s">
        <v>796</v>
      </c>
      <c r="I10" s="101" t="s">
        <v>1510</v>
      </c>
      <c r="J10" s="101" t="s">
        <v>650</v>
      </c>
      <c r="K10" s="101" t="s">
        <v>650</v>
      </c>
      <c r="Z10" s="102">
        <v>1</v>
      </c>
    </row>
    <row r="11" spans="1:29" ht="60" customHeight="1">
      <c r="A11" s="101" t="s">
        <v>1496</v>
      </c>
      <c r="B11" s="101" t="s">
        <v>1512</v>
      </c>
      <c r="C11" s="101" t="s">
        <v>1513</v>
      </c>
      <c r="D11" s="102">
        <v>500</v>
      </c>
      <c r="E11" s="102">
        <v>0</v>
      </c>
      <c r="F11" s="101" t="s">
        <v>1509</v>
      </c>
      <c r="G11" s="103" t="s">
        <v>796</v>
      </c>
      <c r="I11" s="101" t="s">
        <v>1514</v>
      </c>
      <c r="J11" s="101" t="s">
        <v>650</v>
      </c>
      <c r="K11" s="101" t="s">
        <v>650</v>
      </c>
      <c r="Z11" s="102">
        <v>2</v>
      </c>
    </row>
    <row r="12" spans="1:29" ht="60" customHeight="1">
      <c r="A12" s="101" t="s">
        <v>1498</v>
      </c>
      <c r="B12" s="101" t="s">
        <v>1516</v>
      </c>
      <c r="C12" s="101" t="s">
        <v>1517</v>
      </c>
      <c r="D12" s="102">
        <v>1000</v>
      </c>
      <c r="E12" s="102">
        <v>0</v>
      </c>
      <c r="F12" s="101" t="s">
        <v>1509</v>
      </c>
      <c r="G12" s="103" t="s">
        <v>796</v>
      </c>
      <c r="I12" s="101" t="s">
        <v>1518</v>
      </c>
      <c r="J12" s="101" t="s">
        <v>650</v>
      </c>
      <c r="K12" s="101" t="s">
        <v>650</v>
      </c>
      <c r="Z12" s="102">
        <v>3</v>
      </c>
    </row>
    <row r="13" spans="1:29" ht="60" customHeight="1">
      <c r="A13" s="101" t="s">
        <v>1500</v>
      </c>
      <c r="B13" s="101" t="s">
        <v>6887</v>
      </c>
      <c r="C13" s="101" t="s">
        <v>1521</v>
      </c>
      <c r="D13" s="102">
        <v>500</v>
      </c>
      <c r="E13" s="102">
        <v>0</v>
      </c>
      <c r="F13" s="103" t="s">
        <v>796</v>
      </c>
      <c r="G13" s="103" t="s">
        <v>796</v>
      </c>
      <c r="I13" s="101" t="s">
        <v>1522</v>
      </c>
      <c r="J13" s="101" t="s">
        <v>650</v>
      </c>
      <c r="K13" s="101" t="s">
        <v>650</v>
      </c>
      <c r="AB13" s="101" t="s">
        <v>671</v>
      </c>
    </row>
    <row r="14" spans="1:29" ht="45" customHeight="1">
      <c r="A14" s="101" t="s">
        <v>1502</v>
      </c>
      <c r="B14" s="101" t="s">
        <v>6886</v>
      </c>
      <c r="C14" s="101" t="s">
        <v>1525</v>
      </c>
      <c r="D14" s="102">
        <v>100</v>
      </c>
      <c r="E14" s="102">
        <v>0</v>
      </c>
      <c r="F14" s="103" t="s">
        <v>796</v>
      </c>
      <c r="G14" s="103" t="s">
        <v>796</v>
      </c>
      <c r="I14" s="101" t="s">
        <v>1526</v>
      </c>
      <c r="J14" s="101" t="s">
        <v>650</v>
      </c>
      <c r="K14" s="101" t="s">
        <v>650</v>
      </c>
      <c r="AC14" s="102">
        <v>100000</v>
      </c>
    </row>
    <row r="15" spans="1:29" ht="60" customHeight="1">
      <c r="A15" s="101" t="s">
        <v>1504</v>
      </c>
      <c r="B15" s="101" t="s">
        <v>6888</v>
      </c>
      <c r="C15" s="101" t="s">
        <v>1529</v>
      </c>
      <c r="D15" s="102">
        <v>50</v>
      </c>
      <c r="E15" s="102">
        <v>0</v>
      </c>
      <c r="F15" s="101" t="s">
        <v>1530</v>
      </c>
      <c r="G15" s="103" t="s">
        <v>796</v>
      </c>
      <c r="H15" s="101" t="s">
        <v>1482</v>
      </c>
      <c r="I15" s="101" t="s">
        <v>1531</v>
      </c>
      <c r="J15" s="101" t="s">
        <v>671</v>
      </c>
      <c r="K15" s="101" t="s">
        <v>671</v>
      </c>
      <c r="L15" s="101" t="s">
        <v>1532</v>
      </c>
      <c r="M15" s="102">
        <v>1</v>
      </c>
      <c r="N15" s="102">
        <v>2</v>
      </c>
      <c r="O15" s="102">
        <v>2</v>
      </c>
    </row>
    <row r="16" spans="1:29" ht="60" customHeight="1">
      <c r="A16" s="101" t="s">
        <v>1506</v>
      </c>
      <c r="B16" s="101" t="s">
        <v>6889</v>
      </c>
      <c r="C16" s="101" t="s">
        <v>1535</v>
      </c>
      <c r="D16" s="102">
        <v>60</v>
      </c>
      <c r="E16" s="102">
        <v>0</v>
      </c>
      <c r="F16" s="101" t="s">
        <v>1536</v>
      </c>
      <c r="G16" s="103" t="s">
        <v>796</v>
      </c>
      <c r="H16" s="101" t="s">
        <v>1471</v>
      </c>
      <c r="I16" s="101" t="s">
        <v>1537</v>
      </c>
      <c r="J16" s="101" t="s">
        <v>671</v>
      </c>
      <c r="K16" s="101" t="s">
        <v>671</v>
      </c>
      <c r="L16" s="101" t="s">
        <v>1532</v>
      </c>
      <c r="M16" s="102">
        <v>1</v>
      </c>
      <c r="N16" s="102">
        <v>3</v>
      </c>
      <c r="O16" s="102">
        <v>3</v>
      </c>
    </row>
    <row r="17" spans="1:26" ht="60" customHeight="1">
      <c r="A17" s="101" t="s">
        <v>1511</v>
      </c>
      <c r="B17" s="101" t="s">
        <v>6890</v>
      </c>
      <c r="C17" s="101" t="s">
        <v>1540</v>
      </c>
      <c r="D17" s="102">
        <v>70</v>
      </c>
      <c r="E17" s="102">
        <v>0</v>
      </c>
      <c r="F17" s="101" t="s">
        <v>1541</v>
      </c>
      <c r="G17" s="103" t="s">
        <v>796</v>
      </c>
      <c r="H17" s="101" t="s">
        <v>1492</v>
      </c>
      <c r="I17" s="101" t="s">
        <v>1542</v>
      </c>
      <c r="J17" s="101" t="s">
        <v>671</v>
      </c>
      <c r="K17" s="101" t="s">
        <v>671</v>
      </c>
      <c r="L17" s="101" t="s">
        <v>1532</v>
      </c>
      <c r="M17" s="102">
        <v>1</v>
      </c>
      <c r="N17" s="102">
        <v>5</v>
      </c>
      <c r="O17" s="102">
        <v>5</v>
      </c>
    </row>
    <row r="18" spans="1:26" ht="60" customHeight="1">
      <c r="A18" s="101" t="s">
        <v>1515</v>
      </c>
      <c r="B18" s="101" t="s">
        <v>6892</v>
      </c>
      <c r="C18" s="101" t="s">
        <v>1545</v>
      </c>
      <c r="D18" s="102">
        <v>80</v>
      </c>
      <c r="E18" s="102">
        <v>0</v>
      </c>
      <c r="F18" s="101" t="s">
        <v>1546</v>
      </c>
      <c r="G18" s="103" t="s">
        <v>796</v>
      </c>
      <c r="H18" s="101" t="s">
        <v>1477</v>
      </c>
      <c r="I18" s="101" t="s">
        <v>1547</v>
      </c>
      <c r="J18" s="101" t="s">
        <v>671</v>
      </c>
      <c r="K18" s="101" t="s">
        <v>671</v>
      </c>
      <c r="L18" s="101" t="s">
        <v>1532</v>
      </c>
      <c r="M18" s="102">
        <v>1</v>
      </c>
      <c r="N18" s="102">
        <v>5</v>
      </c>
      <c r="O18" s="102">
        <v>5</v>
      </c>
    </row>
    <row r="19" spans="1:26" ht="60" customHeight="1">
      <c r="A19" s="101" t="s">
        <v>1519</v>
      </c>
      <c r="B19" s="101" t="s">
        <v>6893</v>
      </c>
      <c r="C19" s="101" t="s">
        <v>1550</v>
      </c>
      <c r="D19" s="102">
        <v>100</v>
      </c>
      <c r="E19" s="102">
        <v>0</v>
      </c>
      <c r="F19" s="101" t="s">
        <v>1551</v>
      </c>
      <c r="G19" s="103" t="s">
        <v>796</v>
      </c>
      <c r="H19" s="101" t="s">
        <v>1487</v>
      </c>
      <c r="I19" s="101" t="s">
        <v>1552</v>
      </c>
      <c r="J19" s="101" t="s">
        <v>671</v>
      </c>
      <c r="K19" s="101" t="s">
        <v>671</v>
      </c>
      <c r="L19" s="101" t="s">
        <v>1532</v>
      </c>
      <c r="M19" s="102">
        <v>1</v>
      </c>
      <c r="N19" s="102">
        <v>3</v>
      </c>
      <c r="O19" s="102">
        <v>3</v>
      </c>
    </row>
    <row r="20" spans="1:26" ht="45" customHeight="1">
      <c r="A20" s="101" t="s">
        <v>1523</v>
      </c>
      <c r="B20" s="101" t="s">
        <v>6894</v>
      </c>
      <c r="C20" s="101" t="s">
        <v>1555</v>
      </c>
      <c r="D20" s="102">
        <v>20</v>
      </c>
      <c r="E20" s="102">
        <v>20000</v>
      </c>
      <c r="F20" s="101" t="s">
        <v>1556</v>
      </c>
      <c r="G20" s="103" t="s">
        <v>796</v>
      </c>
      <c r="H20" s="101" t="s">
        <v>1458</v>
      </c>
      <c r="I20" s="101" t="s">
        <v>1557</v>
      </c>
      <c r="J20" s="101" t="s">
        <v>671</v>
      </c>
      <c r="K20" s="101" t="s">
        <v>650</v>
      </c>
      <c r="P20" s="101" t="s">
        <v>671</v>
      </c>
    </row>
    <row r="21" spans="1:26" ht="60" customHeight="1">
      <c r="A21" s="101" t="s">
        <v>1527</v>
      </c>
      <c r="B21" s="101" t="s">
        <v>6895</v>
      </c>
      <c r="C21" s="101" t="s">
        <v>1560</v>
      </c>
      <c r="D21" s="102">
        <v>10</v>
      </c>
      <c r="E21" s="102">
        <v>10000</v>
      </c>
      <c r="F21" s="101" t="s">
        <v>1561</v>
      </c>
      <c r="G21" s="103" t="s">
        <v>796</v>
      </c>
      <c r="H21" s="101" t="s">
        <v>1562</v>
      </c>
      <c r="I21" s="101" t="s">
        <v>1563</v>
      </c>
      <c r="J21" s="101" t="s">
        <v>671</v>
      </c>
      <c r="K21" s="101" t="s">
        <v>650</v>
      </c>
      <c r="P21" s="101" t="s">
        <v>671</v>
      </c>
    </row>
    <row r="22" spans="1:26" ht="75" customHeight="1">
      <c r="A22" s="101"/>
      <c r="B22" s="101"/>
      <c r="C22" s="101"/>
      <c r="D22" s="102"/>
      <c r="E22" s="102"/>
      <c r="F22" s="103"/>
      <c r="G22" s="103"/>
      <c r="I22" s="101"/>
      <c r="J22" s="101"/>
      <c r="K22" s="101"/>
      <c r="Z22" s="102"/>
    </row>
    <row r="23" spans="1:26" ht="75" customHeight="1">
      <c r="A23" s="101"/>
      <c r="B23" s="101"/>
      <c r="C23" s="101"/>
      <c r="D23" s="102"/>
      <c r="E23" s="102"/>
      <c r="F23" s="103"/>
      <c r="G23" s="103"/>
      <c r="I23" s="101"/>
      <c r="J23" s="101"/>
      <c r="K23" s="101"/>
      <c r="Z23" s="102"/>
    </row>
    <row r="24" spans="1:26" ht="75" customHeight="1">
      <c r="A24" s="101"/>
      <c r="B24" s="101"/>
      <c r="C24" s="101"/>
      <c r="D24" s="102"/>
      <c r="E24" s="102"/>
      <c r="F24" s="103"/>
      <c r="G24" s="103"/>
      <c r="I24" s="101"/>
      <c r="J24" s="101"/>
      <c r="K24" s="101"/>
      <c r="Z24" s="102"/>
    </row>
  </sheetData>
  <phoneticPr fontId="20"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2"/>
  <sheetViews>
    <sheetView workbookViewId="0">
      <pane ySplit="1" topLeftCell="A2" activePane="bottomLeft" state="frozen"/>
      <selection pane="bottomLeft" activeCell="H28" sqref="H28"/>
    </sheetView>
  </sheetViews>
  <sheetFormatPr defaultRowHeight="15"/>
  <cols>
    <col min="1" max="1" width="8" customWidth="1"/>
    <col min="2" max="2" width="24" customWidth="1"/>
    <col min="3" max="4" width="14" customWidth="1"/>
    <col min="5" max="5" width="10" customWidth="1"/>
    <col min="6" max="6" width="12" customWidth="1"/>
    <col min="7" max="7" width="13" customWidth="1"/>
    <col min="8" max="9" width="14" customWidth="1"/>
    <col min="10" max="10" width="26" customWidth="1"/>
    <col min="11" max="11" width="34" customWidth="1"/>
    <col min="12" max="12" width="40" customWidth="1"/>
    <col min="13" max="13" width="16" customWidth="1"/>
  </cols>
  <sheetData>
    <row r="1" spans="1:13" ht="30" customHeight="1">
      <c r="A1" s="93" t="s">
        <v>1570</v>
      </c>
      <c r="B1" s="93" t="s">
        <v>1571</v>
      </c>
      <c r="C1" s="93" t="s">
        <v>1572</v>
      </c>
      <c r="D1" s="117" t="s">
        <v>503</v>
      </c>
      <c r="E1" s="93" t="s">
        <v>1573</v>
      </c>
      <c r="F1" s="93" t="s">
        <v>1574</v>
      </c>
      <c r="G1" s="93" t="s">
        <v>1575</v>
      </c>
      <c r="H1" s="93" t="s">
        <v>1576</v>
      </c>
      <c r="I1" s="93" t="s">
        <v>1577</v>
      </c>
      <c r="J1" s="93" t="s">
        <v>1578</v>
      </c>
      <c r="K1" s="93" t="s">
        <v>1579</v>
      </c>
      <c r="L1" s="93" t="s">
        <v>1580</v>
      </c>
      <c r="M1" s="93" t="s">
        <v>1581</v>
      </c>
    </row>
    <row r="2" spans="1:13">
      <c r="A2" s="78" t="s">
        <v>1582</v>
      </c>
      <c r="B2" s="78" t="s">
        <v>1452</v>
      </c>
      <c r="C2" s="78" t="s">
        <v>1583</v>
      </c>
      <c r="D2" s="78" t="s">
        <v>524</v>
      </c>
      <c r="E2" s="78">
        <v>0</v>
      </c>
      <c r="F2" s="78">
        <v>0</v>
      </c>
      <c r="G2" s="94">
        <v>10000</v>
      </c>
      <c r="H2" s="95" t="s">
        <v>796</v>
      </c>
      <c r="I2" s="95" t="s">
        <v>796</v>
      </c>
      <c r="J2" s="78" t="s">
        <v>1584</v>
      </c>
      <c r="K2" s="95" t="s">
        <v>796</v>
      </c>
      <c r="L2" s="95" t="s">
        <v>796</v>
      </c>
      <c r="M2" s="94">
        <v>1000</v>
      </c>
    </row>
    <row r="3" spans="1:13">
      <c r="A3" s="78" t="s">
        <v>1585</v>
      </c>
      <c r="B3" s="78" t="s">
        <v>1452</v>
      </c>
      <c r="C3" s="78" t="s">
        <v>1586</v>
      </c>
      <c r="D3" s="78" t="s">
        <v>524</v>
      </c>
      <c r="E3" s="78">
        <v>0</v>
      </c>
      <c r="F3" s="78">
        <v>1</v>
      </c>
      <c r="G3" s="94">
        <v>25000</v>
      </c>
      <c r="H3" s="94">
        <v>50000</v>
      </c>
      <c r="I3" s="95" t="s">
        <v>796</v>
      </c>
      <c r="J3" s="78" t="s">
        <v>1587</v>
      </c>
      <c r="K3" s="78" t="s">
        <v>1588</v>
      </c>
      <c r="L3" s="95" t="s">
        <v>796</v>
      </c>
      <c r="M3" s="94">
        <v>2500</v>
      </c>
    </row>
    <row r="4" spans="1:13">
      <c r="A4" s="78" t="s">
        <v>1589</v>
      </c>
      <c r="B4" s="78" t="s">
        <v>1452</v>
      </c>
      <c r="C4" s="78" t="s">
        <v>1590</v>
      </c>
      <c r="D4" s="78" t="s">
        <v>515</v>
      </c>
      <c r="E4" s="78">
        <v>0</v>
      </c>
      <c r="F4" s="78">
        <v>1</v>
      </c>
      <c r="G4" s="94">
        <v>25000</v>
      </c>
      <c r="H4" s="94">
        <v>50000</v>
      </c>
      <c r="I4" s="95" t="s">
        <v>796</v>
      </c>
      <c r="J4" s="78" t="s">
        <v>1587</v>
      </c>
      <c r="K4" s="78" t="s">
        <v>1591</v>
      </c>
      <c r="L4" s="95" t="s">
        <v>796</v>
      </c>
      <c r="M4" s="94">
        <v>2500</v>
      </c>
    </row>
    <row r="5" spans="1:13">
      <c r="A5" s="78" t="s">
        <v>1592</v>
      </c>
      <c r="B5" s="78" t="s">
        <v>1452</v>
      </c>
      <c r="C5" s="78" t="s">
        <v>1593</v>
      </c>
      <c r="D5" s="78" t="s">
        <v>515</v>
      </c>
      <c r="E5" s="78">
        <v>0</v>
      </c>
      <c r="F5" s="78">
        <v>2</v>
      </c>
      <c r="G5" s="94">
        <v>50000</v>
      </c>
      <c r="H5" s="94">
        <v>30000</v>
      </c>
      <c r="I5" s="94">
        <v>50000</v>
      </c>
      <c r="J5" s="78" t="s">
        <v>1594</v>
      </c>
      <c r="K5" s="78" t="s">
        <v>1595</v>
      </c>
      <c r="L5" s="78" t="s">
        <v>1596</v>
      </c>
      <c r="M5" s="94">
        <v>5000</v>
      </c>
    </row>
    <row r="6" spans="1:13">
      <c r="A6" s="78" t="s">
        <v>1597</v>
      </c>
      <c r="B6" s="78" t="s">
        <v>1452</v>
      </c>
      <c r="C6" s="78" t="s">
        <v>1598</v>
      </c>
      <c r="D6" s="78" t="s">
        <v>515</v>
      </c>
      <c r="E6" s="78">
        <v>1</v>
      </c>
      <c r="F6" s="78">
        <v>1</v>
      </c>
      <c r="G6" s="94">
        <v>75000</v>
      </c>
      <c r="H6" s="95" t="s">
        <v>796</v>
      </c>
      <c r="I6" s="95" t="s">
        <v>796</v>
      </c>
      <c r="J6" s="95" t="s">
        <v>796</v>
      </c>
      <c r="K6" s="78" t="s">
        <v>1599</v>
      </c>
      <c r="L6" s="95" t="s">
        <v>796</v>
      </c>
      <c r="M6" s="94">
        <v>7500</v>
      </c>
    </row>
    <row r="7" spans="1:13">
      <c r="A7" s="78" t="s">
        <v>1600</v>
      </c>
      <c r="B7" s="78" t="s">
        <v>1452</v>
      </c>
      <c r="C7" s="78" t="s">
        <v>1601</v>
      </c>
      <c r="D7" s="78" t="s">
        <v>524</v>
      </c>
      <c r="E7" s="78">
        <v>0</v>
      </c>
      <c r="F7" s="78">
        <v>2</v>
      </c>
      <c r="G7" s="94">
        <v>90000</v>
      </c>
      <c r="H7" s="94">
        <v>30000</v>
      </c>
      <c r="I7" s="94">
        <v>10000</v>
      </c>
      <c r="J7" s="78" t="s">
        <v>1602</v>
      </c>
      <c r="K7" s="78" t="s">
        <v>1603</v>
      </c>
      <c r="L7" s="78" t="s">
        <v>1604</v>
      </c>
      <c r="M7" s="94">
        <v>9000</v>
      </c>
    </row>
    <row r="8" spans="1:13">
      <c r="A8" s="78" t="s">
        <v>1605</v>
      </c>
      <c r="B8" s="78" t="s">
        <v>1452</v>
      </c>
      <c r="C8" s="78" t="s">
        <v>1606</v>
      </c>
      <c r="D8" s="78" t="s">
        <v>524</v>
      </c>
      <c r="E8" s="78">
        <v>1</v>
      </c>
      <c r="F8" s="78">
        <v>2</v>
      </c>
      <c r="G8" s="94">
        <v>100000</v>
      </c>
      <c r="H8" s="95" t="s">
        <v>796</v>
      </c>
      <c r="I8" s="94">
        <v>25000</v>
      </c>
      <c r="J8" s="95" t="s">
        <v>796</v>
      </c>
      <c r="K8" s="78" t="s">
        <v>1607</v>
      </c>
      <c r="L8" s="78" t="s">
        <v>1608</v>
      </c>
      <c r="M8" s="94">
        <v>10000</v>
      </c>
    </row>
    <row r="9" spans="1:13">
      <c r="A9" s="78" t="s">
        <v>1609</v>
      </c>
      <c r="B9" s="78" t="s">
        <v>1460</v>
      </c>
      <c r="C9" s="78" t="s">
        <v>1610</v>
      </c>
      <c r="D9" s="78" t="s">
        <v>524</v>
      </c>
      <c r="E9" s="78">
        <v>0</v>
      </c>
      <c r="F9" s="78">
        <v>0</v>
      </c>
      <c r="G9" s="94">
        <v>10000</v>
      </c>
      <c r="H9" s="95" t="s">
        <v>796</v>
      </c>
      <c r="I9" s="95" t="s">
        <v>796</v>
      </c>
      <c r="J9" s="78" t="s">
        <v>1611</v>
      </c>
      <c r="K9" s="95" t="s">
        <v>796</v>
      </c>
      <c r="L9" s="95" t="s">
        <v>796</v>
      </c>
      <c r="M9" s="94">
        <v>1000</v>
      </c>
    </row>
    <row r="10" spans="1:13">
      <c r="A10" s="78" t="s">
        <v>1612</v>
      </c>
      <c r="B10" s="78" t="s">
        <v>1460</v>
      </c>
      <c r="C10" s="78" t="s">
        <v>1613</v>
      </c>
      <c r="D10" s="78" t="s">
        <v>524</v>
      </c>
      <c r="E10" s="78">
        <v>0</v>
      </c>
      <c r="F10" s="78">
        <v>1</v>
      </c>
      <c r="G10" s="94">
        <v>25000</v>
      </c>
      <c r="H10" s="94">
        <v>50000</v>
      </c>
      <c r="I10" s="95" t="s">
        <v>796</v>
      </c>
      <c r="J10" s="78" t="s">
        <v>1614</v>
      </c>
      <c r="K10" s="78" t="s">
        <v>1615</v>
      </c>
      <c r="L10" s="95" t="s">
        <v>796</v>
      </c>
      <c r="M10" s="94">
        <v>2500</v>
      </c>
    </row>
    <row r="11" spans="1:13">
      <c r="A11" s="78" t="s">
        <v>1616</v>
      </c>
      <c r="B11" s="78" t="s">
        <v>1460</v>
      </c>
      <c r="C11" s="78" t="s">
        <v>1617</v>
      </c>
      <c r="D11" s="78" t="s">
        <v>524</v>
      </c>
      <c r="E11" s="78">
        <v>0</v>
      </c>
      <c r="F11" s="78">
        <v>1</v>
      </c>
      <c r="G11" s="94">
        <v>25000</v>
      </c>
      <c r="H11" s="94">
        <v>50000</v>
      </c>
      <c r="I11" s="95" t="s">
        <v>796</v>
      </c>
      <c r="J11" s="78" t="s">
        <v>1614</v>
      </c>
      <c r="K11" s="78" t="s">
        <v>1618</v>
      </c>
      <c r="L11" s="95" t="s">
        <v>796</v>
      </c>
      <c r="M11" s="94">
        <v>2500</v>
      </c>
    </row>
    <row r="12" spans="1:13">
      <c r="A12" s="78" t="s">
        <v>1619</v>
      </c>
      <c r="B12" s="78" t="s">
        <v>1460</v>
      </c>
      <c r="C12" s="78" t="s">
        <v>1620</v>
      </c>
      <c r="D12" s="78" t="s">
        <v>515</v>
      </c>
      <c r="E12" s="78">
        <v>0</v>
      </c>
      <c r="F12" s="78">
        <v>2</v>
      </c>
      <c r="G12" s="94">
        <v>50000</v>
      </c>
      <c r="H12" s="94">
        <v>30000</v>
      </c>
      <c r="I12" s="94">
        <v>50000</v>
      </c>
      <c r="J12" s="78" t="s">
        <v>1621</v>
      </c>
      <c r="K12" s="78" t="s">
        <v>1622</v>
      </c>
      <c r="L12" s="78" t="s">
        <v>1623</v>
      </c>
      <c r="M12" s="94">
        <v>5000</v>
      </c>
    </row>
    <row r="13" spans="1:13">
      <c r="A13" s="78" t="s">
        <v>1624</v>
      </c>
      <c r="B13" s="78" t="s">
        <v>1460</v>
      </c>
      <c r="C13" s="78" t="s">
        <v>1625</v>
      </c>
      <c r="D13" s="78" t="s">
        <v>515</v>
      </c>
      <c r="E13" s="78">
        <v>1</v>
      </c>
      <c r="F13" s="78">
        <v>1</v>
      </c>
      <c r="G13" s="94">
        <v>75000</v>
      </c>
      <c r="H13" s="95" t="s">
        <v>796</v>
      </c>
      <c r="I13" s="95" t="s">
        <v>796</v>
      </c>
      <c r="J13" s="95" t="s">
        <v>796</v>
      </c>
      <c r="K13" s="78" t="s">
        <v>1626</v>
      </c>
      <c r="L13" s="95" t="s">
        <v>796</v>
      </c>
      <c r="M13" s="94">
        <v>7500</v>
      </c>
    </row>
    <row r="14" spans="1:13">
      <c r="A14" s="78" t="s">
        <v>1627</v>
      </c>
      <c r="B14" s="78" t="s">
        <v>1460</v>
      </c>
      <c r="C14" s="78" t="s">
        <v>1628</v>
      </c>
      <c r="D14" s="78" t="s">
        <v>515</v>
      </c>
      <c r="E14" s="78">
        <v>0</v>
      </c>
      <c r="F14" s="78">
        <v>2</v>
      </c>
      <c r="G14" s="94">
        <v>90000</v>
      </c>
      <c r="H14" s="94">
        <v>30000</v>
      </c>
      <c r="I14" s="94">
        <v>10000</v>
      </c>
      <c r="J14" s="78" t="s">
        <v>1614</v>
      </c>
      <c r="K14" s="78" t="s">
        <v>1629</v>
      </c>
      <c r="L14" s="78" t="s">
        <v>1630</v>
      </c>
      <c r="M14" s="94">
        <v>9000</v>
      </c>
    </row>
    <row r="15" spans="1:13">
      <c r="A15" s="78" t="s">
        <v>1631</v>
      </c>
      <c r="B15" s="78" t="s">
        <v>1460</v>
      </c>
      <c r="C15" s="78" t="s">
        <v>1632</v>
      </c>
      <c r="D15" s="78" t="s">
        <v>524</v>
      </c>
      <c r="E15" s="78">
        <v>1</v>
      </c>
      <c r="F15" s="78">
        <v>2</v>
      </c>
      <c r="G15" s="94">
        <v>100000</v>
      </c>
      <c r="H15" s="95" t="s">
        <v>796</v>
      </c>
      <c r="I15" s="94">
        <v>25000</v>
      </c>
      <c r="J15" s="95" t="s">
        <v>796</v>
      </c>
      <c r="K15" s="78" t="s">
        <v>1633</v>
      </c>
      <c r="L15" s="78" t="s">
        <v>1634</v>
      </c>
      <c r="M15" s="94">
        <v>10000</v>
      </c>
    </row>
    <row r="16" spans="1:13">
      <c r="A16" s="78" t="s">
        <v>1635</v>
      </c>
      <c r="B16" s="78" t="s">
        <v>556</v>
      </c>
      <c r="C16" s="78" t="s">
        <v>1636</v>
      </c>
      <c r="D16" s="78" t="s">
        <v>524</v>
      </c>
      <c r="E16" s="78">
        <v>0</v>
      </c>
      <c r="F16" s="78">
        <v>0</v>
      </c>
      <c r="G16" s="94">
        <v>10000</v>
      </c>
      <c r="H16" s="95" t="s">
        <v>796</v>
      </c>
      <c r="I16" s="95" t="s">
        <v>796</v>
      </c>
      <c r="J16" s="78" t="s">
        <v>1637</v>
      </c>
      <c r="K16" s="95" t="s">
        <v>796</v>
      </c>
      <c r="L16" s="95" t="s">
        <v>796</v>
      </c>
      <c r="M16" s="94">
        <v>1000</v>
      </c>
    </row>
    <row r="17" spans="1:13">
      <c r="A17" s="78" t="s">
        <v>1638</v>
      </c>
      <c r="B17" s="78" t="s">
        <v>556</v>
      </c>
      <c r="C17" s="78" t="s">
        <v>1639</v>
      </c>
      <c r="D17" s="78" t="s">
        <v>515</v>
      </c>
      <c r="E17" s="78">
        <v>0</v>
      </c>
      <c r="F17" s="78">
        <v>1</v>
      </c>
      <c r="G17" s="94">
        <v>25000</v>
      </c>
      <c r="H17" s="94">
        <v>50000</v>
      </c>
      <c r="I17" s="95" t="s">
        <v>796</v>
      </c>
      <c r="J17" s="78" t="s">
        <v>1640</v>
      </c>
      <c r="K17" s="78" t="s">
        <v>1641</v>
      </c>
      <c r="L17" s="95" t="s">
        <v>796</v>
      </c>
      <c r="M17" s="94">
        <v>2500</v>
      </c>
    </row>
    <row r="18" spans="1:13">
      <c r="A18" s="78" t="s">
        <v>1642</v>
      </c>
      <c r="B18" s="78" t="s">
        <v>556</v>
      </c>
      <c r="C18" s="78" t="s">
        <v>1643</v>
      </c>
      <c r="D18" s="78" t="s">
        <v>515</v>
      </c>
      <c r="E18" s="78">
        <v>0</v>
      </c>
      <c r="F18" s="78">
        <v>1</v>
      </c>
      <c r="G18" s="94">
        <v>25000</v>
      </c>
      <c r="H18" s="94">
        <v>50000</v>
      </c>
      <c r="I18" s="95" t="s">
        <v>796</v>
      </c>
      <c r="J18" s="78" t="s">
        <v>1640</v>
      </c>
      <c r="K18" s="78" t="s">
        <v>1644</v>
      </c>
      <c r="L18" s="95" t="s">
        <v>796</v>
      </c>
      <c r="M18" s="94">
        <v>2500</v>
      </c>
    </row>
    <row r="19" spans="1:13">
      <c r="A19" s="78" t="s">
        <v>1645</v>
      </c>
      <c r="B19" s="78" t="s">
        <v>556</v>
      </c>
      <c r="C19" s="78" t="s">
        <v>1646</v>
      </c>
      <c r="D19" s="78" t="s">
        <v>515</v>
      </c>
      <c r="E19" s="78">
        <v>0</v>
      </c>
      <c r="F19" s="78">
        <v>2</v>
      </c>
      <c r="G19" s="94">
        <v>50000</v>
      </c>
      <c r="H19" s="94">
        <v>30000</v>
      </c>
      <c r="I19" s="94">
        <v>50000</v>
      </c>
      <c r="J19" s="78" t="s">
        <v>1594</v>
      </c>
      <c r="K19" s="78" t="s">
        <v>1647</v>
      </c>
      <c r="L19" s="78" t="s">
        <v>1648</v>
      </c>
      <c r="M19" s="94">
        <v>5000</v>
      </c>
    </row>
    <row r="20" spans="1:13">
      <c r="A20" s="78" t="s">
        <v>1649</v>
      </c>
      <c r="B20" s="78" t="s">
        <v>556</v>
      </c>
      <c r="C20" s="78" t="s">
        <v>1650</v>
      </c>
      <c r="D20" s="78" t="s">
        <v>524</v>
      </c>
      <c r="E20" s="78">
        <v>1</v>
      </c>
      <c r="F20" s="78">
        <v>1</v>
      </c>
      <c r="G20" s="94">
        <v>75000</v>
      </c>
      <c r="H20" s="95" t="s">
        <v>796</v>
      </c>
      <c r="I20" s="95" t="s">
        <v>796</v>
      </c>
      <c r="J20" s="95" t="s">
        <v>796</v>
      </c>
      <c r="K20" s="78" t="s">
        <v>1651</v>
      </c>
      <c r="L20" s="95" t="s">
        <v>796</v>
      </c>
      <c r="M20" s="94">
        <v>7500</v>
      </c>
    </row>
    <row r="21" spans="1:13">
      <c r="A21" s="78" t="s">
        <v>1652</v>
      </c>
      <c r="B21" s="78" t="s">
        <v>556</v>
      </c>
      <c r="C21" s="78" t="s">
        <v>1653</v>
      </c>
      <c r="D21" s="78" t="s">
        <v>524</v>
      </c>
      <c r="E21" s="78">
        <v>0</v>
      </c>
      <c r="F21" s="78">
        <v>2</v>
      </c>
      <c r="G21" s="94">
        <v>90000</v>
      </c>
      <c r="H21" s="94">
        <v>30000</v>
      </c>
      <c r="I21" s="94">
        <v>10000</v>
      </c>
      <c r="J21" s="78" t="s">
        <v>1654</v>
      </c>
      <c r="K21" s="78" t="s">
        <v>1641</v>
      </c>
      <c r="L21" s="78" t="s">
        <v>1655</v>
      </c>
      <c r="M21" s="94">
        <v>9000</v>
      </c>
    </row>
    <row r="22" spans="1:13">
      <c r="A22" s="78" t="s">
        <v>1656</v>
      </c>
      <c r="B22" s="78" t="s">
        <v>556</v>
      </c>
      <c r="C22" s="78" t="s">
        <v>1657</v>
      </c>
      <c r="D22" s="78" t="s">
        <v>524</v>
      </c>
      <c r="E22" s="78">
        <v>1</v>
      </c>
      <c r="F22" s="78">
        <v>2</v>
      </c>
      <c r="G22" s="94">
        <v>100000</v>
      </c>
      <c r="H22" s="95" t="s">
        <v>796</v>
      </c>
      <c r="I22" s="94">
        <v>25000</v>
      </c>
      <c r="J22" s="95" t="s">
        <v>796</v>
      </c>
      <c r="K22" s="78" t="s">
        <v>1658</v>
      </c>
      <c r="L22" s="78" t="s">
        <v>1659</v>
      </c>
      <c r="M22" s="94">
        <v>10000</v>
      </c>
    </row>
  </sheetData>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O1000"/>
  <sheetViews>
    <sheetView zoomScaleNormal="100" workbookViewId="0">
      <pane xSplit="1" ySplit="1" topLeftCell="B67" activePane="bottomRight" state="frozen"/>
      <selection activeCell="H26" sqref="H26"/>
      <selection pane="topRight" activeCell="H26" sqref="H26"/>
      <selection pane="bottomLeft" activeCell="H26" sqref="H26"/>
      <selection pane="bottomRight" activeCell="F130" sqref="F130"/>
    </sheetView>
  </sheetViews>
  <sheetFormatPr defaultColWidth="8.7109375" defaultRowHeight="15"/>
  <cols>
    <col min="1" max="1" width="8" customWidth="1"/>
    <col min="2" max="5" width="20" customWidth="1"/>
    <col min="6" max="6" width="22" customWidth="1"/>
    <col min="7" max="7" width="20" customWidth="1"/>
    <col min="8" max="8" width="14" customWidth="1"/>
    <col min="9" max="9" width="12" customWidth="1"/>
    <col min="10" max="10" width="9" customWidth="1"/>
    <col min="11" max="11" width="12" customWidth="1"/>
    <col min="12" max="12" width="9" customWidth="1"/>
    <col min="13" max="13" width="40" customWidth="1"/>
    <col min="14" max="14" width="11" customWidth="1"/>
    <col min="15" max="15" width="34" customWidth="1"/>
  </cols>
  <sheetData>
    <row r="1" spans="1:15" ht="31.5" customHeight="1" thickBot="1">
      <c r="A1" s="2" t="s">
        <v>1660</v>
      </c>
      <c r="B1" s="2" t="s">
        <v>1572</v>
      </c>
      <c r="C1" s="2" t="s">
        <v>1661</v>
      </c>
      <c r="D1" s="2" t="s">
        <v>503</v>
      </c>
      <c r="E1" s="2" t="s">
        <v>1370</v>
      </c>
      <c r="F1" s="2" t="s">
        <v>1662</v>
      </c>
      <c r="G1" s="2" t="s">
        <v>1663</v>
      </c>
      <c r="H1" t="s">
        <v>1664</v>
      </c>
      <c r="I1" s="2" t="s">
        <v>1473</v>
      </c>
      <c r="J1" s="2" t="s">
        <v>1665</v>
      </c>
      <c r="K1" s="2" t="s">
        <v>1666</v>
      </c>
      <c r="L1" s="2" t="s">
        <v>1667</v>
      </c>
      <c r="M1" s="2" t="s">
        <v>1668</v>
      </c>
      <c r="N1" s="2" t="s">
        <v>1669</v>
      </c>
      <c r="O1" s="2" t="s">
        <v>1670</v>
      </c>
    </row>
    <row r="2" ht="39" customHeight="1" thickBot="1">
      <c r="A2" s="106" t="s">
        <v>1724</v>
      </c>
      <c r="B2" s="107" t="s">
        <v>1725</v>
      </c>
      <c r="C2" s="108" t="s">
        <v>796</v>
      </c>
      <c r="D2" s="107" t="s">
        <v>515</v>
      </c>
      <c r="E2" s="107" t="s">
        <v>796</v>
      </c>
      <c r="F2" s="107" t="s">
        <v>796</v>
      </c>
      <c r="G2" s="108" t="s">
        <v>1308</v>
      </c>
      <c r="H2" t="s">
        <v>1726</v>
      </c>
      <c r="I2" s="106" t="inlineStr">
        <is>
          <t xml:space="preserve">ST05; ST24; ST29; ST34; ST36; ST53; ST58; ST61; ST76; ST82; ST86; ST94</t>
        </is>
      </c>
      <c r="J2" s="107" t="s">
        <v>16</v>
      </c>
      <c r="K2" s="107" t="s">
        <v>269</v>
      </c>
      <c r="L2" s="107" t="s">
        <v>144</v>
      </c>
      <c r="M2" s="106" t="s">
        <v>810</v>
      </c>
      <c r="N2" s="106" t="s">
        <v>849</v>
      </c>
      <c r="O2" s="106" t="s">
        <v>810</v>
      </c>
    </row>
    <row r="3" ht="39" customHeight="1" thickBot="1">
      <c r="A3" s="106" t="s">
        <v>1727</v>
      </c>
      <c r="B3" s="107" t="s">
        <v>1728</v>
      </c>
      <c r="C3" s="108" t="s">
        <v>796</v>
      </c>
      <c r="D3" s="107" t="s">
        <v>524</v>
      </c>
      <c r="E3" s="107" t="s">
        <v>796</v>
      </c>
      <c r="F3" s="107" t="s">
        <v>796</v>
      </c>
      <c r="G3" s="108" t="s">
        <v>1339</v>
      </c>
      <c r="H3" t="s">
        <v>1729</v>
      </c>
      <c r="I3" s="106" t="inlineStr">
        <is>
          <t xml:space="preserve">ST05; ST24; ST29; ST34; ST36; ST53; ST58; ST61; ST76; ST82; ST86; ST94</t>
        </is>
      </c>
      <c r="J3" s="107" t="s">
        <v>80</v>
      </c>
      <c r="K3" s="107" t="s">
        <v>16</v>
      </c>
      <c r="L3" s="107" t="s">
        <v>144</v>
      </c>
      <c r="M3" s="109" t="s">
        <v>1730</v>
      </c>
      <c r="N3" s="106" t="s">
        <v>1676</v>
      </c>
      <c r="O3" s="106" t="s">
        <v>856</v>
      </c>
    </row>
    <row r="4" ht="39" customHeight="1" thickBot="1">
      <c r="A4" s="106" t="s">
        <v>1731</v>
      </c>
      <c r="B4" s="107" t="s">
        <v>1732</v>
      </c>
      <c r="C4" s="108" t="s">
        <v>796</v>
      </c>
      <c r="D4" s="107" t="s">
        <v>515</v>
      </c>
      <c r="E4" s="107" t="s">
        <v>796</v>
      </c>
      <c r="F4" s="107" t="s">
        <v>796</v>
      </c>
      <c r="G4" s="108" t="s">
        <v>1333</v>
      </c>
      <c r="H4" t="s">
        <v>1733</v>
      </c>
      <c r="I4" s="106" t="inlineStr">
        <is>
          <t xml:space="preserve">ST05; ST24; ST29; ST34; ST36; ST53; ST58; ST61; ST76; ST82; ST86; ST94</t>
        </is>
      </c>
      <c r="J4" s="107" t="s">
        <v>80</v>
      </c>
      <c r="K4" s="107" t="s">
        <v>269</v>
      </c>
      <c r="L4" s="107" t="s">
        <v>144</v>
      </c>
      <c r="M4" s="109" t="s">
        <v>1676</v>
      </c>
      <c r="N4" s="106" t="s">
        <v>849</v>
      </c>
      <c r="O4" s="106" t="s">
        <v>799</v>
      </c>
    </row>
    <row r="5" ht="39" customHeight="1" thickBot="1">
      <c r="A5" s="106" t="s">
        <v>1734</v>
      </c>
      <c r="B5" s="107" t="s">
        <v>1735</v>
      </c>
      <c r="C5" s="108" t="s">
        <v>796</v>
      </c>
      <c r="D5" s="107" t="s">
        <v>524</v>
      </c>
      <c r="E5" s="107" t="s">
        <v>796</v>
      </c>
      <c r="F5" s="107" t="s">
        <v>796</v>
      </c>
      <c r="G5" s="108" t="s">
        <v>1414</v>
      </c>
      <c r="H5" t="s">
        <v>1736</v>
      </c>
      <c r="I5" s="106" t="inlineStr">
        <is>
          <t xml:space="preserve">ST05; ST24; ST29; ST34; ST36; ST53; ST58; ST61; ST76; ST82; ST86; ST94</t>
        </is>
      </c>
      <c r="J5" s="107" t="s">
        <v>205</v>
      </c>
      <c r="K5" s="107" t="s">
        <v>269</v>
      </c>
      <c r="L5" s="107" t="s">
        <v>16</v>
      </c>
      <c r="M5" s="109" t="s">
        <v>810</v>
      </c>
      <c r="N5" s="106" t="s">
        <v>810</v>
      </c>
      <c r="O5" s="106" t="s">
        <v>849</v>
      </c>
    </row>
    <row r="6" ht="39" customHeight="1" thickBot="1">
      <c r="A6" s="106" t="s">
        <v>1737</v>
      </c>
      <c r="B6" s="107" t="s">
        <v>1738</v>
      </c>
      <c r="C6" s="108" t="s">
        <v>796</v>
      </c>
      <c r="D6" s="107" t="s">
        <v>515</v>
      </c>
      <c r="E6" s="107" t="s">
        <v>796</v>
      </c>
      <c r="F6" s="107" t="s">
        <v>796</v>
      </c>
      <c r="G6" s="108" t="s">
        <v>1414</v>
      </c>
      <c r="H6" t="s">
        <v>1736</v>
      </c>
      <c r="I6" s="106" t="inlineStr">
        <is>
          <t xml:space="preserve">ST05; ST24; ST29; ST34; ST36; ST53; ST58; ST61; ST76; ST82; ST86; ST94</t>
        </is>
      </c>
      <c r="J6" s="107" t="s">
        <v>16</v>
      </c>
      <c r="K6" s="107" t="s">
        <v>144</v>
      </c>
      <c r="L6" s="107" t="s">
        <v>205</v>
      </c>
      <c r="M6" s="109" t="s">
        <v>804</v>
      </c>
      <c r="N6" s="106" t="s">
        <v>1676</v>
      </c>
      <c r="O6" s="106" t="s">
        <v>849</v>
      </c>
    </row>
    <row r="7" ht="39" customHeight="1" thickBot="1">
      <c r="A7" s="106" t="s">
        <v>1739</v>
      </c>
      <c r="B7" s="107" t="s">
        <v>1740</v>
      </c>
      <c r="C7" s="108" t="s">
        <v>796</v>
      </c>
      <c r="D7" s="107" t="s">
        <v>524</v>
      </c>
      <c r="E7" s="107" t="s">
        <v>796</v>
      </c>
      <c r="F7" s="107" t="s">
        <v>796</v>
      </c>
      <c r="G7" s="108" t="s">
        <v>1414</v>
      </c>
      <c r="H7" t="s">
        <v>1736</v>
      </c>
      <c r="I7" s="106" t="inlineStr">
        <is>
          <t xml:space="preserve">ST05; ST24; ST29; ST34; ST36; ST53; ST58; ST61; ST76; ST82; ST86; ST94</t>
        </is>
      </c>
      <c r="J7" s="107" t="s">
        <v>269</v>
      </c>
      <c r="K7" s="107" t="s">
        <v>80</v>
      </c>
      <c r="L7" s="107" t="s">
        <v>144</v>
      </c>
      <c r="M7" s="106" t="s">
        <v>1676</v>
      </c>
      <c r="N7" s="106" t="s">
        <v>810</v>
      </c>
      <c r="O7" s="106" t="s">
        <v>799</v>
      </c>
    </row>
    <row r="8" ht="39" customHeight="1" thickBot="1">
      <c r="A8" s="106" t="s">
        <v>1741</v>
      </c>
      <c r="B8" s="107" t="s">
        <v>1742</v>
      </c>
      <c r="C8" s="108" t="s">
        <v>796</v>
      </c>
      <c r="D8" s="107" t="s">
        <v>515</v>
      </c>
      <c r="E8" s="107" t="s">
        <v>796</v>
      </c>
      <c r="F8" s="107" t="s">
        <v>796</v>
      </c>
      <c r="G8" s="108" t="s">
        <v>1333</v>
      </c>
      <c r="H8" t="s">
        <v>1733</v>
      </c>
      <c r="I8" s="106" t="inlineStr">
        <is>
          <t xml:space="preserve">ST05; ST24; ST29; ST34; ST36; ST53; ST58; ST61; ST76; ST82; ST86; ST94</t>
        </is>
      </c>
      <c r="J8" s="107" t="s">
        <v>205</v>
      </c>
      <c r="K8" s="107" t="s">
        <v>144</v>
      </c>
      <c r="L8" s="107" t="s">
        <v>269</v>
      </c>
      <c r="M8" s="106" t="s">
        <v>810</v>
      </c>
      <c r="N8" s="106" t="s">
        <v>810</v>
      </c>
      <c r="O8" s="106" t="s">
        <v>849</v>
      </c>
    </row>
    <row r="9" ht="39" customHeight="1" thickBot="1">
      <c r="A9" s="106" t="s">
        <v>1719</v>
      </c>
      <c r="B9" s="107" t="s">
        <v>1720</v>
      </c>
      <c r="C9" s="108" t="s">
        <v>1721</v>
      </c>
      <c r="D9" s="107" t="s">
        <v>524</v>
      </c>
      <c r="E9" s="107" t="s">
        <v>796</v>
      </c>
      <c r="F9" s="107" t="s">
        <v>796</v>
      </c>
      <c r="G9" s="108" t="s">
        <v>1292</v>
      </c>
      <c r="H9" t="s">
        <v>1722</v>
      </c>
      <c r="I9" s="106" t="inlineStr">
        <is>
          <t xml:space="preserve">ST05; ST24; ST29; ST34; ST36; ST53; ST58; ST61; ST76; ST82; ST86; ST94</t>
        </is>
      </c>
      <c r="J9" s="107" t="s">
        <v>16</v>
      </c>
      <c r="K9" s="107" t="s">
        <v>144</v>
      </c>
      <c r="L9" s="107" t="s">
        <v>80</v>
      </c>
      <c r="M9" s="106" t="s">
        <v>810</v>
      </c>
      <c r="N9" s="106" t="s">
        <v>1723</v>
      </c>
      <c r="O9" s="106" t="s">
        <v>849</v>
      </c>
    </row>
    <row r="10" ht="39.6" customHeight="1" thickBot="1">
      <c r="A10" s="4" t="s">
        <v>1791</v>
      </c>
      <c r="B10" s="96" t="s">
        <v>1792</v>
      </c>
      <c r="C10" s="97" t="s">
        <v>796</v>
      </c>
      <c r="D10" s="96" t="s">
        <v>515</v>
      </c>
      <c r="E10" s="96" t="s">
        <v>531</v>
      </c>
      <c r="F10" s="96" t="s">
        <v>1695</v>
      </c>
      <c r="G10" t="s">
        <v>1411</v>
      </c>
      <c r="H10" t="s">
        <v>516</v>
      </c>
      <c r="I10" s="4" t="inlineStr">
        <is>
          <t xml:space="preserve">ST09; ST01</t>
        </is>
      </c>
      <c r="J10" s="96" t="s">
        <v>80</v>
      </c>
      <c r="K10" s="96" t="s">
        <v>16</v>
      </c>
      <c r="L10" s="96" t="s">
        <v>269</v>
      </c>
      <c r="M10" s="105" t="s">
        <v>849</v>
      </c>
      <c r="N10" s="105" t="s">
        <v>1676</v>
      </c>
      <c r="O10" s="105" t="s">
        <v>856</v>
      </c>
    </row>
    <row r="11" ht="27" customHeight="1" thickBot="1">
      <c r="A11" s="4" t="s">
        <v>1840</v>
      </c>
      <c r="B11" s="96" t="s">
        <v>5002</v>
      </c>
      <c r="C11" s="97" t="s">
        <v>796</v>
      </c>
      <c r="D11" s="96" t="s">
        <v>515</v>
      </c>
      <c r="E11" s="96" t="s">
        <v>513</v>
      </c>
      <c r="F11" s="96" t="s">
        <v>1689</v>
      </c>
      <c r="G11" t="s">
        <v>1411</v>
      </c>
      <c r="H11" t="s">
        <v>516</v>
      </c>
      <c r="I11" s="4" t="inlineStr">
        <is>
          <t xml:space="preserve">ST09; ST01</t>
        </is>
      </c>
      <c r="J11" s="96" t="s">
        <v>16</v>
      </c>
      <c r="K11" s="96" t="s">
        <v>80</v>
      </c>
      <c r="L11" s="96" t="s">
        <v>333</v>
      </c>
      <c r="M11" s="105" t="s">
        <v>810</v>
      </c>
      <c r="N11" s="105" t="s">
        <v>1676</v>
      </c>
      <c r="O11" s="105" t="s">
        <v>810</v>
      </c>
    </row>
    <row r="12" ht="27" customHeight="1" thickBot="1">
      <c r="A12" s="4" t="s">
        <v>1903</v>
      </c>
      <c r="B12" s="96" t="s">
        <v>1904</v>
      </c>
      <c r="C12" s="97" t="s">
        <v>796</v>
      </c>
      <c r="D12" s="96" t="s">
        <v>515</v>
      </c>
      <c r="E12" s="96" t="s">
        <v>513</v>
      </c>
      <c r="F12" s="96" t="s">
        <v>1689</v>
      </c>
      <c r="G12" t="s">
        <v>1411</v>
      </c>
      <c r="H12" t="s">
        <v>516</v>
      </c>
      <c r="I12" s="4" t="inlineStr">
        <is>
          <t xml:space="preserve">ST09; ST01</t>
        </is>
      </c>
      <c r="J12" s="96" t="s">
        <v>80</v>
      </c>
      <c r="K12" s="96" t="s">
        <v>269</v>
      </c>
      <c r="L12" s="96" t="s">
        <v>80</v>
      </c>
      <c r="M12" s="105" t="s">
        <v>1676</v>
      </c>
      <c r="N12" s="105" t="s">
        <v>849</v>
      </c>
      <c r="O12" s="105" t="s">
        <v>799</v>
      </c>
    </row>
    <row r="13" ht="27" customHeight="1" thickBot="1">
      <c r="A13" s="4" t="s">
        <v>1914</v>
      </c>
      <c r="B13" s="96" t="s">
        <v>1915</v>
      </c>
      <c r="C13" s="97" t="s">
        <v>796</v>
      </c>
      <c r="D13" s="96" t="s">
        <v>524</v>
      </c>
      <c r="E13" s="96" t="s">
        <v>531</v>
      </c>
      <c r="F13" s="96" t="s">
        <v>1695</v>
      </c>
      <c r="G13" s="99" t="s">
        <v>1411</v>
      </c>
      <c r="H13" t="s">
        <v>516</v>
      </c>
      <c r="I13" s="105" t="inlineStr">
        <is>
          <t xml:space="preserve">ST09; ST01</t>
        </is>
      </c>
      <c r="J13" s="96" t="s">
        <v>144</v>
      </c>
      <c r="K13" s="96" t="s">
        <v>80</v>
      </c>
      <c r="L13" s="96" t="s">
        <v>205</v>
      </c>
      <c r="M13" s="105" t="s">
        <v>810</v>
      </c>
      <c r="N13" s="105" t="s">
        <v>849</v>
      </c>
      <c r="O13" s="105" t="s">
        <v>810</v>
      </c>
    </row>
    <row r="14" ht="27" customHeight="1" thickBot="1">
      <c r="A14" s="4" t="s">
        <v>1923</v>
      </c>
      <c r="B14" s="96" t="s">
        <v>1924</v>
      </c>
      <c r="C14" s="97" t="s">
        <v>796</v>
      </c>
      <c r="D14" s="96" t="s">
        <v>524</v>
      </c>
      <c r="E14" s="96" t="s">
        <v>1684</v>
      </c>
      <c r="F14" s="96" t="s">
        <v>1685</v>
      </c>
      <c r="G14" t="s">
        <v>1411</v>
      </c>
      <c r="H14" t="s">
        <v>516</v>
      </c>
      <c r="I14" s="105" t="inlineStr">
        <is>
          <t xml:space="preserve">ST09; ST01</t>
        </is>
      </c>
      <c r="J14" s="96" t="s">
        <v>144</v>
      </c>
      <c r="K14" s="96" t="s">
        <v>333</v>
      </c>
      <c r="L14" s="96" t="s">
        <v>269</v>
      </c>
      <c r="M14" s="105" t="s">
        <v>810</v>
      </c>
      <c r="N14" s="105" t="s">
        <v>810</v>
      </c>
      <c r="O14" s="105" t="s">
        <v>856</v>
      </c>
    </row>
    <row r="15" ht="27" customHeight="1" thickBot="1">
      <c r="A15" s="4" t="s">
        <v>1996</v>
      </c>
      <c r="B15" s="96" t="s">
        <v>1997</v>
      </c>
      <c r="C15" s="97" t="s">
        <v>796</v>
      </c>
      <c r="D15" s="96" t="s">
        <v>524</v>
      </c>
      <c r="E15" s="96" t="s">
        <v>531</v>
      </c>
      <c r="F15" s="96" t="s">
        <v>1695</v>
      </c>
      <c r="G15" t="s">
        <v>1411</v>
      </c>
      <c r="H15" t="s">
        <v>516</v>
      </c>
      <c r="I15" s="4" t="inlineStr">
        <is>
          <t xml:space="preserve">ST09; ST01</t>
        </is>
      </c>
      <c r="J15" s="96" t="s">
        <v>16</v>
      </c>
      <c r="K15" s="96" t="s">
        <v>205</v>
      </c>
      <c r="L15" s="96" t="s">
        <v>144</v>
      </c>
      <c r="M15" s="105" t="s">
        <v>804</v>
      </c>
      <c r="N15" s="105" t="s">
        <v>1676</v>
      </c>
      <c r="O15" s="105" t="s">
        <v>849</v>
      </c>
    </row>
    <row r="16" spans="1:15" ht="27" customHeight="1" thickBot="1">
      <c r="A16" s="4" t="s">
        <v>1864</v>
      </c>
      <c r="B16" s="96" t="s">
        <v>1865</v>
      </c>
      <c r="C16" s="97" t="s">
        <v>796</v>
      </c>
      <c r="D16" s="96" t="s">
        <v>515</v>
      </c>
      <c r="E16" s="96" t="s">
        <v>540</v>
      </c>
      <c r="F16" s="96" t="s">
        <v>1679</v>
      </c>
      <c r="G16" t="s">
        <v>1411</v>
      </c>
      <c r="H16" t="s">
        <v>516</v>
      </c>
      <c r="I16" s="105" t="s">
        <v>1866</v>
      </c>
      <c r="J16" s="96" t="s">
        <v>16</v>
      </c>
      <c r="K16" s="96" t="s">
        <v>205</v>
      </c>
      <c r="L16" s="96" t="s">
        <v>269</v>
      </c>
      <c r="M16" s="105" t="s">
        <v>856</v>
      </c>
      <c r="N16" s="105" t="s">
        <v>849</v>
      </c>
      <c r="O16" s="105" t="s">
        <v>849</v>
      </c>
    </row>
    <row r="17" spans="1:15" ht="15.75" customHeight="1" thickBot="1">
      <c r="A17" s="4" t="s">
        <v>1878</v>
      </c>
      <c r="B17" s="96" t="s">
        <v>1879</v>
      </c>
      <c r="C17" s="97" t="s">
        <v>796</v>
      </c>
      <c r="D17" s="96" t="s">
        <v>515</v>
      </c>
      <c r="E17" s="96" t="s">
        <v>1704</v>
      </c>
      <c r="F17" s="96" t="s">
        <v>1705</v>
      </c>
      <c r="G17" t="s">
        <v>1411</v>
      </c>
      <c r="H17" t="s">
        <v>516</v>
      </c>
      <c r="I17" s="105" t="s">
        <v>1866</v>
      </c>
      <c r="J17" s="96" t="s">
        <v>16</v>
      </c>
      <c r="K17" s="96" t="s">
        <v>80</v>
      </c>
      <c r="L17" s="96" t="s">
        <v>144</v>
      </c>
      <c r="M17" s="105" t="s">
        <v>856</v>
      </c>
      <c r="N17" s="105" t="s">
        <v>1676</v>
      </c>
      <c r="O17" s="105" t="s">
        <v>810</v>
      </c>
    </row>
    <row r="18" ht="15.75" customHeight="1" thickBot="1">
      <c r="A18" s="4" t="s">
        <v>1702</v>
      </c>
      <c r="B18" s="96" t="s">
        <v>1703</v>
      </c>
      <c r="C18" s="97" t="s">
        <v>796</v>
      </c>
      <c r="D18" s="96" t="s">
        <v>515</v>
      </c>
      <c r="E18" s="96" t="s">
        <v>1704</v>
      </c>
      <c r="F18" s="96" t="s">
        <v>1705</v>
      </c>
      <c r="G18" t="s">
        <v>1411</v>
      </c>
      <c r="H18" t="s">
        <v>516</v>
      </c>
      <c r="I18" s="105" t="inlineStr">
        <is>
          <t xml:space="preserve">ST09; ST02; ST01</t>
        </is>
      </c>
      <c r="J18" s="96" t="s">
        <v>144</v>
      </c>
      <c r="K18" s="96" t="s">
        <v>205</v>
      </c>
      <c r="L18" s="96" t="s">
        <v>16</v>
      </c>
      <c r="M18" s="105" t="s">
        <v>804</v>
      </c>
      <c r="N18" s="105" t="s">
        <v>849</v>
      </c>
      <c r="O18" s="105" t="s">
        <v>849</v>
      </c>
    </row>
    <row r="19" ht="78" customHeight="1" thickBot="1">
      <c r="A19" s="4" t="s">
        <v>1963</v>
      </c>
      <c r="B19" s="96" t="s">
        <v>1964</v>
      </c>
      <c r="C19" s="97" t="s">
        <v>796</v>
      </c>
      <c r="D19" s="96" t="s">
        <v>515</v>
      </c>
      <c r="E19" s="96" t="s">
        <v>1673</v>
      </c>
      <c r="F19" s="96" t="s">
        <v>1674</v>
      </c>
      <c r="G19" t="s">
        <v>1411</v>
      </c>
      <c r="H19" t="s">
        <v>516</v>
      </c>
      <c r="I19" s="105" t="inlineStr">
        <is>
          <t xml:space="preserve">ST09; ST03; ST01; ST35; ST39; ST42; ST45; ST49; ST52; ST56; ST59; ST62; ST65; ST68; ST72; ST75; ST78; ST81; ST85; ST89; ST93; ST97; ST100</t>
        </is>
      </c>
      <c r="J19" s="96" t="s">
        <v>333</v>
      </c>
      <c r="K19" s="96" t="s">
        <v>269</v>
      </c>
      <c r="L19" s="96" t="s">
        <v>16</v>
      </c>
      <c r="M19" s="105" t="s">
        <v>849</v>
      </c>
      <c r="N19" s="105" t="s">
        <v>810</v>
      </c>
      <c r="O19" s="105" t="s">
        <v>856</v>
      </c>
    </row>
    <row r="20" ht="27" customHeight="1" thickBot="1">
      <c r="A20" s="4" t="s">
        <v>1976</v>
      </c>
      <c r="B20" s="96" t="s">
        <v>1977</v>
      </c>
      <c r="C20" s="97" t="s">
        <v>1978</v>
      </c>
      <c r="D20" s="96" t="s">
        <v>515</v>
      </c>
      <c r="E20" s="96" t="s">
        <v>1704</v>
      </c>
      <c r="F20" s="96" t="s">
        <v>1705</v>
      </c>
      <c r="G20" t="s">
        <v>1411</v>
      </c>
      <c r="H20" t="s">
        <v>516</v>
      </c>
      <c r="I20" s="105" t="inlineStr">
        <is>
          <t xml:space="preserve">ST09; ST18; ST06; ST41; ST44; ST73; ST84; ST91; ST98</t>
        </is>
      </c>
      <c r="J20" s="96" t="s">
        <v>80</v>
      </c>
      <c r="K20" s="96" t="s">
        <v>144</v>
      </c>
      <c r="L20" s="96" t="s">
        <v>16</v>
      </c>
      <c r="M20" s="105" t="s">
        <v>834</v>
      </c>
      <c r="N20" s="105" t="s">
        <v>1980</v>
      </c>
      <c r="O20" s="105" t="s">
        <v>850</v>
      </c>
    </row>
    <row r="21" ht="27" customHeight="1" thickBot="1">
      <c r="A21" s="4" t="s">
        <v>1950</v>
      </c>
      <c r="B21" s="96" t="s">
        <v>1951</v>
      </c>
      <c r="C21" s="97" t="s">
        <v>796</v>
      </c>
      <c r="D21" s="96" t="s">
        <v>515</v>
      </c>
      <c r="E21" s="96" t="s">
        <v>1704</v>
      </c>
      <c r="F21" s="96" t="s">
        <v>1705</v>
      </c>
      <c r="G21" t="s">
        <v>1411</v>
      </c>
      <c r="H21" t="s">
        <v>516</v>
      </c>
      <c r="I21" s="105" t="inlineStr">
        <is>
          <t xml:space="preserve">ST09; ST21; ST01; ST38; ST40; ST50; ST79; ST87; ST96</t>
        </is>
      </c>
      <c r="J21" s="96" t="s">
        <v>16</v>
      </c>
      <c r="K21" s="96" t="s">
        <v>80</v>
      </c>
      <c r="L21" s="96" t="s">
        <v>144</v>
      </c>
      <c r="M21" s="105" t="s">
        <v>856</v>
      </c>
      <c r="N21" s="105" t="s">
        <v>1676</v>
      </c>
      <c r="O21" s="105" t="s">
        <v>810</v>
      </c>
    </row>
    <row r="22" ht="27" customHeight="1" thickBot="1">
      <c r="A22" s="4" t="s">
        <v>1796</v>
      </c>
      <c r="B22" s="96" t="s">
        <v>1797</v>
      </c>
      <c r="C22" s="97" t="s">
        <v>796</v>
      </c>
      <c r="D22" s="96" t="s">
        <v>515</v>
      </c>
      <c r="E22" s="96" t="s">
        <v>513</v>
      </c>
      <c r="F22" s="96" t="s">
        <v>1689</v>
      </c>
      <c r="G22" t="s">
        <v>1411</v>
      </c>
      <c r="H22" t="s">
        <v>697</v>
      </c>
      <c r="I22" s="4" t="inlineStr">
        <is>
          <t xml:space="preserve">ST10; ST03; ST01; ST33; ST54; ST35; ST39; ST42; ST45; ST49; ST52; ST56; ST59; ST62; ST65; ST68; ST72; ST75; ST78; ST81; ST85; ST89; ST93; ST97; ST100</t>
        </is>
      </c>
      <c r="J22" s="96" t="s">
        <v>16</v>
      </c>
      <c r="K22" s="96" t="s">
        <v>80</v>
      </c>
      <c r="L22" s="96" t="s">
        <v>333</v>
      </c>
      <c r="M22" s="105" t="s">
        <v>810</v>
      </c>
      <c r="N22" s="105" t="s">
        <v>1676</v>
      </c>
      <c r="O22" s="105" t="s">
        <v>810</v>
      </c>
    </row>
    <row r="23" ht="15.75" customHeight="1" thickBot="1">
      <c r="A23" s="4" t="s">
        <v>1809</v>
      </c>
      <c r="B23" s="96" t="s">
        <v>1810</v>
      </c>
      <c r="C23" s="97" t="s">
        <v>796</v>
      </c>
      <c r="D23" s="96" t="s">
        <v>524</v>
      </c>
      <c r="E23" s="96" t="s">
        <v>531</v>
      </c>
      <c r="F23" s="96" t="s">
        <v>1695</v>
      </c>
      <c r="G23" t="s">
        <v>1411</v>
      </c>
      <c r="H23" t="s">
        <v>697</v>
      </c>
      <c r="I23" s="4" t="inlineStr">
        <is>
          <t xml:space="preserve">ST10; ST01; ST33; ST54</t>
        </is>
      </c>
      <c r="J23" s="96" t="s">
        <v>80</v>
      </c>
      <c r="K23" s="96" t="s">
        <v>333</v>
      </c>
      <c r="L23" s="96" t="s">
        <v>205</v>
      </c>
      <c r="M23" s="105" t="s">
        <v>849</v>
      </c>
      <c r="N23" s="105" t="s">
        <v>849</v>
      </c>
      <c r="O23" s="105" t="s">
        <v>810</v>
      </c>
    </row>
    <row r="24" ht="27" customHeight="1" thickBot="1">
      <c r="A24" s="4" t="s">
        <v>1811</v>
      </c>
      <c r="B24" s="96" t="s">
        <v>1812</v>
      </c>
      <c r="C24" s="97" t="s">
        <v>796</v>
      </c>
      <c r="D24" s="96" t="s">
        <v>515</v>
      </c>
      <c r="E24" s="96" t="s">
        <v>540</v>
      </c>
      <c r="F24" s="96" t="s">
        <v>1679</v>
      </c>
      <c r="G24" t="s">
        <v>1411</v>
      </c>
      <c r="H24" t="s">
        <v>697</v>
      </c>
      <c r="I24" s="4" t="inlineStr">
        <is>
          <t xml:space="preserve">ST10; ST01; ST33; ST54</t>
        </is>
      </c>
      <c r="J24" s="96" t="s">
        <v>80</v>
      </c>
      <c r="K24" s="96" t="s">
        <v>144</v>
      </c>
      <c r="L24" s="96" t="s">
        <v>269</v>
      </c>
      <c r="M24" s="105" t="s">
        <v>849</v>
      </c>
      <c r="N24" s="105" t="s">
        <v>849</v>
      </c>
      <c r="O24" s="105" t="s">
        <v>799</v>
      </c>
    </row>
    <row r="25" ht="27" customHeight="1" thickBot="1">
      <c r="A25" s="4" t="s">
        <v>1847</v>
      </c>
      <c r="B25" s="96" t="s">
        <v>1848</v>
      </c>
      <c r="C25" s="97" t="s">
        <v>796</v>
      </c>
      <c r="D25" s="96" t="s">
        <v>524</v>
      </c>
      <c r="E25" s="96" t="s">
        <v>513</v>
      </c>
      <c r="F25" s="96" t="s">
        <v>1689</v>
      </c>
      <c r="G25" t="s">
        <v>1411</v>
      </c>
      <c r="H25" t="s">
        <v>697</v>
      </c>
      <c r="I25" s="4" t="inlineStr">
        <is>
          <t xml:space="preserve">ST10; ST01; ST33; ST54</t>
        </is>
      </c>
      <c r="J25" s="96" t="s">
        <v>80</v>
      </c>
      <c r="K25" s="96" t="s">
        <v>333</v>
      </c>
      <c r="L25" s="96" t="s">
        <v>205</v>
      </c>
      <c r="M25" s="105" t="s">
        <v>849</v>
      </c>
      <c r="N25" s="105" t="s">
        <v>849</v>
      </c>
      <c r="O25" s="105" t="s">
        <v>810</v>
      </c>
    </row>
    <row r="26" ht="27" customHeight="1" thickBot="1">
      <c r="A26" s="4" t="s">
        <v>1912</v>
      </c>
      <c r="B26" s="96" t="s">
        <v>1913</v>
      </c>
      <c r="C26" s="97" t="s">
        <v>796</v>
      </c>
      <c r="D26" s="96" t="s">
        <v>515</v>
      </c>
      <c r="E26" s="96" t="s">
        <v>513</v>
      </c>
      <c r="F26" s="96" t="s">
        <v>1689</v>
      </c>
      <c r="G26" t="s">
        <v>1411</v>
      </c>
      <c r="H26" t="s">
        <v>697</v>
      </c>
      <c r="I26" s="4" t="inlineStr">
        <is>
          <t xml:space="preserve">ST10; ST01; ST33; ST54</t>
        </is>
      </c>
      <c r="J26" s="96" t="s">
        <v>16</v>
      </c>
      <c r="K26" s="96" t="s">
        <v>205</v>
      </c>
      <c r="L26" s="96" t="s">
        <v>144</v>
      </c>
      <c r="M26" s="105" t="s">
        <v>804</v>
      </c>
      <c r="N26" s="105" t="s">
        <v>1676</v>
      </c>
      <c r="O26" s="105" t="s">
        <v>849</v>
      </c>
    </row>
    <row r="27" ht="15.75" customHeight="1" thickBot="1">
      <c r="A27" s="4" t="s">
        <v>1935</v>
      </c>
      <c r="B27" s="96" t="s">
        <v>1936</v>
      </c>
      <c r="C27" s="97" t="s">
        <v>796</v>
      </c>
      <c r="D27" s="96" t="s">
        <v>515</v>
      </c>
      <c r="E27" s="96" t="s">
        <v>1684</v>
      </c>
      <c r="F27" s="96" t="s">
        <v>1685</v>
      </c>
      <c r="G27" t="s">
        <v>1411</v>
      </c>
      <c r="H27" t="s">
        <v>697</v>
      </c>
      <c r="I27" s="4" t="inlineStr">
        <is>
          <t xml:space="preserve">ST10; ST01; ST33; ST54</t>
        </is>
      </c>
      <c r="J27" s="96" t="s">
        <v>16</v>
      </c>
      <c r="K27" s="96" t="s">
        <v>80</v>
      </c>
      <c r="L27" s="96" t="s">
        <v>144</v>
      </c>
      <c r="M27" s="105" t="s">
        <v>856</v>
      </c>
      <c r="N27" s="105" t="s">
        <v>1676</v>
      </c>
      <c r="O27" s="105" t="s">
        <v>810</v>
      </c>
    </row>
    <row r="28" ht="27" customHeight="1" thickBot="1">
      <c r="A28" s="4" t="s">
        <v>1981</v>
      </c>
      <c r="B28" s="96" t="s">
        <v>1982</v>
      </c>
      <c r="C28" s="97" t="s">
        <v>796</v>
      </c>
      <c r="D28" s="96" t="s">
        <v>515</v>
      </c>
      <c r="E28" s="96" t="s">
        <v>531</v>
      </c>
      <c r="F28" s="96" t="s">
        <v>1695</v>
      </c>
      <c r="G28" t="s">
        <v>1411</v>
      </c>
      <c r="H28" t="s">
        <v>697</v>
      </c>
      <c r="I28" s="4" t="inlineStr">
        <is>
          <t xml:space="preserve">ST10; ST01; ST33; ST54</t>
        </is>
      </c>
      <c r="J28" s="96" t="s">
        <v>80</v>
      </c>
      <c r="K28" s="96" t="s">
        <v>333</v>
      </c>
      <c r="L28" s="96" t="s">
        <v>144</v>
      </c>
      <c r="M28" s="105" t="s">
        <v>849</v>
      </c>
      <c r="N28" s="105" t="s">
        <v>849</v>
      </c>
      <c r="O28" s="105" t="s">
        <v>804</v>
      </c>
    </row>
    <row r="29" ht="27" customHeight="1" thickBot="1">
      <c r="A29" s="4" t="s">
        <v>1671</v>
      </c>
      <c r="B29" s="96" t="s">
        <v>1672</v>
      </c>
      <c r="C29" s="97" t="s">
        <v>796</v>
      </c>
      <c r="D29" s="96" t="s">
        <v>524</v>
      </c>
      <c r="E29" s="96" t="s">
        <v>1673</v>
      </c>
      <c r="F29" s="96" t="s">
        <v>1674</v>
      </c>
      <c r="G29" t="s">
        <v>1411</v>
      </c>
      <c r="H29" t="s">
        <v>697</v>
      </c>
      <c r="I29" s="105" t="inlineStr">
        <is>
          <t xml:space="preserve">ST10; ST01; ST02; ST06; ST33; ST54; ST41; ST44; ST73; ST84; ST91; ST98</t>
        </is>
      </c>
      <c r="J29" s="96" t="s">
        <v>16</v>
      </c>
      <c r="K29" s="96" t="s">
        <v>144</v>
      </c>
      <c r="L29" s="96" t="s">
        <v>80</v>
      </c>
      <c r="M29" s="105" t="s">
        <v>1676</v>
      </c>
      <c r="N29" s="105" t="s">
        <v>1676</v>
      </c>
      <c r="O29" s="105" t="s">
        <v>1676</v>
      </c>
    </row>
    <row r="30" ht="15.75" customHeight="1" thickBot="1">
      <c r="A30" s="4" t="s">
        <v>1880</v>
      </c>
      <c r="B30" s="96" t="s">
        <v>1881</v>
      </c>
      <c r="C30" s="97" t="s">
        <v>796</v>
      </c>
      <c r="D30" s="96" t="s">
        <v>524</v>
      </c>
      <c r="E30" s="96" t="s">
        <v>1704</v>
      </c>
      <c r="F30" s="96" t="s">
        <v>1705</v>
      </c>
      <c r="G30" t="s">
        <v>1411</v>
      </c>
      <c r="H30" t="s">
        <v>697</v>
      </c>
      <c r="I30" s="105" t="inlineStr">
        <is>
          <t xml:space="preserve">ST10; ST02; ST01; ST33; ST54</t>
        </is>
      </c>
      <c r="J30" s="96" t="s">
        <v>144</v>
      </c>
      <c r="K30" s="96" t="s">
        <v>80</v>
      </c>
      <c r="L30" s="96" t="s">
        <v>16</v>
      </c>
      <c r="M30" s="105" t="s">
        <v>810</v>
      </c>
      <c r="N30" s="105" t="s">
        <v>1676</v>
      </c>
      <c r="O30" s="105" t="s">
        <v>810</v>
      </c>
    </row>
    <row r="31" ht="27" customHeight="1" thickBot="1">
      <c r="A31" s="4" t="s">
        <v>1828</v>
      </c>
      <c r="B31" s="96" t="s">
        <v>1829</v>
      </c>
      <c r="C31" s="97" t="s">
        <v>796</v>
      </c>
      <c r="D31" s="96" t="s">
        <v>515</v>
      </c>
      <c r="E31" s="96" t="s">
        <v>531</v>
      </c>
      <c r="F31" s="96" t="s">
        <v>1695</v>
      </c>
      <c r="G31" t="s">
        <v>1411</v>
      </c>
      <c r="H31" t="s">
        <v>697</v>
      </c>
      <c r="I31" s="105" t="inlineStr">
        <is>
          <t xml:space="preserve">ST10; ST03; ST08; ST01; ST33; ST54; ST35; ST39; ST42; ST45; ST49; ST52; ST56; ST59; ST62; ST65; ST68; ST72; ST75; ST78; ST81; ST85; ST89; ST93; ST97; ST100</t>
        </is>
      </c>
      <c r="J31" s="96" t="s">
        <v>144</v>
      </c>
      <c r="K31" s="96" t="s">
        <v>269</v>
      </c>
      <c r="L31" s="96" t="s">
        <v>144</v>
      </c>
      <c r="M31" s="105" t="s">
        <v>810</v>
      </c>
      <c r="N31" s="105" t="s">
        <v>810</v>
      </c>
      <c r="O31" s="105" t="s">
        <v>856</v>
      </c>
    </row>
    <row r="32" ht="15.75" customHeight="1" thickBot="1">
      <c r="A32" s="4" t="s">
        <v>1837</v>
      </c>
      <c r="B32" s="96" t="s">
        <v>1838</v>
      </c>
      <c r="C32" s="97" t="s">
        <v>1839</v>
      </c>
      <c r="D32" s="96" t="s">
        <v>524</v>
      </c>
      <c r="E32" s="96" t="s">
        <v>1704</v>
      </c>
      <c r="F32" s="96" t="s">
        <v>1705</v>
      </c>
      <c r="G32" t="s">
        <v>1411</v>
      </c>
      <c r="H32" t="s">
        <v>697</v>
      </c>
      <c r="I32" s="105" t="inlineStr">
        <is>
          <t xml:space="preserve">ST10; ST18; ST02; ST06; ST33; ST54; ST41; ST44; ST73; ST84; ST91; ST98</t>
        </is>
      </c>
      <c r="J32" s="96" t="s">
        <v>144</v>
      </c>
      <c r="K32" s="96" t="s">
        <v>205</v>
      </c>
      <c r="L32" s="96" t="s">
        <v>144</v>
      </c>
      <c r="M32" s="105" t="s">
        <v>807</v>
      </c>
      <c r="N32" s="105" t="s">
        <v>834</v>
      </c>
      <c r="O32" s="105" t="s">
        <v>834</v>
      </c>
    </row>
    <row r="33" ht="27" customHeight="1" thickBot="1">
      <c r="A33" s="4" t="s">
        <v>1857</v>
      </c>
      <c r="B33" s="96" t="s">
        <v>1858</v>
      </c>
      <c r="C33" s="97" t="s">
        <v>796</v>
      </c>
      <c r="D33" s="96" t="s">
        <v>515</v>
      </c>
      <c r="E33" s="96" t="s">
        <v>1684</v>
      </c>
      <c r="F33" s="96" t="s">
        <v>1685</v>
      </c>
      <c r="G33" t="s">
        <v>1411</v>
      </c>
      <c r="H33" t="s">
        <v>697</v>
      </c>
      <c r="I33" s="105" t="inlineStr">
        <is>
          <t xml:space="preserve">ST10; ST21; ST01; ST33; ST54; ST38; ST40; ST50; ST79; ST87; ST96</t>
        </is>
      </c>
      <c r="J33" s="96" t="s">
        <v>16</v>
      </c>
      <c r="K33" s="96" t="s">
        <v>205</v>
      </c>
      <c r="L33" s="96" t="s">
        <v>16</v>
      </c>
      <c r="M33" s="105" t="s">
        <v>799</v>
      </c>
      <c r="N33" s="105" t="s">
        <v>1676</v>
      </c>
      <c r="O33" s="105" t="s">
        <v>1676</v>
      </c>
    </row>
    <row r="34" ht="27" customHeight="1" thickBot="1">
      <c r="A34" s="4" t="s">
        <v>1927</v>
      </c>
      <c r="B34" s="96" t="s">
        <v>1928</v>
      </c>
      <c r="C34" s="97" t="s">
        <v>796</v>
      </c>
      <c r="D34" s="96" t="s">
        <v>524</v>
      </c>
      <c r="E34" s="96" t="s">
        <v>1704</v>
      </c>
      <c r="F34" s="96" t="s">
        <v>1705</v>
      </c>
      <c r="G34" t="s">
        <v>1411</v>
      </c>
      <c r="H34" t="s">
        <v>697</v>
      </c>
      <c r="I34" s="105" t="inlineStr">
        <is>
          <t xml:space="preserve">ST10; ST21; ST01; ST33; ST54; ST38; ST40; ST50; ST79; ST87; ST96</t>
        </is>
      </c>
      <c r="J34" s="96" t="s">
        <v>16</v>
      </c>
      <c r="K34" s="96" t="s">
        <v>80</v>
      </c>
      <c r="L34" s="96" t="s">
        <v>144</v>
      </c>
      <c r="M34" s="105" t="s">
        <v>856</v>
      </c>
      <c r="N34" s="105" t="s">
        <v>1676</v>
      </c>
      <c r="O34" s="105" t="s">
        <v>810</v>
      </c>
    </row>
    <row r="35" ht="27" customHeight="1" thickBot="1">
      <c r="A35" s="4" t="s">
        <v>1888</v>
      </c>
      <c r="B35" s="96" t="s">
        <v>1889</v>
      </c>
      <c r="C35" s="97" t="s">
        <v>796</v>
      </c>
      <c r="D35" s="96" t="s">
        <v>515</v>
      </c>
      <c r="E35" s="96" t="s">
        <v>531</v>
      </c>
      <c r="F35" s="96" t="s">
        <v>1695</v>
      </c>
      <c r="G35" t="s">
        <v>1411</v>
      </c>
      <c r="H35" t="s">
        <v>701</v>
      </c>
      <c r="I35" s="105" t="inlineStr">
        <is>
          <t xml:space="preserve">ST11; ST01; ST60</t>
        </is>
      </c>
      <c r="J35" s="96" t="s">
        <v>144</v>
      </c>
      <c r="K35" s="96" t="s">
        <v>205</v>
      </c>
      <c r="L35" s="96" t="s">
        <v>80</v>
      </c>
      <c r="M35" s="105" t="s">
        <v>810</v>
      </c>
      <c r="N35" s="105" t="s">
        <v>849</v>
      </c>
      <c r="O35" s="105" t="s">
        <v>849</v>
      </c>
    </row>
    <row r="36" ht="15.75" customHeight="1" thickBot="1">
      <c r="A36" s="4" t="s">
        <v>1910</v>
      </c>
      <c r="B36" s="96" t="s">
        <v>1911</v>
      </c>
      <c r="C36" s="97" t="s">
        <v>796</v>
      </c>
      <c r="D36" s="96" t="s">
        <v>515</v>
      </c>
      <c r="E36" s="96" t="s">
        <v>531</v>
      </c>
      <c r="F36" s="96" t="s">
        <v>1695</v>
      </c>
      <c r="G36" t="s">
        <v>1411</v>
      </c>
      <c r="H36" t="s">
        <v>701</v>
      </c>
      <c r="I36" s="4" t="inlineStr">
        <is>
          <t xml:space="preserve">ST11; ST01; ST60</t>
        </is>
      </c>
      <c r="J36" s="96" t="s">
        <v>16</v>
      </c>
      <c r="K36" s="96" t="s">
        <v>205</v>
      </c>
      <c r="L36" s="96" t="s">
        <v>269</v>
      </c>
      <c r="M36" s="105" t="s">
        <v>856</v>
      </c>
      <c r="N36" s="105" t="s">
        <v>849</v>
      </c>
      <c r="O36" s="105" t="s">
        <v>849</v>
      </c>
    </row>
    <row r="37" ht="15.75" customHeight="1" thickBot="1">
      <c r="A37" s="4" t="s">
        <v>1931</v>
      </c>
      <c r="B37" s="96" t="s">
        <v>5003</v>
      </c>
      <c r="C37" s="97" t="s">
        <v>796</v>
      </c>
      <c r="D37" s="96" t="s">
        <v>524</v>
      </c>
      <c r="E37" s="96" t="s">
        <v>513</v>
      </c>
      <c r="F37" s="96" t="s">
        <v>1689</v>
      </c>
      <c r="G37" t="s">
        <v>1411</v>
      </c>
      <c r="H37" t="s">
        <v>701</v>
      </c>
      <c r="I37" s="105" t="inlineStr">
        <is>
          <t xml:space="preserve">ST11; ST01; ST60</t>
        </is>
      </c>
      <c r="J37" s="96" t="s">
        <v>144</v>
      </c>
      <c r="K37" s="96" t="s">
        <v>16</v>
      </c>
      <c r="L37" s="96" t="s">
        <v>333</v>
      </c>
      <c r="M37" s="105" t="s">
        <v>804</v>
      </c>
      <c r="N37" s="105" t="s">
        <v>849</v>
      </c>
      <c r="O37" s="105" t="s">
        <v>810</v>
      </c>
    </row>
    <row r="38" ht="15.75" customHeight="1" thickBot="1">
      <c r="A38" s="4" t="s">
        <v>1805</v>
      </c>
      <c r="B38" s="96" t="s">
        <v>5000</v>
      </c>
      <c r="C38" s="97" t="s">
        <v>796</v>
      </c>
      <c r="D38" s="96" t="s">
        <v>515</v>
      </c>
      <c r="E38" s="96" t="s">
        <v>513</v>
      </c>
      <c r="F38" s="96" t="s">
        <v>1689</v>
      </c>
      <c r="G38" t="s">
        <v>1411</v>
      </c>
      <c r="H38" t="s">
        <v>701</v>
      </c>
      <c r="I38" s="105" t="inlineStr">
        <is>
          <t xml:space="preserve">ST11; ST02; ST01; ST60</t>
        </is>
      </c>
      <c r="J38" s="96" t="s">
        <v>144</v>
      </c>
      <c r="K38" s="96" t="s">
        <v>333</v>
      </c>
      <c r="L38" s="96" t="s">
        <v>16</v>
      </c>
      <c r="M38" s="105" t="s">
        <v>856</v>
      </c>
      <c r="N38" s="105" t="s">
        <v>849</v>
      </c>
      <c r="O38" s="105" t="s">
        <v>810</v>
      </c>
    </row>
    <row r="39" ht="27" customHeight="1" thickBot="1">
      <c r="A39" s="4" t="s">
        <v>1918</v>
      </c>
      <c r="B39" s="96" t="s">
        <v>1919</v>
      </c>
      <c r="C39" s="97" t="s">
        <v>1920</v>
      </c>
      <c r="D39" s="96" t="s">
        <v>515</v>
      </c>
      <c r="E39" s="96" t="s">
        <v>540</v>
      </c>
      <c r="F39" s="96" t="s">
        <v>1679</v>
      </c>
      <c r="G39" t="s">
        <v>1411</v>
      </c>
      <c r="H39" t="s">
        <v>701</v>
      </c>
      <c r="I39" s="105" t="inlineStr">
        <is>
          <t xml:space="preserve">ST11; ST02; ST06; ST01; ST41; ST44; ST73; ST84; ST91; ST98; ST60</t>
        </is>
      </c>
      <c r="J39" s="96" t="s">
        <v>144</v>
      </c>
      <c r="K39" s="96" t="s">
        <v>16</v>
      </c>
      <c r="L39" s="96" t="s">
        <v>80</v>
      </c>
      <c r="M39" s="105" t="s">
        <v>810</v>
      </c>
      <c r="N39" s="105" t="s">
        <v>1718</v>
      </c>
      <c r="O39" s="105" t="s">
        <v>850</v>
      </c>
    </row>
    <row r="40" ht="27" customHeight="1" thickBot="1">
      <c r="A40" s="4" t="s">
        <v>1883</v>
      </c>
      <c r="B40" s="96" t="s">
        <v>1884</v>
      </c>
      <c r="C40" s="97" t="s">
        <v>796</v>
      </c>
      <c r="D40" s="96" t="s">
        <v>515</v>
      </c>
      <c r="E40" s="96" t="s">
        <v>1684</v>
      </c>
      <c r="F40" s="96" t="s">
        <v>1685</v>
      </c>
      <c r="G40" t="s">
        <v>1411</v>
      </c>
      <c r="H40" t="s">
        <v>701</v>
      </c>
      <c r="I40" s="105" t="inlineStr">
        <is>
          <t xml:space="preserve">ST11; ST03; ST01; ST35; ST39; ST42; ST45; ST49; ST52; ST56; ST59; ST62; ST65; ST68; ST72; ST75; ST78; ST81; ST85; ST89; ST93; ST97; ST100; ST60</t>
        </is>
      </c>
      <c r="J40" s="96" t="s">
        <v>144</v>
      </c>
      <c r="K40" s="96" t="s">
        <v>269</v>
      </c>
      <c r="L40" s="96" t="s">
        <v>333</v>
      </c>
      <c r="M40" s="105" t="s">
        <v>849</v>
      </c>
      <c r="N40" s="105" t="s">
        <v>810</v>
      </c>
      <c r="O40" s="105" t="s">
        <v>856</v>
      </c>
    </row>
    <row r="41" ht="27" customHeight="1" thickBot="1">
      <c r="A41" s="4" t="s">
        <v>1916</v>
      </c>
      <c r="B41" s="96" t="s">
        <v>1917</v>
      </c>
      <c r="C41" s="97" t="s">
        <v>796</v>
      </c>
      <c r="D41" s="96" t="s">
        <v>524</v>
      </c>
      <c r="E41" s="96" t="s">
        <v>531</v>
      </c>
      <c r="F41" s="96" t="s">
        <v>1695</v>
      </c>
      <c r="G41" t="s">
        <v>1411</v>
      </c>
      <c r="H41" t="s">
        <v>701</v>
      </c>
      <c r="I41" s="105" t="inlineStr">
        <is>
          <t xml:space="preserve">ST11; ST03; ST01; ST35; ST39; ST42; ST45; ST49; ST52; ST56; ST59; ST62; ST65; ST68; ST72; ST75; ST78; ST81; ST85; ST89; ST93; ST97; ST100; ST60</t>
        </is>
      </c>
      <c r="J41" s="96" t="s">
        <v>144</v>
      </c>
      <c r="K41" s="96" t="s">
        <v>269</v>
      </c>
      <c r="L41" s="96" t="s">
        <v>205</v>
      </c>
      <c r="M41" s="105" t="s">
        <v>810</v>
      </c>
      <c r="N41" s="105" t="s">
        <v>810</v>
      </c>
      <c r="O41" s="105" t="s">
        <v>810</v>
      </c>
    </row>
    <row r="42" ht="15.75" customHeight="1" thickBot="1">
      <c r="A42" s="4" t="s">
        <v>1895</v>
      </c>
      <c r="B42" s="96" t="s">
        <v>1896</v>
      </c>
      <c r="C42" s="97" t="s">
        <v>1897</v>
      </c>
      <c r="D42" s="96" t="s">
        <v>515</v>
      </c>
      <c r="E42" s="96" t="s">
        <v>1704</v>
      </c>
      <c r="F42" s="96" t="s">
        <v>1705</v>
      </c>
      <c r="G42" t="s">
        <v>1411</v>
      </c>
      <c r="H42" t="s">
        <v>701</v>
      </c>
      <c r="I42" s="104" t="inlineStr">
        <is>
          <t xml:space="preserve">ST11; ST18; ST60</t>
        </is>
      </c>
      <c r="J42" s="96" t="s">
        <v>16</v>
      </c>
      <c r="K42" s="96" t="s">
        <v>80</v>
      </c>
      <c r="L42" s="96" t="s">
        <v>333</v>
      </c>
      <c r="M42" s="105" t="s">
        <v>849</v>
      </c>
      <c r="N42" s="105" t="s">
        <v>1723</v>
      </c>
      <c r="O42" s="105" t="s">
        <v>849</v>
      </c>
    </row>
    <row r="43" ht="15.75" customHeight="1" thickBot="1">
      <c r="A43" s="4" t="s">
        <v>1874</v>
      </c>
      <c r="B43" s="96" t="s">
        <v>1875</v>
      </c>
      <c r="C43" s="97" t="s">
        <v>796</v>
      </c>
      <c r="D43" s="96" t="s">
        <v>515</v>
      </c>
      <c r="E43" s="96" t="s">
        <v>531</v>
      </c>
      <c r="F43" s="96" t="s">
        <v>1695</v>
      </c>
      <c r="G43" t="s">
        <v>1411</v>
      </c>
      <c r="H43" t="s">
        <v>542</v>
      </c>
      <c r="I43" s="4" t="inlineStr">
        <is>
          <t xml:space="preserve">ST12; ST01; ST63</t>
        </is>
      </c>
      <c r="J43" s="96" t="s">
        <v>80</v>
      </c>
      <c r="K43" s="96" t="s">
        <v>16</v>
      </c>
      <c r="L43" s="96" t="s">
        <v>269</v>
      </c>
      <c r="M43" s="105" t="s">
        <v>849</v>
      </c>
      <c r="N43" s="105" t="s">
        <v>1676</v>
      </c>
      <c r="O43" s="105" t="s">
        <v>856</v>
      </c>
    </row>
    <row r="44" ht="116.25" customHeight="1" thickBot="1">
      <c r="A44" s="4" t="s">
        <v>1937</v>
      </c>
      <c r="B44" s="96" t="s">
        <v>1938</v>
      </c>
      <c r="C44" s="97" t="s">
        <v>796</v>
      </c>
      <c r="D44" s="96" t="s">
        <v>524</v>
      </c>
      <c r="E44" s="96" t="s">
        <v>531</v>
      </c>
      <c r="F44" s="96" t="s">
        <v>1695</v>
      </c>
      <c r="G44" t="s">
        <v>1411</v>
      </c>
      <c r="H44" t="s">
        <v>542</v>
      </c>
      <c r="I44" s="4" t="inlineStr">
        <is>
          <t xml:space="preserve">ST12; ST01; ST63</t>
        </is>
      </c>
      <c r="J44" s="96" t="s">
        <v>16</v>
      </c>
      <c r="K44" s="96" t="s">
        <v>205</v>
      </c>
      <c r="L44" s="96" t="s">
        <v>269</v>
      </c>
      <c r="M44" s="105" t="s">
        <v>856</v>
      </c>
      <c r="N44" s="105" t="s">
        <v>849</v>
      </c>
      <c r="O44" s="105" t="s">
        <v>849</v>
      </c>
    </row>
    <row r="45" ht="52.5" customHeight="1" thickBot="1">
      <c r="A45" s="4" t="s">
        <v>1970</v>
      </c>
      <c r="B45" s="96" t="s">
        <v>1971</v>
      </c>
      <c r="C45" s="97" t="s">
        <v>796</v>
      </c>
      <c r="D45" s="96" t="s">
        <v>515</v>
      </c>
      <c r="E45" s="96" t="s">
        <v>1684</v>
      </c>
      <c r="F45" s="96" t="s">
        <v>1685</v>
      </c>
      <c r="G45" t="s">
        <v>1411</v>
      </c>
      <c r="H45" t="s">
        <v>542</v>
      </c>
      <c r="I45" s="105" t="inlineStr">
        <is>
          <t xml:space="preserve">ST12; ST01; ST63</t>
        </is>
      </c>
      <c r="J45" s="96" t="s">
        <v>144</v>
      </c>
      <c r="K45" s="96" t="s">
        <v>80</v>
      </c>
      <c r="L45" s="96" t="s">
        <v>16</v>
      </c>
      <c r="M45" s="105" t="s">
        <v>810</v>
      </c>
      <c r="N45" s="105" t="s">
        <v>1676</v>
      </c>
      <c r="O45" s="105" t="s">
        <v>810</v>
      </c>
    </row>
    <row r="46" ht="15.75" customHeight="1" thickBot="1">
      <c r="A46" s="4" t="s">
        <v>1687</v>
      </c>
      <c r="B46" s="96" t="s">
        <v>1688</v>
      </c>
      <c r="C46" s="97" t="s">
        <v>796</v>
      </c>
      <c r="D46" s="96" t="s">
        <v>524</v>
      </c>
      <c r="E46" s="96" t="s">
        <v>513</v>
      </c>
      <c r="F46" s="96" t="s">
        <v>1689</v>
      </c>
      <c r="G46" t="s">
        <v>1411</v>
      </c>
      <c r="H46" t="s">
        <v>542</v>
      </c>
      <c r="I46" s="105" t="inlineStr">
        <is>
          <t xml:space="preserve">ST12; ST01; ST63</t>
        </is>
      </c>
      <c r="J46" s="96" t="s">
        <v>16</v>
      </c>
      <c r="K46" s="96" t="s">
        <v>144</v>
      </c>
      <c r="L46" s="96" t="s">
        <v>16</v>
      </c>
      <c r="M46" s="98" t="s">
        <v>821</v>
      </c>
      <c r="N46" s="69" t="s">
        <v>804</v>
      </c>
      <c r="O46" s="69" t="s">
        <v>797</v>
      </c>
    </row>
    <row r="47" ht="27" customHeight="1" thickBot="1">
      <c r="A47" s="4" t="s">
        <v>1831</v>
      </c>
      <c r="B47" s="96" t="s">
        <v>1832</v>
      </c>
      <c r="C47" s="97" t="s">
        <v>796</v>
      </c>
      <c r="D47" s="96" t="s">
        <v>515</v>
      </c>
      <c r="E47" s="96" t="s">
        <v>1704</v>
      </c>
      <c r="F47" s="96" t="s">
        <v>1705</v>
      </c>
      <c r="G47" t="s">
        <v>1411</v>
      </c>
      <c r="H47" t="s">
        <v>542</v>
      </c>
      <c r="I47" s="105" t="inlineStr">
        <is>
          <t xml:space="preserve">ST12; ST03; ST01; ST35; ST39; ST42; ST45; ST49; ST52; ST56; ST59; ST62; ST65; ST68; ST72; ST75; ST78; ST81; ST85; ST89; ST93; ST97; ST100; ST63</t>
        </is>
      </c>
      <c r="J47" s="96" t="s">
        <v>80</v>
      </c>
      <c r="K47" s="96" t="s">
        <v>269</v>
      </c>
      <c r="L47" s="96" t="s">
        <v>16</v>
      </c>
      <c r="M47" s="105" t="s">
        <v>1834</v>
      </c>
      <c r="N47" s="105" t="s">
        <v>849</v>
      </c>
      <c r="O47" s="105" t="s">
        <v>799</v>
      </c>
    </row>
    <row r="48" ht="27" customHeight="1" thickBot="1">
      <c r="A48" s="4" t="s">
        <v>1899</v>
      </c>
      <c r="B48" s="96" t="s">
        <v>1900</v>
      </c>
      <c r="C48" s="97" t="s">
        <v>796</v>
      </c>
      <c r="D48" s="96" t="s">
        <v>515</v>
      </c>
      <c r="E48" s="96" t="s">
        <v>540</v>
      </c>
      <c r="F48" s="96" t="s">
        <v>1679</v>
      </c>
      <c r="G48" t="s">
        <v>1411</v>
      </c>
      <c r="H48" t="s">
        <v>542</v>
      </c>
      <c r="I48" s="105" t="inlineStr">
        <is>
          <t xml:space="preserve">ST12; ST03; ST01; ST35; ST39; ST42; ST45; ST49; ST52; ST56; ST59; ST62; ST65; ST68; ST72; ST75; ST78; ST81; ST85; ST89; ST93; ST97; ST100; ST63</t>
        </is>
      </c>
      <c r="J48" s="96" t="s">
        <v>333</v>
      </c>
      <c r="K48" s="96" t="s">
        <v>269</v>
      </c>
      <c r="L48" s="96" t="s">
        <v>269</v>
      </c>
      <c r="M48" s="105" t="s">
        <v>1676</v>
      </c>
      <c r="N48" s="105" t="s">
        <v>804</v>
      </c>
      <c r="O48" s="105" t="s">
        <v>804</v>
      </c>
    </row>
    <row r="49" ht="15.75" customHeight="1" thickBot="1">
      <c r="A49" s="4" t="s">
        <v>1974</v>
      </c>
      <c r="B49" s="96" t="s">
        <v>1975</v>
      </c>
      <c r="C49" s="97" t="s">
        <v>796</v>
      </c>
      <c r="D49" s="96" t="s">
        <v>515</v>
      </c>
      <c r="E49" s="96" t="s">
        <v>1704</v>
      </c>
      <c r="F49" s="96" t="s">
        <v>1705</v>
      </c>
      <c r="G49" t="s">
        <v>1411</v>
      </c>
      <c r="H49" t="s">
        <v>542</v>
      </c>
      <c r="I49" s="104" t="inlineStr">
        <is>
          <t xml:space="preserve">ST12; ST03; ST01; ST35; ST39; ST42; ST45; ST49; ST52; ST56; ST59; ST62; ST65; ST68; ST72; ST75; ST78; ST81; ST85; ST89; ST93; ST97; ST100; ST63</t>
        </is>
      </c>
      <c r="J49" s="96" t="s">
        <v>80</v>
      </c>
      <c r="K49" s="96" t="s">
        <v>269</v>
      </c>
      <c r="L49" s="96" t="s">
        <v>16</v>
      </c>
      <c r="M49" s="105" t="s">
        <v>1834</v>
      </c>
      <c r="N49" s="105" t="s">
        <v>849</v>
      </c>
      <c r="O49" s="105" t="s">
        <v>799</v>
      </c>
    </row>
    <row r="50" ht="27" customHeight="1" thickBot="1">
      <c r="A50" s="4" t="s">
        <v>1817</v>
      </c>
      <c r="B50" s="96" t="s">
        <v>1818</v>
      </c>
      <c r="C50" s="97" t="s">
        <v>1819</v>
      </c>
      <c r="D50" s="96" t="s">
        <v>524</v>
      </c>
      <c r="E50" s="96" t="s">
        <v>513</v>
      </c>
      <c r="F50" s="96" t="s">
        <v>1689</v>
      </c>
      <c r="G50" t="s">
        <v>1411</v>
      </c>
      <c r="H50" t="s">
        <v>542</v>
      </c>
      <c r="I50" s="105" t="inlineStr">
        <is>
          <t xml:space="preserve">ST12; ST18; ST06; ST01; ST41; ST44; ST73; ST84; ST91; ST98; ST63</t>
        </is>
      </c>
      <c r="J50" s="96" t="s">
        <v>80</v>
      </c>
      <c r="K50" s="96" t="s">
        <v>144</v>
      </c>
      <c r="L50" s="96" t="s">
        <v>80</v>
      </c>
      <c r="M50" s="105" t="s">
        <v>896</v>
      </c>
      <c r="N50" s="105" t="s">
        <v>904</v>
      </c>
      <c r="O50" s="105" t="s">
        <v>807</v>
      </c>
    </row>
    <row r="51" ht="15.75" customHeight="1" thickBot="1">
      <c r="A51" s="4" t="s">
        <v>1743</v>
      </c>
      <c r="B51" s="96" t="s">
        <v>1744</v>
      </c>
      <c r="C51" s="97" t="s">
        <v>796</v>
      </c>
      <c r="D51" s="96" t="s">
        <v>515</v>
      </c>
      <c r="E51" s="107" t="s">
        <v>531</v>
      </c>
      <c r="F51" s="107" t="s">
        <v>1695</v>
      </c>
      <c r="G51" t="s">
        <v>1411</v>
      </c>
      <c r="H51" t="s">
        <v>542</v>
      </c>
      <c r="I51" s="105" t="inlineStr">
        <is>
          <t xml:space="preserve">ST12; ST21; ST01; ST38; ST40; ST50; ST79; ST87; ST96; ST63</t>
        </is>
      </c>
      <c r="J51" s="96" t="s">
        <v>16</v>
      </c>
      <c r="K51" s="96" t="s">
        <v>205</v>
      </c>
      <c r="L51" s="96" t="s">
        <v>80</v>
      </c>
      <c r="M51" s="105" t="s">
        <v>856</v>
      </c>
      <c r="N51" s="105" t="s">
        <v>1676</v>
      </c>
      <c r="O51" s="105" t="s">
        <v>849</v>
      </c>
    </row>
    <row r="52" ht="27" customHeight="1" thickBot="1">
      <c r="A52" s="4" t="s">
        <v>1770</v>
      </c>
      <c r="B52" s="96" t="s">
        <v>1771</v>
      </c>
      <c r="C52" s="97" t="s">
        <v>796</v>
      </c>
      <c r="D52" s="96" t="s">
        <v>515</v>
      </c>
      <c r="E52" s="96" t="s">
        <v>513</v>
      </c>
      <c r="F52" s="96" t="s">
        <v>1689</v>
      </c>
      <c r="G52" t="s">
        <v>1411</v>
      </c>
      <c r="H52" t="s">
        <v>542</v>
      </c>
      <c r="I52" s="105" t="inlineStr">
        <is>
          <t xml:space="preserve">ST12; ST21; ST01; ST38; ST40; ST50; ST79; ST87; ST96; ST63</t>
        </is>
      </c>
      <c r="J52" s="96" t="s">
        <v>16</v>
      </c>
      <c r="K52" s="96" t="s">
        <v>144</v>
      </c>
      <c r="L52" s="96" t="s">
        <v>80</v>
      </c>
      <c r="M52" s="105" t="s">
        <v>856</v>
      </c>
      <c r="N52" s="105" t="s">
        <v>1676</v>
      </c>
      <c r="O52" s="105" t="s">
        <v>810</v>
      </c>
    </row>
    <row r="53" ht="27" customHeight="1" thickBot="1">
      <c r="A53" s="4" t="s">
        <v>1813</v>
      </c>
      <c r="B53" s="96" t="s">
        <v>1814</v>
      </c>
      <c r="C53" s="97" t="s">
        <v>796</v>
      </c>
      <c r="D53" s="96" t="s">
        <v>524</v>
      </c>
      <c r="E53" s="96" t="s">
        <v>513</v>
      </c>
      <c r="F53" s="96" t="s">
        <v>1689</v>
      </c>
      <c r="G53" t="s">
        <v>1411</v>
      </c>
      <c r="H53" t="s">
        <v>708</v>
      </c>
      <c r="I53" s="4" t="inlineStr">
        <is>
          <t xml:space="preserve">ST13; ST01; ST31; ST57; ST77</t>
        </is>
      </c>
      <c r="J53" s="96" t="s">
        <v>16</v>
      </c>
      <c r="K53" s="96" t="s">
        <v>144</v>
      </c>
      <c r="L53" s="96" t="s">
        <v>16</v>
      </c>
      <c r="M53" s="105" t="s">
        <v>799</v>
      </c>
      <c r="N53" s="105" t="s">
        <v>1676</v>
      </c>
      <c r="O53" s="105" t="s">
        <v>849</v>
      </c>
    </row>
    <row r="54" ht="27" customHeight="1" thickBot="1">
      <c r="A54" s="4" t="s">
        <v>1925</v>
      </c>
      <c r="B54" s="96" t="s">
        <v>1926</v>
      </c>
      <c r="C54" s="97" t="s">
        <v>796</v>
      </c>
      <c r="D54" s="96" t="s">
        <v>515</v>
      </c>
      <c r="E54" s="96" t="s">
        <v>513</v>
      </c>
      <c r="F54" s="96" t="s">
        <v>1689</v>
      </c>
      <c r="G54" t="s">
        <v>1411</v>
      </c>
      <c r="H54" t="s">
        <v>708</v>
      </c>
      <c r="I54" s="4" t="inlineStr">
        <is>
          <t xml:space="preserve">ST13; ST01; ST31; ST57; ST77</t>
        </is>
      </c>
      <c r="J54" s="96" t="s">
        <v>80</v>
      </c>
      <c r="K54" s="96" t="s">
        <v>144</v>
      </c>
      <c r="L54" s="96" t="s">
        <v>80</v>
      </c>
      <c r="M54" s="105" t="s">
        <v>849</v>
      </c>
      <c r="N54" s="105" t="s">
        <v>1676</v>
      </c>
      <c r="O54" s="105" t="s">
        <v>804</v>
      </c>
    </row>
    <row r="55" ht="15.75" customHeight="1" thickBot="1">
      <c r="A55" s="4" t="s">
        <v>1933</v>
      </c>
      <c r="B55" s="96" t="s">
        <v>1934</v>
      </c>
      <c r="C55" s="97" t="s">
        <v>796</v>
      </c>
      <c r="D55" s="96" t="s">
        <v>524</v>
      </c>
      <c r="E55" s="96" t="s">
        <v>1704</v>
      </c>
      <c r="F55" s="96" t="s">
        <v>1705</v>
      </c>
      <c r="G55" t="s">
        <v>1411</v>
      </c>
      <c r="H55" t="s">
        <v>708</v>
      </c>
      <c r="I55" s="105" t="inlineStr">
        <is>
          <t xml:space="preserve">ST13; ST01; ST31; ST57; ST77</t>
        </is>
      </c>
      <c r="J55" s="96" t="s">
        <v>144</v>
      </c>
      <c r="K55" s="96" t="s">
        <v>333</v>
      </c>
      <c r="L55" s="96" t="s">
        <v>269</v>
      </c>
      <c r="M55" s="105" t="s">
        <v>810</v>
      </c>
      <c r="N55" s="105" t="s">
        <v>810</v>
      </c>
      <c r="O55" s="105" t="s">
        <v>856</v>
      </c>
    </row>
    <row r="56" ht="15.75" customHeight="1" thickBot="1">
      <c r="A56" s="4" t="s">
        <v>1945</v>
      </c>
      <c r="B56" s="96" t="s">
        <v>1946</v>
      </c>
      <c r="C56" s="97" t="s">
        <v>796</v>
      </c>
      <c r="D56" s="96" t="s">
        <v>524</v>
      </c>
      <c r="E56" s="96" t="s">
        <v>1684</v>
      </c>
      <c r="F56" s="96" t="s">
        <v>1685</v>
      </c>
      <c r="G56" t="s">
        <v>1411</v>
      </c>
      <c r="H56" t="s">
        <v>708</v>
      </c>
      <c r="I56" s="4" t="inlineStr">
        <is>
          <t xml:space="preserve">ST13; ST01; ST31; ST57; ST77</t>
        </is>
      </c>
      <c r="J56" s="96" t="s">
        <v>80</v>
      </c>
      <c r="K56" s="96" t="s">
        <v>269</v>
      </c>
      <c r="L56" s="96" t="s">
        <v>80</v>
      </c>
      <c r="M56" s="105" t="s">
        <v>1676</v>
      </c>
      <c r="N56" s="105" t="s">
        <v>849</v>
      </c>
      <c r="O56" s="105" t="s">
        <v>799</v>
      </c>
    </row>
    <row r="57" ht="52.5" customHeight="1" thickBot="1">
      <c r="A57" s="4" t="s">
        <v>1961</v>
      </c>
      <c r="B57" s="96" t="s">
        <v>1962</v>
      </c>
      <c r="C57" s="97" t="s">
        <v>796</v>
      </c>
      <c r="D57" s="96" t="s">
        <v>515</v>
      </c>
      <c r="E57" s="96" t="s">
        <v>1704</v>
      </c>
      <c r="F57" s="96" t="s">
        <v>1705</v>
      </c>
      <c r="G57" t="s">
        <v>1411</v>
      </c>
      <c r="H57" t="s">
        <v>708</v>
      </c>
      <c r="I57" s="4" t="inlineStr">
        <is>
          <t xml:space="preserve">ST13; ST01; ST31; ST57; ST77</t>
        </is>
      </c>
      <c r="J57" s="96" t="s">
        <v>80</v>
      </c>
      <c r="K57" s="96" t="s">
        <v>333</v>
      </c>
      <c r="L57" s="96" t="s">
        <v>205</v>
      </c>
      <c r="M57" s="105" t="s">
        <v>849</v>
      </c>
      <c r="N57" s="105" t="s">
        <v>849</v>
      </c>
      <c r="O57" s="105" t="s">
        <v>810</v>
      </c>
    </row>
    <row r="58" ht="15.75" customHeight="1" thickBot="1">
      <c r="A58" s="4" t="s">
        <v>1985</v>
      </c>
      <c r="B58" s="96" t="s">
        <v>1986</v>
      </c>
      <c r="C58" s="97" t="s">
        <v>796</v>
      </c>
      <c r="D58" s="96" t="s">
        <v>524</v>
      </c>
      <c r="E58" s="96" t="s">
        <v>513</v>
      </c>
      <c r="F58" s="96" t="s">
        <v>1689</v>
      </c>
      <c r="G58" t="s">
        <v>1411</v>
      </c>
      <c r="H58" t="s">
        <v>708</v>
      </c>
      <c r="I58" s="105" t="inlineStr">
        <is>
          <t xml:space="preserve">ST13; ST01; ST31; ST57; ST77</t>
        </is>
      </c>
      <c r="J58" s="96" t="s">
        <v>144</v>
      </c>
      <c r="K58" s="96" t="s">
        <v>16</v>
      </c>
      <c r="L58" s="96" t="s">
        <v>205</v>
      </c>
      <c r="M58" s="105" t="s">
        <v>804</v>
      </c>
      <c r="N58" s="105" t="s">
        <v>849</v>
      </c>
      <c r="O58" s="105" t="s">
        <v>849</v>
      </c>
    </row>
    <row r="59" ht="27" customHeight="1" thickBot="1">
      <c r="A59" s="4" t="s">
        <v>1994</v>
      </c>
      <c r="B59" s="96" t="s">
        <v>1995</v>
      </c>
      <c r="C59" s="97" t="s">
        <v>796</v>
      </c>
      <c r="D59" s="96" t="s">
        <v>524</v>
      </c>
      <c r="E59" s="96" t="s">
        <v>531</v>
      </c>
      <c r="F59" s="96" t="s">
        <v>1695</v>
      </c>
      <c r="G59" t="s">
        <v>1411</v>
      </c>
      <c r="H59" t="s">
        <v>708</v>
      </c>
      <c r="I59" s="4" t="inlineStr">
        <is>
          <t xml:space="preserve">ST13; ST01; ST31; ST57; ST77</t>
        </is>
      </c>
      <c r="J59" s="96" t="s">
        <v>144</v>
      </c>
      <c r="K59" s="96" t="s">
        <v>80</v>
      </c>
      <c r="L59" s="96" t="s">
        <v>205</v>
      </c>
      <c r="M59" s="105" t="s">
        <v>810</v>
      </c>
      <c r="N59" s="105" t="s">
        <v>849</v>
      </c>
      <c r="O59" s="105" t="s">
        <v>810</v>
      </c>
    </row>
    <row r="60" ht="78" customHeight="1" thickBot="1">
      <c r="A60" s="4" t="s">
        <v>1693</v>
      </c>
      <c r="B60" s="96" t="s">
        <v>1694</v>
      </c>
      <c r="C60" s="97" t="s">
        <v>796</v>
      </c>
      <c r="D60" s="96" t="s">
        <v>524</v>
      </c>
      <c r="E60" s="96" t="s">
        <v>531</v>
      </c>
      <c r="F60" s="96" t="s">
        <v>1695</v>
      </c>
      <c r="G60" t="s">
        <v>1411</v>
      </c>
      <c r="H60" t="s">
        <v>708</v>
      </c>
      <c r="I60" s="105" t="inlineStr">
        <is>
          <t xml:space="preserve">ST13; ST02; ST01; ST31; ST57; ST77</t>
        </is>
      </c>
      <c r="J60" s="96" t="s">
        <v>144</v>
      </c>
      <c r="K60" s="96" t="s">
        <v>80</v>
      </c>
      <c r="L60" s="96" t="s">
        <v>205</v>
      </c>
      <c r="M60" s="105" t="s">
        <v>810</v>
      </c>
      <c r="N60" s="105" t="s">
        <v>849</v>
      </c>
      <c r="O60" s="105" t="s">
        <v>810</v>
      </c>
    </row>
    <row r="61" ht="39.75" customHeight="1" thickBot="1">
      <c r="A61" s="4" t="s">
        <v>1860</v>
      </c>
      <c r="B61" s="96" t="s">
        <v>1861</v>
      </c>
      <c r="C61" s="97" t="s">
        <v>796</v>
      </c>
      <c r="D61" s="96" t="s">
        <v>524</v>
      </c>
      <c r="E61" s="96" t="s">
        <v>540</v>
      </c>
      <c r="F61" s="96" t="s">
        <v>1679</v>
      </c>
      <c r="G61" t="s">
        <v>1411</v>
      </c>
      <c r="H61" t="s">
        <v>708</v>
      </c>
      <c r="I61" s="105" t="inlineStr">
        <is>
          <t xml:space="preserve">ST13; ST02; ST01; ST31; ST57; ST77</t>
        </is>
      </c>
      <c r="J61" s="96" t="s">
        <v>144</v>
      </c>
      <c r="K61" s="96" t="s">
        <v>80</v>
      </c>
      <c r="L61" s="96" t="s">
        <v>16</v>
      </c>
      <c r="M61" s="105" t="s">
        <v>810</v>
      </c>
      <c r="N61" s="105" t="s">
        <v>1676</v>
      </c>
      <c r="O61" s="105" t="s">
        <v>810</v>
      </c>
    </row>
    <row r="62" ht="27" customHeight="1" thickBot="1">
      <c r="A62" s="4" t="s">
        <v>1824</v>
      </c>
      <c r="B62" s="96" t="s">
        <v>1825</v>
      </c>
      <c r="C62" s="97" t="s">
        <v>1826</v>
      </c>
      <c r="D62" s="96" t="s">
        <v>524</v>
      </c>
      <c r="E62" s="96" t="s">
        <v>513</v>
      </c>
      <c r="F62" s="96" t="s">
        <v>1689</v>
      </c>
      <c r="G62" t="s">
        <v>1411</v>
      </c>
      <c r="H62" t="s">
        <v>708</v>
      </c>
      <c r="I62" s="104" t="inlineStr">
        <is>
          <t xml:space="preserve">ST13; ST18; ST06; ST31; ST41; ST44; ST73; ST84; ST91; ST98; ST57; ST77</t>
        </is>
      </c>
      <c r="J62" s="96" t="s">
        <v>80</v>
      </c>
      <c r="K62" s="96" t="s">
        <v>144</v>
      </c>
      <c r="L62" s="96" t="s">
        <v>80</v>
      </c>
      <c r="M62" s="105" t="s">
        <v>1676</v>
      </c>
      <c r="N62" s="105" t="s">
        <v>1718</v>
      </c>
      <c r="O62" s="105" t="s">
        <v>804</v>
      </c>
    </row>
    <row r="63" ht="27" customHeight="1" thickBot="1">
      <c r="A63" s="4" t="s">
        <v>1867</v>
      </c>
      <c r="B63" s="96" t="s">
        <v>1868</v>
      </c>
      <c r="C63" s="97" t="s">
        <v>796</v>
      </c>
      <c r="D63" s="96" t="s">
        <v>515</v>
      </c>
      <c r="E63" s="96" t="s">
        <v>1684</v>
      </c>
      <c r="F63" s="96" t="s">
        <v>1685</v>
      </c>
      <c r="G63" t="s">
        <v>1411</v>
      </c>
      <c r="H63" t="s">
        <v>708</v>
      </c>
      <c r="I63" s="105" t="inlineStr">
        <is>
          <t xml:space="preserve">ST13; ST21; ST01; ST31; ST38; ST40; ST50; ST79; ST87; ST96; ST57; ST77</t>
        </is>
      </c>
      <c r="J63" s="96" t="s">
        <v>16</v>
      </c>
      <c r="K63" s="96" t="s">
        <v>80</v>
      </c>
      <c r="L63" s="96" t="s">
        <v>144</v>
      </c>
      <c r="M63" s="105" t="s">
        <v>856</v>
      </c>
      <c r="N63" s="105" t="s">
        <v>1676</v>
      </c>
      <c r="O63" s="105" t="s">
        <v>810</v>
      </c>
    </row>
    <row r="64" ht="27" customHeight="1" thickBot="1">
      <c r="A64" s="4" t="s">
        <v>1803</v>
      </c>
      <c r="B64" s="96" t="s">
        <v>1804</v>
      </c>
      <c r="C64" s="97" t="s">
        <v>796</v>
      </c>
      <c r="D64" s="96" t="s">
        <v>515</v>
      </c>
      <c r="E64" s="96" t="s">
        <v>531</v>
      </c>
      <c r="F64" s="96" t="s">
        <v>1695</v>
      </c>
      <c r="G64" t="s">
        <v>1411</v>
      </c>
      <c r="H64" t="s">
        <v>525</v>
      </c>
      <c r="I64" s="4" t="inlineStr">
        <is>
          <t xml:space="preserve">ST14; ST01; ST66; ST69; ST74</t>
        </is>
      </c>
      <c r="J64" s="96" t="s">
        <v>80</v>
      </c>
      <c r="K64" s="96" t="s">
        <v>144</v>
      </c>
      <c r="L64" s="96" t="s">
        <v>80</v>
      </c>
      <c r="M64" s="105" t="s">
        <v>849</v>
      </c>
      <c r="N64" s="105" t="s">
        <v>1676</v>
      </c>
      <c r="O64" s="105" t="s">
        <v>804</v>
      </c>
    </row>
    <row r="65" ht="27" customHeight="1" thickBot="1">
      <c r="A65" s="4" t="s">
        <v>1862</v>
      </c>
      <c r="B65" s="96" t="s">
        <v>1863</v>
      </c>
      <c r="C65" s="97" t="s">
        <v>796</v>
      </c>
      <c r="D65" s="96" t="s">
        <v>515</v>
      </c>
      <c r="E65" s="96" t="s">
        <v>1684</v>
      </c>
      <c r="F65" s="96" t="s">
        <v>1685</v>
      </c>
      <c r="G65" t="s">
        <v>1411</v>
      </c>
      <c r="H65" t="s">
        <v>525</v>
      </c>
      <c r="I65" s="4" t="inlineStr">
        <is>
          <t xml:space="preserve">ST14; ST01; ST66; ST69; ST74</t>
        </is>
      </c>
      <c r="J65" s="96" t="s">
        <v>80</v>
      </c>
      <c r="K65" s="96" t="s">
        <v>205</v>
      </c>
      <c r="L65" s="96" t="s">
        <v>16</v>
      </c>
      <c r="M65" s="105" t="s">
        <v>1730</v>
      </c>
      <c r="N65" s="105" t="s">
        <v>1676</v>
      </c>
      <c r="O65" s="105" t="s">
        <v>1730</v>
      </c>
    </row>
    <row r="66" ht="15.75" customHeight="1" thickBot="1">
      <c r="A66" s="4" t="s">
        <v>1890</v>
      </c>
      <c r="B66" s="96" t="s">
        <v>1891</v>
      </c>
      <c r="C66" s="97" t="s">
        <v>796</v>
      </c>
      <c r="D66" s="96" t="s">
        <v>515</v>
      </c>
      <c r="E66" s="96" t="s">
        <v>513</v>
      </c>
      <c r="F66" s="96" t="s">
        <v>1689</v>
      </c>
      <c r="G66" t="s">
        <v>1411</v>
      </c>
      <c r="H66" t="s">
        <v>525</v>
      </c>
      <c r="I66" s="4" t="inlineStr">
        <is>
          <t xml:space="preserve">ST14; ST01; ST66; ST69; ST74</t>
        </is>
      </c>
      <c r="J66" s="96" t="s">
        <v>80</v>
      </c>
      <c r="K66" s="96" t="s">
        <v>205</v>
      </c>
      <c r="L66" s="96" t="s">
        <v>269</v>
      </c>
      <c r="M66" s="105" t="s">
        <v>849</v>
      </c>
      <c r="N66" s="105" t="s">
        <v>849</v>
      </c>
      <c r="O66" s="105" t="s">
        <v>856</v>
      </c>
    </row>
    <row r="67" ht="27" customHeight="1" thickBot="1">
      <c r="A67" s="4" t="s">
        <v>1905</v>
      </c>
      <c r="B67" s="96" t="s">
        <v>1906</v>
      </c>
      <c r="C67" s="97" t="s">
        <v>796</v>
      </c>
      <c r="D67" s="96" t="s">
        <v>515</v>
      </c>
      <c r="E67" s="96" t="s">
        <v>531</v>
      </c>
      <c r="F67" s="96" t="s">
        <v>1695</v>
      </c>
      <c r="G67" t="s">
        <v>1411</v>
      </c>
      <c r="H67" t="s">
        <v>525</v>
      </c>
      <c r="I67" s="1" t="inlineStr">
        <is>
          <t xml:space="preserve">ST14; ST01; ST66; ST69; ST74</t>
        </is>
      </c>
      <c r="J67" s="96" t="s">
        <v>16</v>
      </c>
      <c r="K67" s="96" t="s">
        <v>205</v>
      </c>
      <c r="L67" s="96" t="s">
        <v>80</v>
      </c>
      <c r="M67" s="105" t="s">
        <v>856</v>
      </c>
      <c r="N67" s="105" t="s">
        <v>1676</v>
      </c>
      <c r="O67" s="105" t="s">
        <v>849</v>
      </c>
    </row>
    <row r="68" ht="27" customHeight="1" thickBot="1">
      <c r="A68" s="4" t="s">
        <v>1972</v>
      </c>
      <c r="B68" s="96" t="s">
        <v>1973</v>
      </c>
      <c r="C68" s="97" t="s">
        <v>796</v>
      </c>
      <c r="D68" s="96" t="s">
        <v>515</v>
      </c>
      <c r="E68" s="96" t="s">
        <v>1704</v>
      </c>
      <c r="F68" s="96" t="s">
        <v>1705</v>
      </c>
      <c r="G68" t="s">
        <v>1411</v>
      </c>
      <c r="H68" t="s">
        <v>525</v>
      </c>
      <c r="I68" s="4" t="inlineStr">
        <is>
          <t xml:space="preserve">ST14; ST01; ST66; ST69; ST74</t>
        </is>
      </c>
      <c r="J68" s="96" t="s">
        <v>16</v>
      </c>
      <c r="K68" s="96" t="s">
        <v>144</v>
      </c>
      <c r="L68" s="96" t="s">
        <v>16</v>
      </c>
      <c r="M68" s="105" t="s">
        <v>799</v>
      </c>
      <c r="N68" s="105" t="s">
        <v>1676</v>
      </c>
      <c r="O68" s="105" t="s">
        <v>849</v>
      </c>
    </row>
    <row r="69" ht="15.75" customHeight="1" thickBot="1">
      <c r="A69" s="4" t="s">
        <v>1987</v>
      </c>
      <c r="B69" s="96" t="s">
        <v>1988</v>
      </c>
      <c r="C69" s="97" t="s">
        <v>796</v>
      </c>
      <c r="D69" s="96" t="s">
        <v>524</v>
      </c>
      <c r="E69" s="96" t="s">
        <v>1704</v>
      </c>
      <c r="F69" s="96" t="s">
        <v>1705</v>
      </c>
      <c r="G69" t="s">
        <v>1411</v>
      </c>
      <c r="H69" t="s">
        <v>525</v>
      </c>
      <c r="I69" s="4" t="inlineStr">
        <is>
          <t xml:space="preserve">ST14; ST01; ST66; ST69; ST74</t>
        </is>
      </c>
      <c r="J69" s="96" t="s">
        <v>16</v>
      </c>
      <c r="K69" s="96" t="s">
        <v>205</v>
      </c>
      <c r="L69" s="96" t="s">
        <v>269</v>
      </c>
      <c r="M69" s="105" t="s">
        <v>856</v>
      </c>
      <c r="N69" s="105" t="s">
        <v>849</v>
      </c>
      <c r="O69" s="105" t="s">
        <v>849</v>
      </c>
    </row>
    <row r="70" ht="27" customHeight="1" thickBot="1">
      <c r="A70" s="4" t="s">
        <v>1849</v>
      </c>
      <c r="B70" s="96" t="s">
        <v>1850</v>
      </c>
      <c r="C70" s="97" t="s">
        <v>796</v>
      </c>
      <c r="D70" s="96" t="s">
        <v>515</v>
      </c>
      <c r="E70" s="96" t="s">
        <v>1704</v>
      </c>
      <c r="F70" s="96" t="s">
        <v>1705</v>
      </c>
      <c r="G70" t="s">
        <v>1411</v>
      </c>
      <c r="H70" t="s">
        <v>525</v>
      </c>
      <c r="I70" s="105" t="inlineStr">
        <is>
          <t xml:space="preserve">ST14; ST01; ST66; ST69; ST74</t>
        </is>
      </c>
      <c r="J70" s="96" t="s">
        <v>16</v>
      </c>
      <c r="K70" s="96" t="s">
        <v>144</v>
      </c>
      <c r="L70" s="96" t="s">
        <v>205</v>
      </c>
      <c r="M70" s="105" t="s">
        <v>804</v>
      </c>
      <c r="N70" s="105" t="s">
        <v>1676</v>
      </c>
      <c r="O70" s="105" t="s">
        <v>849</v>
      </c>
    </row>
    <row r="71" ht="27" customHeight="1" thickBot="1">
      <c r="A71" s="4" t="s">
        <v>1929</v>
      </c>
      <c r="B71" s="96" t="s">
        <v>1930</v>
      </c>
      <c r="C71" s="97" t="s">
        <v>796</v>
      </c>
      <c r="D71" s="96" t="s">
        <v>515</v>
      </c>
      <c r="E71" s="96" t="s">
        <v>540</v>
      </c>
      <c r="F71" s="96" t="s">
        <v>1679</v>
      </c>
      <c r="G71" t="s">
        <v>1411</v>
      </c>
      <c r="H71" t="s">
        <v>525</v>
      </c>
      <c r="I71" s="105" t="inlineStr">
        <is>
          <t xml:space="preserve">ST14; ST01; ST66; ST69; ST74</t>
        </is>
      </c>
      <c r="J71" s="96" t="s">
        <v>16</v>
      </c>
      <c r="K71" s="96" t="s">
        <v>80</v>
      </c>
      <c r="L71" s="96" t="s">
        <v>333</v>
      </c>
      <c r="M71" s="105" t="s">
        <v>810</v>
      </c>
      <c r="N71" s="105" t="s">
        <v>1676</v>
      </c>
      <c r="O71" s="105" t="s">
        <v>810</v>
      </c>
    </row>
    <row r="72" ht="15.75" customHeight="1" thickBot="1">
      <c r="A72" s="4" t="s">
        <v>1892</v>
      </c>
      <c r="B72" s="96" t="s">
        <v>1893</v>
      </c>
      <c r="C72" s="97" t="s">
        <v>796</v>
      </c>
      <c r="D72" s="96" t="s">
        <v>515</v>
      </c>
      <c r="E72" s="96" t="s">
        <v>1704</v>
      </c>
      <c r="F72" s="96" t="s">
        <v>1705</v>
      </c>
      <c r="G72" t="s">
        <v>1411</v>
      </c>
      <c r="H72" t="s">
        <v>525</v>
      </c>
      <c r="I72" s="105" t="inlineStr">
        <is>
          <t xml:space="preserve">ST14; ST08; ST01; ST66; ST69; ST74</t>
        </is>
      </c>
      <c r="J72" s="96" t="s">
        <v>16</v>
      </c>
      <c r="K72" s="96" t="s">
        <v>205</v>
      </c>
      <c r="L72" s="96" t="s">
        <v>269</v>
      </c>
      <c r="M72" s="105" t="s">
        <v>856</v>
      </c>
      <c r="N72" s="105" t="s">
        <v>849</v>
      </c>
      <c r="O72" s="105" t="s">
        <v>849</v>
      </c>
    </row>
    <row r="73" ht="27" customHeight="1" thickBot="1">
      <c r="A73" s="4" t="s">
        <v>1953</v>
      </c>
      <c r="B73" s="96" t="s">
        <v>1954</v>
      </c>
      <c r="C73" s="97" t="s">
        <v>1955</v>
      </c>
      <c r="D73" s="96" t="s">
        <v>515</v>
      </c>
      <c r="E73" s="96" t="s">
        <v>513</v>
      </c>
      <c r="F73" s="96" t="s">
        <v>1689</v>
      </c>
      <c r="G73" t="s">
        <v>1411</v>
      </c>
      <c r="H73" t="s">
        <v>525</v>
      </c>
      <c r="I73" s="105" t="inlineStr">
        <is>
          <t xml:space="preserve">ST14; ST18; ST08; ST66; ST69; ST74</t>
        </is>
      </c>
      <c r="J73" s="96" t="s">
        <v>16</v>
      </c>
      <c r="K73" s="96" t="s">
        <v>269</v>
      </c>
      <c r="L73" s="96" t="s">
        <v>16</v>
      </c>
      <c r="M73" s="105" t="s">
        <v>1730</v>
      </c>
      <c r="N73" s="105" t="s">
        <v>1718</v>
      </c>
      <c r="O73" s="105" t="s">
        <v>849</v>
      </c>
    </row>
    <row r="74" ht="15.75" customHeight="1" thickBot="1">
      <c r="A74" s="4" t="s">
        <v>1798</v>
      </c>
      <c r="B74" s="96" t="s">
        <v>1799</v>
      </c>
      <c r="C74" s="97" t="s">
        <v>796</v>
      </c>
      <c r="D74" s="96" t="s">
        <v>515</v>
      </c>
      <c r="E74" s="96" t="s">
        <v>531</v>
      </c>
      <c r="F74" s="96" t="s">
        <v>1695</v>
      </c>
      <c r="G74" t="s">
        <v>1411</v>
      </c>
      <c r="H74" t="s">
        <v>525</v>
      </c>
      <c r="I74" s="105" t="inlineStr">
        <is>
          <t xml:space="preserve">ST14; ST21; ST01; ST38; ST40; ST50; ST79; ST87; ST96; ST66; ST69; ST74</t>
        </is>
      </c>
      <c r="J74" s="96" t="s">
        <v>16</v>
      </c>
      <c r="K74" s="96" t="s">
        <v>205</v>
      </c>
      <c r="L74" s="96" t="s">
        <v>269</v>
      </c>
      <c r="M74" s="105" t="s">
        <v>856</v>
      </c>
      <c r="N74" s="105" t="s">
        <v>849</v>
      </c>
      <c r="O74" s="105" t="s">
        <v>849</v>
      </c>
    </row>
    <row r="75" ht="27" customHeight="1" thickBot="1">
      <c r="A75" s="4" t="s">
        <v>1901</v>
      </c>
      <c r="B75" s="96" t="s">
        <v>1902</v>
      </c>
      <c r="C75" s="97" t="s">
        <v>796</v>
      </c>
      <c r="D75" s="96" t="s">
        <v>515</v>
      </c>
      <c r="E75" s="96" t="s">
        <v>531</v>
      </c>
      <c r="F75" s="96" t="s">
        <v>1695</v>
      </c>
      <c r="G75" t="s">
        <v>1411</v>
      </c>
      <c r="H75" t="s">
        <v>525</v>
      </c>
      <c r="I75" s="105" t="inlineStr">
        <is>
          <t xml:space="preserve">ST14; ST21; ST01; ST38; ST40; ST50; ST79; ST87; ST96; ST66; ST69; ST74</t>
        </is>
      </c>
      <c r="J75" s="96" t="s">
        <v>16</v>
      </c>
      <c r="K75" s="96" t="s">
        <v>205</v>
      </c>
      <c r="L75" s="96" t="s">
        <v>80</v>
      </c>
      <c r="M75" s="105" t="s">
        <v>856</v>
      </c>
      <c r="N75" s="105" t="s">
        <v>1676</v>
      </c>
      <c r="O75" s="105" t="s">
        <v>849</v>
      </c>
    </row>
    <row r="76" ht="27" customHeight="1" thickBot="1">
      <c r="A76" s="4" t="s">
        <v>1801</v>
      </c>
      <c r="B76" s="96" t="s">
        <v>1802</v>
      </c>
      <c r="C76" s="97" t="s">
        <v>796</v>
      </c>
      <c r="D76" s="96" t="s">
        <v>515</v>
      </c>
      <c r="E76" s="96" t="s">
        <v>540</v>
      </c>
      <c r="F76" s="96" t="s">
        <v>1679</v>
      </c>
      <c r="G76" t="s">
        <v>1411</v>
      </c>
      <c r="H76" t="s">
        <v>533</v>
      </c>
      <c r="I76" s="4" t="inlineStr">
        <is>
          <t xml:space="preserve">ST15; ST01; ST25; ST27</t>
        </is>
      </c>
      <c r="J76" s="96" t="s">
        <v>80</v>
      </c>
      <c r="K76" s="96" t="s">
        <v>205</v>
      </c>
      <c r="L76" s="96" t="s">
        <v>144</v>
      </c>
      <c r="M76" s="105" t="s">
        <v>849</v>
      </c>
      <c r="N76" s="105" t="s">
        <v>849</v>
      </c>
      <c r="O76" s="105" t="s">
        <v>810</v>
      </c>
    </row>
    <row r="77" ht="27" customHeight="1" thickBot="1">
      <c r="A77" s="4" t="s">
        <v>1921</v>
      </c>
      <c r="B77" s="96" t="s">
        <v>1922</v>
      </c>
      <c r="C77" s="97" t="s">
        <v>796</v>
      </c>
      <c r="D77" s="96" t="s">
        <v>524</v>
      </c>
      <c r="E77" s="96" t="s">
        <v>531</v>
      </c>
      <c r="F77" s="96" t="s">
        <v>1695</v>
      </c>
      <c r="G77" t="s">
        <v>1411</v>
      </c>
      <c r="H77" t="s">
        <v>533</v>
      </c>
      <c r="I77" s="4" t="inlineStr">
        <is>
          <t xml:space="preserve">ST15; ST01; ST25; ST27</t>
        </is>
      </c>
      <c r="J77" s="96" t="s">
        <v>144</v>
      </c>
      <c r="K77" s="96" t="s">
        <v>80</v>
      </c>
      <c r="L77" s="96" t="s">
        <v>205</v>
      </c>
      <c r="M77" s="105" t="s">
        <v>810</v>
      </c>
      <c r="N77" s="105" t="s">
        <v>849</v>
      </c>
      <c r="O77" s="105" t="s">
        <v>810</v>
      </c>
    </row>
    <row r="78" ht="27" customHeight="1" thickBot="1">
      <c r="A78" s="4" t="s">
        <v>1788</v>
      </c>
      <c r="B78" s="96" t="s">
        <v>1789</v>
      </c>
      <c r="C78" s="97" t="s">
        <v>796</v>
      </c>
      <c r="D78" s="96" t="s">
        <v>515</v>
      </c>
      <c r="E78" s="96" t="s">
        <v>513</v>
      </c>
      <c r="F78" s="96" t="s">
        <v>1689</v>
      </c>
      <c r="G78" t="s">
        <v>1411</v>
      </c>
      <c r="H78" t="s">
        <v>533</v>
      </c>
      <c r="I78" s="105" t="inlineStr">
        <is>
          <t xml:space="preserve">ST15; ST02; ST01; ST25; ST27</t>
        </is>
      </c>
      <c r="J78" s="96" t="s">
        <v>144</v>
      </c>
      <c r="K78" s="96" t="s">
        <v>269</v>
      </c>
      <c r="L78" s="96" t="s">
        <v>205</v>
      </c>
      <c r="M78" s="105" t="s">
        <v>810</v>
      </c>
      <c r="N78" s="105" t="s">
        <v>810</v>
      </c>
      <c r="O78" s="105" t="s">
        <v>810</v>
      </c>
    </row>
    <row r="79" ht="27" customHeight="1" thickBot="1">
      <c r="A79" s="4" t="s">
        <v>1715</v>
      </c>
      <c r="B79" s="96" t="s">
        <v>1716</v>
      </c>
      <c r="C79" s="97" t="s">
        <v>796</v>
      </c>
      <c r="D79" s="96" t="s">
        <v>524</v>
      </c>
      <c r="E79" s="96" t="s">
        <v>513</v>
      </c>
      <c r="F79" s="96" t="s">
        <v>1689</v>
      </c>
      <c r="G79" t="s">
        <v>1411</v>
      </c>
      <c r="H79" t="s">
        <v>533</v>
      </c>
      <c r="I79" s="105" t="inlineStr">
        <is>
          <t xml:space="preserve">ST15; ST03; ST01; ST25; ST27; ST35; ST39; ST42; ST45; ST49; ST52; ST56; ST59; ST62; ST65; ST68; ST72; ST75; ST78; ST81; ST85; ST89; ST93; ST97; ST100</t>
        </is>
      </c>
      <c r="J79" s="96" t="s">
        <v>80</v>
      </c>
      <c r="K79" s="96" t="s">
        <v>269</v>
      </c>
      <c r="L79" s="96" t="s">
        <v>269</v>
      </c>
      <c r="M79" s="105" t="s">
        <v>1718</v>
      </c>
      <c r="N79" s="105" t="s">
        <v>849</v>
      </c>
      <c r="O79" s="105" t="s">
        <v>797</v>
      </c>
    </row>
    <row r="80" ht="27" customHeight="1" thickBot="1">
      <c r="A80" s="4" t="s">
        <v>1939</v>
      </c>
      <c r="B80" s="96" t="s">
        <v>1940</v>
      </c>
      <c r="C80" s="97" t="s">
        <v>796</v>
      </c>
      <c r="D80" s="96" t="s">
        <v>515</v>
      </c>
      <c r="E80" s="96" t="s">
        <v>540</v>
      </c>
      <c r="F80" s="96" t="s">
        <v>1679</v>
      </c>
      <c r="G80" t="s">
        <v>1411</v>
      </c>
      <c r="H80" t="s">
        <v>533</v>
      </c>
      <c r="I80" s="105" t="inlineStr">
        <is>
          <t xml:space="preserve">ST15; ST03; ST01; ST25; ST27; ST35; ST39; ST42; ST45; ST49; ST52; ST56; ST59; ST62; ST65; ST68; ST72; ST75; ST78; ST81; ST85; ST89; ST93; ST97; ST100</t>
        </is>
      </c>
      <c r="J80" s="96" t="s">
        <v>144</v>
      </c>
      <c r="K80" s="96" t="s">
        <v>269</v>
      </c>
      <c r="L80" s="96" t="s">
        <v>333</v>
      </c>
      <c r="M80" s="105" t="s">
        <v>849</v>
      </c>
      <c r="N80" s="105" t="s">
        <v>810</v>
      </c>
      <c r="O80" s="105" t="s">
        <v>856</v>
      </c>
    </row>
    <row r="81" ht="15.75" customHeight="1" thickBot="1">
      <c r="A81" s="4" t="s">
        <v>1843</v>
      </c>
      <c r="B81" s="96" t="s">
        <v>1844</v>
      </c>
      <c r="C81" s="97" t="s">
        <v>1845</v>
      </c>
      <c r="D81" s="96" t="s">
        <v>515</v>
      </c>
      <c r="E81" s="96" t="s">
        <v>1673</v>
      </c>
      <c r="F81" s="96" t="s">
        <v>1674</v>
      </c>
      <c r="G81" t="s">
        <v>1411</v>
      </c>
      <c r="H81" t="s">
        <v>533</v>
      </c>
      <c r="I81" s="105" t="inlineStr">
        <is>
          <t xml:space="preserve">ST15; ST18; ST08; ST25; ST27</t>
        </is>
      </c>
      <c r="J81" s="96" t="s">
        <v>80</v>
      </c>
      <c r="K81" s="96" t="s">
        <v>333</v>
      </c>
      <c r="L81" s="96" t="s">
        <v>269</v>
      </c>
      <c r="M81" s="105" t="s">
        <v>1718</v>
      </c>
      <c r="N81" s="105" t="s">
        <v>834</v>
      </c>
      <c r="O81" s="105" t="s">
        <v>804</v>
      </c>
    </row>
    <row r="82" ht="27" customHeight="1" thickBot="1">
      <c r="A82" s="4" t="s">
        <v>1907</v>
      </c>
      <c r="B82" s="96" t="s">
        <v>1908</v>
      </c>
      <c r="C82" s="97" t="s">
        <v>796</v>
      </c>
      <c r="D82" s="96" t="s">
        <v>524</v>
      </c>
      <c r="E82" s="96" t="s">
        <v>1684</v>
      </c>
      <c r="F82" s="96" t="s">
        <v>1685</v>
      </c>
      <c r="G82" t="s">
        <v>1411</v>
      </c>
      <c r="H82" t="s">
        <v>533</v>
      </c>
      <c r="I82" s="105" t="inlineStr">
        <is>
          <t xml:space="preserve">ST15; ST21; ST01; ST25; ST27; ST38; ST40; ST50; ST79; ST87; ST96</t>
        </is>
      </c>
      <c r="J82" s="96" t="s">
        <v>16</v>
      </c>
      <c r="K82" s="96" t="s">
        <v>80</v>
      </c>
      <c r="L82" s="96" t="s">
        <v>269</v>
      </c>
      <c r="M82" s="105" t="s">
        <v>1730</v>
      </c>
      <c r="N82" s="105" t="s">
        <v>1676</v>
      </c>
      <c r="O82" s="105" t="s">
        <v>856</v>
      </c>
    </row>
    <row r="83" ht="27" customHeight="1" thickBot="1">
      <c r="A83" s="4" t="s">
        <v>1691</v>
      </c>
      <c r="B83" s="96" t="s">
        <v>1692</v>
      </c>
      <c r="C83" s="97" t="s">
        <v>796</v>
      </c>
      <c r="D83" s="96" t="s">
        <v>515</v>
      </c>
      <c r="E83" s="96" t="s">
        <v>1684</v>
      </c>
      <c r="F83" s="96" t="s">
        <v>1685</v>
      </c>
      <c r="G83" t="inlineStr">
        <is>
          <t xml:space="preserve">BO17</t>
        </is>
      </c>
      <c r="H83" t="s">
        <v>718</v>
      </c>
      <c r="I83" s="105" t="inlineStr">
        <is>
          <t xml:space="preserve">ST16; ST01; ST51</t>
        </is>
      </c>
      <c r="J83" s="96" t="s">
        <v>144</v>
      </c>
      <c r="K83" s="96" t="s">
        <v>205</v>
      </c>
      <c r="L83" s="96" t="s">
        <v>269</v>
      </c>
      <c r="M83" s="98" t="s">
        <v>810</v>
      </c>
      <c r="N83" s="69" t="s">
        <v>1676</v>
      </c>
      <c r="O83" s="69" t="s">
        <v>1681</v>
      </c>
    </row>
    <row r="84" ht="27" customHeight="1" thickBot="1">
      <c r="A84" s="4" t="s">
        <v>1835</v>
      </c>
      <c r="B84" s="96" t="s">
        <v>1836</v>
      </c>
      <c r="C84" s="97" t="s">
        <v>796</v>
      </c>
      <c r="D84" s="96" t="s">
        <v>515</v>
      </c>
      <c r="E84" s="96" t="s">
        <v>513</v>
      </c>
      <c r="F84" s="96" t="s">
        <v>1689</v>
      </c>
      <c r="G84" t="s">
        <v>1411</v>
      </c>
      <c r="H84" t="s">
        <v>718</v>
      </c>
      <c r="I84" s="105" t="inlineStr">
        <is>
          <t xml:space="preserve">ST16; ST01; ST51</t>
        </is>
      </c>
      <c r="J84" s="96" t="s">
        <v>144</v>
      </c>
      <c r="K84" s="96" t="s">
        <v>16</v>
      </c>
      <c r="L84" s="96" t="s">
        <v>205</v>
      </c>
      <c r="M84" s="105" t="s">
        <v>804</v>
      </c>
      <c r="N84" s="105" t="s">
        <v>849</v>
      </c>
      <c r="O84" s="105" t="s">
        <v>849</v>
      </c>
    </row>
    <row r="85" ht="27" customHeight="1" thickBot="1">
      <c r="A85" s="4" t="s">
        <v>1852</v>
      </c>
      <c r="B85" s="96" t="s">
        <v>1853</v>
      </c>
      <c r="C85" s="97" t="s">
        <v>796</v>
      </c>
      <c r="D85" s="96" t="s">
        <v>524</v>
      </c>
      <c r="E85" s="96" t="s">
        <v>513</v>
      </c>
      <c r="F85" s="96" t="s">
        <v>1689</v>
      </c>
      <c r="G85" t="s">
        <v>1411</v>
      </c>
      <c r="H85" t="s">
        <v>718</v>
      </c>
      <c r="I85" s="4" t="inlineStr">
        <is>
          <t xml:space="preserve">ST16; ST01; ST51</t>
        </is>
      </c>
      <c r="J85" s="96" t="s">
        <v>80</v>
      </c>
      <c r="K85" s="96" t="s">
        <v>16</v>
      </c>
      <c r="L85" s="96" t="s">
        <v>80</v>
      </c>
      <c r="M85" s="105" t="s">
        <v>849</v>
      </c>
      <c r="N85" s="105" t="s">
        <v>1676</v>
      </c>
      <c r="O85" s="105" t="s">
        <v>856</v>
      </c>
    </row>
    <row r="86" ht="27" customHeight="1" thickBot="1">
      <c r="A86" s="4" t="s">
        <v>1855</v>
      </c>
      <c r="B86" s="96" t="s">
        <v>1856</v>
      </c>
      <c r="C86" s="97" t="s">
        <v>796</v>
      </c>
      <c r="D86" s="96" t="s">
        <v>515</v>
      </c>
      <c r="E86" s="96" t="s">
        <v>531</v>
      </c>
      <c r="F86" s="96" t="s">
        <v>1695</v>
      </c>
      <c r="G86" t="s">
        <v>1411</v>
      </c>
      <c r="H86" t="s">
        <v>718</v>
      </c>
      <c r="I86" s="105" t="inlineStr">
        <is>
          <t xml:space="preserve">ST16; ST01; ST51</t>
        </is>
      </c>
      <c r="J86" s="96" t="s">
        <v>144</v>
      </c>
      <c r="K86" s="96" t="s">
        <v>205</v>
      </c>
      <c r="L86" s="96" t="s">
        <v>80</v>
      </c>
      <c r="M86" s="105" t="s">
        <v>810</v>
      </c>
      <c r="N86" s="105" t="s">
        <v>849</v>
      </c>
      <c r="O86" s="105" t="s">
        <v>849</v>
      </c>
    </row>
    <row r="87" ht="27" customHeight="1" thickBot="1">
      <c r="A87" s="4" t="s">
        <v>1991</v>
      </c>
      <c r="B87" s="96" t="s">
        <v>1992</v>
      </c>
      <c r="C87" s="97" t="s">
        <v>796</v>
      </c>
      <c r="D87" s="96" t="s">
        <v>515</v>
      </c>
      <c r="E87" s="96" t="s">
        <v>540</v>
      </c>
      <c r="F87" s="96" t="s">
        <v>1679</v>
      </c>
      <c r="G87" t="s">
        <v>1411</v>
      </c>
      <c r="H87" t="s">
        <v>718</v>
      </c>
      <c r="I87" s="105" t="inlineStr">
        <is>
          <t xml:space="preserve">ST16; ST01; ST51</t>
        </is>
      </c>
      <c r="J87" s="96" t="s">
        <v>16</v>
      </c>
      <c r="K87" s="96" t="s">
        <v>80</v>
      </c>
      <c r="L87" s="96" t="s">
        <v>144</v>
      </c>
      <c r="M87" s="105" t="s">
        <v>856</v>
      </c>
      <c r="N87" s="105" t="s">
        <v>1676</v>
      </c>
      <c r="O87" s="105" t="s">
        <v>810</v>
      </c>
    </row>
    <row r="88" ht="27" customHeight="1" thickBot="1">
      <c r="A88" s="4" t="s">
        <v>1682</v>
      </c>
      <c r="B88" s="96" t="s">
        <v>1683</v>
      </c>
      <c r="C88" s="97" t="s">
        <v>796</v>
      </c>
      <c r="D88" s="96" t="s">
        <v>515</v>
      </c>
      <c r="E88" s="96" t="s">
        <v>1684</v>
      </c>
      <c r="F88" s="96" t="s">
        <v>1685</v>
      </c>
      <c r="G88" t="s">
        <v>1411</v>
      </c>
      <c r="H88" t="s">
        <v>718</v>
      </c>
      <c r="I88" s="105" t="inlineStr">
        <is>
          <t xml:space="preserve">ST16; ST02; ST01; ST51</t>
        </is>
      </c>
      <c r="J88" s="96" t="s">
        <v>144</v>
      </c>
      <c r="K88" s="96" t="s">
        <v>16</v>
      </c>
      <c r="L88" s="96" t="s">
        <v>205</v>
      </c>
      <c r="M88" s="98" t="s">
        <v>827</v>
      </c>
      <c r="N88" s="69" t="s">
        <v>849</v>
      </c>
      <c r="O88" s="69" t="s">
        <v>810</v>
      </c>
    </row>
    <row r="89" ht="15.75" customHeight="1" thickBot="1">
      <c r="A89" s="4" t="s">
        <v>1697</v>
      </c>
      <c r="B89" s="96" t="s">
        <v>1698</v>
      </c>
      <c r="C89" s="97" t="s">
        <v>796</v>
      </c>
      <c r="D89" s="96" t="s">
        <v>524</v>
      </c>
      <c r="E89" s="96" t="s">
        <v>513</v>
      </c>
      <c r="F89" s="96" t="s">
        <v>1689</v>
      </c>
      <c r="G89" t="s">
        <v>1411</v>
      </c>
      <c r="H89" t="s">
        <v>718</v>
      </c>
      <c r="I89" s="105" t="inlineStr">
        <is>
          <t xml:space="preserve">ST16; ST02; ST01; ST51</t>
        </is>
      </c>
      <c r="J89" s="96" t="s">
        <v>144</v>
      </c>
      <c r="K89" s="96" t="s">
        <v>205</v>
      </c>
      <c r="L89" s="96" t="s">
        <v>80</v>
      </c>
      <c r="M89" s="105" t="s">
        <v>810</v>
      </c>
      <c r="N89" s="105" t="s">
        <v>849</v>
      </c>
      <c r="O89" s="105" t="s">
        <v>849</v>
      </c>
    </row>
    <row r="90" ht="27" customHeight="1" thickBot="1">
      <c r="A90" s="4" t="s">
        <v>1957</v>
      </c>
      <c r="B90" s="96" t="s">
        <v>1958</v>
      </c>
      <c r="C90" s="97" t="s">
        <v>1959</v>
      </c>
      <c r="D90" s="96" t="s">
        <v>515</v>
      </c>
      <c r="E90" s="96" t="s">
        <v>531</v>
      </c>
      <c r="F90" s="96" t="s">
        <v>1695</v>
      </c>
      <c r="G90" t="s">
        <v>1411</v>
      </c>
      <c r="H90" t="s">
        <v>718</v>
      </c>
      <c r="I90" s="105" t="inlineStr">
        <is>
          <t xml:space="preserve">ST16; ST02; ST06; ST01; ST41; ST44; ST73; ST84; ST91; ST98; ST51</t>
        </is>
      </c>
      <c r="J90" s="96" t="s">
        <v>144</v>
      </c>
      <c r="K90" s="96" t="s">
        <v>80</v>
      </c>
      <c r="L90" s="96" t="s">
        <v>205</v>
      </c>
      <c r="M90" s="105" t="s">
        <v>850</v>
      </c>
      <c r="N90" s="105" t="s">
        <v>1676</v>
      </c>
      <c r="O90" s="105" t="s">
        <v>849</v>
      </c>
    </row>
    <row r="91" ht="39.75" customHeight="1" thickBot="1">
      <c r="A91" s="4" t="s">
        <v>1870</v>
      </c>
      <c r="B91" s="96" t="s">
        <v>1871</v>
      </c>
      <c r="C91" s="97" t="s">
        <v>1872</v>
      </c>
      <c r="D91" s="96" t="s">
        <v>524</v>
      </c>
      <c r="E91" s="96" t="s">
        <v>1673</v>
      </c>
      <c r="F91" s="96" t="s">
        <v>1674</v>
      </c>
      <c r="G91" t="s">
        <v>1411</v>
      </c>
      <c r="H91" t="s">
        <v>718</v>
      </c>
      <c r="I91" s="105" t="inlineStr">
        <is>
          <t xml:space="preserve">ST16; ST18; ST06; ST41; ST44; ST73; ST84; ST91; ST98; ST51</t>
        </is>
      </c>
      <c r="J91" s="96" t="s">
        <v>205</v>
      </c>
      <c r="K91" s="96" t="s">
        <v>144</v>
      </c>
      <c r="L91" s="96" t="s">
        <v>80</v>
      </c>
      <c r="M91" s="105" t="s">
        <v>810</v>
      </c>
      <c r="N91" s="105" t="s">
        <v>834</v>
      </c>
      <c r="O91" s="105" t="s">
        <v>1676</v>
      </c>
    </row>
    <row r="92" ht="27" customHeight="1" thickBot="1">
      <c r="A92" s="4" t="s">
        <v>1876</v>
      </c>
      <c r="B92" s="96" t="s">
        <v>1877</v>
      </c>
      <c r="C92" s="97" t="s">
        <v>796</v>
      </c>
      <c r="D92" s="96" t="s">
        <v>524</v>
      </c>
      <c r="E92" s="96" t="s">
        <v>513</v>
      </c>
      <c r="F92" s="96" t="s">
        <v>1689</v>
      </c>
      <c r="G92" t="s">
        <v>1411</v>
      </c>
      <c r="H92" t="s">
        <v>722</v>
      </c>
      <c r="I92" s="4" t="inlineStr">
        <is>
          <t xml:space="preserve">ST17; ST01; ST37; ST47; ST80; ST90; ST95</t>
        </is>
      </c>
      <c r="J92" s="96" t="s">
        <v>80</v>
      </c>
      <c r="K92" s="96" t="s">
        <v>269</v>
      </c>
      <c r="L92" s="96" t="s">
        <v>80</v>
      </c>
      <c r="M92" s="105" t="s">
        <v>1676</v>
      </c>
      <c r="N92" s="105" t="s">
        <v>849</v>
      </c>
      <c r="O92" s="105" t="s">
        <v>799</v>
      </c>
    </row>
    <row r="93" ht="27" customHeight="1" thickBot="1">
      <c r="A93" s="4" t="s">
        <v>1886</v>
      </c>
      <c r="B93" s="96" t="s">
        <v>1887</v>
      </c>
      <c r="C93" s="97" t="s">
        <v>796</v>
      </c>
      <c r="D93" s="96" t="s">
        <v>515</v>
      </c>
      <c r="E93" s="96" t="s">
        <v>531</v>
      </c>
      <c r="F93" s="96" t="s">
        <v>1695</v>
      </c>
      <c r="G93" t="s">
        <v>1411</v>
      </c>
      <c r="H93" t="s">
        <v>722</v>
      </c>
      <c r="I93" s="4" t="inlineStr">
        <is>
          <t xml:space="preserve">ST17; ST01; ST37; ST47; ST80; ST90; ST95</t>
        </is>
      </c>
      <c r="J93" s="96" t="s">
        <v>80</v>
      </c>
      <c r="K93" s="96" t="s">
        <v>205</v>
      </c>
      <c r="L93" s="96" t="s">
        <v>269</v>
      </c>
      <c r="M93" s="105" t="s">
        <v>849</v>
      </c>
      <c r="N93" s="105" t="s">
        <v>849</v>
      </c>
      <c r="O93" s="105" t="s">
        <v>856</v>
      </c>
    </row>
    <row r="94" ht="27" customHeight="1" thickBot="1">
      <c r="A94" s="4" t="s">
        <v>1966</v>
      </c>
      <c r="B94" s="96" t="s">
        <v>1967</v>
      </c>
      <c r="C94" s="97" t="s">
        <v>796</v>
      </c>
      <c r="D94" s="96" t="s">
        <v>515</v>
      </c>
      <c r="E94" s="96" t="s">
        <v>1704</v>
      </c>
      <c r="F94" s="96" t="s">
        <v>1705</v>
      </c>
      <c r="G94" t="s">
        <v>1411</v>
      </c>
      <c r="H94" t="s">
        <v>722</v>
      </c>
      <c r="I94" s="4" t="inlineStr">
        <is>
          <t xml:space="preserve">ST17; ST01; ST37; ST47; ST80; ST90; ST95</t>
        </is>
      </c>
      <c r="J94" s="96" t="s">
        <v>80</v>
      </c>
      <c r="K94" s="96" t="s">
        <v>333</v>
      </c>
      <c r="L94" s="96" t="s">
        <v>269</v>
      </c>
      <c r="M94" s="105" t="s">
        <v>1676</v>
      </c>
      <c r="N94" s="105" t="s">
        <v>849</v>
      </c>
      <c r="O94" s="105" t="s">
        <v>799</v>
      </c>
    </row>
    <row r="95" ht="15.75" customHeight="1" thickBot="1">
      <c r="A95" s="4" t="s">
        <v>1983</v>
      </c>
      <c r="B95" s="96" t="s">
        <v>1984</v>
      </c>
      <c r="C95" s="97" t="s">
        <v>796</v>
      </c>
      <c r="D95" s="96" t="s">
        <v>515</v>
      </c>
      <c r="E95" s="96" t="s">
        <v>531</v>
      </c>
      <c r="F95" s="96" t="s">
        <v>1695</v>
      </c>
      <c r="G95" t="s">
        <v>1411</v>
      </c>
      <c r="H95" t="s">
        <v>722</v>
      </c>
      <c r="I95" s="4" t="inlineStr">
        <is>
          <t xml:space="preserve">ST17; ST01; ST37; ST47; ST80; ST90; ST95</t>
        </is>
      </c>
      <c r="J95" s="96" t="s">
        <v>16</v>
      </c>
      <c r="K95" s="96" t="s">
        <v>205</v>
      </c>
      <c r="L95" s="96" t="s">
        <v>269</v>
      </c>
      <c r="M95" s="105" t="s">
        <v>856</v>
      </c>
      <c r="N95" s="105" t="s">
        <v>849</v>
      </c>
      <c r="O95" s="105" t="s">
        <v>849</v>
      </c>
    </row>
    <row r="96" ht="27" customHeight="1" thickBot="1">
      <c r="A96" s="4" t="s">
        <v>1989</v>
      </c>
      <c r="B96" s="96" t="s">
        <v>1990</v>
      </c>
      <c r="C96" s="97" t="s">
        <v>796</v>
      </c>
      <c r="D96" s="96" t="s">
        <v>524</v>
      </c>
      <c r="E96" s="96" t="s">
        <v>1684</v>
      </c>
      <c r="F96" s="96" t="s">
        <v>1685</v>
      </c>
      <c r="G96" t="s">
        <v>1411</v>
      </c>
      <c r="H96" t="s">
        <v>722</v>
      </c>
      <c r="I96" s="4" t="inlineStr">
        <is>
          <t xml:space="preserve">ST17; ST01; ST37; ST47; ST80; ST90; ST95</t>
        </is>
      </c>
      <c r="J96" s="96" t="s">
        <v>80</v>
      </c>
      <c r="K96" s="96" t="s">
        <v>269</v>
      </c>
      <c r="L96" s="96" t="s">
        <v>80</v>
      </c>
      <c r="M96" s="105" t="s">
        <v>1676</v>
      </c>
      <c r="N96" s="105" t="s">
        <v>849</v>
      </c>
      <c r="O96" s="105" t="s">
        <v>799</v>
      </c>
    </row>
    <row r="97" ht="27" customHeight="1" thickBot="1">
      <c r="A97" s="4" t="s">
        <v>1947</v>
      </c>
      <c r="B97" s="96" t="s">
        <v>1948</v>
      </c>
      <c r="C97" s="97" t="s">
        <v>1949</v>
      </c>
      <c r="D97" s="96" t="s">
        <v>524</v>
      </c>
      <c r="E97" s="96" t="s">
        <v>1673</v>
      </c>
      <c r="F97" s="96" t="s">
        <v>1674</v>
      </c>
      <c r="G97" t="s">
        <v>1411</v>
      </c>
      <c r="H97" t="s">
        <v>722</v>
      </c>
      <c r="I97" s="105" t="inlineStr">
        <is>
          <t xml:space="preserve">ST17; ST01; ST37; ST47; ST80; ST90; ST95</t>
        </is>
      </c>
      <c r="J97" s="96" t="s">
        <v>16</v>
      </c>
      <c r="K97" s="96" t="s">
        <v>333</v>
      </c>
      <c r="L97" s="96" t="s">
        <v>205</v>
      </c>
      <c r="M97" s="105" t="s">
        <v>810</v>
      </c>
      <c r="N97" s="105" t="s">
        <v>851</v>
      </c>
      <c r="O97" s="105" t="s">
        <v>1676</v>
      </c>
    </row>
    <row r="98" ht="27" customHeight="1" thickBot="1">
      <c r="A98" s="4" t="s">
        <v>1699</v>
      </c>
      <c r="B98" s="96" t="s">
        <v>1700</v>
      </c>
      <c r="C98" s="97" t="s">
        <v>796</v>
      </c>
      <c r="D98" s="96" t="s">
        <v>515</v>
      </c>
      <c r="E98" s="96" t="s">
        <v>513</v>
      </c>
      <c r="F98" s="96" t="s">
        <v>1689</v>
      </c>
      <c r="G98" t="s">
        <v>1411</v>
      </c>
      <c r="H98" t="s">
        <v>722</v>
      </c>
      <c r="I98" s="105" t="inlineStr">
        <is>
          <t xml:space="preserve">ST17; ST01; ST37; ST47; ST80; ST90; ST95</t>
        </is>
      </c>
      <c r="J98" s="96" t="s">
        <v>16</v>
      </c>
      <c r="K98" s="96" t="s">
        <v>205</v>
      </c>
      <c r="L98" s="96" t="s">
        <v>80</v>
      </c>
      <c r="M98" s="105" t="s">
        <v>856</v>
      </c>
      <c r="N98" s="105" t="s">
        <v>1676</v>
      </c>
      <c r="O98" s="105" t="s">
        <v>849</v>
      </c>
    </row>
    <row r="99" ht="78" customHeight="1" thickBot="1">
      <c r="A99" s="4" t="s">
        <v>1821</v>
      </c>
      <c r="B99" s="96" t="s">
        <v>1822</v>
      </c>
      <c r="C99" s="97" t="s">
        <v>796</v>
      </c>
      <c r="D99" s="96" t="s">
        <v>524</v>
      </c>
      <c r="E99" s="96" t="s">
        <v>531</v>
      </c>
      <c r="F99" s="96" t="s">
        <v>1695</v>
      </c>
      <c r="G99" t="s">
        <v>1411</v>
      </c>
      <c r="H99" t="s">
        <v>722</v>
      </c>
      <c r="I99" s="105" t="inlineStr">
        <is>
          <t xml:space="preserve">ST17; ST02; ST01; ST37; ST47; ST80; ST90; ST95</t>
        </is>
      </c>
      <c r="J99" s="96" t="s">
        <v>144</v>
      </c>
      <c r="K99" s="96" t="s">
        <v>80</v>
      </c>
      <c r="L99" s="96" t="s">
        <v>205</v>
      </c>
      <c r="M99" s="105" t="s">
        <v>810</v>
      </c>
      <c r="N99" s="105" t="s">
        <v>849</v>
      </c>
      <c r="O99" s="105" t="s">
        <v>810</v>
      </c>
    </row>
    <row r="100" ht="15.75" customHeight="1" thickBot="1">
      <c r="A100" s="4" t="s">
        <v>1677</v>
      </c>
      <c r="B100" s="96" t="s">
        <v>1678</v>
      </c>
      <c r="C100" s="97" t="s">
        <v>796</v>
      </c>
      <c r="D100" s="96" t="s">
        <v>524</v>
      </c>
      <c r="E100" s="96" t="s">
        <v>540</v>
      </c>
      <c r="F100" s="96" t="s">
        <v>1679</v>
      </c>
      <c r="G100" t="s">
        <v>1411</v>
      </c>
      <c r="H100" t="s">
        <v>722</v>
      </c>
      <c r="I100" s="105" t="inlineStr">
        <is>
          <t xml:space="preserve">ST17; ST08; ST01; ST37; ST47; ST80; ST90; ST95</t>
        </is>
      </c>
      <c r="J100" s="96" t="s">
        <v>333</v>
      </c>
      <c r="K100" s="96" t="s">
        <v>80</v>
      </c>
      <c r="L100" s="96" t="s">
        <v>269</v>
      </c>
      <c r="M100" s="98" t="s">
        <v>1681</v>
      </c>
      <c r="N100" s="69" t="s">
        <v>799</v>
      </c>
      <c r="O100" s="69" t="s">
        <v>1676</v>
      </c>
    </row>
    <row r="101" ht="27" customHeight="1" thickBot="1">
      <c r="A101" s="4" t="s">
        <v>1815</v>
      </c>
      <c r="B101" s="96" t="s">
        <v>5001</v>
      </c>
      <c r="C101" s="97" t="s">
        <v>796</v>
      </c>
      <c r="D101" s="96" t="s">
        <v>524</v>
      </c>
      <c r="E101" s="96" t="s">
        <v>1704</v>
      </c>
      <c r="F101" s="96" t="s">
        <v>1705</v>
      </c>
      <c r="G101" t="s">
        <v>1411</v>
      </c>
      <c r="H101" t="s">
        <v>722</v>
      </c>
      <c r="I101" s="105" t="inlineStr">
        <is>
          <t xml:space="preserve">ST17; ST08; ST01; ST37; ST47; ST80; ST90; ST95</t>
        </is>
      </c>
      <c r="J101" s="96" t="s">
        <v>80</v>
      </c>
      <c r="K101" s="96" t="s">
        <v>333</v>
      </c>
      <c r="L101" s="96" t="s">
        <v>269</v>
      </c>
      <c r="M101" s="105" t="s">
        <v>1676</v>
      </c>
      <c r="N101" s="105" t="s">
        <v>849</v>
      </c>
      <c r="O101" s="105" t="s">
        <v>799</v>
      </c>
    </row>
    <row r="102" ht="15.75" customHeight="1" thickBot="1">
      <c r="A102" s="4" t="s">
        <v>1941</v>
      </c>
      <c r="B102" s="96" t="s">
        <v>1942</v>
      </c>
      <c r="C102" s="97" t="s">
        <v>1943</v>
      </c>
      <c r="D102" s="96" t="s">
        <v>524</v>
      </c>
      <c r="E102" s="96" t="s">
        <v>1684</v>
      </c>
      <c r="F102" s="96" t="s">
        <v>1685</v>
      </c>
      <c r="G102" t="s">
        <v>1411</v>
      </c>
      <c r="H102" t="s">
        <v>722</v>
      </c>
      <c r="I102" s="105" t="inlineStr">
        <is>
          <t xml:space="preserve">ST17; ST18; ST02; ST06; ST08; ST37; ST47; ST80; ST90; ST95; ST41; ST44; ST73; ST84; ST91; ST98</t>
        </is>
      </c>
      <c r="J102" s="96" t="s">
        <v>144</v>
      </c>
      <c r="K102" s="96" t="s">
        <v>269</v>
      </c>
      <c r="L102" s="96" t="s">
        <v>80</v>
      </c>
      <c r="M102" s="105" t="s">
        <v>834</v>
      </c>
      <c r="N102" s="105" t="s">
        <v>834</v>
      </c>
      <c r="O102" s="105" t="s">
        <v>856</v>
      </c>
    </row>
    <row r="103" ht="15.75" customHeight="1" thickBot="1">
      <c r="A103" s="1" t="s">
        <v>1712</v>
      </c>
      <c r="B103" s="96" t="s">
        <v>1713</v>
      </c>
      <c r="C103" s="97" t="s">
        <v>796</v>
      </c>
      <c r="D103" s="96" t="s">
        <v>524</v>
      </c>
      <c r="E103" s="96" t="s">
        <v>513</v>
      </c>
      <c r="F103" s="96" t="s">
        <v>1689</v>
      </c>
      <c r="G103" s="99" t="s">
        <v>1411</v>
      </c>
      <c r="H103" t="s">
        <v>722</v>
      </c>
      <c r="I103" s="104" t="inlineStr">
        <is>
          <t xml:space="preserve">ST17; ST21; ST01; ST37; ST47; ST80; ST90; ST95; ST38; ST40; ST50; ST79; ST87; ST96</t>
        </is>
      </c>
      <c r="J103" s="96" t="s">
        <v>16</v>
      </c>
      <c r="K103" s="96" t="s">
        <v>80</v>
      </c>
      <c r="L103" s="96" t="s">
        <v>333</v>
      </c>
      <c r="M103" s="104" t="s">
        <v>810</v>
      </c>
      <c r="N103" s="104" t="s">
        <v>1676</v>
      </c>
      <c r="O103" s="104" t="s">
        <v>810</v>
      </c>
    </row>
    <row r="104" ht="15.75" customHeight="1" thickBot="1">
      <c r="A104" s="1" t="s">
        <v>1794</v>
      </c>
      <c r="B104" s="96" t="s">
        <v>1795</v>
      </c>
      <c r="C104" s="97" t="s">
        <v>796</v>
      </c>
      <c r="D104" s="96" t="s">
        <v>524</v>
      </c>
      <c r="E104" s="96" t="s">
        <v>513</v>
      </c>
      <c r="F104" s="96" t="s">
        <v>1689</v>
      </c>
      <c r="G104" s="99" t="s">
        <v>1411</v>
      </c>
      <c r="H104" t="s">
        <v>722</v>
      </c>
      <c r="I104" s="104" t="inlineStr">
        <is>
          <t xml:space="preserve">ST17; ST21; ST01; ST37; ST47; ST80; ST90; ST95; ST38; ST40; ST50; ST79; ST87; ST96</t>
        </is>
      </c>
      <c r="J104" s="96" t="s">
        <v>16</v>
      </c>
      <c r="K104" s="96" t="s">
        <v>80</v>
      </c>
      <c r="L104" s="96" t="s">
        <v>333</v>
      </c>
      <c r="M104" s="104" t="s">
        <v>810</v>
      </c>
      <c r="N104" s="104" t="s">
        <v>1676</v>
      </c>
      <c r="O104" s="104" t="s">
        <v>810</v>
      </c>
    </row>
    <row r="105" ht="15.75" customHeight="1" thickBot="1">
      <c r="A105" s="1" t="s">
        <v>1968</v>
      </c>
      <c r="B105" s="96" t="s">
        <v>1969</v>
      </c>
      <c r="C105" s="97" t="s">
        <v>796</v>
      </c>
      <c r="D105" s="96" t="s">
        <v>515</v>
      </c>
      <c r="E105" s="96" t="s">
        <v>1704</v>
      </c>
      <c r="F105" s="96" t="s">
        <v>1705</v>
      </c>
      <c r="G105" s="99" t="s">
        <v>1411</v>
      </c>
      <c r="H105" t="s">
        <v>722</v>
      </c>
      <c r="I105" s="104" t="inlineStr">
        <is>
          <t xml:space="preserve">ST17; ST21; ST01; ST37; ST47; ST80; ST90; ST95; ST38; ST40; ST50; ST79; ST87; ST96</t>
        </is>
      </c>
      <c r="J105" s="96" t="s">
        <v>16</v>
      </c>
      <c r="K105" s="96" t="s">
        <v>205</v>
      </c>
      <c r="L105" s="96" t="s">
        <v>16</v>
      </c>
      <c r="M105" s="104" t="s">
        <v>799</v>
      </c>
      <c r="N105" s="104" t="s">
        <v>1676</v>
      </c>
      <c r="O105" s="104" t="s">
        <v>1676</v>
      </c>
    </row>
    <row r="106" ht="15.75" customHeight="1" thickBot="1">
      <c r="A106" s="1" t="s">
        <v>1707</v>
      </c>
      <c r="B106" s="96" t="s">
        <v>1708</v>
      </c>
      <c r="C106" s="97" t="s">
        <v>1709</v>
      </c>
      <c r="D106" s="96" t="s">
        <v>515</v>
      </c>
      <c r="E106" s="96" t="s">
        <v>1684</v>
      </c>
      <c r="F106" s="96" t="s">
        <v>1685</v>
      </c>
      <c r="G106" s="96" t="s">
        <v>1411</v>
      </c>
      <c r="H106" t="s">
        <v>726</v>
      </c>
      <c r="I106" s="104" t="inlineStr">
        <is>
          <t xml:space="preserve">ST18; ST08</t>
        </is>
      </c>
      <c r="J106" s="96" t="s">
        <v>16</v>
      </c>
      <c r="K106" s="96" t="s">
        <v>80</v>
      </c>
      <c r="L106" s="96" t="s">
        <v>269</v>
      </c>
      <c r="M106" s="118" t="s">
        <v>1711</v>
      </c>
      <c r="N106" s="119" t="s">
        <v>1711</v>
      </c>
      <c r="O106" s="119" t="s">
        <v>804</v>
      </c>
    </row>
    <row r="107" ht="15.75" customHeight="1" thickBot="1">
      <c r="A107" s="109" t="s">
        <v>1746</v>
      </c>
      <c r="B107" s="107" t="s">
        <v>1747</v>
      </c>
      <c r="C107" s="108" t="s">
        <v>1748</v>
      </c>
      <c r="D107" s="107" t="s">
        <v>515</v>
      </c>
      <c r="E107" s="107" t="s">
        <v>796</v>
      </c>
      <c r="F107" s="107" t="s">
        <v>796</v>
      </c>
      <c r="G107" s="107" t="s">
        <v>1226</v>
      </c>
      <c r="H107" t="s">
        <v>1749</v>
      </c>
      <c r="I107" s="109" t="inlineStr">
        <is>
          <t xml:space="preserve">ST19; ST04; ST26; ST30; ST32; ST43; ST46; ST55; ST64; ST70; ST83; ST92; ST99</t>
        </is>
      </c>
      <c r="J107" s="107" t="s">
        <v>269</v>
      </c>
      <c r="K107" s="107" t="s">
        <v>333</v>
      </c>
      <c r="L107" s="107" t="s">
        <v>80</v>
      </c>
      <c r="M107" s="109" t="s">
        <v>1723</v>
      </c>
      <c r="N107" s="109" t="s">
        <v>850</v>
      </c>
      <c r="O107" s="109" t="s">
        <v>799</v>
      </c>
    </row>
    <row r="108" ht="15.75" customHeight="1" thickBot="1">
      <c r="A108" s="109" t="s">
        <v>1750</v>
      </c>
      <c r="B108" s="107" t="s">
        <v>1751</v>
      </c>
      <c r="C108" s="108" t="s">
        <v>796</v>
      </c>
      <c r="D108" s="107" t="s">
        <v>524</v>
      </c>
      <c r="E108" s="107" t="s">
        <v>796</v>
      </c>
      <c r="F108" s="107" t="s">
        <v>796</v>
      </c>
      <c r="G108" s="107" t="s">
        <v>1226</v>
      </c>
      <c r="H108" t="s">
        <v>1749</v>
      </c>
      <c r="I108" s="109" t="inlineStr">
        <is>
          <t xml:space="preserve">ST19; ST04; ST26; ST30; ST32; ST43; ST46; ST55; ST64; ST70; ST83; ST92; ST99</t>
        </is>
      </c>
      <c r="J108" s="107" t="s">
        <v>205</v>
      </c>
      <c r="K108" s="107" t="s">
        <v>269</v>
      </c>
      <c r="L108" s="107" t="s">
        <v>333</v>
      </c>
      <c r="M108" s="109" t="s">
        <v>849</v>
      </c>
      <c r="N108" s="109" t="s">
        <v>810</v>
      </c>
      <c r="O108" s="109" t="s">
        <v>849</v>
      </c>
    </row>
    <row r="109" ht="15.75" customHeight="1" thickBot="1">
      <c r="A109" s="109" t="s">
        <v>1752</v>
      </c>
      <c r="B109" s="107" t="s">
        <v>1753</v>
      </c>
      <c r="C109" s="108" t="s">
        <v>796</v>
      </c>
      <c r="D109" s="107" t="s">
        <v>515</v>
      </c>
      <c r="E109" s="107" t="s">
        <v>796</v>
      </c>
      <c r="F109" s="107" t="s">
        <v>796</v>
      </c>
      <c r="G109" s="107" t="s">
        <v>1226</v>
      </c>
      <c r="H109" t="s">
        <v>1749</v>
      </c>
      <c r="I109" s="109" t="inlineStr">
        <is>
          <t xml:space="preserve">ST19; ST04; ST26; ST30; ST32; ST43; ST46; ST55; ST64; ST70; ST83; ST92; ST99</t>
        </is>
      </c>
      <c r="J109" s="107" t="s">
        <v>333</v>
      </c>
      <c r="K109" s="107" t="s">
        <v>144</v>
      </c>
      <c r="L109" s="107" t="s">
        <v>80</v>
      </c>
      <c r="M109" s="109" t="s">
        <v>849</v>
      </c>
      <c r="N109" s="109" t="s">
        <v>849</v>
      </c>
      <c r="O109" s="109" t="s">
        <v>810</v>
      </c>
    </row>
    <row r="110" ht="15.75" customHeight="1" thickBot="1">
      <c r="A110" s="109" t="s">
        <v>1754</v>
      </c>
      <c r="B110" s="107" t="s">
        <v>1755</v>
      </c>
      <c r="C110" s="108" t="s">
        <v>796</v>
      </c>
      <c r="D110" s="107" t="s">
        <v>524</v>
      </c>
      <c r="E110" s="107" t="s">
        <v>796</v>
      </c>
      <c r="F110" s="107" t="s">
        <v>796</v>
      </c>
      <c r="G110" s="107" t="s">
        <v>1226</v>
      </c>
      <c r="H110" t="s">
        <v>1749</v>
      </c>
      <c r="I110" s="109" t="inlineStr">
        <is>
          <t xml:space="preserve">ST19; ST04; ST26; ST30; ST32; ST43; ST46; ST55; ST64; ST70; ST83; ST92; ST99</t>
        </is>
      </c>
      <c r="J110" s="107" t="s">
        <v>80</v>
      </c>
      <c r="K110" s="107" t="s">
        <v>269</v>
      </c>
      <c r="L110" s="107" t="s">
        <v>144</v>
      </c>
      <c r="M110" s="109" t="s">
        <v>1676</v>
      </c>
      <c r="N110" s="109" t="s">
        <v>849</v>
      </c>
      <c r="O110" s="109" t="s">
        <v>799</v>
      </c>
    </row>
    <row r="111" ht="15.75" customHeight="1" thickBot="1">
      <c r="A111" s="109" t="s">
        <v>1756</v>
      </c>
      <c r="B111" s="107" t="s">
        <v>1757</v>
      </c>
      <c r="C111" s="108" t="s">
        <v>796</v>
      </c>
      <c r="D111" s="107" t="s">
        <v>515</v>
      </c>
      <c r="E111" s="107" t="s">
        <v>796</v>
      </c>
      <c r="F111" s="107" t="s">
        <v>796</v>
      </c>
      <c r="G111" s="107" t="s">
        <v>1226</v>
      </c>
      <c r="H111" t="s">
        <v>1749</v>
      </c>
      <c r="I111" s="109" t="inlineStr">
        <is>
          <t xml:space="preserve">ST19; ST04; ST26; ST30; ST32; ST43; ST46; ST55; ST64; ST70; ST83; ST92; ST99</t>
        </is>
      </c>
      <c r="J111" s="107" t="s">
        <v>269</v>
      </c>
      <c r="K111" s="107" t="s">
        <v>205</v>
      </c>
      <c r="L111" s="107" t="s">
        <v>333</v>
      </c>
      <c r="M111" s="109" t="s">
        <v>849</v>
      </c>
      <c r="N111" s="109" t="s">
        <v>804</v>
      </c>
      <c r="O111" s="109" t="s">
        <v>856</v>
      </c>
    </row>
    <row r="112" ht="15.75" customHeight="1" thickBot="1">
      <c r="A112" s="109" t="s">
        <v>1758</v>
      </c>
      <c r="B112" s="107" t="s">
        <v>1759</v>
      </c>
      <c r="C112" s="108" t="s">
        <v>796</v>
      </c>
      <c r="D112" s="107" t="s">
        <v>524</v>
      </c>
      <c r="E112" s="107" t="s">
        <v>796</v>
      </c>
      <c r="F112" s="107" t="s">
        <v>796</v>
      </c>
      <c r="G112" s="107" t="s">
        <v>1226</v>
      </c>
      <c r="H112" t="s">
        <v>1749</v>
      </c>
      <c r="I112" s="109" t="inlineStr">
        <is>
          <t xml:space="preserve">ST19; ST04; ST26; ST30; ST32; ST43; ST46; ST55; ST64; ST70; ST83; ST92; ST99</t>
        </is>
      </c>
      <c r="J112" s="107" t="s">
        <v>333</v>
      </c>
      <c r="K112" s="107" t="s">
        <v>80</v>
      </c>
      <c r="L112" s="107" t="s">
        <v>269</v>
      </c>
      <c r="M112" s="109" t="s">
        <v>1676</v>
      </c>
      <c r="N112" s="109" t="s">
        <v>810</v>
      </c>
      <c r="O112" s="109" t="s">
        <v>804</v>
      </c>
    </row>
    <row r="113" ht="15.75" customHeight="1" thickBot="1">
      <c r="A113" s="109" t="s">
        <v>1760</v>
      </c>
      <c r="B113" s="107" t="s">
        <v>1761</v>
      </c>
      <c r="C113" s="108" t="s">
        <v>796</v>
      </c>
      <c r="D113" s="107" t="s">
        <v>515</v>
      </c>
      <c r="E113" s="107" t="s">
        <v>796</v>
      </c>
      <c r="F113" s="107" t="s">
        <v>796</v>
      </c>
      <c r="G113" s="107" t="s">
        <v>1226</v>
      </c>
      <c r="H113" t="s">
        <v>1749</v>
      </c>
      <c r="I113" s="109" t="inlineStr">
        <is>
          <t xml:space="preserve">ST19; ST04; ST26; ST30; ST32; ST43; ST46; ST55; ST64; ST70; ST83; ST92; ST99</t>
        </is>
      </c>
      <c r="J113" s="107" t="s">
        <v>205</v>
      </c>
      <c r="K113" s="107" t="s">
        <v>144</v>
      </c>
      <c r="L113" s="107" t="s">
        <v>269</v>
      </c>
      <c r="M113" s="109" t="s">
        <v>810</v>
      </c>
      <c r="N113" s="109" t="s">
        <v>810</v>
      </c>
      <c r="O113" s="109" t="s">
        <v>849</v>
      </c>
    </row>
    <row r="114" ht="15.75" customHeight="1" thickBot="1">
      <c r="A114" s="109" t="s">
        <v>1762</v>
      </c>
      <c r="B114" s="107" t="s">
        <v>1763</v>
      </c>
      <c r="C114" s="108" t="s">
        <v>796</v>
      </c>
      <c r="D114" s="107" t="s">
        <v>524</v>
      </c>
      <c r="E114" s="107" t="s">
        <v>796</v>
      </c>
      <c r="F114" s="107" t="s">
        <v>796</v>
      </c>
      <c r="G114" s="107" t="s">
        <v>1226</v>
      </c>
      <c r="H114" t="s">
        <v>1749</v>
      </c>
      <c r="I114" s="109" t="inlineStr">
        <is>
          <t xml:space="preserve">ST19; ST04; ST26; ST30; ST32; ST43; ST46; ST55; ST64; ST70; ST83; ST92; ST99</t>
        </is>
      </c>
      <c r="J114" s="107" t="s">
        <v>80</v>
      </c>
      <c r="K114" s="107" t="s">
        <v>333</v>
      </c>
      <c r="L114" s="107" t="s">
        <v>144</v>
      </c>
      <c r="M114" s="109" t="s">
        <v>849</v>
      </c>
      <c r="N114" s="109" t="s">
        <v>849</v>
      </c>
      <c r="O114" s="109" t="s">
        <v>804</v>
      </c>
    </row>
    <row r="115" ht="15.75" customHeight="1" thickBot="1">
      <c r="A115" s="109" t="s">
        <v>1764</v>
      </c>
      <c r="B115" s="107" t="s">
        <v>1765</v>
      </c>
      <c r="C115" s="108" t="s">
        <v>796</v>
      </c>
      <c r="D115" s="107" t="s">
        <v>515</v>
      </c>
      <c r="E115" s="107" t="s">
        <v>796</v>
      </c>
      <c r="F115" s="107" t="s">
        <v>796</v>
      </c>
      <c r="G115" s="107" t="s">
        <v>1302</v>
      </c>
      <c r="H115" t="s">
        <v>1766</v>
      </c>
      <c r="I115" s="109" t="inlineStr">
        <is>
          <t xml:space="preserve">ST20; ST28; ST48; ST67; ST71; ST88</t>
        </is>
      </c>
      <c r="J115" s="107" t="s">
        <v>205</v>
      </c>
      <c r="K115" s="107" t="s">
        <v>144</v>
      </c>
      <c r="L115" s="107" t="s">
        <v>16</v>
      </c>
      <c r="M115" s="109" t="s">
        <v>804</v>
      </c>
      <c r="N115" s="109" t="s">
        <v>834</v>
      </c>
      <c r="O115" s="109" t="s">
        <v>1718</v>
      </c>
    </row>
    <row r="116" ht="15.75" customHeight="1" thickBot="1">
      <c r="A116" s="109" t="s">
        <v>1767</v>
      </c>
      <c r="B116" s="107" t="s">
        <v>1768</v>
      </c>
      <c r="C116" s="108" t="s">
        <v>796</v>
      </c>
      <c r="D116" s="107" t="s">
        <v>524</v>
      </c>
      <c r="E116" s="107" t="s">
        <v>796</v>
      </c>
      <c r="F116" s="107" t="s">
        <v>796</v>
      </c>
      <c r="G116" s="107" t="s">
        <v>1220</v>
      </c>
      <c r="H116" t="s">
        <v>1769</v>
      </c>
      <c r="I116" s="109" t="inlineStr">
        <is>
          <t xml:space="preserve">ST20; ST48; ST67; ST71; ST88</t>
        </is>
      </c>
      <c r="J116" s="107" t="s">
        <v>80</v>
      </c>
      <c r="K116" s="107" t="s">
        <v>269</v>
      </c>
      <c r="L116" s="107" t="s">
        <v>144</v>
      </c>
      <c r="M116" s="109" t="s">
        <v>1676</v>
      </c>
      <c r="N116" s="109" t="s">
        <v>849</v>
      </c>
      <c r="O116" s="109" t="s">
        <v>799</v>
      </c>
    </row>
    <row r="117" ht="15.75" customHeight="1" thickBot="1">
      <c r="A117" s="109" t="s">
        <v>1772</v>
      </c>
      <c r="B117" s="107" t="s">
        <v>1773</v>
      </c>
      <c r="C117" s="108" t="s">
        <v>796</v>
      </c>
      <c r="D117" s="107" t="s">
        <v>515</v>
      </c>
      <c r="E117" s="107" t="s">
        <v>796</v>
      </c>
      <c r="F117" s="107" t="s">
        <v>796</v>
      </c>
      <c r="G117" s="107" t="s">
        <v>1214</v>
      </c>
      <c r="H117" t="s">
        <v>1774</v>
      </c>
      <c r="I117" s="109" t="inlineStr">
        <is>
          <t xml:space="preserve">ST20; ST28; ST48; ST67; ST71; ST88</t>
        </is>
      </c>
      <c r="J117" s="107" t="s">
        <v>16</v>
      </c>
      <c r="K117" s="107" t="s">
        <v>205</v>
      </c>
      <c r="L117" s="107" t="s">
        <v>80</v>
      </c>
      <c r="M117" s="109" t="s">
        <v>856</v>
      </c>
      <c r="N117" s="109" t="s">
        <v>1676</v>
      </c>
      <c r="O117" s="109" t="s">
        <v>849</v>
      </c>
    </row>
    <row r="118" ht="15.75" customHeight="1" thickBot="1">
      <c r="A118" s="109" t="s">
        <v>1775</v>
      </c>
      <c r="B118" s="107" t="s">
        <v>1776</v>
      </c>
      <c r="C118" s="108" t="s">
        <v>796</v>
      </c>
      <c r="D118" s="107" t="s">
        <v>524</v>
      </c>
      <c r="E118" s="107" t="s">
        <v>796</v>
      </c>
      <c r="F118" s="107" t="s">
        <v>796</v>
      </c>
      <c r="G118" s="107" t="s">
        <v>1314</v>
      </c>
      <c r="H118" t="s">
        <v>1777</v>
      </c>
      <c r="I118" s="109" t="inlineStr">
        <is>
          <t xml:space="preserve">ST20; ST28; ST48; ST67; ST71; ST88</t>
        </is>
      </c>
      <c r="J118" s="107" t="s">
        <v>16</v>
      </c>
      <c r="K118" s="107" t="s">
        <v>144</v>
      </c>
      <c r="L118" s="107" t="s">
        <v>205</v>
      </c>
      <c r="M118" s="109" t="s">
        <v>804</v>
      </c>
      <c r="N118" s="109" t="s">
        <v>1676</v>
      </c>
      <c r="O118" s="109" t="s">
        <v>849</v>
      </c>
    </row>
    <row r="119" ht="15.75" customHeight="1" thickBot="1">
      <c r="A119" s="109" t="s">
        <v>1778</v>
      </c>
      <c r="B119" s="107" t="s">
        <v>1779</v>
      </c>
      <c r="C119" s="108" t="s">
        <v>796</v>
      </c>
      <c r="D119" s="107" t="s">
        <v>515</v>
      </c>
      <c r="E119" s="107" t="s">
        <v>796</v>
      </c>
      <c r="F119" s="107" t="s">
        <v>796</v>
      </c>
      <c r="G119" s="107" t="s">
        <v>1265</v>
      </c>
      <c r="H119" t="s">
        <v>1780</v>
      </c>
      <c r="I119" s="109" t="inlineStr">
        <is>
          <t xml:space="preserve">ST20; ST28; ST48; ST67; ST71; ST88</t>
        </is>
      </c>
      <c r="J119" s="107" t="s">
        <v>144</v>
      </c>
      <c r="K119" s="107" t="s">
        <v>205</v>
      </c>
      <c r="L119" s="107" t="s">
        <v>16</v>
      </c>
      <c r="M119" s="109" t="s">
        <v>804</v>
      </c>
      <c r="N119" s="109" t="s">
        <v>849</v>
      </c>
      <c r="O119" s="109" t="s">
        <v>849</v>
      </c>
    </row>
    <row r="120" ht="15.75" customHeight="1" thickBot="1">
      <c r="A120" s="109" t="s">
        <v>1781</v>
      </c>
      <c r="B120" s="107" t="s">
        <v>1782</v>
      </c>
      <c r="C120" s="108" t="s">
        <v>796</v>
      </c>
      <c r="D120" s="107" t="s">
        <v>524</v>
      </c>
      <c r="E120" s="107" t="s">
        <v>796</v>
      </c>
      <c r="F120" s="107" t="s">
        <v>796</v>
      </c>
      <c r="G120" s="107" t="s">
        <v>1308</v>
      </c>
      <c r="H120" t="s">
        <v>1726</v>
      </c>
      <c r="I120" s="109" t="inlineStr">
        <is>
          <t xml:space="preserve">ST20; ST48; ST67; ST71; ST88</t>
        </is>
      </c>
      <c r="J120" s="107" t="s">
        <v>16</v>
      </c>
      <c r="K120" s="107" t="s">
        <v>80</v>
      </c>
      <c r="L120" s="107" t="s">
        <v>144</v>
      </c>
      <c r="M120" s="109" t="s">
        <v>856</v>
      </c>
      <c r="N120" s="109" t="s">
        <v>1676</v>
      </c>
      <c r="O120" s="109" t="s">
        <v>810</v>
      </c>
    </row>
    <row r="121" ht="15.75" customHeight="1" thickBot="1">
      <c r="A121" s="109" t="s">
        <v>1783</v>
      </c>
      <c r="B121" s="107" t="s">
        <v>1784</v>
      </c>
      <c r="C121" s="108" t="s">
        <v>796</v>
      </c>
      <c r="D121" s="107" t="s">
        <v>515</v>
      </c>
      <c r="E121" s="107" t="s">
        <v>796</v>
      </c>
      <c r="F121" s="107" t="s">
        <v>796</v>
      </c>
      <c r="G121" s="107" t="s">
        <v>1333</v>
      </c>
      <c r="H121" t="s">
        <v>1733</v>
      </c>
      <c r="I121" s="109" t="inlineStr">
        <is>
          <t xml:space="preserve">ST20; ST48; ST67; ST71; ST88</t>
        </is>
      </c>
      <c r="J121" s="107" t="s">
        <v>80</v>
      </c>
      <c r="K121" s="107" t="s">
        <v>144</v>
      </c>
      <c r="L121" s="107" t="s">
        <v>269</v>
      </c>
      <c r="M121" s="109" t="s">
        <v>849</v>
      </c>
      <c r="N121" s="109" t="s">
        <v>849</v>
      </c>
      <c r="O121" s="109" t="s">
        <v>799</v>
      </c>
    </row>
    <row r="122" ht="15.75" customHeight="1" thickBot="1">
      <c r="A122" s="109" t="s">
        <v>1785</v>
      </c>
      <c r="B122" s="107" t="s">
        <v>1786</v>
      </c>
      <c r="C122" s="108" t="s">
        <v>796</v>
      </c>
      <c r="D122" s="107" t="s">
        <v>524</v>
      </c>
      <c r="E122" s="107" t="s">
        <v>796</v>
      </c>
      <c r="F122" s="107" t="s">
        <v>796</v>
      </c>
      <c r="G122" s="107" t="s">
        <v>1356</v>
      </c>
      <c r="H122" t="s">
        <v>1787</v>
      </c>
      <c r="I122" s="109" t="inlineStr">
        <is>
          <t xml:space="preserve">ST20; ST48; ST67; ST71; ST88</t>
        </is>
      </c>
      <c r="J122" s="107" t="s">
        <v>16</v>
      </c>
      <c r="K122" s="107" t="s">
        <v>269</v>
      </c>
      <c r="L122" s="107" t="s">
        <v>205</v>
      </c>
      <c r="M122" s="109" t="s">
        <v>810</v>
      </c>
      <c r="N122" s="109" t="s">
        <v>849</v>
      </c>
      <c r="O122" s="109" t="s">
        <v>1730</v>
      </c>
    </row>
    <row r="123" spans="1:15" ht="15.75" customHeight="1" thickBot="1">
      <c r="A123" s="1" t="s">
        <v>1793</v>
      </c>
      <c r="B123" s="96" t="s">
        <v>530</v>
      </c>
      <c r="C123" s="97" t="s">
        <v>796</v>
      </c>
      <c r="D123" s="96" t="s">
        <v>515</v>
      </c>
      <c r="E123" s="96" t="s">
        <v>531</v>
      </c>
      <c r="F123" s="96" t="s">
        <v>1695</v>
      </c>
      <c r="G123" s="99" t="s">
        <v>1411</v>
      </c>
      <c r="H123" t="s">
        <v>533</v>
      </c>
      <c r="J123" s="96" t="s">
        <v>80</v>
      </c>
      <c r="K123" s="96" t="s">
        <v>205</v>
      </c>
      <c r="L123" s="96" t="s">
        <v>144</v>
      </c>
      <c r="M123" s="104" t="s">
        <v>849</v>
      </c>
      <c r="N123" s="104" t="s">
        <v>849</v>
      </c>
      <c r="O123" s="104" t="s">
        <v>810</v>
      </c>
    </row>
    <row r="124" spans="1:15" ht="15.75" customHeight="1" thickBot="1">
      <c r="A124" s="1" t="s">
        <v>1808</v>
      </c>
      <c r="B124" s="96" t="s">
        <v>522</v>
      </c>
      <c r="C124" s="97" t="s">
        <v>796</v>
      </c>
      <c r="D124" s="96" t="s">
        <v>524</v>
      </c>
      <c r="E124" s="96" t="s">
        <v>513</v>
      </c>
      <c r="F124" s="96" t="s">
        <v>1689</v>
      </c>
      <c r="G124" s="99" t="s">
        <v>1411</v>
      </c>
      <c r="H124" t="s">
        <v>525</v>
      </c>
      <c r="J124" s="96" t="s">
        <v>16</v>
      </c>
      <c r="K124" s="96" t="s">
        <v>269</v>
      </c>
      <c r="L124" s="96" t="s">
        <v>333</v>
      </c>
      <c r="M124" s="104" t="s">
        <v>1730</v>
      </c>
      <c r="N124" s="104" t="s">
        <v>849</v>
      </c>
      <c r="O124" s="104" t="s">
        <v>810</v>
      </c>
    </row>
    <row r="125" spans="1:15" ht="15.75" customHeight="1" thickBot="1">
      <c r="A125" s="1" t="s">
        <v>1842</v>
      </c>
      <c r="B125" s="96" t="s">
        <v>6908</v>
      </c>
      <c r="C125" s="97" t="s">
        <v>796</v>
      </c>
      <c r="D125" s="96" t="s">
        <v>515</v>
      </c>
      <c r="E125" s="96" t="s">
        <v>540</v>
      </c>
      <c r="F125" s="96" t="s">
        <v>1679</v>
      </c>
      <c r="G125" s="99" t="s">
        <v>1411</v>
      </c>
      <c r="H125" t="s">
        <v>542</v>
      </c>
      <c r="J125" s="96" t="s">
        <v>144</v>
      </c>
      <c r="K125" s="96" t="s">
        <v>333</v>
      </c>
      <c r="L125" s="96" t="s">
        <v>80</v>
      </c>
      <c r="M125" s="104" t="s">
        <v>810</v>
      </c>
      <c r="N125" s="104" t="s">
        <v>849</v>
      </c>
      <c r="O125" s="104" t="s">
        <v>810</v>
      </c>
    </row>
    <row r="126" spans="1:15" ht="15.75" customHeight="1" thickBot="1">
      <c r="A126" s="1" t="s">
        <v>1854</v>
      </c>
      <c r="B126" s="96" t="s">
        <v>512</v>
      </c>
      <c r="C126" s="97" t="s">
        <v>796</v>
      </c>
      <c r="D126" s="96" t="s">
        <v>515</v>
      </c>
      <c r="E126" s="96" t="s">
        <v>513</v>
      </c>
      <c r="F126" s="96" t="s">
        <v>1689</v>
      </c>
      <c r="G126" s="99" t="s">
        <v>1411</v>
      </c>
      <c r="H126" t="s">
        <v>516</v>
      </c>
      <c r="J126" s="96" t="s">
        <v>16</v>
      </c>
      <c r="K126" s="96" t="s">
        <v>80</v>
      </c>
      <c r="L126" s="96" t="s">
        <v>333</v>
      </c>
      <c r="M126" s="104" t="s">
        <v>810</v>
      </c>
      <c r="N126" s="104" t="s">
        <v>1676</v>
      </c>
      <c r="O126" s="104" t="s">
        <v>810</v>
      </c>
    </row>
    <row r="127" spans="1:15" ht="15.75" customHeight="1" thickBot="1">
      <c r="B127" s="96"/>
      <c r="C127" s="97"/>
      <c r="D127" s="96"/>
      <c r="E127" s="96"/>
      <c r="F127" s="96"/>
      <c r="G127" s="96"/>
      <c r="J127" s="96"/>
      <c r="K127" s="96"/>
      <c r="L127" s="96"/>
    </row>
    <row r="128" spans="1:15" ht="15.75" customHeight="1" thickBot="1">
      <c r="B128" s="96"/>
      <c r="C128" s="97"/>
      <c r="D128" s="96"/>
      <c r="E128" s="96"/>
      <c r="F128" s="96"/>
      <c r="G128" s="96"/>
      <c r="J128" s="96"/>
      <c r="K128" s="96"/>
      <c r="L128" s="96"/>
    </row>
    <row r="129" spans="2:12" ht="15.75" customHeight="1" thickBot="1">
      <c r="B129" s="96"/>
      <c r="C129" s="97"/>
      <c r="D129" s="96"/>
      <c r="E129" s="96"/>
      <c r="F129" s="96"/>
      <c r="G129" s="96"/>
      <c r="J129" s="96"/>
      <c r="K129" s="96"/>
      <c r="L129" s="96"/>
    </row>
    <row r="130" spans="2:12" ht="15.75" customHeight="1" thickBot="1">
      <c r="B130" s="96"/>
      <c r="C130" s="97"/>
      <c r="D130" s="96"/>
      <c r="E130" s="96"/>
      <c r="F130" s="96"/>
      <c r="G130" s="96"/>
      <c r="J130" s="96"/>
      <c r="K130" s="96"/>
      <c r="L130" s="96"/>
    </row>
    <row r="131" spans="2:12" ht="15.75" customHeight="1" thickBot="1">
      <c r="B131" s="96"/>
      <c r="C131" s="97"/>
      <c r="D131" s="96"/>
      <c r="E131" s="96"/>
      <c r="F131" s="96"/>
      <c r="G131" s="96"/>
      <c r="J131" s="96"/>
      <c r="K131" s="96"/>
      <c r="L131" s="96"/>
    </row>
    <row r="132" spans="2:12" ht="15.75" customHeight="1" thickBot="1">
      <c r="B132" s="96"/>
      <c r="C132" s="97"/>
      <c r="D132" s="96"/>
      <c r="E132" s="96"/>
      <c r="F132" s="96"/>
      <c r="G132" s="96"/>
      <c r="J132" s="96"/>
      <c r="K132" s="96"/>
      <c r="L132" s="96"/>
    </row>
    <row r="133" spans="2:12" ht="15.75" customHeight="1" thickBot="1">
      <c r="B133" s="96"/>
      <c r="C133" s="97"/>
      <c r="D133" s="96"/>
      <c r="E133" s="96"/>
      <c r="F133" s="96"/>
      <c r="G133" s="96"/>
      <c r="J133" s="96"/>
      <c r="K133" s="96"/>
      <c r="L133" s="96"/>
    </row>
    <row r="134" spans="2:12" ht="15.75" customHeight="1" thickBot="1">
      <c r="B134" s="96"/>
      <c r="C134" s="97"/>
      <c r="D134" s="96"/>
      <c r="E134" s="96"/>
      <c r="F134" s="96"/>
      <c r="G134" s="96"/>
      <c r="J134" s="96"/>
      <c r="K134" s="96"/>
      <c r="L134" s="96"/>
    </row>
    <row r="135" spans="2:12" ht="15.75" customHeight="1" thickBot="1">
      <c r="B135" s="96"/>
      <c r="C135" s="97"/>
      <c r="D135" s="96"/>
      <c r="E135" s="96"/>
      <c r="F135" s="96"/>
      <c r="G135" s="96"/>
      <c r="J135" s="96"/>
      <c r="K135" s="96"/>
      <c r="L135" s="96"/>
    </row>
    <row r="136" spans="2:12" ht="15.75" customHeight="1" thickBot="1">
      <c r="B136" s="96"/>
      <c r="C136" s="97"/>
      <c r="D136" s="96"/>
      <c r="E136" s="96"/>
      <c r="F136" s="96"/>
      <c r="G136" s="96"/>
      <c r="J136" s="96"/>
      <c r="K136" s="96"/>
      <c r="L136" s="96"/>
    </row>
    <row r="137" spans="2:12" ht="15.75" customHeight="1" thickBot="1">
      <c r="B137" s="96"/>
      <c r="C137" s="97"/>
      <c r="D137" s="96"/>
      <c r="E137" s="96"/>
      <c r="F137" s="96"/>
      <c r="G137" s="96"/>
      <c r="J137" s="96"/>
      <c r="K137" s="96"/>
      <c r="L137" s="96"/>
    </row>
    <row r="138" spans="2:12" ht="15.75" customHeight="1" thickBot="1">
      <c r="B138" s="96"/>
      <c r="C138" s="97"/>
      <c r="D138" s="96"/>
      <c r="E138" s="96"/>
      <c r="F138" s="96"/>
      <c r="G138" s="96"/>
      <c r="J138" s="96"/>
      <c r="K138" s="96"/>
      <c r="L138" s="96"/>
    </row>
    <row r="139" spans="2:12" ht="15.75" customHeight="1" thickBot="1">
      <c r="B139" s="96"/>
      <c r="C139" s="97"/>
      <c r="D139" s="96"/>
      <c r="E139" s="96"/>
      <c r="F139" s="96"/>
      <c r="G139" s="96"/>
      <c r="J139" s="96"/>
      <c r="K139" s="96"/>
      <c r="L139" s="96"/>
    </row>
    <row r="140" spans="2:12" ht="15.75" customHeight="1" thickBot="1">
      <c r="B140" s="96"/>
      <c r="C140" s="97"/>
      <c r="D140" s="96"/>
      <c r="E140" s="96"/>
      <c r="F140" s="96"/>
      <c r="G140" s="96"/>
      <c r="J140" s="96"/>
      <c r="K140" s="96"/>
      <c r="L140" s="96"/>
    </row>
    <row r="141" spans="2:12" ht="15.75" customHeight="1" thickBot="1">
      <c r="B141" s="96"/>
      <c r="C141" s="97"/>
      <c r="D141" s="96"/>
      <c r="E141" s="96"/>
      <c r="F141" s="96"/>
      <c r="G141" s="96"/>
      <c r="J141" s="96"/>
      <c r="K141" s="96"/>
      <c r="L141" s="96"/>
    </row>
    <row r="142" spans="2:12" ht="15.75" customHeight="1" thickBot="1">
      <c r="B142" s="96"/>
      <c r="C142" s="97"/>
      <c r="D142" s="96"/>
      <c r="E142" s="96"/>
      <c r="F142" s="96"/>
      <c r="G142" s="96"/>
      <c r="J142" s="96"/>
      <c r="K142" s="96"/>
      <c r="L142" s="96"/>
    </row>
    <row r="143" spans="2:12" ht="15.75" customHeight="1" thickBot="1">
      <c r="B143" s="96"/>
      <c r="C143" s="97"/>
      <c r="D143" s="96"/>
      <c r="E143" s="96"/>
      <c r="F143" s="96"/>
      <c r="G143" s="96"/>
      <c r="J143" s="96"/>
      <c r="K143" s="96"/>
      <c r="L143" s="96"/>
    </row>
    <row r="144" spans="2:12" ht="15.75" customHeight="1" thickBot="1">
      <c r="B144" s="96"/>
      <c r="C144" s="97"/>
      <c r="D144" s="96"/>
      <c r="E144" s="96"/>
      <c r="F144" s="96"/>
      <c r="G144" s="96"/>
      <c r="J144" s="96"/>
      <c r="K144" s="96"/>
      <c r="L144" s="96"/>
    </row>
    <row r="145" spans="2:12" ht="15.75" customHeight="1" thickBot="1">
      <c r="B145" s="96"/>
      <c r="C145" s="97"/>
      <c r="D145" s="96"/>
      <c r="E145" s="96"/>
      <c r="F145" s="96"/>
      <c r="G145" s="96"/>
      <c r="J145" s="96"/>
      <c r="K145" s="96"/>
      <c r="L145" s="96"/>
    </row>
    <row r="146" spans="2:12" ht="15.75" customHeight="1" thickBot="1">
      <c r="B146" s="96"/>
      <c r="C146" s="97"/>
      <c r="D146" s="96"/>
      <c r="E146" s="96"/>
      <c r="F146" s="96"/>
      <c r="G146" s="96"/>
      <c r="J146" s="96"/>
      <c r="K146" s="96"/>
      <c r="L146" s="96"/>
    </row>
    <row r="147" spans="2:12" ht="15.75" customHeight="1" thickBot="1">
      <c r="B147" s="96"/>
      <c r="C147" s="97"/>
      <c r="D147" s="96"/>
      <c r="E147" s="96"/>
      <c r="F147" s="96"/>
      <c r="G147" s="96"/>
      <c r="J147" s="96"/>
      <c r="K147" s="96"/>
      <c r="L147" s="96"/>
    </row>
    <row r="148" spans="2:12" ht="15.75" customHeight="1" thickBot="1">
      <c r="B148" s="96"/>
      <c r="C148" s="97"/>
      <c r="D148" s="96"/>
      <c r="E148" s="96"/>
      <c r="F148" s="96"/>
      <c r="G148" s="96"/>
      <c r="J148" s="96"/>
      <c r="K148" s="96"/>
      <c r="L148" s="96"/>
    </row>
    <row r="149" spans="2:12" ht="15.75" customHeight="1" thickBot="1">
      <c r="B149" s="96"/>
      <c r="C149" s="97"/>
      <c r="D149" s="96"/>
      <c r="E149" s="96"/>
      <c r="F149" s="96"/>
      <c r="G149" s="96"/>
      <c r="J149" s="96"/>
      <c r="K149" s="96"/>
      <c r="L149" s="96"/>
    </row>
    <row r="150" spans="2:12" ht="15.75" customHeight="1" thickBot="1">
      <c r="B150" s="96"/>
      <c r="C150" s="97"/>
      <c r="D150" s="96"/>
      <c r="E150" s="96"/>
      <c r="F150" s="96"/>
      <c r="G150" s="96"/>
      <c r="J150" s="96"/>
      <c r="K150" s="96"/>
      <c r="L150" s="96"/>
    </row>
    <row r="151" spans="2:12" ht="15.75" customHeight="1" thickBot="1">
      <c r="B151" s="96"/>
      <c r="C151" s="97"/>
      <c r="D151" s="96"/>
      <c r="E151" s="96"/>
      <c r="F151" s="96"/>
      <c r="G151" s="96"/>
      <c r="J151" s="96"/>
      <c r="K151" s="96"/>
      <c r="L151" s="96"/>
    </row>
    <row r="152" spans="2:12" ht="15.75" customHeight="1" thickBot="1">
      <c r="B152" s="96"/>
      <c r="C152" s="97"/>
      <c r="D152" s="96"/>
      <c r="E152" s="96"/>
      <c r="F152" s="96"/>
      <c r="G152" s="96"/>
      <c r="J152" s="96"/>
      <c r="K152" s="96"/>
      <c r="L152" s="96"/>
    </row>
    <row r="153" spans="2:12" ht="15.75" customHeight="1" thickBot="1">
      <c r="B153" s="96"/>
      <c r="C153" s="97"/>
      <c r="D153" s="96"/>
      <c r="E153" s="96"/>
      <c r="F153" s="96"/>
      <c r="G153" s="96"/>
      <c r="J153" s="96"/>
      <c r="K153" s="96"/>
      <c r="L153" s="96"/>
    </row>
    <row r="154" spans="2:12" ht="15.75" customHeight="1" thickBot="1">
      <c r="B154" s="96"/>
      <c r="C154" s="97"/>
      <c r="D154" s="96"/>
      <c r="E154" s="96"/>
      <c r="F154" s="96"/>
      <c r="G154" s="96"/>
      <c r="J154" s="96"/>
      <c r="K154" s="96"/>
      <c r="L154" s="96"/>
    </row>
    <row r="155" spans="2:12" ht="15.75" customHeight="1" thickBot="1">
      <c r="B155" s="96"/>
      <c r="C155" s="97"/>
      <c r="D155" s="96"/>
      <c r="E155" s="96"/>
      <c r="F155" s="96"/>
      <c r="G155" s="96"/>
      <c r="J155" s="96"/>
      <c r="K155" s="96"/>
      <c r="L155" s="96"/>
    </row>
    <row r="156" spans="2:12" ht="15.75" customHeight="1" thickBot="1">
      <c r="B156" s="96"/>
      <c r="C156" s="97"/>
      <c r="D156" s="96"/>
      <c r="E156" s="96"/>
      <c r="F156" s="96"/>
      <c r="G156" s="96"/>
      <c r="J156" s="96"/>
      <c r="K156" s="96"/>
      <c r="L156" s="96"/>
    </row>
    <row r="157" spans="2:12" ht="15.75" customHeight="1" thickBot="1">
      <c r="B157" s="96"/>
      <c r="C157" s="97"/>
      <c r="D157" s="96"/>
      <c r="E157" s="96"/>
      <c r="F157" s="96"/>
      <c r="G157" s="96"/>
      <c r="J157" s="96"/>
      <c r="K157" s="96"/>
      <c r="L157" s="96"/>
    </row>
    <row r="158" spans="2:12" ht="15.75" customHeight="1" thickBot="1">
      <c r="B158" s="96"/>
      <c r="C158" s="97"/>
      <c r="D158" s="96"/>
      <c r="E158" s="96"/>
      <c r="F158" s="96"/>
      <c r="G158" s="96"/>
      <c r="J158" s="96"/>
      <c r="K158" s="96"/>
      <c r="L158" s="96"/>
    </row>
    <row r="159" spans="2:12" ht="15.75" customHeight="1" thickBot="1">
      <c r="B159" s="96"/>
      <c r="C159" s="97"/>
      <c r="D159" s="96"/>
      <c r="E159" s="96"/>
      <c r="F159" s="96"/>
      <c r="G159" s="96"/>
      <c r="J159" s="96"/>
      <c r="K159" s="96"/>
      <c r="L159" s="96"/>
    </row>
    <row r="160" spans="2:12" ht="15.75" customHeight="1" thickBot="1">
      <c r="B160" s="96"/>
      <c r="C160" s="97"/>
      <c r="D160" s="96"/>
      <c r="E160" s="96"/>
      <c r="F160" s="96"/>
      <c r="G160" s="96"/>
      <c r="J160" s="96"/>
      <c r="K160" s="96"/>
      <c r="L160" s="96"/>
    </row>
    <row r="161" spans="2:12" ht="15.75" customHeight="1" thickBot="1">
      <c r="B161" s="96"/>
      <c r="C161" s="97"/>
      <c r="D161" s="96"/>
      <c r="E161" s="96"/>
      <c r="F161" s="96"/>
      <c r="G161" s="96"/>
      <c r="J161" s="96"/>
      <c r="K161" s="96"/>
      <c r="L161" s="96"/>
    </row>
    <row r="162" spans="2:12" ht="15.75" customHeight="1" thickBot="1">
      <c r="B162" s="96"/>
      <c r="C162" s="97"/>
      <c r="D162" s="96"/>
      <c r="E162" s="96"/>
      <c r="F162" s="96"/>
      <c r="G162" s="96"/>
      <c r="J162" s="96"/>
      <c r="K162" s="96"/>
      <c r="L162" s="96"/>
    </row>
    <row r="163" spans="2:12" ht="15.75" customHeight="1" thickBot="1">
      <c r="B163" s="96"/>
      <c r="C163" s="97"/>
      <c r="D163" s="96"/>
      <c r="E163" s="96"/>
      <c r="F163" s="96"/>
      <c r="G163" s="96"/>
      <c r="J163" s="96"/>
      <c r="K163" s="96"/>
      <c r="L163" s="96"/>
    </row>
    <row r="164" spans="2:12" ht="15.75" customHeight="1" thickBot="1">
      <c r="B164" s="96"/>
      <c r="C164" s="97"/>
      <c r="D164" s="96"/>
      <c r="E164" s="96"/>
      <c r="F164" s="96"/>
      <c r="G164" s="96"/>
      <c r="J164" s="96"/>
      <c r="K164" s="96"/>
      <c r="L164" s="96"/>
    </row>
    <row r="165" spans="2:12" ht="15.75" customHeight="1" thickBot="1">
      <c r="B165" s="96"/>
      <c r="C165" s="97"/>
      <c r="D165" s="96"/>
      <c r="E165" s="96"/>
      <c r="F165" s="96"/>
      <c r="G165" s="96"/>
      <c r="J165" s="96"/>
      <c r="K165" s="96"/>
      <c r="L165" s="96"/>
    </row>
    <row r="166" spans="2:12" ht="15.75" customHeight="1" thickBot="1">
      <c r="B166" s="96"/>
      <c r="C166" s="97"/>
      <c r="D166" s="96"/>
      <c r="E166" s="96"/>
      <c r="F166" s="96"/>
      <c r="G166" s="96"/>
      <c r="J166" s="96"/>
      <c r="K166" s="96"/>
      <c r="L166" s="96"/>
    </row>
    <row r="167" spans="2:12" ht="15.75" customHeight="1" thickBot="1">
      <c r="B167" s="96"/>
      <c r="C167" s="97"/>
      <c r="D167" s="96"/>
      <c r="E167" s="96"/>
      <c r="F167" s="96"/>
      <c r="G167" s="96"/>
      <c r="J167" s="96"/>
      <c r="K167" s="96"/>
      <c r="L167" s="96"/>
    </row>
    <row r="168" spans="2:12" ht="15.75" customHeight="1" thickBot="1">
      <c r="B168" s="96"/>
      <c r="C168" s="97"/>
      <c r="D168" s="96"/>
      <c r="E168" s="96"/>
      <c r="F168" s="96"/>
      <c r="G168" s="96"/>
      <c r="J168" s="96"/>
      <c r="K168" s="96"/>
      <c r="L168" s="96"/>
    </row>
    <row r="169" spans="2:12" ht="15.75" customHeight="1" thickBot="1">
      <c r="B169" s="96"/>
      <c r="C169" s="97"/>
      <c r="D169" s="96"/>
      <c r="E169" s="96"/>
      <c r="F169" s="96"/>
      <c r="G169" s="96"/>
      <c r="J169" s="96"/>
      <c r="K169" s="96"/>
      <c r="L169" s="96"/>
    </row>
    <row r="170" spans="2:12" ht="15.75" customHeight="1" thickBot="1">
      <c r="B170" s="96"/>
      <c r="C170" s="97"/>
      <c r="D170" s="96"/>
      <c r="E170" s="96"/>
      <c r="F170" s="96"/>
      <c r="G170" s="96"/>
      <c r="J170" s="96"/>
      <c r="K170" s="96"/>
      <c r="L170" s="96"/>
    </row>
    <row r="171" spans="2:12" ht="15.75" customHeight="1" thickBot="1">
      <c r="B171" s="96"/>
      <c r="C171" s="97"/>
      <c r="D171" s="96"/>
      <c r="E171" s="96"/>
      <c r="F171" s="96"/>
      <c r="G171" s="96"/>
      <c r="J171" s="96"/>
      <c r="K171" s="96"/>
      <c r="L171" s="96"/>
    </row>
    <row r="172" spans="2:12" ht="15.75" customHeight="1" thickBot="1">
      <c r="B172" s="96"/>
      <c r="C172" s="97"/>
      <c r="D172" s="96"/>
      <c r="E172" s="96"/>
      <c r="F172" s="96"/>
      <c r="G172" s="96"/>
      <c r="J172" s="96"/>
      <c r="K172" s="96"/>
      <c r="L172" s="96"/>
    </row>
    <row r="173" spans="2:12" ht="15.75" customHeight="1" thickBot="1">
      <c r="B173" s="96"/>
      <c r="C173" s="97"/>
      <c r="D173" s="96"/>
      <c r="E173" s="96"/>
      <c r="F173" s="96"/>
      <c r="G173" s="96"/>
      <c r="J173" s="96"/>
      <c r="K173" s="96"/>
      <c r="L173" s="96"/>
    </row>
    <row r="174" spans="2:12" ht="15.75" customHeight="1" thickBot="1">
      <c r="B174" s="96"/>
      <c r="C174" s="97"/>
      <c r="D174" s="96"/>
      <c r="E174" s="96"/>
      <c r="F174" s="96"/>
      <c r="G174" s="96"/>
      <c r="J174" s="96"/>
      <c r="K174" s="96"/>
      <c r="L174" s="96"/>
    </row>
    <row r="175" spans="2:12" ht="15.75" customHeight="1" thickBot="1">
      <c r="B175" s="96"/>
      <c r="C175" s="97"/>
      <c r="D175" s="96"/>
      <c r="E175" s="96"/>
      <c r="F175" s="96"/>
      <c r="G175" s="96"/>
      <c r="J175" s="96"/>
      <c r="K175" s="96"/>
      <c r="L175" s="96"/>
    </row>
    <row r="176" spans="2:12" ht="15.75" customHeight="1" thickBot="1">
      <c r="B176" s="96"/>
      <c r="C176" s="97"/>
      <c r="D176" s="96"/>
      <c r="E176" s="96"/>
      <c r="F176" s="96"/>
      <c r="G176" s="96"/>
      <c r="J176" s="96"/>
      <c r="K176" s="96"/>
      <c r="L176" s="96"/>
    </row>
    <row r="177" spans="2:12" ht="15.75" customHeight="1" thickBot="1">
      <c r="B177" s="96"/>
      <c r="C177" s="97"/>
      <c r="D177" s="96"/>
      <c r="E177" s="96"/>
      <c r="F177" s="96"/>
      <c r="G177" s="96"/>
      <c r="J177" s="96"/>
      <c r="K177" s="96"/>
      <c r="L177" s="96"/>
    </row>
    <row r="178" spans="2:12" ht="15.75" customHeight="1" thickBot="1">
      <c r="B178" s="96"/>
      <c r="C178" s="97"/>
      <c r="D178" s="96"/>
      <c r="E178" s="96"/>
      <c r="F178" s="96"/>
      <c r="G178" s="96"/>
      <c r="J178" s="96"/>
      <c r="K178" s="96"/>
      <c r="L178" s="96"/>
    </row>
    <row r="179" spans="2:12" ht="15.75" customHeight="1" thickBot="1">
      <c r="B179" s="96"/>
      <c r="C179" s="97"/>
      <c r="D179" s="96"/>
      <c r="E179" s="96"/>
      <c r="F179" s="96"/>
      <c r="G179" s="96"/>
      <c r="J179" s="96"/>
      <c r="K179" s="96"/>
      <c r="L179" s="96"/>
    </row>
    <row r="180" spans="2:12" ht="15.75" customHeight="1" thickBot="1">
      <c r="B180" s="96"/>
      <c r="C180" s="97"/>
      <c r="D180" s="96"/>
      <c r="E180" s="96"/>
      <c r="F180" s="96"/>
      <c r="G180" s="96"/>
      <c r="J180" s="96"/>
      <c r="K180" s="96"/>
      <c r="L180" s="96"/>
    </row>
    <row r="181" spans="2:12" ht="15.75" customHeight="1" thickBot="1">
      <c r="B181" s="96"/>
      <c r="C181" s="97"/>
      <c r="D181" s="96"/>
      <c r="E181" s="96"/>
      <c r="F181" s="96"/>
      <c r="G181" s="96"/>
      <c r="J181" s="96"/>
      <c r="K181" s="96"/>
      <c r="L181" s="96"/>
    </row>
    <row r="182" spans="2:12" ht="15.75" customHeight="1" thickBot="1">
      <c r="B182" s="96"/>
      <c r="C182" s="97"/>
      <c r="D182" s="96"/>
      <c r="E182" s="96"/>
      <c r="F182" s="96"/>
      <c r="G182" s="96"/>
      <c r="J182" s="96"/>
      <c r="K182" s="96"/>
      <c r="L182" s="96"/>
    </row>
    <row r="183" spans="2:12" ht="15.75" customHeight="1" thickBot="1">
      <c r="B183" s="96"/>
      <c r="C183" s="97"/>
      <c r="D183" s="96"/>
      <c r="E183" s="96"/>
      <c r="F183" s="96"/>
      <c r="G183" s="96"/>
      <c r="J183" s="96"/>
      <c r="K183" s="96"/>
      <c r="L183" s="96"/>
    </row>
    <row r="184" spans="2:12" ht="15.75" customHeight="1" thickBot="1">
      <c r="B184" s="96"/>
      <c r="C184" s="97"/>
      <c r="D184" s="96"/>
      <c r="E184" s="96"/>
      <c r="F184" s="96"/>
      <c r="G184" s="96"/>
      <c r="J184" s="96"/>
      <c r="K184" s="96"/>
      <c r="L184" s="96"/>
    </row>
    <row r="185" spans="2:12" ht="15.75" customHeight="1" thickBot="1">
      <c r="B185" s="96"/>
      <c r="C185" s="97"/>
      <c r="D185" s="96"/>
      <c r="E185" s="96"/>
      <c r="F185" s="96"/>
      <c r="G185" s="96"/>
      <c r="J185" s="96"/>
      <c r="K185" s="96"/>
      <c r="L185" s="96"/>
    </row>
    <row r="186" spans="2:12" ht="15.75" customHeight="1" thickBot="1">
      <c r="B186" s="96"/>
      <c r="C186" s="97"/>
      <c r="D186" s="96"/>
      <c r="E186" s="96"/>
      <c r="F186" s="96"/>
      <c r="G186" s="96"/>
      <c r="J186" s="96"/>
      <c r="K186" s="96"/>
      <c r="L186" s="96"/>
    </row>
    <row r="187" spans="2:12" ht="15.75" customHeight="1" thickBot="1">
      <c r="B187" s="96"/>
      <c r="C187" s="97"/>
      <c r="D187" s="96"/>
      <c r="E187" s="96"/>
      <c r="F187" s="96"/>
      <c r="G187" s="96"/>
      <c r="J187" s="96"/>
      <c r="K187" s="96"/>
      <c r="L187" s="96"/>
    </row>
    <row r="188" spans="2:12" ht="15.75" customHeight="1" thickBot="1">
      <c r="B188" s="96"/>
      <c r="C188" s="97"/>
      <c r="D188" s="96"/>
      <c r="E188" s="96"/>
      <c r="F188" s="96"/>
      <c r="G188" s="96"/>
      <c r="J188" s="96"/>
      <c r="K188" s="96"/>
      <c r="L188" s="96"/>
    </row>
    <row r="189" spans="2:12" ht="15.75" customHeight="1" thickBot="1">
      <c r="B189" s="96"/>
      <c r="C189" s="97"/>
      <c r="D189" s="96"/>
      <c r="E189" s="96"/>
      <c r="F189" s="96"/>
      <c r="G189" s="96"/>
      <c r="J189" s="96"/>
      <c r="K189" s="96"/>
      <c r="L189" s="96"/>
    </row>
    <row r="190" spans="2:12" ht="15.75" customHeight="1" thickBot="1">
      <c r="B190" s="96"/>
      <c r="C190" s="97"/>
      <c r="D190" s="96"/>
      <c r="E190" s="96"/>
      <c r="F190" s="96"/>
      <c r="G190" s="96"/>
      <c r="J190" s="96"/>
      <c r="K190" s="96"/>
      <c r="L190" s="96"/>
    </row>
    <row r="191" spans="2:12" ht="15.75" customHeight="1" thickBot="1">
      <c r="B191" s="96"/>
      <c r="C191" s="97"/>
      <c r="D191" s="96"/>
      <c r="E191" s="96"/>
      <c r="F191" s="96"/>
      <c r="G191" s="96"/>
      <c r="J191" s="96"/>
      <c r="K191" s="96"/>
      <c r="L191" s="96"/>
    </row>
    <row r="192" spans="2:12" ht="15.75" customHeight="1" thickBot="1">
      <c r="B192" s="96"/>
      <c r="C192" s="97"/>
      <c r="D192" s="96"/>
      <c r="E192" s="96"/>
      <c r="F192" s="96"/>
      <c r="G192" s="96"/>
      <c r="J192" s="96"/>
      <c r="K192" s="96"/>
      <c r="L192" s="96"/>
    </row>
    <row r="193" spans="2:12" ht="15.75" customHeight="1" thickBot="1">
      <c r="B193" s="96"/>
      <c r="C193" s="97"/>
      <c r="D193" s="96"/>
      <c r="E193" s="96"/>
      <c r="F193" s="96"/>
      <c r="G193" s="96"/>
      <c r="J193" s="96"/>
      <c r="K193" s="96"/>
      <c r="L193" s="96"/>
    </row>
    <row r="194" spans="2:12" ht="15.75" customHeight="1" thickBot="1">
      <c r="B194" s="96"/>
      <c r="C194" s="97"/>
      <c r="D194" s="96"/>
      <c r="E194" s="96"/>
      <c r="F194" s="96"/>
      <c r="G194" s="96"/>
      <c r="J194" s="96"/>
      <c r="K194" s="96"/>
      <c r="L194" s="96"/>
    </row>
    <row r="195" spans="2:12" ht="15.75" customHeight="1" thickBot="1">
      <c r="B195" s="96"/>
      <c r="C195" s="97"/>
      <c r="D195" s="96"/>
      <c r="E195" s="96"/>
      <c r="F195" s="96"/>
      <c r="G195" s="96"/>
      <c r="J195" s="96"/>
      <c r="K195" s="96"/>
      <c r="L195" s="96"/>
    </row>
    <row r="196" spans="2:12" ht="15.75" customHeight="1" thickBot="1">
      <c r="B196" s="96"/>
      <c r="C196" s="97"/>
      <c r="D196" s="96"/>
      <c r="E196" s="96"/>
      <c r="F196" s="96"/>
      <c r="G196" s="96"/>
      <c r="J196" s="96"/>
      <c r="K196" s="96"/>
      <c r="L196" s="96"/>
    </row>
    <row r="197" spans="2:12" ht="15.75" customHeight="1" thickBot="1">
      <c r="B197" s="96"/>
      <c r="C197" s="97"/>
      <c r="D197" s="96"/>
      <c r="E197" s="96"/>
      <c r="F197" s="96"/>
      <c r="G197" s="96"/>
      <c r="J197" s="96"/>
      <c r="K197" s="96"/>
      <c r="L197" s="96"/>
    </row>
    <row r="198" spans="2:12" ht="15.75" customHeight="1" thickBot="1">
      <c r="B198" s="96"/>
      <c r="C198" s="97"/>
      <c r="D198" s="96"/>
      <c r="E198" s="96"/>
      <c r="F198" s="96"/>
      <c r="G198" s="96"/>
      <c r="J198" s="96"/>
      <c r="K198" s="96"/>
      <c r="L198" s="96"/>
    </row>
    <row r="199" spans="2:12" ht="15.75" customHeight="1" thickBot="1">
      <c r="B199" s="96"/>
      <c r="C199" s="97"/>
      <c r="D199" s="96"/>
      <c r="E199" s="96"/>
      <c r="F199" s="96"/>
      <c r="G199" s="96"/>
      <c r="J199" s="96"/>
      <c r="K199" s="96"/>
      <c r="L199" s="96"/>
    </row>
    <row r="200" spans="2:12" ht="15.75" customHeight="1" thickBot="1">
      <c r="B200" s="96"/>
      <c r="C200" s="97"/>
      <c r="D200" s="96"/>
      <c r="E200" s="96"/>
      <c r="F200" s="96"/>
      <c r="G200" s="96"/>
      <c r="J200" s="96"/>
      <c r="K200" s="96"/>
      <c r="L200" s="96"/>
    </row>
    <row r="201" spans="2:12" ht="15.75" customHeight="1" thickBot="1">
      <c r="B201" s="96"/>
      <c r="C201" s="97"/>
      <c r="D201" s="96"/>
      <c r="E201" s="96"/>
      <c r="F201" s="96"/>
      <c r="G201" s="96"/>
      <c r="J201" s="96"/>
      <c r="K201" s="96"/>
      <c r="L201" s="96"/>
    </row>
    <row r="202" spans="2:12" ht="15.75" customHeight="1" thickBot="1">
      <c r="B202" s="96"/>
      <c r="C202" s="97"/>
      <c r="D202" s="96"/>
      <c r="E202" s="96"/>
      <c r="F202" s="96"/>
      <c r="G202" s="96"/>
      <c r="J202" s="96"/>
      <c r="K202" s="96"/>
      <c r="L202" s="96"/>
    </row>
    <row r="203" spans="2:12" ht="15.75" customHeight="1" thickBot="1">
      <c r="B203" s="96"/>
      <c r="C203" s="97"/>
      <c r="D203" s="96"/>
      <c r="E203" s="96"/>
      <c r="F203" s="96"/>
      <c r="G203" s="96"/>
      <c r="J203" s="96"/>
      <c r="K203" s="96"/>
      <c r="L203" s="96"/>
    </row>
    <row r="204" spans="2:12" ht="15.75" customHeight="1" thickBot="1">
      <c r="B204" s="96"/>
      <c r="C204" s="97"/>
      <c r="D204" s="96"/>
      <c r="E204" s="96"/>
      <c r="F204" s="96"/>
      <c r="G204" s="96"/>
      <c r="J204" s="96"/>
      <c r="K204" s="96"/>
      <c r="L204" s="96"/>
    </row>
    <row r="205" spans="2:12" ht="15.75" customHeight="1" thickBot="1">
      <c r="B205" s="96"/>
      <c r="C205" s="97"/>
      <c r="D205" s="96"/>
      <c r="E205" s="96"/>
      <c r="F205" s="96"/>
      <c r="G205" s="96"/>
      <c r="J205" s="96"/>
      <c r="K205" s="96"/>
      <c r="L205" s="96"/>
    </row>
    <row r="206" spans="2:12" ht="15.75" customHeight="1" thickBot="1">
      <c r="B206" s="96"/>
      <c r="C206" s="97"/>
      <c r="D206" s="96"/>
      <c r="E206" s="96"/>
      <c r="F206" s="96"/>
      <c r="G206" s="96"/>
      <c r="J206" s="96"/>
      <c r="K206" s="96"/>
      <c r="L206" s="96"/>
    </row>
    <row r="207" spans="2:12" ht="15.75" customHeight="1" thickBot="1">
      <c r="B207" s="96"/>
      <c r="C207" s="97"/>
      <c r="D207" s="96"/>
      <c r="E207" s="96"/>
      <c r="F207" s="96"/>
      <c r="G207" s="96"/>
      <c r="J207" s="96"/>
      <c r="K207" s="96"/>
      <c r="L207" s="96"/>
    </row>
    <row r="208" spans="2:12" ht="15.75" customHeight="1" thickBot="1">
      <c r="B208" s="96"/>
      <c r="C208" s="97"/>
      <c r="D208" s="96"/>
      <c r="E208" s="96"/>
      <c r="F208" s="96"/>
      <c r="G208" s="96"/>
      <c r="J208" s="96"/>
      <c r="K208" s="96"/>
      <c r="L208" s="96"/>
    </row>
    <row r="209" spans="2:12" ht="15.75" customHeight="1" thickBot="1">
      <c r="B209" s="96"/>
      <c r="C209" s="97"/>
      <c r="D209" s="96"/>
      <c r="E209" s="96"/>
      <c r="F209" s="96"/>
      <c r="G209" s="96"/>
      <c r="J209" s="96"/>
      <c r="K209" s="96"/>
      <c r="L209" s="96"/>
    </row>
    <row r="210" spans="2:12" ht="15.75" customHeight="1" thickBot="1">
      <c r="B210" s="96"/>
      <c r="C210" s="97"/>
      <c r="D210" s="96"/>
      <c r="E210" s="96"/>
      <c r="F210" s="96"/>
      <c r="G210" s="96"/>
      <c r="J210" s="96"/>
      <c r="K210" s="96"/>
      <c r="L210" s="96"/>
    </row>
    <row r="211" spans="2:12" ht="15.75" customHeight="1" thickBot="1">
      <c r="B211" s="96"/>
      <c r="C211" s="97"/>
      <c r="D211" s="96"/>
      <c r="E211" s="96"/>
      <c r="F211" s="96"/>
      <c r="G211" s="96"/>
      <c r="J211" s="96"/>
      <c r="K211" s="96"/>
      <c r="L211" s="96"/>
    </row>
    <row r="212" spans="2:12" ht="15.75" customHeight="1" thickBot="1">
      <c r="B212" s="96"/>
      <c r="C212" s="97"/>
      <c r="D212" s="96"/>
      <c r="E212" s="96"/>
      <c r="F212" s="96"/>
      <c r="G212" s="96"/>
      <c r="J212" s="96"/>
      <c r="K212" s="96"/>
      <c r="L212" s="96"/>
    </row>
    <row r="213" spans="2:12" ht="15.75" customHeight="1" thickBot="1">
      <c r="B213" s="96"/>
      <c r="C213" s="97"/>
      <c r="D213" s="96"/>
      <c r="E213" s="96"/>
      <c r="F213" s="96"/>
      <c r="G213" s="96"/>
      <c r="J213" s="96"/>
      <c r="K213" s="96"/>
      <c r="L213" s="96"/>
    </row>
    <row r="214" spans="2:12" ht="15.75" customHeight="1" thickBot="1">
      <c r="B214" s="96"/>
      <c r="C214" s="97"/>
      <c r="D214" s="96"/>
      <c r="E214" s="96"/>
      <c r="F214" s="96"/>
      <c r="G214" s="96"/>
      <c r="J214" s="96"/>
      <c r="K214" s="96"/>
      <c r="L214" s="96"/>
    </row>
    <row r="215" spans="2:12" ht="15.75" customHeight="1" thickBot="1">
      <c r="B215" s="96"/>
      <c r="C215" s="97"/>
      <c r="D215" s="96"/>
      <c r="E215" s="96"/>
      <c r="F215" s="96"/>
      <c r="G215" s="96"/>
      <c r="J215" s="96"/>
      <c r="K215" s="96"/>
      <c r="L215" s="96"/>
    </row>
    <row r="216" spans="2:12" ht="15.75" customHeight="1" thickBot="1">
      <c r="B216" s="96"/>
      <c r="C216" s="97"/>
      <c r="D216" s="96"/>
      <c r="E216" s="96"/>
      <c r="F216" s="96"/>
      <c r="G216" s="96"/>
      <c r="J216" s="96"/>
      <c r="K216" s="96"/>
      <c r="L216" s="96"/>
    </row>
    <row r="217" spans="2:12" ht="15.75" customHeight="1" thickBot="1">
      <c r="B217" s="96"/>
      <c r="C217" s="97"/>
      <c r="D217" s="96"/>
      <c r="E217" s="96"/>
      <c r="F217" s="96"/>
      <c r="G217" s="96"/>
      <c r="J217" s="96"/>
      <c r="K217" s="96"/>
      <c r="L217" s="96"/>
    </row>
    <row r="218" spans="2:12" ht="15.75" customHeight="1" thickBot="1">
      <c r="B218" s="96"/>
      <c r="C218" s="97"/>
      <c r="D218" s="96"/>
      <c r="E218" s="96"/>
      <c r="F218" s="96"/>
      <c r="G218" s="96"/>
      <c r="J218" s="96"/>
      <c r="K218" s="96"/>
      <c r="L218" s="96"/>
    </row>
    <row r="219" spans="2:12" ht="15.75" customHeight="1" thickBot="1">
      <c r="B219" s="96"/>
      <c r="C219" s="97"/>
      <c r="D219" s="96"/>
      <c r="E219" s="96"/>
      <c r="F219" s="96"/>
      <c r="G219" s="96"/>
      <c r="J219" s="96"/>
      <c r="K219" s="96"/>
      <c r="L219" s="96"/>
    </row>
    <row r="220" spans="2:12" ht="15.75" customHeight="1" thickBot="1">
      <c r="B220" s="96"/>
      <c r="C220" s="97"/>
      <c r="D220" s="96"/>
      <c r="E220" s="96"/>
      <c r="F220" s="96"/>
      <c r="G220" s="96"/>
      <c r="J220" s="96"/>
      <c r="K220" s="96"/>
      <c r="L220" s="96"/>
    </row>
    <row r="221" spans="2:12" ht="15.75" customHeight="1" thickBot="1">
      <c r="B221" s="96"/>
      <c r="C221" s="97"/>
      <c r="D221" s="96"/>
      <c r="E221" s="96"/>
      <c r="F221" s="96"/>
      <c r="G221" s="96"/>
      <c r="J221" s="96"/>
      <c r="K221" s="96"/>
      <c r="L221" s="96"/>
    </row>
    <row r="222" spans="2:12" ht="15.75" customHeight="1" thickBot="1">
      <c r="B222" s="96"/>
      <c r="C222" s="97"/>
      <c r="D222" s="96"/>
      <c r="E222" s="96"/>
      <c r="F222" s="96"/>
      <c r="G222" s="96"/>
      <c r="J222" s="96"/>
      <c r="K222" s="96"/>
      <c r="L222" s="96"/>
    </row>
    <row r="223" spans="2:12" ht="15.75" customHeight="1" thickBot="1">
      <c r="B223" s="96"/>
      <c r="C223" s="97"/>
      <c r="D223" s="96"/>
      <c r="E223" s="96"/>
      <c r="F223" s="96"/>
      <c r="G223" s="96"/>
      <c r="J223" s="96"/>
      <c r="K223" s="96"/>
      <c r="L223" s="96"/>
    </row>
    <row r="224" spans="2:12" ht="15.75" customHeight="1" thickBot="1">
      <c r="B224" s="96"/>
      <c r="C224" s="97"/>
      <c r="D224" s="96"/>
      <c r="E224" s="96"/>
      <c r="F224" s="96"/>
      <c r="G224" s="96"/>
      <c r="J224" s="96"/>
      <c r="K224" s="96"/>
      <c r="L224" s="96"/>
    </row>
    <row r="225" spans="2:12" ht="15.75" customHeight="1" thickBot="1">
      <c r="B225" s="96"/>
      <c r="C225" s="97"/>
      <c r="D225" s="96"/>
      <c r="E225" s="96"/>
      <c r="F225" s="96"/>
      <c r="G225" s="96"/>
      <c r="J225" s="96"/>
      <c r="K225" s="96"/>
      <c r="L225" s="96"/>
    </row>
    <row r="226" spans="2:12" ht="15.75" customHeight="1" thickBot="1">
      <c r="B226" s="96"/>
      <c r="C226" s="97"/>
      <c r="D226" s="96"/>
      <c r="E226" s="96"/>
      <c r="F226" s="96"/>
      <c r="G226" s="96"/>
      <c r="J226" s="96"/>
      <c r="K226" s="96"/>
      <c r="L226" s="96"/>
    </row>
    <row r="227" spans="2:12" ht="15.75" customHeight="1" thickBot="1">
      <c r="B227" s="96"/>
      <c r="C227" s="97"/>
      <c r="D227" s="96"/>
      <c r="E227" s="96"/>
      <c r="F227" s="96"/>
      <c r="G227" s="96"/>
      <c r="J227" s="96"/>
      <c r="K227" s="96"/>
      <c r="L227" s="96"/>
    </row>
    <row r="228" spans="2:12" ht="15.75" customHeight="1" thickBot="1">
      <c r="B228" s="96"/>
      <c r="C228" s="97"/>
      <c r="D228" s="96"/>
      <c r="E228" s="96"/>
      <c r="F228" s="96"/>
      <c r="G228" s="96"/>
      <c r="J228" s="96"/>
      <c r="K228" s="96"/>
      <c r="L228" s="96"/>
    </row>
    <row r="229" spans="2:12" ht="15.75" customHeight="1" thickBot="1">
      <c r="B229" s="96"/>
      <c r="C229" s="97"/>
      <c r="D229" s="96"/>
      <c r="E229" s="96"/>
      <c r="F229" s="96"/>
      <c r="G229" s="96"/>
      <c r="J229" s="96"/>
      <c r="K229" s="96"/>
      <c r="L229" s="96"/>
    </row>
    <row r="230" spans="2:12" ht="15.75" customHeight="1" thickBot="1">
      <c r="B230" s="96"/>
      <c r="C230" s="97"/>
      <c r="D230" s="96"/>
      <c r="E230" s="96"/>
      <c r="F230" s="96"/>
      <c r="G230" s="96"/>
      <c r="J230" s="96"/>
      <c r="K230" s="96"/>
      <c r="L230" s="96"/>
    </row>
    <row r="231" spans="2:12" ht="15.75" customHeight="1" thickBot="1">
      <c r="B231" s="96"/>
      <c r="C231" s="97"/>
      <c r="D231" s="96"/>
      <c r="E231" s="96"/>
      <c r="F231" s="96"/>
      <c r="G231" s="96"/>
      <c r="J231" s="96"/>
      <c r="K231" s="96"/>
      <c r="L231" s="96"/>
    </row>
    <row r="232" spans="2:12" ht="15.75" customHeight="1" thickBot="1">
      <c r="B232" s="96"/>
      <c r="C232" s="97"/>
      <c r="D232" s="96"/>
      <c r="E232" s="96"/>
      <c r="F232" s="96"/>
      <c r="G232" s="96"/>
      <c r="J232" s="96"/>
      <c r="K232" s="96"/>
      <c r="L232" s="96"/>
    </row>
    <row r="233" spans="2:12" ht="15.75" customHeight="1" thickBot="1">
      <c r="B233" s="96"/>
      <c r="C233" s="97"/>
      <c r="D233" s="96"/>
      <c r="E233" s="96"/>
      <c r="F233" s="96"/>
      <c r="G233" s="96"/>
      <c r="J233" s="96"/>
      <c r="K233" s="96"/>
      <c r="L233" s="96"/>
    </row>
    <row r="234" spans="2:12" ht="15.75" customHeight="1" thickBot="1">
      <c r="B234" s="96"/>
      <c r="C234" s="97"/>
      <c r="D234" s="96"/>
      <c r="E234" s="96"/>
      <c r="F234" s="96"/>
      <c r="G234" s="96"/>
      <c r="J234" s="96"/>
      <c r="K234" s="96"/>
      <c r="L234" s="96"/>
    </row>
    <row r="235" spans="2:12" ht="15.75" customHeight="1" thickBot="1">
      <c r="B235" s="96"/>
      <c r="C235" s="97"/>
      <c r="D235" s="96"/>
      <c r="E235" s="96"/>
      <c r="F235" s="96"/>
      <c r="G235" s="96"/>
      <c r="J235" s="96"/>
      <c r="K235" s="96"/>
      <c r="L235" s="96"/>
    </row>
    <row r="236" spans="2:12" ht="15.75" customHeight="1" thickBot="1">
      <c r="B236" s="96"/>
      <c r="C236" s="97"/>
      <c r="D236" s="96"/>
      <c r="E236" s="96"/>
      <c r="F236" s="96"/>
      <c r="G236" s="96"/>
      <c r="J236" s="96"/>
      <c r="K236" s="96"/>
      <c r="L236" s="96"/>
    </row>
    <row r="237" spans="2:12" ht="15.75" customHeight="1" thickBot="1">
      <c r="B237" s="96"/>
      <c r="C237" s="97"/>
      <c r="D237" s="96"/>
      <c r="E237" s="96"/>
      <c r="F237" s="96"/>
      <c r="G237" s="96"/>
      <c r="J237" s="96"/>
      <c r="K237" s="96"/>
      <c r="L237" s="96"/>
    </row>
    <row r="238" spans="2:12" ht="15.75" customHeight="1" thickBot="1">
      <c r="B238" s="96"/>
      <c r="C238" s="97"/>
      <c r="D238" s="96"/>
      <c r="E238" s="96"/>
      <c r="F238" s="96"/>
      <c r="G238" s="96"/>
      <c r="J238" s="96"/>
      <c r="K238" s="96"/>
      <c r="L238" s="96"/>
    </row>
    <row r="239" spans="2:12" ht="15.75" customHeight="1" thickBot="1">
      <c r="B239" s="96"/>
      <c r="C239" s="97"/>
      <c r="D239" s="96"/>
      <c r="E239" s="96"/>
      <c r="F239" s="96"/>
      <c r="G239" s="96"/>
      <c r="J239" s="96"/>
      <c r="K239" s="96"/>
      <c r="L239" s="96"/>
    </row>
    <row r="240" spans="2:12" ht="15.75" customHeight="1" thickBot="1">
      <c r="B240" s="96"/>
      <c r="C240" s="97"/>
      <c r="D240" s="96"/>
      <c r="E240" s="96"/>
      <c r="F240" s="96"/>
      <c r="G240" s="96"/>
      <c r="J240" s="96"/>
      <c r="K240" s="96"/>
      <c r="L240" s="96"/>
    </row>
    <row r="241" spans="2:12" ht="15.75" customHeight="1" thickBot="1">
      <c r="B241" s="96"/>
      <c r="C241" s="97"/>
      <c r="D241" s="96"/>
      <c r="E241" s="96"/>
      <c r="F241" s="96"/>
      <c r="G241" s="96"/>
      <c r="J241" s="96"/>
      <c r="K241" s="96"/>
      <c r="L241" s="96"/>
    </row>
    <row r="242" spans="2:12" ht="15.75" customHeight="1" thickBot="1">
      <c r="B242" s="96"/>
      <c r="C242" s="97"/>
      <c r="D242" s="96"/>
      <c r="E242" s="96"/>
      <c r="F242" s="96"/>
      <c r="G242" s="96"/>
      <c r="J242" s="96"/>
      <c r="K242" s="96"/>
      <c r="L242" s="96"/>
    </row>
    <row r="243" spans="2:12" ht="15.75" customHeight="1" thickBot="1">
      <c r="B243" s="96"/>
      <c r="C243" s="97"/>
      <c r="D243" s="96"/>
      <c r="E243" s="96"/>
      <c r="F243" s="96"/>
      <c r="G243" s="96"/>
      <c r="J243" s="96"/>
      <c r="K243" s="96"/>
      <c r="L243" s="96"/>
    </row>
    <row r="244" spans="2:12" ht="15.75" customHeight="1" thickBot="1">
      <c r="B244" s="96"/>
      <c r="C244" s="97"/>
      <c r="D244" s="96"/>
      <c r="E244" s="96"/>
      <c r="F244" s="96"/>
      <c r="G244" s="96"/>
      <c r="J244" s="96"/>
      <c r="K244" s="96"/>
      <c r="L244" s="96"/>
    </row>
    <row r="245" spans="2:12" ht="15.75" customHeight="1" thickBot="1">
      <c r="B245" s="96"/>
      <c r="C245" s="97"/>
      <c r="D245" s="96"/>
      <c r="E245" s="96"/>
      <c r="F245" s="96"/>
      <c r="G245" s="96"/>
      <c r="J245" s="96"/>
      <c r="K245" s="96"/>
      <c r="L245" s="96"/>
    </row>
    <row r="246" spans="2:12" ht="15.75" customHeight="1" thickBot="1">
      <c r="B246" s="96"/>
      <c r="C246" s="97"/>
      <c r="D246" s="96"/>
      <c r="E246" s="96"/>
      <c r="F246" s="96"/>
      <c r="G246" s="96"/>
      <c r="J246" s="96"/>
      <c r="K246" s="96"/>
      <c r="L246" s="96"/>
    </row>
    <row r="247" spans="2:12" ht="15.75" customHeight="1" thickBot="1">
      <c r="B247" s="96"/>
      <c r="C247" s="97"/>
      <c r="D247" s="96"/>
      <c r="E247" s="96"/>
      <c r="F247" s="96"/>
      <c r="G247" s="96"/>
      <c r="J247" s="96"/>
      <c r="K247" s="96"/>
      <c r="L247" s="96"/>
    </row>
    <row r="248" spans="2:12" ht="15.75" customHeight="1" thickBot="1">
      <c r="B248" s="96"/>
      <c r="C248" s="97"/>
      <c r="D248" s="96"/>
      <c r="E248" s="96"/>
      <c r="F248" s="96"/>
      <c r="G248" s="96"/>
      <c r="J248" s="96"/>
      <c r="K248" s="96"/>
      <c r="L248" s="96"/>
    </row>
    <row r="249" spans="2:12" ht="15.75" customHeight="1" thickBot="1">
      <c r="B249" s="96"/>
      <c r="C249" s="97"/>
      <c r="D249" s="96"/>
      <c r="E249" s="96"/>
      <c r="F249" s="96"/>
      <c r="G249" s="96"/>
      <c r="J249" s="96"/>
      <c r="K249" s="96"/>
      <c r="L249" s="96"/>
    </row>
    <row r="250" spans="2:12" ht="15.75" customHeight="1" thickBot="1">
      <c r="B250" s="96"/>
      <c r="C250" s="97"/>
      <c r="D250" s="96"/>
      <c r="E250" s="96"/>
      <c r="F250" s="96"/>
      <c r="G250" s="96"/>
      <c r="J250" s="96"/>
      <c r="K250" s="96"/>
      <c r="L250" s="96"/>
    </row>
    <row r="251" spans="2:12" ht="15.75" customHeight="1" thickBot="1">
      <c r="B251" s="96"/>
      <c r="C251" s="97"/>
      <c r="D251" s="96"/>
      <c r="E251" s="96"/>
      <c r="F251" s="96"/>
      <c r="G251" s="96"/>
      <c r="J251" s="96"/>
      <c r="K251" s="96"/>
      <c r="L251" s="96"/>
    </row>
    <row r="252" spans="2:12" ht="15.75" customHeight="1" thickBot="1">
      <c r="B252" s="96"/>
      <c r="C252" s="97"/>
      <c r="D252" s="96"/>
      <c r="E252" s="96"/>
      <c r="F252" s="96"/>
      <c r="G252" s="96"/>
      <c r="J252" s="96"/>
      <c r="K252" s="96"/>
      <c r="L252" s="96"/>
    </row>
    <row r="253" spans="2:12" ht="15.75" customHeight="1" thickBot="1">
      <c r="B253" s="96"/>
      <c r="C253" s="97"/>
      <c r="D253" s="96"/>
      <c r="E253" s="96"/>
      <c r="F253" s="96"/>
      <c r="G253" s="96"/>
      <c r="J253" s="96"/>
      <c r="K253" s="96"/>
      <c r="L253" s="96"/>
    </row>
    <row r="254" spans="2:12" ht="15.75" customHeight="1" thickBot="1">
      <c r="B254" s="96"/>
      <c r="C254" s="97"/>
      <c r="D254" s="96"/>
      <c r="E254" s="96"/>
      <c r="F254" s="96"/>
      <c r="G254" s="96"/>
      <c r="J254" s="96"/>
      <c r="K254" s="96"/>
      <c r="L254" s="96"/>
    </row>
    <row r="255" spans="2:12" ht="15.75" customHeight="1" thickBot="1">
      <c r="B255" s="96"/>
      <c r="C255" s="97"/>
      <c r="D255" s="96"/>
      <c r="E255" s="96"/>
      <c r="F255" s="96"/>
      <c r="G255" s="96"/>
      <c r="J255" s="96"/>
      <c r="K255" s="96"/>
      <c r="L255" s="96"/>
    </row>
    <row r="256" spans="2:12" ht="15.75" customHeight="1" thickBot="1">
      <c r="B256" s="96"/>
      <c r="C256" s="97"/>
      <c r="D256" s="96"/>
      <c r="E256" s="96"/>
      <c r="F256" s="96"/>
      <c r="G256" s="96"/>
      <c r="J256" s="96"/>
      <c r="K256" s="96"/>
      <c r="L256" s="96"/>
    </row>
    <row r="257" spans="2:12" ht="15.75" customHeight="1" thickBot="1">
      <c r="B257" s="96"/>
      <c r="C257" s="97"/>
      <c r="D257" s="96"/>
      <c r="E257" s="96"/>
      <c r="F257" s="96"/>
      <c r="G257" s="96"/>
      <c r="J257" s="96"/>
      <c r="K257" s="96"/>
      <c r="L257" s="96"/>
    </row>
    <row r="258" spans="2:12" ht="15.75" customHeight="1" thickBot="1">
      <c r="B258" s="96"/>
      <c r="C258" s="97"/>
      <c r="D258" s="96"/>
      <c r="E258" s="96"/>
      <c r="F258" s="96"/>
      <c r="G258" s="96"/>
      <c r="J258" s="96"/>
      <c r="K258" s="96"/>
      <c r="L258" s="96"/>
    </row>
    <row r="259" spans="2:12" ht="15.75" customHeight="1" thickBot="1">
      <c r="B259" s="96"/>
      <c r="C259" s="97"/>
      <c r="D259" s="96"/>
      <c r="E259" s="96"/>
      <c r="F259" s="96"/>
      <c r="G259" s="96"/>
      <c r="J259" s="96"/>
      <c r="K259" s="96"/>
      <c r="L259" s="96"/>
    </row>
    <row r="260" spans="2:12" ht="15.75" customHeight="1" thickBot="1">
      <c r="B260" s="96"/>
      <c r="C260" s="97"/>
      <c r="D260" s="96"/>
      <c r="E260" s="96"/>
      <c r="F260" s="96"/>
      <c r="G260" s="96"/>
      <c r="J260" s="96"/>
      <c r="K260" s="96"/>
      <c r="L260" s="96"/>
    </row>
    <row r="261" spans="2:12" ht="15.75" customHeight="1" thickBot="1">
      <c r="B261" s="96"/>
      <c r="C261" s="97"/>
      <c r="D261" s="96"/>
      <c r="E261" s="96"/>
      <c r="F261" s="96"/>
      <c r="G261" s="96"/>
      <c r="J261" s="96"/>
      <c r="K261" s="96"/>
      <c r="L261" s="96"/>
    </row>
    <row r="262" spans="2:12" ht="15.75" customHeight="1" thickBot="1">
      <c r="B262" s="96"/>
      <c r="C262" s="97"/>
      <c r="D262" s="96"/>
      <c r="E262" s="96"/>
      <c r="F262" s="96"/>
      <c r="G262" s="96"/>
      <c r="J262" s="96"/>
      <c r="K262" s="96"/>
      <c r="L262" s="96"/>
    </row>
    <row r="263" spans="2:12" ht="15.75" customHeight="1" thickBot="1">
      <c r="B263" s="96"/>
      <c r="C263" s="97"/>
      <c r="D263" s="96"/>
      <c r="E263" s="96"/>
      <c r="F263" s="96"/>
      <c r="G263" s="96"/>
      <c r="J263" s="96"/>
      <c r="K263" s="96"/>
      <c r="L263" s="96"/>
    </row>
    <row r="264" spans="2:12" ht="15.75" customHeight="1" thickBot="1">
      <c r="B264" s="96"/>
      <c r="C264" s="97"/>
      <c r="D264" s="96"/>
      <c r="E264" s="96"/>
      <c r="F264" s="96"/>
      <c r="G264" s="96"/>
      <c r="J264" s="96"/>
      <c r="K264" s="96"/>
      <c r="L264" s="96"/>
    </row>
    <row r="265" spans="2:12" ht="15.75" customHeight="1" thickBot="1">
      <c r="B265" s="96"/>
      <c r="C265" s="97"/>
      <c r="D265" s="96"/>
      <c r="E265" s="96"/>
      <c r="F265" s="96"/>
      <c r="G265" s="96"/>
      <c r="J265" s="96"/>
      <c r="K265" s="96"/>
      <c r="L265" s="96"/>
    </row>
    <row r="266" spans="2:12" ht="15.75" customHeight="1" thickBot="1">
      <c r="B266" s="96"/>
      <c r="C266" s="97"/>
      <c r="D266" s="96"/>
      <c r="E266" s="96"/>
      <c r="F266" s="96"/>
      <c r="G266" s="96"/>
      <c r="J266" s="96"/>
      <c r="K266" s="96"/>
      <c r="L266" s="96"/>
    </row>
    <row r="267" spans="2:12" ht="15.75" customHeight="1" thickBot="1">
      <c r="B267" s="96"/>
      <c r="C267" s="97"/>
      <c r="D267" s="96"/>
      <c r="E267" s="96"/>
      <c r="F267" s="96"/>
      <c r="G267" s="96"/>
      <c r="J267" s="96"/>
      <c r="K267" s="96"/>
      <c r="L267" s="96"/>
    </row>
    <row r="268" spans="2:12" ht="15.75" customHeight="1" thickBot="1">
      <c r="B268" s="96"/>
      <c r="C268" s="97"/>
      <c r="D268" s="96"/>
      <c r="E268" s="96"/>
      <c r="F268" s="96"/>
      <c r="G268" s="96"/>
      <c r="J268" s="96"/>
      <c r="K268" s="96"/>
      <c r="L268" s="96"/>
    </row>
    <row r="269" spans="2:12" ht="15.75" customHeight="1" thickBot="1">
      <c r="B269" s="96"/>
      <c r="C269" s="97"/>
      <c r="D269" s="96"/>
      <c r="E269" s="96"/>
      <c r="F269" s="96"/>
      <c r="G269" s="96"/>
      <c r="J269" s="96"/>
      <c r="K269" s="96"/>
      <c r="L269" s="96"/>
    </row>
    <row r="270" spans="2:12" ht="15.75" customHeight="1" thickBot="1">
      <c r="B270" s="96"/>
      <c r="C270" s="97"/>
      <c r="D270" s="96"/>
      <c r="E270" s="96"/>
      <c r="F270" s="96"/>
      <c r="G270" s="96"/>
      <c r="J270" s="96"/>
      <c r="K270" s="96"/>
      <c r="L270" s="96"/>
    </row>
    <row r="271" spans="2:12" ht="15.75" customHeight="1" thickBot="1">
      <c r="B271" s="96"/>
      <c r="C271" s="97"/>
      <c r="D271" s="96"/>
      <c r="E271" s="96"/>
      <c r="F271" s="96"/>
      <c r="G271" s="96"/>
      <c r="J271" s="96"/>
      <c r="K271" s="96"/>
      <c r="L271" s="96"/>
    </row>
    <row r="272" spans="2:12" ht="15.75" customHeight="1" thickBot="1">
      <c r="B272" s="96"/>
      <c r="C272" s="97"/>
      <c r="D272" s="96"/>
      <c r="E272" s="96"/>
      <c r="F272" s="96"/>
      <c r="G272" s="96"/>
      <c r="J272" s="96"/>
      <c r="K272" s="96"/>
      <c r="L272" s="96"/>
    </row>
    <row r="273" spans="2:12" ht="15.75" customHeight="1" thickBot="1">
      <c r="B273" s="96"/>
      <c r="C273" s="97"/>
      <c r="D273" s="96"/>
      <c r="E273" s="96"/>
      <c r="F273" s="96"/>
      <c r="G273" s="96"/>
      <c r="J273" s="96"/>
      <c r="K273" s="96"/>
      <c r="L273" s="96"/>
    </row>
    <row r="274" spans="2:12" ht="15.75" customHeight="1" thickBot="1">
      <c r="B274" s="96"/>
      <c r="C274" s="97"/>
      <c r="D274" s="96"/>
      <c r="E274" s="96"/>
      <c r="F274" s="96"/>
      <c r="G274" s="96"/>
      <c r="J274" s="96"/>
      <c r="K274" s="96"/>
      <c r="L274" s="96"/>
    </row>
    <row r="275" spans="2:12" ht="15.75" customHeight="1" thickBot="1">
      <c r="B275" s="96"/>
      <c r="C275" s="97"/>
      <c r="D275" s="96"/>
      <c r="E275" s="96"/>
      <c r="F275" s="96"/>
      <c r="G275" s="96"/>
      <c r="J275" s="96"/>
      <c r="K275" s="96"/>
      <c r="L275" s="96"/>
    </row>
    <row r="276" spans="2:12" ht="15.75" customHeight="1" thickBot="1">
      <c r="B276" s="96"/>
      <c r="C276" s="97"/>
      <c r="D276" s="96"/>
      <c r="E276" s="96"/>
      <c r="F276" s="96"/>
      <c r="G276" s="96"/>
      <c r="J276" s="96"/>
      <c r="K276" s="96"/>
      <c r="L276" s="96"/>
    </row>
    <row r="277" spans="2:12" ht="15.75" customHeight="1" thickBot="1">
      <c r="B277" s="96"/>
      <c r="C277" s="97"/>
      <c r="D277" s="96"/>
      <c r="E277" s="96"/>
      <c r="F277" s="96"/>
      <c r="G277" s="96"/>
      <c r="J277" s="96"/>
      <c r="K277" s="96"/>
      <c r="L277" s="96"/>
    </row>
    <row r="278" spans="2:12" ht="15.75" customHeight="1" thickBot="1">
      <c r="B278" s="96"/>
      <c r="C278" s="97"/>
      <c r="D278" s="96"/>
      <c r="E278" s="96"/>
      <c r="F278" s="96"/>
      <c r="G278" s="96"/>
      <c r="J278" s="96"/>
      <c r="K278" s="96"/>
      <c r="L278" s="96"/>
    </row>
    <row r="279" spans="2:12" ht="15.75" customHeight="1" thickBot="1">
      <c r="B279" s="96"/>
      <c r="C279" s="97"/>
      <c r="D279" s="96"/>
      <c r="E279" s="96"/>
      <c r="F279" s="96"/>
      <c r="G279" s="96"/>
      <c r="J279" s="96"/>
      <c r="K279" s="96"/>
      <c r="L279" s="96"/>
    </row>
    <row r="280" spans="2:12" ht="15.75" customHeight="1" thickBot="1">
      <c r="B280" s="96"/>
      <c r="C280" s="97"/>
      <c r="D280" s="96"/>
      <c r="E280" s="96"/>
      <c r="F280" s="96"/>
      <c r="G280" s="96"/>
      <c r="J280" s="96"/>
      <c r="K280" s="96"/>
      <c r="L280" s="96"/>
    </row>
    <row r="281" spans="2:12" ht="15.75" customHeight="1" thickBot="1">
      <c r="B281" s="96"/>
      <c r="C281" s="97"/>
      <c r="D281" s="96"/>
      <c r="E281" s="96"/>
      <c r="F281" s="96"/>
      <c r="G281" s="96"/>
      <c r="J281" s="96"/>
      <c r="K281" s="96"/>
      <c r="L281" s="96"/>
    </row>
    <row r="282" spans="2:12" ht="15.75" customHeight="1" thickBot="1">
      <c r="B282" s="96"/>
      <c r="C282" s="97"/>
      <c r="D282" s="96"/>
      <c r="E282" s="96"/>
      <c r="F282" s="96"/>
      <c r="G282" s="96"/>
      <c r="J282" s="96"/>
      <c r="K282" s="96"/>
      <c r="L282" s="96"/>
    </row>
    <row r="283" spans="2:12" ht="15.75" customHeight="1" thickBot="1">
      <c r="B283" s="96"/>
      <c r="C283" s="97"/>
      <c r="D283" s="96"/>
      <c r="E283" s="96"/>
      <c r="F283" s="96"/>
      <c r="G283" s="96"/>
      <c r="J283" s="96"/>
      <c r="K283" s="96"/>
      <c r="L283" s="96"/>
    </row>
    <row r="284" spans="2:12" ht="15.75" customHeight="1" thickBot="1">
      <c r="B284" s="96"/>
      <c r="C284" s="97"/>
      <c r="D284" s="96"/>
      <c r="E284" s="96"/>
      <c r="F284" s="96"/>
      <c r="G284" s="96"/>
      <c r="J284" s="96"/>
      <c r="K284" s="96"/>
      <c r="L284" s="96"/>
    </row>
    <row r="285" spans="2:12" ht="15.75" customHeight="1" thickBot="1">
      <c r="B285" s="96"/>
      <c r="C285" s="97"/>
      <c r="D285" s="96"/>
      <c r="E285" s="96"/>
      <c r="F285" s="96"/>
      <c r="G285" s="96"/>
      <c r="J285" s="96"/>
      <c r="K285" s="96"/>
      <c r="L285" s="96"/>
    </row>
    <row r="286" spans="2:12" ht="15.75" customHeight="1" thickBot="1">
      <c r="B286" s="96"/>
      <c r="C286" s="97"/>
      <c r="D286" s="96"/>
      <c r="E286" s="96"/>
      <c r="F286" s="96"/>
      <c r="G286" s="96"/>
      <c r="J286" s="96"/>
      <c r="K286" s="96"/>
      <c r="L286" s="96"/>
    </row>
    <row r="287" spans="2:12" ht="15.75" customHeight="1" thickBot="1">
      <c r="B287" s="96"/>
      <c r="C287" s="97"/>
      <c r="D287" s="96"/>
      <c r="E287" s="96"/>
      <c r="F287" s="96"/>
      <c r="G287" s="96"/>
      <c r="J287" s="96"/>
      <c r="K287" s="96"/>
      <c r="L287" s="96"/>
    </row>
    <row r="288" spans="2:12" ht="15.75" customHeight="1" thickBot="1">
      <c r="B288" s="96"/>
      <c r="C288" s="97"/>
      <c r="D288" s="96"/>
      <c r="E288" s="96"/>
      <c r="F288" s="96"/>
      <c r="G288" s="96"/>
      <c r="J288" s="96"/>
      <c r="K288" s="96"/>
      <c r="L288" s="96"/>
    </row>
    <row r="289" spans="2:12" ht="15.75" customHeight="1" thickBot="1">
      <c r="B289" s="96"/>
      <c r="C289" s="97"/>
      <c r="D289" s="96"/>
      <c r="E289" s="96"/>
      <c r="F289" s="96"/>
      <c r="G289" s="96"/>
      <c r="J289" s="96"/>
      <c r="K289" s="96"/>
      <c r="L289" s="96"/>
    </row>
    <row r="290" spans="2:12" ht="15.75" customHeight="1" thickBot="1">
      <c r="B290" s="96"/>
      <c r="C290" s="97"/>
      <c r="D290" s="96"/>
      <c r="E290" s="96"/>
      <c r="F290" s="96"/>
      <c r="G290" s="96"/>
      <c r="J290" s="96"/>
      <c r="K290" s="96"/>
      <c r="L290" s="96"/>
    </row>
    <row r="291" spans="2:12" ht="15.75" customHeight="1" thickBot="1">
      <c r="B291" s="96"/>
      <c r="C291" s="97"/>
      <c r="D291" s="96"/>
      <c r="E291" s="96"/>
      <c r="F291" s="96"/>
      <c r="G291" s="96"/>
      <c r="J291" s="96"/>
      <c r="K291" s="96"/>
      <c r="L291" s="96"/>
    </row>
    <row r="292" spans="2:12" ht="15.75" customHeight="1" thickBot="1">
      <c r="B292" s="96"/>
      <c r="C292" s="97"/>
      <c r="D292" s="96"/>
      <c r="E292" s="96"/>
      <c r="F292" s="96"/>
      <c r="G292" s="96"/>
      <c r="J292" s="96"/>
      <c r="K292" s="96"/>
      <c r="L292" s="96"/>
    </row>
    <row r="293" spans="2:12" ht="15.75" customHeight="1" thickBot="1">
      <c r="B293" s="96"/>
      <c r="C293" s="97"/>
      <c r="D293" s="96"/>
      <c r="E293" s="96"/>
      <c r="F293" s="96"/>
      <c r="G293" s="96"/>
      <c r="J293" s="96"/>
      <c r="K293" s="96"/>
      <c r="L293" s="96"/>
    </row>
    <row r="294" spans="2:12" ht="15.75" customHeight="1" thickBot="1">
      <c r="B294" s="96"/>
      <c r="C294" s="97"/>
      <c r="D294" s="96"/>
      <c r="E294" s="96"/>
      <c r="F294" s="96"/>
      <c r="G294" s="96"/>
      <c r="J294" s="96"/>
      <c r="K294" s="96"/>
      <c r="L294" s="96"/>
    </row>
    <row r="295" spans="2:12" ht="15.75" customHeight="1" thickBot="1">
      <c r="B295" s="96"/>
      <c r="C295" s="97"/>
      <c r="D295" s="96"/>
      <c r="E295" s="96"/>
      <c r="F295" s="96"/>
      <c r="G295" s="96"/>
      <c r="J295" s="96"/>
      <c r="K295" s="96"/>
      <c r="L295" s="96"/>
    </row>
    <row r="296" spans="2:12" ht="15.75" customHeight="1" thickBot="1">
      <c r="B296" s="96"/>
      <c r="C296" s="97"/>
      <c r="D296" s="96"/>
      <c r="E296" s="96"/>
      <c r="F296" s="96"/>
      <c r="G296" s="96"/>
      <c r="J296" s="96"/>
      <c r="K296" s="96"/>
      <c r="L296" s="96"/>
    </row>
    <row r="297" spans="2:12" ht="15.75" customHeight="1" thickBot="1">
      <c r="B297" s="96"/>
      <c r="C297" s="97"/>
      <c r="D297" s="96"/>
      <c r="E297" s="96"/>
      <c r="F297" s="96"/>
      <c r="G297" s="96"/>
      <c r="J297" s="96"/>
      <c r="K297" s="96"/>
      <c r="L297" s="96"/>
    </row>
    <row r="298" spans="2:12" ht="15.75" customHeight="1" thickBot="1">
      <c r="B298" s="96"/>
      <c r="C298" s="97"/>
      <c r="D298" s="96"/>
      <c r="E298" s="96"/>
      <c r="F298" s="96"/>
      <c r="G298" s="96"/>
      <c r="J298" s="96"/>
      <c r="K298" s="96"/>
      <c r="L298" s="96"/>
    </row>
    <row r="299" spans="2:12" ht="15.75" customHeight="1" thickBot="1">
      <c r="B299" s="96"/>
      <c r="C299" s="97"/>
      <c r="D299" s="96"/>
      <c r="E299" s="96"/>
      <c r="F299" s="96"/>
      <c r="G299" s="96"/>
      <c r="J299" s="96"/>
      <c r="K299" s="96"/>
      <c r="L299" s="96"/>
    </row>
    <row r="300" spans="2:12" ht="15.75" customHeight="1" thickBot="1">
      <c r="B300" s="96"/>
      <c r="C300" s="97"/>
      <c r="D300" s="96"/>
      <c r="E300" s="96"/>
      <c r="F300" s="96"/>
      <c r="G300" s="96"/>
      <c r="J300" s="96"/>
      <c r="K300" s="96"/>
      <c r="L300" s="96"/>
    </row>
    <row r="301" spans="2:12" ht="15.75" customHeight="1" thickBot="1">
      <c r="B301" s="96"/>
      <c r="C301" s="97"/>
      <c r="D301" s="96"/>
      <c r="E301" s="96"/>
      <c r="F301" s="96"/>
      <c r="G301" s="96"/>
      <c r="J301" s="96"/>
      <c r="K301" s="96"/>
      <c r="L301" s="96"/>
    </row>
    <row r="302" spans="2:12" ht="15.75" customHeight="1" thickBot="1">
      <c r="B302" s="96"/>
      <c r="C302" s="97"/>
      <c r="D302" s="96"/>
      <c r="E302" s="96"/>
      <c r="F302" s="96"/>
      <c r="G302" s="96"/>
      <c r="J302" s="96"/>
      <c r="K302" s="96"/>
      <c r="L302" s="96"/>
    </row>
    <row r="303" spans="2:12" ht="15.75" customHeight="1" thickBot="1">
      <c r="B303" s="96"/>
      <c r="C303" s="97"/>
      <c r="D303" s="96"/>
      <c r="E303" s="96"/>
      <c r="F303" s="96"/>
      <c r="G303" s="96"/>
      <c r="J303" s="96"/>
      <c r="K303" s="96"/>
      <c r="L303" s="96"/>
    </row>
    <row r="304" spans="2:12" ht="15.75" customHeight="1" thickBot="1">
      <c r="B304" s="96"/>
      <c r="C304" s="97"/>
      <c r="D304" s="96"/>
      <c r="E304" s="96"/>
      <c r="F304" s="96"/>
      <c r="G304" s="96"/>
      <c r="J304" s="96"/>
      <c r="K304" s="96"/>
      <c r="L304" s="96"/>
    </row>
    <row r="305" spans="2:12" ht="15.75" customHeight="1" thickBot="1">
      <c r="B305" s="96"/>
      <c r="C305" s="97"/>
      <c r="D305" s="96"/>
      <c r="E305" s="96"/>
      <c r="F305" s="96"/>
      <c r="G305" s="96"/>
      <c r="J305" s="96"/>
      <c r="K305" s="96"/>
      <c r="L305" s="96"/>
    </row>
    <row r="306" spans="2:12" ht="15.75" customHeight="1" thickBot="1">
      <c r="B306" s="96"/>
      <c r="C306" s="97"/>
      <c r="D306" s="96"/>
      <c r="E306" s="96"/>
      <c r="F306" s="96"/>
      <c r="G306" s="96"/>
      <c r="J306" s="96"/>
      <c r="K306" s="96"/>
      <c r="L306" s="96"/>
    </row>
    <row r="307" spans="2:12" ht="15.75" customHeight="1" thickBot="1">
      <c r="B307" s="96"/>
      <c r="C307" s="97"/>
      <c r="D307" s="96"/>
      <c r="E307" s="96"/>
      <c r="F307" s="96"/>
      <c r="G307" s="96"/>
      <c r="J307" s="96"/>
      <c r="K307" s="96"/>
      <c r="L307" s="96"/>
    </row>
    <row r="308" spans="2:12" ht="15.75" customHeight="1" thickBot="1">
      <c r="B308" s="96"/>
      <c r="C308" s="97"/>
      <c r="D308" s="96"/>
      <c r="E308" s="96"/>
      <c r="F308" s="96"/>
      <c r="G308" s="96"/>
      <c r="J308" s="96"/>
      <c r="K308" s="96"/>
      <c r="L308" s="96"/>
    </row>
    <row r="309" spans="2:12" ht="15.75" customHeight="1" thickBot="1">
      <c r="B309" s="96"/>
      <c r="C309" s="97"/>
      <c r="D309" s="96"/>
      <c r="E309" s="96"/>
      <c r="F309" s="96"/>
      <c r="G309" s="96"/>
      <c r="J309" s="96"/>
      <c r="K309" s="96"/>
      <c r="L309" s="96"/>
    </row>
    <row r="310" spans="2:12" ht="15.75" customHeight="1" thickBot="1">
      <c r="B310" s="96"/>
      <c r="C310" s="97"/>
      <c r="D310" s="96"/>
      <c r="E310" s="96"/>
      <c r="F310" s="96"/>
      <c r="G310" s="96"/>
      <c r="J310" s="96"/>
      <c r="K310" s="96"/>
      <c r="L310" s="96"/>
    </row>
    <row r="311" spans="2:12" ht="15.75" customHeight="1" thickBot="1">
      <c r="B311" s="96"/>
      <c r="C311" s="97"/>
      <c r="D311" s="96"/>
      <c r="E311" s="96"/>
      <c r="F311" s="96"/>
      <c r="G311" s="96"/>
      <c r="J311" s="96"/>
      <c r="K311" s="96"/>
      <c r="L311" s="96"/>
    </row>
    <row r="312" spans="2:12" ht="15.75" customHeight="1" thickBot="1">
      <c r="B312" s="96"/>
      <c r="C312" s="97"/>
      <c r="D312" s="96"/>
      <c r="E312" s="96"/>
      <c r="F312" s="96"/>
      <c r="G312" s="96"/>
      <c r="J312" s="96"/>
      <c r="K312" s="96"/>
      <c r="L312" s="96"/>
    </row>
    <row r="313" spans="2:12" ht="15.75" customHeight="1" thickBot="1">
      <c r="B313" s="96"/>
      <c r="C313" s="97"/>
      <c r="D313" s="96"/>
      <c r="E313" s="96"/>
      <c r="F313" s="96"/>
      <c r="G313" s="96"/>
      <c r="J313" s="96"/>
      <c r="K313" s="96"/>
      <c r="L313" s="96"/>
    </row>
    <row r="314" spans="2:12" ht="15.75" customHeight="1" thickBot="1">
      <c r="B314" s="96"/>
      <c r="C314" s="97"/>
      <c r="D314" s="96"/>
      <c r="E314" s="96"/>
      <c r="F314" s="96"/>
      <c r="G314" s="96"/>
      <c r="J314" s="96"/>
      <c r="K314" s="96"/>
      <c r="L314" s="96"/>
    </row>
    <row r="315" spans="2:12" ht="15.75" customHeight="1" thickBot="1">
      <c r="B315" s="96"/>
      <c r="C315" s="97"/>
      <c r="D315" s="96"/>
      <c r="E315" s="96"/>
      <c r="F315" s="96"/>
      <c r="G315" s="96"/>
      <c r="J315" s="96"/>
      <c r="K315" s="96"/>
      <c r="L315" s="96"/>
    </row>
    <row r="316" spans="2:12" ht="15.75" customHeight="1" thickBot="1">
      <c r="B316" s="96"/>
      <c r="C316" s="97"/>
      <c r="D316" s="96"/>
      <c r="E316" s="96"/>
      <c r="F316" s="96"/>
      <c r="G316" s="96"/>
      <c r="J316" s="96"/>
      <c r="K316" s="96"/>
      <c r="L316" s="96"/>
    </row>
    <row r="317" spans="2:12" ht="15.75" customHeight="1" thickBot="1">
      <c r="B317" s="96"/>
      <c r="C317" s="97"/>
      <c r="D317" s="96"/>
      <c r="E317" s="96"/>
      <c r="F317" s="96"/>
      <c r="G317" s="96"/>
      <c r="J317" s="96"/>
      <c r="K317" s="96"/>
      <c r="L317" s="96"/>
    </row>
    <row r="318" spans="2:12" ht="15.75" customHeight="1" thickBot="1">
      <c r="B318" s="96"/>
      <c r="C318" s="97"/>
      <c r="D318" s="96"/>
      <c r="E318" s="96"/>
      <c r="F318" s="96"/>
      <c r="G318" s="96"/>
      <c r="J318" s="96"/>
      <c r="K318" s="96"/>
      <c r="L318" s="96"/>
    </row>
    <row r="319" spans="2:12" ht="15.75" customHeight="1" thickBot="1">
      <c r="B319" s="96"/>
      <c r="C319" s="97"/>
      <c r="D319" s="96"/>
      <c r="E319" s="96"/>
      <c r="F319" s="96"/>
      <c r="G319" s="96"/>
      <c r="J319" s="96"/>
      <c r="K319" s="96"/>
      <c r="L319" s="96"/>
    </row>
    <row r="320" spans="2:12" ht="15.75" customHeight="1" thickBot="1">
      <c r="B320" s="96"/>
      <c r="C320" s="97"/>
      <c r="D320" s="96"/>
      <c r="E320" s="96"/>
      <c r="F320" s="96"/>
      <c r="G320" s="96"/>
      <c r="J320" s="96"/>
      <c r="K320" s="96"/>
      <c r="L320" s="96"/>
    </row>
    <row r="321" spans="2:12" ht="15.75" customHeight="1" thickBot="1">
      <c r="B321" s="96"/>
      <c r="C321" s="97"/>
      <c r="D321" s="96"/>
      <c r="E321" s="96"/>
      <c r="F321" s="96"/>
      <c r="G321" s="96"/>
      <c r="J321" s="96"/>
      <c r="K321" s="96"/>
      <c r="L321" s="96"/>
    </row>
    <row r="322" spans="2:12" ht="15.75" customHeight="1" thickBot="1">
      <c r="B322" s="96"/>
      <c r="C322" s="97"/>
      <c r="D322" s="96"/>
      <c r="E322" s="96"/>
      <c r="F322" s="96"/>
      <c r="G322" s="96"/>
      <c r="J322" s="96"/>
      <c r="K322" s="96"/>
      <c r="L322" s="96"/>
    </row>
    <row r="323" spans="2:12" ht="15.75" customHeight="1" thickBot="1">
      <c r="B323" s="96"/>
      <c r="C323" s="97"/>
      <c r="D323" s="96"/>
      <c r="E323" s="96"/>
      <c r="F323" s="96"/>
      <c r="G323" s="96"/>
      <c r="J323" s="96"/>
      <c r="K323" s="96"/>
      <c r="L323" s="96"/>
    </row>
    <row r="324" spans="2:12" ht="15.75" customHeight="1" thickBot="1">
      <c r="B324" s="96"/>
      <c r="C324" s="97"/>
      <c r="D324" s="96"/>
      <c r="E324" s="96"/>
      <c r="F324" s="96"/>
      <c r="G324" s="96"/>
      <c r="J324" s="96"/>
      <c r="K324" s="96"/>
      <c r="L324" s="96"/>
    </row>
    <row r="325" spans="2:12" ht="15.75" customHeight="1" thickBot="1">
      <c r="B325" s="96"/>
      <c r="C325" s="97"/>
      <c r="D325" s="96"/>
      <c r="E325" s="96"/>
      <c r="F325" s="96"/>
      <c r="G325" s="96"/>
      <c r="J325" s="96"/>
      <c r="K325" s="96"/>
      <c r="L325" s="96"/>
    </row>
    <row r="326" spans="2:12" ht="15.75" customHeight="1" thickBot="1">
      <c r="B326" s="96"/>
      <c r="C326" s="97"/>
      <c r="D326" s="96"/>
      <c r="E326" s="96"/>
      <c r="F326" s="96"/>
      <c r="G326" s="96"/>
      <c r="J326" s="96"/>
      <c r="K326" s="96"/>
      <c r="L326" s="96"/>
    </row>
    <row r="327" spans="2:12" ht="15.75" customHeight="1" thickBot="1">
      <c r="B327" s="96"/>
      <c r="C327" s="97"/>
      <c r="D327" s="96"/>
      <c r="E327" s="96"/>
      <c r="F327" s="96"/>
      <c r="G327" s="96"/>
      <c r="J327" s="96"/>
      <c r="K327" s="96"/>
      <c r="L327" s="96"/>
    </row>
    <row r="328" spans="2:12" ht="15.75" customHeight="1" thickBot="1">
      <c r="B328" s="96"/>
      <c r="C328" s="97"/>
      <c r="D328" s="96"/>
      <c r="E328" s="96"/>
      <c r="F328" s="96"/>
      <c r="G328" s="96"/>
      <c r="J328" s="96"/>
      <c r="K328" s="96"/>
      <c r="L328" s="96"/>
    </row>
    <row r="329" spans="2:12" ht="15.75" customHeight="1" thickBot="1">
      <c r="B329" s="96"/>
      <c r="C329" s="97"/>
      <c r="D329" s="96"/>
      <c r="E329" s="96"/>
      <c r="F329" s="96"/>
      <c r="G329" s="96"/>
      <c r="J329" s="96"/>
      <c r="K329" s="96"/>
      <c r="L329" s="96"/>
    </row>
    <row r="330" spans="2:12" ht="15.75" customHeight="1" thickBot="1">
      <c r="B330" s="96"/>
      <c r="C330" s="97"/>
      <c r="D330" s="96"/>
      <c r="E330" s="96"/>
      <c r="F330" s="96"/>
      <c r="G330" s="96"/>
      <c r="J330" s="96"/>
      <c r="K330" s="96"/>
      <c r="L330" s="96"/>
    </row>
    <row r="331" spans="2:12" ht="15.75" customHeight="1" thickBot="1">
      <c r="B331" s="96"/>
      <c r="C331" s="97"/>
      <c r="D331" s="96"/>
      <c r="E331" s="96"/>
      <c r="F331" s="96"/>
      <c r="G331" s="96"/>
      <c r="J331" s="96"/>
      <c r="K331" s="96"/>
      <c r="L331" s="96"/>
    </row>
    <row r="332" spans="2:12" ht="15.75" customHeight="1" thickBot="1">
      <c r="B332" s="96"/>
      <c r="C332" s="97"/>
      <c r="D332" s="96"/>
      <c r="E332" s="96"/>
      <c r="F332" s="96"/>
      <c r="G332" s="96"/>
      <c r="J332" s="96"/>
      <c r="K332" s="96"/>
      <c r="L332" s="96"/>
    </row>
    <row r="333" spans="2:12" ht="15.75" customHeight="1" thickBot="1">
      <c r="B333" s="96"/>
      <c r="C333" s="97"/>
      <c r="D333" s="96"/>
      <c r="E333" s="96"/>
      <c r="F333" s="96"/>
      <c r="G333" s="96"/>
      <c r="J333" s="96"/>
      <c r="K333" s="96"/>
      <c r="L333" s="96"/>
    </row>
    <row r="334" spans="2:12" ht="15.75" customHeight="1" thickBot="1">
      <c r="B334" s="96"/>
      <c r="C334" s="97"/>
      <c r="D334" s="96"/>
      <c r="E334" s="96"/>
      <c r="F334" s="96"/>
      <c r="G334" s="96"/>
      <c r="J334" s="96"/>
      <c r="K334" s="96"/>
      <c r="L334" s="96"/>
    </row>
    <row r="335" spans="2:12" ht="15.75" customHeight="1" thickBot="1">
      <c r="B335" s="96"/>
      <c r="C335" s="97"/>
      <c r="D335" s="96"/>
      <c r="E335" s="96"/>
      <c r="F335" s="96"/>
      <c r="G335" s="96"/>
      <c r="J335" s="96"/>
      <c r="K335" s="96"/>
      <c r="L335" s="96"/>
    </row>
    <row r="336" spans="2:12" ht="15.75" customHeight="1" thickBot="1">
      <c r="B336" s="96"/>
      <c r="C336" s="97"/>
      <c r="D336" s="96"/>
      <c r="E336" s="96"/>
      <c r="F336" s="96"/>
      <c r="G336" s="96"/>
      <c r="J336" s="96"/>
      <c r="K336" s="96"/>
      <c r="L336" s="96"/>
    </row>
    <row r="337" spans="2:12" ht="15.75" customHeight="1" thickBot="1">
      <c r="B337" s="96"/>
      <c r="C337" s="97"/>
      <c r="D337" s="96"/>
      <c r="E337" s="96"/>
      <c r="F337" s="96"/>
      <c r="G337" s="96"/>
      <c r="J337" s="96"/>
      <c r="K337" s="96"/>
      <c r="L337" s="96"/>
    </row>
    <row r="338" spans="2:12" ht="15.75" customHeight="1" thickBot="1">
      <c r="B338" s="96"/>
      <c r="C338" s="97"/>
      <c r="D338" s="96"/>
      <c r="E338" s="96"/>
      <c r="F338" s="96"/>
      <c r="G338" s="96"/>
      <c r="J338" s="96"/>
      <c r="K338" s="96"/>
      <c r="L338" s="96"/>
    </row>
    <row r="339" spans="2:12" ht="15.75" customHeight="1" thickBot="1">
      <c r="B339" s="96"/>
      <c r="C339" s="97"/>
      <c r="D339" s="96"/>
      <c r="E339" s="96"/>
      <c r="F339" s="96"/>
      <c r="G339" s="96"/>
      <c r="J339" s="96"/>
      <c r="K339" s="96"/>
      <c r="L339" s="96"/>
    </row>
    <row r="340" spans="2:12" ht="15.75" customHeight="1" thickBot="1">
      <c r="B340" s="96"/>
      <c r="C340" s="97"/>
      <c r="D340" s="96"/>
      <c r="E340" s="96"/>
      <c r="F340" s="96"/>
      <c r="G340" s="96"/>
      <c r="J340" s="96"/>
      <c r="K340" s="96"/>
      <c r="L340" s="96"/>
    </row>
    <row r="341" spans="2:12" ht="15.75" customHeight="1" thickBot="1">
      <c r="B341" s="96"/>
      <c r="C341" s="97"/>
      <c r="D341" s="96"/>
      <c r="E341" s="96"/>
      <c r="F341" s="96"/>
      <c r="G341" s="96"/>
      <c r="J341" s="96"/>
      <c r="K341" s="96"/>
      <c r="L341" s="96"/>
    </row>
    <row r="342" spans="2:12" ht="15.75" customHeight="1" thickBot="1">
      <c r="B342" s="96"/>
      <c r="C342" s="97"/>
      <c r="D342" s="96"/>
      <c r="E342" s="96"/>
      <c r="F342" s="96"/>
      <c r="G342" s="96"/>
      <c r="J342" s="96"/>
      <c r="K342" s="96"/>
      <c r="L342" s="96"/>
    </row>
    <row r="343" spans="2:12" ht="15.75" customHeight="1" thickBot="1">
      <c r="B343" s="96"/>
      <c r="C343" s="97"/>
      <c r="D343" s="96"/>
      <c r="E343" s="96"/>
      <c r="F343" s="96"/>
      <c r="G343" s="96"/>
      <c r="J343" s="96"/>
      <c r="K343" s="96"/>
      <c r="L343" s="96"/>
    </row>
    <row r="344" spans="2:12" ht="15.75" customHeight="1" thickBot="1">
      <c r="B344" s="96"/>
      <c r="C344" s="97"/>
      <c r="D344" s="96"/>
      <c r="E344" s="96"/>
      <c r="F344" s="96"/>
      <c r="G344" s="96"/>
      <c r="J344" s="96"/>
      <c r="K344" s="96"/>
      <c r="L344" s="96"/>
    </row>
    <row r="345" spans="2:12" ht="15.75" customHeight="1" thickBot="1">
      <c r="B345" s="96"/>
      <c r="C345" s="97"/>
      <c r="D345" s="96"/>
      <c r="E345" s="96"/>
      <c r="F345" s="96"/>
      <c r="G345" s="96"/>
      <c r="J345" s="96"/>
      <c r="K345" s="96"/>
      <c r="L345" s="96"/>
    </row>
    <row r="346" spans="2:12" ht="15.75" customHeight="1" thickBot="1">
      <c r="B346" s="96"/>
      <c r="C346" s="97"/>
      <c r="D346" s="96"/>
      <c r="E346" s="96"/>
      <c r="F346" s="96"/>
      <c r="G346" s="96"/>
      <c r="J346" s="96"/>
      <c r="K346" s="96"/>
      <c r="L346" s="96"/>
    </row>
    <row r="347" spans="2:12" ht="15.75" customHeight="1" thickBot="1">
      <c r="B347" s="96"/>
      <c r="C347" s="97"/>
      <c r="D347" s="96"/>
      <c r="E347" s="96"/>
      <c r="F347" s="96"/>
      <c r="G347" s="96"/>
      <c r="J347" s="96"/>
      <c r="K347" s="96"/>
      <c r="L347" s="96"/>
    </row>
    <row r="348" spans="2:12" ht="15.75" customHeight="1" thickBot="1">
      <c r="B348" s="96"/>
      <c r="C348" s="97"/>
      <c r="D348" s="96"/>
      <c r="E348" s="96"/>
      <c r="F348" s="96"/>
      <c r="G348" s="96"/>
      <c r="J348" s="96"/>
      <c r="K348" s="96"/>
      <c r="L348" s="96"/>
    </row>
    <row r="349" spans="2:12" ht="15.75" customHeight="1" thickBot="1">
      <c r="B349" s="96"/>
      <c r="C349" s="97"/>
      <c r="D349" s="96"/>
      <c r="E349" s="96"/>
      <c r="F349" s="96"/>
      <c r="G349" s="96"/>
      <c r="J349" s="96"/>
      <c r="K349" s="96"/>
      <c r="L349" s="96"/>
    </row>
    <row r="350" spans="2:12" ht="15.75" customHeight="1" thickBot="1">
      <c r="B350" s="96"/>
      <c r="C350" s="97"/>
      <c r="D350" s="96"/>
      <c r="E350" s="96"/>
      <c r="F350" s="96"/>
      <c r="G350" s="96"/>
      <c r="J350" s="96"/>
      <c r="K350" s="96"/>
      <c r="L350" s="96"/>
    </row>
    <row r="351" spans="2:12" ht="15.75" customHeight="1" thickBot="1">
      <c r="B351" s="96"/>
      <c r="C351" s="97"/>
      <c r="D351" s="96"/>
      <c r="E351" s="96"/>
      <c r="F351" s="96"/>
      <c r="G351" s="96"/>
      <c r="J351" s="96"/>
      <c r="K351" s="96"/>
      <c r="L351" s="96"/>
    </row>
    <row r="352" spans="2:12" ht="15.75" customHeight="1" thickBot="1">
      <c r="B352" s="96"/>
      <c r="C352" s="97"/>
      <c r="D352" s="96"/>
      <c r="E352" s="96"/>
      <c r="F352" s="96"/>
      <c r="G352" s="96"/>
      <c r="J352" s="96"/>
      <c r="K352" s="96"/>
      <c r="L352" s="96"/>
    </row>
    <row r="353" spans="2:12" ht="15.75" customHeight="1" thickBot="1">
      <c r="B353" s="96"/>
      <c r="C353" s="97"/>
      <c r="D353" s="96"/>
      <c r="E353" s="96"/>
      <c r="F353" s="96"/>
      <c r="G353" s="96"/>
      <c r="J353" s="96"/>
      <c r="K353" s="96"/>
      <c r="L353" s="96"/>
    </row>
    <row r="354" spans="2:12" ht="15.75" customHeight="1" thickBot="1">
      <c r="B354" s="96"/>
      <c r="C354" s="97"/>
      <c r="D354" s="96"/>
      <c r="E354" s="96"/>
      <c r="F354" s="96"/>
      <c r="G354" s="96"/>
      <c r="J354" s="96"/>
      <c r="K354" s="96"/>
      <c r="L354" s="96"/>
    </row>
    <row r="355" spans="2:12" ht="15.75" customHeight="1" thickBot="1">
      <c r="B355" s="96"/>
      <c r="C355" s="97"/>
      <c r="D355" s="96"/>
      <c r="E355" s="96"/>
      <c r="F355" s="96"/>
      <c r="G355" s="96"/>
      <c r="J355" s="96"/>
      <c r="K355" s="96"/>
      <c r="L355" s="96"/>
    </row>
    <row r="356" spans="2:12" ht="15.75" customHeight="1" thickBot="1">
      <c r="B356" s="96"/>
      <c r="C356" s="97"/>
      <c r="D356" s="96"/>
      <c r="E356" s="96"/>
      <c r="F356" s="96"/>
      <c r="G356" s="96"/>
      <c r="J356" s="96"/>
      <c r="K356" s="96"/>
      <c r="L356" s="96"/>
    </row>
    <row r="357" spans="2:12" ht="15.75" customHeight="1" thickBot="1">
      <c r="B357" s="96"/>
      <c r="C357" s="97"/>
      <c r="D357" s="96"/>
      <c r="E357" s="96"/>
      <c r="F357" s="96"/>
      <c r="G357" s="96"/>
      <c r="J357" s="96"/>
      <c r="K357" s="96"/>
      <c r="L357" s="96"/>
    </row>
    <row r="358" spans="2:12" ht="15.75" customHeight="1" thickBot="1">
      <c r="B358" s="96"/>
      <c r="C358" s="97"/>
      <c r="D358" s="96"/>
      <c r="E358" s="96"/>
      <c r="F358" s="96"/>
      <c r="G358" s="96"/>
      <c r="J358" s="96"/>
      <c r="K358" s="96"/>
      <c r="L358" s="96"/>
    </row>
    <row r="359" spans="2:12" ht="15.75" customHeight="1" thickBot="1">
      <c r="B359" s="96"/>
      <c r="C359" s="97"/>
      <c r="D359" s="96"/>
      <c r="E359" s="96"/>
      <c r="F359" s="96"/>
      <c r="G359" s="96"/>
      <c r="J359" s="96"/>
      <c r="K359" s="96"/>
      <c r="L359" s="96"/>
    </row>
    <row r="360" spans="2:12" ht="15.75" customHeight="1" thickBot="1">
      <c r="B360" s="96"/>
      <c r="C360" s="97"/>
      <c r="D360" s="96"/>
      <c r="E360" s="96"/>
      <c r="F360" s="96"/>
      <c r="G360" s="96"/>
      <c r="J360" s="96"/>
      <c r="K360" s="96"/>
      <c r="L360" s="96"/>
    </row>
    <row r="361" spans="2:12" ht="15.75" customHeight="1" thickBot="1">
      <c r="B361" s="96"/>
      <c r="C361" s="97"/>
      <c r="D361" s="96"/>
      <c r="E361" s="96"/>
      <c r="F361" s="96"/>
      <c r="G361" s="96"/>
      <c r="J361" s="96"/>
      <c r="K361" s="96"/>
      <c r="L361" s="96"/>
    </row>
    <row r="362" spans="2:12" ht="15.75" customHeight="1" thickBot="1">
      <c r="B362" s="96"/>
      <c r="C362" s="97"/>
      <c r="D362" s="96"/>
      <c r="E362" s="96"/>
      <c r="F362" s="96"/>
      <c r="G362" s="96"/>
      <c r="J362" s="96"/>
      <c r="K362" s="96"/>
      <c r="L362" s="96"/>
    </row>
    <row r="363" spans="2:12" ht="15.75" customHeight="1" thickBot="1">
      <c r="B363" s="96"/>
      <c r="C363" s="97"/>
      <c r="D363" s="96"/>
      <c r="E363" s="96"/>
      <c r="F363" s="96"/>
      <c r="G363" s="96"/>
      <c r="J363" s="96"/>
      <c r="K363" s="96"/>
      <c r="L363" s="96"/>
    </row>
    <row r="364" spans="2:12" ht="15.75" customHeight="1" thickBot="1">
      <c r="B364" s="96"/>
      <c r="C364" s="97"/>
      <c r="D364" s="96"/>
      <c r="E364" s="96"/>
      <c r="F364" s="96"/>
      <c r="G364" s="96"/>
      <c r="J364" s="96"/>
      <c r="K364" s="96"/>
      <c r="L364" s="96"/>
    </row>
    <row r="365" spans="2:12" ht="15.75" customHeight="1" thickBot="1">
      <c r="B365" s="96"/>
      <c r="C365" s="97"/>
      <c r="D365" s="96"/>
      <c r="E365" s="96"/>
      <c r="F365" s="96"/>
      <c r="G365" s="96"/>
      <c r="J365" s="96"/>
      <c r="K365" s="96"/>
      <c r="L365" s="96"/>
    </row>
    <row r="366" spans="2:12" ht="15.75" customHeight="1" thickBot="1">
      <c r="B366" s="96"/>
      <c r="C366" s="97"/>
      <c r="D366" s="96"/>
      <c r="E366" s="96"/>
      <c r="F366" s="96"/>
      <c r="G366" s="96"/>
      <c r="J366" s="96"/>
      <c r="K366" s="96"/>
      <c r="L366" s="96"/>
    </row>
    <row r="367" spans="2:12" ht="15.75" customHeight="1" thickBot="1">
      <c r="B367" s="96"/>
      <c r="C367" s="97"/>
      <c r="D367" s="96"/>
      <c r="E367" s="96"/>
      <c r="F367" s="96"/>
      <c r="G367" s="96"/>
      <c r="J367" s="96"/>
      <c r="K367" s="96"/>
      <c r="L367" s="96"/>
    </row>
    <row r="368" spans="2:12" ht="15.75" customHeight="1" thickBot="1">
      <c r="B368" s="96"/>
      <c r="C368" s="97"/>
      <c r="D368" s="96"/>
      <c r="E368" s="96"/>
      <c r="F368" s="96"/>
      <c r="G368" s="96"/>
      <c r="J368" s="96"/>
      <c r="K368" s="96"/>
      <c r="L368" s="96"/>
    </row>
    <row r="369" spans="2:12" ht="15.75" customHeight="1" thickBot="1">
      <c r="B369" s="96"/>
      <c r="C369" s="97"/>
      <c r="D369" s="96"/>
      <c r="E369" s="96"/>
      <c r="F369" s="96"/>
      <c r="G369" s="96"/>
      <c r="J369" s="96"/>
      <c r="K369" s="96"/>
      <c r="L369" s="96"/>
    </row>
    <row r="370" spans="2:12" ht="15.75" customHeight="1" thickBot="1">
      <c r="B370" s="96"/>
      <c r="C370" s="97"/>
      <c r="D370" s="96"/>
      <c r="E370" s="96"/>
      <c r="F370" s="96"/>
      <c r="G370" s="96"/>
      <c r="J370" s="96"/>
      <c r="K370" s="96"/>
      <c r="L370" s="96"/>
    </row>
    <row r="371" spans="2:12" ht="15.75" customHeight="1" thickBot="1">
      <c r="B371" s="96"/>
      <c r="C371" s="97"/>
      <c r="D371" s="96"/>
      <c r="E371" s="96"/>
      <c r="F371" s="96"/>
      <c r="G371" s="96"/>
      <c r="J371" s="96"/>
      <c r="K371" s="96"/>
      <c r="L371" s="96"/>
    </row>
    <row r="372" spans="2:12" ht="15.75" customHeight="1" thickBot="1">
      <c r="B372" s="96"/>
      <c r="C372" s="97"/>
      <c r="D372" s="96"/>
      <c r="E372" s="96"/>
      <c r="F372" s="96"/>
      <c r="G372" s="96"/>
      <c r="J372" s="96"/>
      <c r="K372" s="96"/>
      <c r="L372" s="96"/>
    </row>
    <row r="373" spans="2:12" ht="15.75" customHeight="1" thickBot="1">
      <c r="B373" s="96"/>
      <c r="C373" s="97"/>
      <c r="D373" s="96"/>
      <c r="E373" s="96"/>
      <c r="F373" s="96"/>
      <c r="G373" s="96"/>
      <c r="J373" s="96"/>
      <c r="K373" s="96"/>
      <c r="L373" s="96"/>
    </row>
    <row r="374" spans="2:12" ht="15.75" customHeight="1" thickBot="1">
      <c r="B374" s="96"/>
      <c r="C374" s="97"/>
      <c r="D374" s="96"/>
      <c r="E374" s="96"/>
      <c r="F374" s="96"/>
      <c r="G374" s="96"/>
      <c r="J374" s="96"/>
      <c r="K374" s="96"/>
      <c r="L374" s="96"/>
    </row>
    <row r="375" spans="2:12" ht="15.75" customHeight="1" thickBot="1">
      <c r="B375" s="96"/>
      <c r="C375" s="97"/>
      <c r="D375" s="96"/>
      <c r="E375" s="96"/>
      <c r="F375" s="96"/>
      <c r="G375" s="96"/>
      <c r="J375" s="96"/>
      <c r="K375" s="96"/>
      <c r="L375" s="96"/>
    </row>
    <row r="376" spans="2:12" ht="15.75" customHeight="1" thickBot="1">
      <c r="B376" s="96"/>
      <c r="C376" s="97"/>
      <c r="D376" s="96"/>
      <c r="E376" s="96"/>
      <c r="F376" s="96"/>
      <c r="G376" s="96"/>
      <c r="J376" s="96"/>
      <c r="K376" s="96"/>
      <c r="L376" s="96"/>
    </row>
    <row r="377" spans="2:12" ht="15.75" customHeight="1" thickBot="1">
      <c r="B377" s="96"/>
      <c r="C377" s="97"/>
      <c r="D377" s="96"/>
      <c r="E377" s="96"/>
      <c r="F377" s="96"/>
      <c r="G377" s="96"/>
      <c r="J377" s="96"/>
      <c r="K377" s="96"/>
      <c r="L377" s="96"/>
    </row>
    <row r="378" spans="2:12" ht="15.75" customHeight="1" thickBot="1">
      <c r="B378" s="96"/>
      <c r="C378" s="97"/>
      <c r="D378" s="96"/>
      <c r="E378" s="96"/>
      <c r="F378" s="96"/>
      <c r="G378" s="96"/>
      <c r="J378" s="96"/>
      <c r="K378" s="96"/>
      <c r="L378" s="96"/>
    </row>
    <row r="379" spans="2:12" ht="15.75" customHeight="1" thickBot="1">
      <c r="B379" s="96"/>
      <c r="C379" s="97"/>
      <c r="D379" s="96"/>
      <c r="E379" s="96"/>
      <c r="F379" s="96"/>
      <c r="G379" s="96"/>
      <c r="J379" s="96"/>
      <c r="K379" s="96"/>
      <c r="L379" s="96"/>
    </row>
    <row r="380" spans="2:12" ht="15.75" customHeight="1" thickBot="1">
      <c r="B380" s="96"/>
      <c r="C380" s="97"/>
      <c r="D380" s="96"/>
      <c r="E380" s="96"/>
      <c r="F380" s="96"/>
      <c r="G380" s="96"/>
      <c r="J380" s="96"/>
      <c r="K380" s="96"/>
      <c r="L380" s="96"/>
    </row>
    <row r="381" spans="2:12" ht="15.75" customHeight="1" thickBot="1">
      <c r="B381" s="96"/>
      <c r="C381" s="97"/>
      <c r="D381" s="96"/>
      <c r="E381" s="96"/>
      <c r="F381" s="96"/>
      <c r="G381" s="96"/>
      <c r="J381" s="96"/>
      <c r="K381" s="96"/>
      <c r="L381" s="96"/>
    </row>
    <row r="382" spans="2:12" ht="15.75" customHeight="1" thickBot="1">
      <c r="B382" s="96"/>
      <c r="C382" s="97"/>
      <c r="D382" s="96"/>
      <c r="E382" s="96"/>
      <c r="F382" s="96"/>
      <c r="G382" s="96"/>
      <c r="J382" s="96"/>
      <c r="K382" s="96"/>
      <c r="L382" s="96"/>
    </row>
    <row r="383" spans="2:12" ht="15.75" customHeight="1" thickBot="1">
      <c r="B383" s="96"/>
      <c r="C383" s="97"/>
      <c r="D383" s="96"/>
      <c r="E383" s="96"/>
      <c r="F383" s="96"/>
      <c r="G383" s="96"/>
      <c r="J383" s="96"/>
      <c r="K383" s="96"/>
      <c r="L383" s="96"/>
    </row>
    <row r="384" spans="2:12" ht="15.75" customHeight="1" thickBot="1">
      <c r="B384" s="96"/>
      <c r="C384" s="97"/>
      <c r="D384" s="96"/>
      <c r="E384" s="96"/>
      <c r="F384" s="96"/>
      <c r="G384" s="96"/>
      <c r="J384" s="96"/>
      <c r="K384" s="96"/>
      <c r="L384" s="96"/>
    </row>
    <row r="385" spans="2:12" ht="15.75" customHeight="1" thickBot="1">
      <c r="B385" s="96"/>
      <c r="C385" s="97"/>
      <c r="D385" s="96"/>
      <c r="E385" s="96"/>
      <c r="F385" s="96"/>
      <c r="G385" s="96"/>
      <c r="J385" s="96"/>
      <c r="K385" s="96"/>
      <c r="L385" s="96"/>
    </row>
    <row r="386" spans="2:12" ht="15.75" customHeight="1" thickBot="1">
      <c r="B386" s="96"/>
      <c r="C386" s="97"/>
      <c r="D386" s="96"/>
      <c r="E386" s="96"/>
      <c r="F386" s="96"/>
      <c r="G386" s="96"/>
      <c r="J386" s="96"/>
      <c r="K386" s="96"/>
      <c r="L386" s="96"/>
    </row>
    <row r="387" spans="2:12" ht="15.75" customHeight="1" thickBot="1">
      <c r="B387" s="96"/>
      <c r="C387" s="97"/>
      <c r="D387" s="96"/>
      <c r="E387" s="96"/>
      <c r="F387" s="96"/>
      <c r="G387" s="96"/>
      <c r="J387" s="96"/>
      <c r="K387" s="96"/>
      <c r="L387" s="96"/>
    </row>
    <row r="388" spans="2:12" ht="15.75" customHeight="1" thickBot="1">
      <c r="B388" s="96"/>
      <c r="C388" s="97"/>
      <c r="D388" s="96"/>
      <c r="E388" s="96"/>
      <c r="F388" s="96"/>
      <c r="G388" s="96"/>
      <c r="J388" s="96"/>
      <c r="K388" s="96"/>
      <c r="L388" s="96"/>
    </row>
    <row r="389" spans="2:12" ht="15.75" customHeight="1" thickBot="1">
      <c r="B389" s="96"/>
      <c r="C389" s="97"/>
      <c r="D389" s="96"/>
      <c r="E389" s="96"/>
      <c r="F389" s="96"/>
      <c r="G389" s="96"/>
      <c r="J389" s="96"/>
      <c r="K389" s="96"/>
      <c r="L389" s="96"/>
    </row>
    <row r="390" spans="2:12" ht="15.75" customHeight="1" thickBot="1">
      <c r="B390" s="96"/>
      <c r="C390" s="97"/>
      <c r="D390" s="96"/>
      <c r="E390" s="96"/>
      <c r="F390" s="96"/>
      <c r="G390" s="96"/>
      <c r="J390" s="96"/>
      <c r="K390" s="96"/>
      <c r="L390" s="96"/>
    </row>
    <row r="391" spans="2:12" ht="15.75" customHeight="1" thickBot="1">
      <c r="B391" s="96"/>
      <c r="C391" s="97"/>
      <c r="D391" s="96"/>
      <c r="E391" s="96"/>
      <c r="F391" s="96"/>
      <c r="G391" s="96"/>
      <c r="J391" s="96"/>
      <c r="K391" s="96"/>
      <c r="L391" s="96"/>
    </row>
    <row r="392" spans="2:12" ht="15.75" customHeight="1" thickBot="1">
      <c r="B392" s="96"/>
      <c r="C392" s="97"/>
      <c r="D392" s="96"/>
      <c r="E392" s="96"/>
      <c r="F392" s="96"/>
      <c r="G392" s="96"/>
      <c r="J392" s="96"/>
      <c r="K392" s="96"/>
      <c r="L392" s="96"/>
    </row>
    <row r="393" spans="2:12" ht="15.75" customHeight="1" thickBot="1">
      <c r="B393" s="96"/>
      <c r="C393" s="97"/>
      <c r="D393" s="96"/>
      <c r="E393" s="96"/>
      <c r="F393" s="96"/>
      <c r="G393" s="96"/>
      <c r="J393" s="96"/>
      <c r="K393" s="96"/>
      <c r="L393" s="96"/>
    </row>
    <row r="394" spans="2:12" ht="15.75" customHeight="1" thickBot="1">
      <c r="B394" s="96"/>
      <c r="C394" s="97"/>
      <c r="D394" s="96"/>
      <c r="E394" s="96"/>
      <c r="F394" s="96"/>
      <c r="G394" s="96"/>
      <c r="J394" s="96"/>
      <c r="K394" s="96"/>
      <c r="L394" s="96"/>
    </row>
    <row r="395" spans="2:12" ht="15.75" customHeight="1" thickBot="1">
      <c r="B395" s="96"/>
      <c r="C395" s="97"/>
      <c r="D395" s="96"/>
      <c r="E395" s="96"/>
      <c r="F395" s="96"/>
      <c r="G395" s="96"/>
      <c r="J395" s="96"/>
      <c r="K395" s="96"/>
      <c r="L395" s="96"/>
    </row>
    <row r="396" spans="2:12" ht="15.75" customHeight="1" thickBot="1">
      <c r="B396" s="96"/>
      <c r="C396" s="97"/>
      <c r="D396" s="96"/>
      <c r="E396" s="96"/>
      <c r="F396" s="96"/>
      <c r="G396" s="96"/>
      <c r="J396" s="96"/>
      <c r="K396" s="96"/>
      <c r="L396" s="96"/>
    </row>
    <row r="397" spans="2:12" ht="15.75" customHeight="1" thickBot="1">
      <c r="B397" s="96"/>
      <c r="C397" s="97"/>
      <c r="D397" s="96"/>
      <c r="E397" s="96"/>
      <c r="F397" s="96"/>
      <c r="G397" s="96"/>
      <c r="J397" s="96"/>
      <c r="K397" s="96"/>
      <c r="L397" s="96"/>
    </row>
    <row r="398" spans="2:12" ht="15.75" customHeight="1" thickBot="1">
      <c r="B398" s="96"/>
      <c r="C398" s="97"/>
      <c r="D398" s="96"/>
      <c r="E398" s="96"/>
      <c r="F398" s="96"/>
      <c r="G398" s="96"/>
      <c r="J398" s="96"/>
      <c r="K398" s="96"/>
      <c r="L398" s="96"/>
    </row>
    <row r="399" spans="2:12" ht="15.75" customHeight="1" thickBot="1">
      <c r="B399" s="96"/>
      <c r="C399" s="97"/>
      <c r="D399" s="96"/>
      <c r="E399" s="96"/>
      <c r="F399" s="96"/>
      <c r="G399" s="96"/>
      <c r="J399" s="96"/>
      <c r="K399" s="96"/>
      <c r="L399" s="96"/>
    </row>
    <row r="400" spans="2:12" ht="15.75" customHeight="1" thickBot="1">
      <c r="B400" s="96"/>
      <c r="C400" s="97"/>
      <c r="D400" s="96"/>
      <c r="E400" s="96"/>
      <c r="F400" s="96"/>
      <c r="G400" s="96"/>
      <c r="J400" s="96"/>
      <c r="K400" s="96"/>
      <c r="L400" s="96"/>
    </row>
    <row r="401" spans="2:12" ht="15.75" customHeight="1" thickBot="1">
      <c r="B401" s="96"/>
      <c r="C401" s="97"/>
      <c r="D401" s="96"/>
      <c r="E401" s="96"/>
      <c r="F401" s="96"/>
      <c r="G401" s="96"/>
      <c r="J401" s="96"/>
      <c r="K401" s="96"/>
      <c r="L401" s="96"/>
    </row>
    <row r="402" spans="2:12" ht="15.75" customHeight="1" thickBot="1">
      <c r="B402" s="96"/>
      <c r="C402" s="97"/>
      <c r="D402" s="96"/>
      <c r="E402" s="96"/>
      <c r="F402" s="96"/>
      <c r="G402" s="96"/>
      <c r="J402" s="96"/>
      <c r="K402" s="96"/>
      <c r="L402" s="96"/>
    </row>
    <row r="403" spans="2:12" ht="15.75" customHeight="1" thickBot="1">
      <c r="B403" s="96"/>
      <c r="C403" s="97"/>
      <c r="D403" s="96"/>
      <c r="E403" s="96"/>
      <c r="F403" s="96"/>
      <c r="G403" s="96"/>
      <c r="J403" s="96"/>
      <c r="K403" s="96"/>
      <c r="L403" s="96"/>
    </row>
    <row r="404" spans="2:12" ht="15.75" customHeight="1" thickBot="1">
      <c r="B404" s="96"/>
      <c r="C404" s="97"/>
      <c r="D404" s="96"/>
      <c r="E404" s="96"/>
      <c r="F404" s="96"/>
      <c r="G404" s="96"/>
      <c r="J404" s="96"/>
      <c r="K404" s="96"/>
      <c r="L404" s="96"/>
    </row>
    <row r="405" spans="2:12" ht="15.75" customHeight="1" thickBot="1">
      <c r="B405" s="96"/>
      <c r="C405" s="97"/>
      <c r="D405" s="96"/>
      <c r="E405" s="96"/>
      <c r="F405" s="96"/>
      <c r="G405" s="96"/>
      <c r="J405" s="96"/>
      <c r="K405" s="96"/>
      <c r="L405" s="96"/>
    </row>
    <row r="406" spans="2:12" ht="15.75" customHeight="1" thickBot="1">
      <c r="B406" s="96"/>
      <c r="C406" s="97"/>
      <c r="D406" s="96"/>
      <c r="E406" s="96"/>
      <c r="F406" s="96"/>
      <c r="G406" s="96"/>
      <c r="J406" s="96"/>
      <c r="K406" s="96"/>
      <c r="L406" s="96"/>
    </row>
    <row r="407" spans="2:12" ht="15.75" customHeight="1" thickBot="1">
      <c r="B407" s="96"/>
      <c r="C407" s="97"/>
      <c r="D407" s="96"/>
      <c r="E407" s="96"/>
      <c r="F407" s="96"/>
      <c r="G407" s="96"/>
      <c r="J407" s="96"/>
      <c r="K407" s="96"/>
      <c r="L407" s="96"/>
    </row>
    <row r="408" spans="2:12" ht="15.75" customHeight="1" thickBot="1">
      <c r="B408" s="96"/>
      <c r="C408" s="97"/>
      <c r="D408" s="96"/>
      <c r="E408" s="96"/>
      <c r="F408" s="96"/>
      <c r="G408" s="96"/>
      <c r="J408" s="96"/>
      <c r="K408" s="96"/>
      <c r="L408" s="96"/>
    </row>
    <row r="409" spans="2:12" ht="15.75" customHeight="1" thickBot="1">
      <c r="B409" s="96"/>
      <c r="C409" s="97"/>
      <c r="D409" s="96"/>
      <c r="E409" s="96"/>
      <c r="F409" s="96"/>
      <c r="G409" s="96"/>
      <c r="J409" s="96"/>
      <c r="K409" s="96"/>
      <c r="L409" s="96"/>
    </row>
    <row r="410" spans="2:12" ht="15.75" customHeight="1" thickBot="1">
      <c r="B410" s="96"/>
      <c r="C410" s="97"/>
      <c r="D410" s="96"/>
      <c r="E410" s="96"/>
      <c r="F410" s="96"/>
      <c r="G410" s="96"/>
      <c r="J410" s="96"/>
      <c r="K410" s="96"/>
      <c r="L410" s="96"/>
    </row>
    <row r="411" spans="2:12" ht="15.75" customHeight="1" thickBot="1">
      <c r="B411" s="96"/>
      <c r="C411" s="97"/>
      <c r="D411" s="96"/>
      <c r="E411" s="96"/>
      <c r="F411" s="96"/>
      <c r="G411" s="96"/>
      <c r="J411" s="96"/>
      <c r="K411" s="96"/>
      <c r="L411" s="96"/>
    </row>
    <row r="412" spans="2:12" ht="15.75" customHeight="1" thickBot="1">
      <c r="B412" s="96"/>
      <c r="C412" s="97"/>
      <c r="D412" s="96"/>
      <c r="E412" s="96"/>
      <c r="F412" s="96"/>
      <c r="G412" s="96"/>
      <c r="J412" s="96"/>
      <c r="K412" s="96"/>
      <c r="L412" s="96"/>
    </row>
    <row r="413" spans="2:12" ht="15.75" customHeight="1" thickBot="1">
      <c r="B413" s="96"/>
      <c r="C413" s="97"/>
      <c r="D413" s="96"/>
      <c r="E413" s="96"/>
      <c r="F413" s="96"/>
      <c r="G413" s="96"/>
      <c r="J413" s="96"/>
      <c r="K413" s="96"/>
      <c r="L413" s="96"/>
    </row>
    <row r="414" spans="2:12" ht="15.75" customHeight="1" thickBot="1">
      <c r="B414" s="96"/>
      <c r="C414" s="97"/>
      <c r="D414" s="96"/>
      <c r="E414" s="96"/>
      <c r="F414" s="96"/>
      <c r="G414" s="96"/>
      <c r="J414" s="96"/>
      <c r="K414" s="96"/>
      <c r="L414" s="96"/>
    </row>
    <row r="415" spans="2:12" ht="15.75" customHeight="1" thickBot="1">
      <c r="B415" s="96"/>
      <c r="C415" s="97"/>
      <c r="D415" s="96"/>
      <c r="E415" s="96"/>
      <c r="F415" s="96"/>
      <c r="G415" s="96"/>
      <c r="J415" s="96"/>
      <c r="K415" s="96"/>
      <c r="L415" s="96"/>
    </row>
    <row r="416" spans="2:12" ht="15.75" customHeight="1" thickBot="1">
      <c r="B416" s="96"/>
      <c r="C416" s="97"/>
      <c r="D416" s="96"/>
      <c r="E416" s="96"/>
      <c r="F416" s="96"/>
      <c r="G416" s="96"/>
      <c r="J416" s="96"/>
      <c r="K416" s="96"/>
      <c r="L416" s="96"/>
    </row>
    <row r="417" spans="2:12" ht="15.75" customHeight="1" thickBot="1">
      <c r="B417" s="96"/>
      <c r="C417" s="97"/>
      <c r="D417" s="96"/>
      <c r="E417" s="96"/>
      <c r="F417" s="96"/>
      <c r="G417" s="96"/>
      <c r="J417" s="96"/>
      <c r="K417" s="96"/>
      <c r="L417" s="96"/>
    </row>
    <row r="418" spans="2:12" ht="15.75" customHeight="1" thickBot="1">
      <c r="B418" s="96"/>
      <c r="C418" s="97"/>
      <c r="D418" s="96"/>
      <c r="E418" s="96"/>
      <c r="F418" s="96"/>
      <c r="G418" s="96"/>
      <c r="J418" s="96"/>
      <c r="K418" s="96"/>
      <c r="L418" s="96"/>
    </row>
    <row r="419" spans="2:12" ht="15.75" customHeight="1" thickBot="1">
      <c r="B419" s="96"/>
      <c r="C419" s="97"/>
      <c r="D419" s="96"/>
      <c r="E419" s="96"/>
      <c r="F419" s="96"/>
      <c r="G419" s="96"/>
      <c r="J419" s="96"/>
      <c r="K419" s="96"/>
      <c r="L419" s="96"/>
    </row>
    <row r="420" spans="2:12" ht="15.75" customHeight="1" thickBot="1">
      <c r="B420" s="96"/>
      <c r="C420" s="97"/>
      <c r="D420" s="96"/>
      <c r="E420" s="96"/>
      <c r="F420" s="96"/>
      <c r="G420" s="96"/>
      <c r="J420" s="96"/>
      <c r="K420" s="96"/>
      <c r="L420" s="96"/>
    </row>
    <row r="421" spans="2:12" ht="15.75" customHeight="1" thickBot="1">
      <c r="B421" s="96"/>
      <c r="C421" s="97"/>
      <c r="D421" s="96"/>
      <c r="E421" s="96"/>
      <c r="F421" s="96"/>
      <c r="G421" s="96"/>
      <c r="J421" s="96"/>
      <c r="K421" s="96"/>
      <c r="L421" s="96"/>
    </row>
    <row r="422" spans="2:12" ht="15.75" customHeight="1" thickBot="1">
      <c r="B422" s="96"/>
      <c r="C422" s="97"/>
      <c r="D422" s="96"/>
      <c r="E422" s="96"/>
      <c r="F422" s="96"/>
      <c r="G422" s="96"/>
      <c r="J422" s="96"/>
      <c r="K422" s="96"/>
      <c r="L422" s="96"/>
    </row>
    <row r="423" spans="2:12" ht="15.75" customHeight="1" thickBot="1">
      <c r="B423" s="96"/>
      <c r="C423" s="97"/>
      <c r="D423" s="96"/>
      <c r="E423" s="96"/>
      <c r="F423" s="96"/>
      <c r="G423" s="96"/>
      <c r="J423" s="96"/>
      <c r="K423" s="96"/>
      <c r="L423" s="96"/>
    </row>
    <row r="424" spans="2:12" ht="15.75" customHeight="1" thickBot="1">
      <c r="B424" s="96"/>
      <c r="C424" s="97"/>
      <c r="D424" s="96"/>
      <c r="E424" s="96"/>
      <c r="F424" s="96"/>
      <c r="G424" s="96"/>
      <c r="J424" s="96"/>
      <c r="K424" s="96"/>
      <c r="L424" s="96"/>
    </row>
    <row r="425" spans="2:12" ht="15.75" customHeight="1" thickBot="1">
      <c r="B425" s="96"/>
      <c r="C425" s="97"/>
      <c r="D425" s="96"/>
      <c r="E425" s="96"/>
      <c r="F425" s="96"/>
      <c r="G425" s="96"/>
      <c r="J425" s="96"/>
      <c r="K425" s="96"/>
      <c r="L425" s="96"/>
    </row>
    <row r="426" spans="2:12" ht="15.75" customHeight="1" thickBot="1">
      <c r="B426" s="96"/>
      <c r="C426" s="97"/>
      <c r="D426" s="96"/>
      <c r="E426" s="96"/>
      <c r="F426" s="96"/>
      <c r="G426" s="96"/>
      <c r="J426" s="96"/>
      <c r="K426" s="96"/>
      <c r="L426" s="96"/>
    </row>
    <row r="427" spans="2:12" ht="15.75" customHeight="1" thickBot="1">
      <c r="B427" s="96"/>
      <c r="C427" s="97"/>
      <c r="D427" s="96"/>
      <c r="E427" s="96"/>
      <c r="F427" s="96"/>
      <c r="G427" s="96"/>
      <c r="J427" s="96"/>
      <c r="K427" s="96"/>
      <c r="L427" s="96"/>
    </row>
    <row r="428" spans="2:12" ht="15.75" customHeight="1" thickBot="1">
      <c r="B428" s="96"/>
      <c r="C428" s="97"/>
      <c r="D428" s="96"/>
      <c r="E428" s="96"/>
      <c r="F428" s="96"/>
      <c r="G428" s="96"/>
      <c r="J428" s="96"/>
      <c r="K428" s="96"/>
      <c r="L428" s="96"/>
    </row>
    <row r="429" spans="2:12" ht="15.75" customHeight="1" thickBot="1">
      <c r="B429" s="96"/>
      <c r="C429" s="97"/>
      <c r="D429" s="96"/>
      <c r="E429" s="96"/>
      <c r="F429" s="96"/>
      <c r="G429" s="96"/>
      <c r="J429" s="96"/>
      <c r="K429" s="96"/>
      <c r="L429" s="96"/>
    </row>
    <row r="430" spans="2:12" ht="15.75" customHeight="1" thickBot="1">
      <c r="B430" s="96"/>
      <c r="C430" s="97"/>
      <c r="D430" s="96"/>
      <c r="E430" s="96"/>
      <c r="F430" s="96"/>
      <c r="G430" s="96"/>
      <c r="J430" s="96"/>
      <c r="K430" s="96"/>
      <c r="L430" s="96"/>
    </row>
    <row r="431" spans="2:12" ht="15.75" customHeight="1" thickBot="1">
      <c r="B431" s="96"/>
      <c r="C431" s="97"/>
      <c r="D431" s="96"/>
      <c r="E431" s="96"/>
      <c r="F431" s="96"/>
      <c r="G431" s="96"/>
      <c r="J431" s="96"/>
      <c r="K431" s="96"/>
      <c r="L431" s="96"/>
    </row>
    <row r="432" spans="2:12" ht="15.75" customHeight="1" thickBot="1">
      <c r="B432" s="96"/>
      <c r="C432" s="97"/>
      <c r="D432" s="96"/>
      <c r="E432" s="96"/>
      <c r="F432" s="96"/>
      <c r="G432" s="96"/>
      <c r="J432" s="96"/>
      <c r="K432" s="96"/>
      <c r="L432" s="96"/>
    </row>
    <row r="433" spans="2:12" ht="15.75" customHeight="1" thickBot="1">
      <c r="B433" s="96"/>
      <c r="C433" s="97"/>
      <c r="D433" s="96"/>
      <c r="E433" s="96"/>
      <c r="F433" s="96"/>
      <c r="G433" s="96"/>
      <c r="J433" s="96"/>
      <c r="K433" s="96"/>
      <c r="L433" s="96"/>
    </row>
    <row r="434" spans="2:12" ht="15.75" customHeight="1" thickBot="1">
      <c r="B434" s="96"/>
      <c r="C434" s="97"/>
      <c r="D434" s="96"/>
      <c r="E434" s="96"/>
      <c r="F434" s="96"/>
      <c r="G434" s="96"/>
      <c r="J434" s="96"/>
      <c r="K434" s="96"/>
      <c r="L434" s="96"/>
    </row>
    <row r="435" spans="2:12" ht="15.75" customHeight="1" thickBot="1">
      <c r="B435" s="96"/>
      <c r="C435" s="97"/>
      <c r="D435" s="96"/>
      <c r="E435" s="96"/>
      <c r="F435" s="96"/>
      <c r="G435" s="96"/>
      <c r="J435" s="96"/>
      <c r="K435" s="96"/>
      <c r="L435" s="96"/>
    </row>
    <row r="436" spans="2:12" ht="15.75" customHeight="1" thickBot="1">
      <c r="B436" s="96"/>
      <c r="C436" s="97"/>
      <c r="D436" s="96"/>
      <c r="E436" s="96"/>
      <c r="F436" s="96"/>
      <c r="G436" s="96"/>
      <c r="J436" s="96"/>
      <c r="K436" s="96"/>
      <c r="L436" s="96"/>
    </row>
    <row r="437" spans="2:12" ht="15.75" customHeight="1" thickBot="1">
      <c r="B437" s="96"/>
      <c r="C437" s="97"/>
      <c r="D437" s="96"/>
      <c r="E437" s="96"/>
      <c r="F437" s="96"/>
      <c r="G437" s="96"/>
      <c r="J437" s="96"/>
      <c r="K437" s="96"/>
      <c r="L437" s="96"/>
    </row>
    <row r="438" spans="2:12" ht="15.75" customHeight="1" thickBot="1">
      <c r="B438" s="96"/>
      <c r="C438" s="97"/>
      <c r="D438" s="96"/>
      <c r="E438" s="96"/>
      <c r="F438" s="96"/>
      <c r="G438" s="96"/>
      <c r="J438" s="96"/>
      <c r="K438" s="96"/>
      <c r="L438" s="96"/>
    </row>
    <row r="439" spans="2:12" ht="15.75" customHeight="1" thickBot="1">
      <c r="B439" s="96"/>
      <c r="C439" s="97"/>
      <c r="D439" s="96"/>
      <c r="E439" s="96"/>
      <c r="F439" s="96"/>
      <c r="G439" s="96"/>
      <c r="J439" s="96"/>
      <c r="K439" s="96"/>
      <c r="L439" s="96"/>
    </row>
    <row r="440" spans="2:12" ht="15.75" customHeight="1" thickBot="1">
      <c r="B440" s="96"/>
      <c r="C440" s="97"/>
      <c r="D440" s="96"/>
      <c r="E440" s="96"/>
      <c r="F440" s="96"/>
      <c r="G440" s="96"/>
      <c r="J440" s="96"/>
      <c r="K440" s="96"/>
      <c r="L440" s="96"/>
    </row>
    <row r="441" spans="2:12" ht="15.75" customHeight="1" thickBot="1">
      <c r="B441" s="96"/>
      <c r="C441" s="97"/>
      <c r="D441" s="96"/>
      <c r="E441" s="96"/>
      <c r="F441" s="96"/>
      <c r="G441" s="96"/>
      <c r="J441" s="96"/>
      <c r="K441" s="96"/>
      <c r="L441" s="96"/>
    </row>
    <row r="442" spans="2:12" ht="15.75" customHeight="1" thickBot="1">
      <c r="B442" s="96"/>
      <c r="C442" s="97"/>
      <c r="D442" s="96"/>
      <c r="E442" s="96"/>
      <c r="F442" s="96"/>
      <c r="G442" s="96"/>
      <c r="J442" s="96"/>
      <c r="K442" s="96"/>
      <c r="L442" s="96"/>
    </row>
    <row r="443" spans="2:12" ht="15.75" customHeight="1" thickBot="1">
      <c r="B443" s="96"/>
      <c r="C443" s="97"/>
      <c r="D443" s="96"/>
      <c r="E443" s="96"/>
      <c r="F443" s="96"/>
      <c r="G443" s="96"/>
      <c r="J443" s="96"/>
      <c r="K443" s="96"/>
      <c r="L443" s="96"/>
    </row>
    <row r="444" spans="2:12" ht="15.75" customHeight="1" thickBot="1">
      <c r="B444" s="96"/>
      <c r="C444" s="97"/>
      <c r="D444" s="96"/>
      <c r="E444" s="96"/>
      <c r="F444" s="96"/>
      <c r="G444" s="96"/>
      <c r="J444" s="96"/>
      <c r="K444" s="96"/>
      <c r="L444" s="96"/>
    </row>
    <row r="445" spans="2:12" ht="15.75" customHeight="1" thickBot="1">
      <c r="B445" s="96"/>
      <c r="C445" s="97"/>
      <c r="D445" s="96"/>
      <c r="E445" s="96"/>
      <c r="F445" s="96"/>
      <c r="G445" s="96"/>
      <c r="J445" s="96"/>
      <c r="K445" s="96"/>
      <c r="L445" s="96"/>
    </row>
    <row r="446" spans="2:12" ht="15.75" customHeight="1" thickBot="1">
      <c r="B446" s="96"/>
      <c r="C446" s="97"/>
      <c r="D446" s="96"/>
      <c r="E446" s="96"/>
      <c r="F446" s="96"/>
      <c r="G446" s="96"/>
      <c r="J446" s="96"/>
      <c r="K446" s="96"/>
      <c r="L446" s="96"/>
    </row>
    <row r="447" spans="2:12" ht="15.75" customHeight="1" thickBot="1">
      <c r="B447" s="96"/>
      <c r="C447" s="97"/>
      <c r="D447" s="96"/>
      <c r="E447" s="96"/>
      <c r="F447" s="96"/>
      <c r="G447" s="96"/>
      <c r="J447" s="96"/>
      <c r="K447" s="96"/>
      <c r="L447" s="96"/>
    </row>
    <row r="448" spans="2:12" ht="15.75" customHeight="1" thickBot="1">
      <c r="B448" s="96"/>
      <c r="C448" s="97"/>
      <c r="D448" s="96"/>
      <c r="E448" s="96"/>
      <c r="F448" s="96"/>
      <c r="G448" s="96"/>
      <c r="J448" s="96"/>
      <c r="K448" s="96"/>
      <c r="L448" s="96"/>
    </row>
    <row r="449" spans="2:12" ht="15.75" customHeight="1" thickBot="1">
      <c r="B449" s="96"/>
      <c r="C449" s="97"/>
      <c r="D449" s="96"/>
      <c r="E449" s="96"/>
      <c r="F449" s="96"/>
      <c r="G449" s="96"/>
      <c r="J449" s="96"/>
      <c r="K449" s="96"/>
      <c r="L449" s="96"/>
    </row>
    <row r="450" spans="2:12" ht="15.75" customHeight="1" thickBot="1">
      <c r="B450" s="96"/>
      <c r="C450" s="97"/>
      <c r="D450" s="96"/>
      <c r="E450" s="96"/>
      <c r="F450" s="96"/>
      <c r="G450" s="96"/>
      <c r="J450" s="96"/>
      <c r="K450" s="96"/>
      <c r="L450" s="96"/>
    </row>
    <row r="451" spans="2:12" ht="15.75" customHeight="1" thickBot="1">
      <c r="B451" s="96"/>
      <c r="C451" s="97"/>
      <c r="D451" s="96"/>
      <c r="E451" s="96"/>
      <c r="F451" s="96"/>
      <c r="G451" s="96"/>
      <c r="J451" s="96"/>
      <c r="K451" s="96"/>
      <c r="L451" s="96"/>
    </row>
    <row r="452" spans="2:12" ht="15.75" customHeight="1" thickBot="1">
      <c r="B452" s="96"/>
      <c r="C452" s="97"/>
      <c r="D452" s="96"/>
      <c r="E452" s="96"/>
      <c r="F452" s="96"/>
      <c r="G452" s="96"/>
      <c r="J452" s="96"/>
      <c r="K452" s="96"/>
      <c r="L452" s="96"/>
    </row>
    <row r="453" spans="2:12" ht="15.75" customHeight="1" thickBot="1">
      <c r="B453" s="96"/>
      <c r="C453" s="97"/>
      <c r="D453" s="96"/>
      <c r="E453" s="96"/>
      <c r="F453" s="96"/>
      <c r="G453" s="96"/>
      <c r="J453" s="96"/>
      <c r="K453" s="96"/>
      <c r="L453" s="96"/>
    </row>
    <row r="454" spans="2:12" ht="15.75" customHeight="1" thickBot="1">
      <c r="B454" s="96"/>
      <c r="C454" s="97"/>
      <c r="D454" s="96"/>
      <c r="E454" s="96"/>
      <c r="F454" s="96"/>
      <c r="G454" s="96"/>
      <c r="J454" s="96"/>
      <c r="K454" s="96"/>
      <c r="L454" s="96"/>
    </row>
    <row r="455" spans="2:12" ht="15.75" customHeight="1" thickBot="1">
      <c r="B455" s="96"/>
      <c r="C455" s="97"/>
      <c r="D455" s="96"/>
      <c r="E455" s="96"/>
      <c r="F455" s="96"/>
      <c r="G455" s="96"/>
      <c r="J455" s="96"/>
      <c r="K455" s="96"/>
      <c r="L455" s="96"/>
    </row>
    <row r="456" spans="2:12" ht="15.75" customHeight="1" thickBot="1">
      <c r="B456" s="96"/>
      <c r="C456" s="97"/>
      <c r="D456" s="96"/>
      <c r="E456" s="96"/>
      <c r="F456" s="96"/>
      <c r="G456" s="96"/>
      <c r="J456" s="96"/>
      <c r="K456" s="96"/>
      <c r="L456" s="96"/>
    </row>
    <row r="457" spans="2:12" ht="15.75" customHeight="1" thickBot="1">
      <c r="B457" s="96"/>
      <c r="C457" s="97"/>
      <c r="D457" s="96"/>
      <c r="E457" s="96"/>
      <c r="F457" s="96"/>
      <c r="G457" s="96"/>
      <c r="J457" s="96"/>
      <c r="K457" s="96"/>
      <c r="L457" s="96"/>
    </row>
    <row r="458" spans="2:12" ht="15.75" customHeight="1" thickBot="1">
      <c r="B458" s="96"/>
      <c r="C458" s="97"/>
      <c r="D458" s="96"/>
      <c r="E458" s="96"/>
      <c r="F458" s="96"/>
      <c r="G458" s="96"/>
      <c r="J458" s="96"/>
      <c r="K458" s="96"/>
      <c r="L458" s="96"/>
    </row>
    <row r="459" spans="2:12" ht="15.75" customHeight="1" thickBot="1">
      <c r="B459" s="96"/>
      <c r="C459" s="97"/>
      <c r="D459" s="96"/>
      <c r="E459" s="96"/>
      <c r="F459" s="96"/>
      <c r="G459" s="96"/>
      <c r="J459" s="96"/>
      <c r="K459" s="96"/>
      <c r="L459" s="96"/>
    </row>
    <row r="460" spans="2:12" ht="15.75" customHeight="1" thickBot="1">
      <c r="B460" s="96"/>
      <c r="C460" s="97"/>
      <c r="D460" s="96"/>
      <c r="E460" s="96"/>
      <c r="F460" s="96"/>
      <c r="G460" s="96"/>
      <c r="J460" s="96"/>
      <c r="K460" s="96"/>
      <c r="L460" s="96"/>
    </row>
    <row r="461" spans="2:12" ht="15.75" customHeight="1" thickBot="1">
      <c r="B461" s="96"/>
      <c r="C461" s="97"/>
      <c r="D461" s="96"/>
      <c r="E461" s="96"/>
      <c r="F461" s="96"/>
      <c r="G461" s="96"/>
      <c r="J461" s="96"/>
      <c r="K461" s="96"/>
      <c r="L461" s="96"/>
    </row>
    <row r="462" spans="2:12" ht="15.75" customHeight="1" thickBot="1">
      <c r="B462" s="96"/>
      <c r="C462" s="97"/>
      <c r="D462" s="96"/>
      <c r="E462" s="96"/>
      <c r="F462" s="96"/>
      <c r="G462" s="96"/>
      <c r="J462" s="96"/>
      <c r="K462" s="96"/>
      <c r="L462" s="96"/>
    </row>
    <row r="463" spans="2:12" ht="15.75" customHeight="1" thickBot="1">
      <c r="B463" s="96"/>
      <c r="C463" s="97"/>
      <c r="D463" s="96"/>
      <c r="E463" s="96"/>
      <c r="F463" s="96"/>
      <c r="G463" s="96"/>
      <c r="J463" s="96"/>
      <c r="K463" s="96"/>
      <c r="L463" s="96"/>
    </row>
    <row r="464" spans="2:12" ht="15.75" customHeight="1" thickBot="1">
      <c r="B464" s="96"/>
      <c r="C464" s="97"/>
      <c r="D464" s="96"/>
      <c r="E464" s="96"/>
      <c r="F464" s="96"/>
      <c r="G464" s="96"/>
      <c r="J464" s="96"/>
      <c r="K464" s="96"/>
      <c r="L464" s="96"/>
    </row>
    <row r="465" spans="2:12" ht="15.75" customHeight="1" thickBot="1">
      <c r="B465" s="96"/>
      <c r="C465" s="97"/>
      <c r="D465" s="96"/>
      <c r="E465" s="96"/>
      <c r="F465" s="96"/>
      <c r="G465" s="96"/>
      <c r="J465" s="96"/>
      <c r="K465" s="96"/>
      <c r="L465" s="96"/>
    </row>
    <row r="466" spans="2:12" ht="15.75" customHeight="1" thickBot="1">
      <c r="B466" s="96"/>
      <c r="C466" s="97"/>
      <c r="D466" s="96"/>
      <c r="E466" s="96"/>
      <c r="F466" s="96"/>
      <c r="G466" s="96"/>
      <c r="J466" s="96"/>
      <c r="K466" s="96"/>
      <c r="L466" s="96"/>
    </row>
    <row r="467" spans="2:12" ht="15.75" customHeight="1" thickBot="1">
      <c r="B467" s="96"/>
      <c r="C467" s="97"/>
      <c r="D467" s="96"/>
      <c r="E467" s="96"/>
      <c r="F467" s="96"/>
      <c r="G467" s="96"/>
      <c r="J467" s="96"/>
      <c r="K467" s="96"/>
      <c r="L467" s="96"/>
    </row>
    <row r="468" spans="2:12" ht="15.75" customHeight="1" thickBot="1">
      <c r="B468" s="96"/>
      <c r="C468" s="97"/>
      <c r="D468" s="96"/>
      <c r="E468" s="96"/>
      <c r="F468" s="96"/>
      <c r="G468" s="96"/>
      <c r="J468" s="96"/>
      <c r="K468" s="96"/>
      <c r="L468" s="96"/>
    </row>
    <row r="469" spans="2:12" ht="15.75" customHeight="1" thickBot="1">
      <c r="B469" s="96"/>
      <c r="C469" s="97"/>
      <c r="D469" s="96"/>
      <c r="E469" s="96"/>
      <c r="F469" s="96"/>
      <c r="G469" s="96"/>
      <c r="J469" s="96"/>
      <c r="K469" s="96"/>
      <c r="L469" s="96"/>
    </row>
    <row r="470" spans="2:12" ht="15.75" customHeight="1" thickBot="1">
      <c r="B470" s="96"/>
      <c r="C470" s="97"/>
      <c r="D470" s="96"/>
      <c r="E470" s="96"/>
      <c r="F470" s="96"/>
      <c r="G470" s="96"/>
      <c r="J470" s="96"/>
      <c r="K470" s="96"/>
      <c r="L470" s="96"/>
    </row>
    <row r="471" spans="2:12" ht="15.75" customHeight="1" thickBot="1">
      <c r="B471" s="96"/>
      <c r="C471" s="97"/>
      <c r="D471" s="96"/>
      <c r="E471" s="96"/>
      <c r="F471" s="96"/>
      <c r="G471" s="96"/>
      <c r="J471" s="96"/>
      <c r="K471" s="96"/>
      <c r="L471" s="96"/>
    </row>
    <row r="472" spans="2:12" ht="15.75" customHeight="1" thickBot="1">
      <c r="B472" s="96"/>
      <c r="C472" s="97"/>
      <c r="D472" s="96"/>
      <c r="E472" s="96"/>
      <c r="F472" s="96"/>
      <c r="G472" s="96"/>
      <c r="J472" s="96"/>
      <c r="K472" s="96"/>
      <c r="L472" s="96"/>
    </row>
    <row r="473" spans="2:12" ht="15.75" customHeight="1" thickBot="1">
      <c r="B473" s="96"/>
      <c r="C473" s="97"/>
      <c r="D473" s="96"/>
      <c r="E473" s="96"/>
      <c r="F473" s="96"/>
      <c r="G473" s="96"/>
      <c r="J473" s="96"/>
      <c r="K473" s="96"/>
      <c r="L473" s="96"/>
    </row>
    <row r="474" spans="2:12" ht="15.75" customHeight="1" thickBot="1">
      <c r="B474" s="96"/>
      <c r="C474" s="97"/>
      <c r="D474" s="96"/>
      <c r="E474" s="96"/>
      <c r="F474" s="96"/>
      <c r="G474" s="96"/>
      <c r="J474" s="96"/>
      <c r="K474" s="96"/>
      <c r="L474" s="96"/>
    </row>
    <row r="475" spans="2:12" ht="15.75" customHeight="1" thickBot="1">
      <c r="B475" s="96"/>
      <c r="C475" s="97"/>
      <c r="D475" s="96"/>
      <c r="E475" s="96"/>
      <c r="F475" s="96"/>
      <c r="G475" s="96"/>
      <c r="J475" s="96"/>
      <c r="K475" s="96"/>
      <c r="L475" s="96"/>
    </row>
    <row r="476" spans="2:12" ht="15.75" customHeight="1" thickBot="1">
      <c r="B476" s="96"/>
      <c r="C476" s="97"/>
      <c r="D476" s="96"/>
      <c r="E476" s="96"/>
      <c r="F476" s="96"/>
      <c r="G476" s="96"/>
      <c r="J476" s="96"/>
      <c r="K476" s="96"/>
      <c r="L476" s="96"/>
    </row>
    <row r="477" spans="2:12" ht="15.75" customHeight="1" thickBot="1">
      <c r="B477" s="96"/>
      <c r="C477" s="97"/>
      <c r="D477" s="96"/>
      <c r="E477" s="96"/>
      <c r="F477" s="96"/>
      <c r="G477" s="96"/>
      <c r="J477" s="96"/>
      <c r="K477" s="96"/>
      <c r="L477" s="96"/>
    </row>
    <row r="478" spans="2:12" ht="15.75" customHeight="1" thickBot="1">
      <c r="B478" s="96"/>
      <c r="C478" s="97"/>
      <c r="D478" s="96"/>
      <c r="E478" s="96"/>
      <c r="F478" s="96"/>
      <c r="G478" s="96"/>
      <c r="J478" s="96"/>
      <c r="K478" s="96"/>
      <c r="L478" s="96"/>
    </row>
    <row r="479" spans="2:12" ht="15.75" customHeight="1" thickBot="1">
      <c r="B479" s="96"/>
      <c r="C479" s="97"/>
      <c r="D479" s="96"/>
      <c r="E479" s="96"/>
      <c r="F479" s="96"/>
      <c r="G479" s="96"/>
      <c r="J479" s="96"/>
      <c r="K479" s="96"/>
      <c r="L479" s="96"/>
    </row>
    <row r="480" spans="2:12" ht="15.75" customHeight="1" thickBot="1">
      <c r="B480" s="96"/>
      <c r="C480" s="97"/>
      <c r="D480" s="96"/>
      <c r="E480" s="96"/>
      <c r="F480" s="96"/>
      <c r="G480" s="96"/>
      <c r="J480" s="96"/>
      <c r="K480" s="96"/>
      <c r="L480" s="96"/>
    </row>
    <row r="481" spans="2:12" ht="15.75" customHeight="1" thickBot="1">
      <c r="B481" s="96"/>
      <c r="C481" s="97"/>
      <c r="D481" s="96"/>
      <c r="E481" s="96"/>
      <c r="F481" s="96"/>
      <c r="G481" s="96"/>
      <c r="J481" s="96"/>
      <c r="K481" s="96"/>
      <c r="L481" s="96"/>
    </row>
    <row r="482" spans="2:12" ht="15.75" customHeight="1" thickBot="1">
      <c r="B482" s="96"/>
      <c r="C482" s="97"/>
      <c r="D482" s="96"/>
      <c r="E482" s="96"/>
      <c r="F482" s="96"/>
      <c r="G482" s="96"/>
      <c r="J482" s="96"/>
      <c r="K482" s="96"/>
      <c r="L482" s="96"/>
    </row>
    <row r="483" spans="2:12" ht="15.75" customHeight="1" thickBot="1">
      <c r="B483" s="96"/>
      <c r="C483" s="97"/>
      <c r="D483" s="96"/>
      <c r="E483" s="96"/>
      <c r="F483" s="96"/>
      <c r="G483" s="96"/>
      <c r="J483" s="96"/>
      <c r="K483" s="96"/>
      <c r="L483" s="96"/>
    </row>
    <row r="484" spans="2:12" ht="15.75" customHeight="1" thickBot="1">
      <c r="B484" s="96"/>
      <c r="C484" s="97"/>
      <c r="D484" s="96"/>
      <c r="E484" s="96"/>
      <c r="F484" s="96"/>
      <c r="G484" s="96"/>
      <c r="J484" s="96"/>
      <c r="K484" s="96"/>
      <c r="L484" s="96"/>
    </row>
    <row r="485" spans="2:12" ht="15.75" customHeight="1" thickBot="1">
      <c r="B485" s="96"/>
      <c r="C485" s="97"/>
      <c r="D485" s="96"/>
      <c r="E485" s="96"/>
      <c r="F485" s="96"/>
      <c r="G485" s="96"/>
      <c r="J485" s="96"/>
      <c r="K485" s="96"/>
      <c r="L485" s="96"/>
    </row>
    <row r="486" spans="2:12" ht="15.75" customHeight="1" thickBot="1">
      <c r="B486" s="96"/>
      <c r="C486" s="97"/>
      <c r="D486" s="96"/>
      <c r="E486" s="96"/>
      <c r="F486" s="96"/>
      <c r="G486" s="96"/>
      <c r="J486" s="96"/>
      <c r="K486" s="96"/>
      <c r="L486" s="96"/>
    </row>
    <row r="487" spans="2:12" ht="15.75" customHeight="1" thickBot="1">
      <c r="B487" s="96"/>
      <c r="C487" s="97"/>
      <c r="D487" s="96"/>
      <c r="E487" s="96"/>
      <c r="F487" s="96"/>
      <c r="G487" s="96"/>
      <c r="J487" s="96"/>
      <c r="K487" s="96"/>
      <c r="L487" s="96"/>
    </row>
    <row r="488" spans="2:12" ht="15.75" customHeight="1" thickBot="1">
      <c r="B488" s="96"/>
      <c r="C488" s="97"/>
      <c r="D488" s="96"/>
      <c r="E488" s="96"/>
      <c r="F488" s="96"/>
      <c r="G488" s="96"/>
      <c r="J488" s="96"/>
      <c r="K488" s="96"/>
      <c r="L488" s="96"/>
    </row>
    <row r="489" spans="2:12" ht="15.75" customHeight="1" thickBot="1">
      <c r="B489" s="96"/>
      <c r="C489" s="97"/>
      <c r="D489" s="96"/>
      <c r="E489" s="96"/>
      <c r="F489" s="96"/>
      <c r="G489" s="96"/>
      <c r="J489" s="96"/>
      <c r="K489" s="96"/>
      <c r="L489" s="96"/>
    </row>
    <row r="490" spans="2:12" ht="15.75" customHeight="1" thickBot="1">
      <c r="B490" s="96"/>
      <c r="C490" s="97"/>
      <c r="D490" s="96"/>
      <c r="E490" s="96"/>
      <c r="F490" s="96"/>
      <c r="G490" s="96"/>
      <c r="J490" s="96"/>
      <c r="K490" s="96"/>
      <c r="L490" s="96"/>
    </row>
    <row r="491" spans="2:12" ht="15.75" customHeight="1" thickBot="1">
      <c r="B491" s="96"/>
      <c r="C491" s="97"/>
      <c r="D491" s="96"/>
      <c r="E491" s="96"/>
      <c r="F491" s="96"/>
      <c r="G491" s="96"/>
      <c r="J491" s="96"/>
      <c r="K491" s="96"/>
      <c r="L491" s="96"/>
    </row>
    <row r="492" spans="2:12" ht="15.75" customHeight="1" thickBot="1">
      <c r="B492" s="96"/>
      <c r="C492" s="97"/>
      <c r="D492" s="96"/>
      <c r="E492" s="96"/>
      <c r="F492" s="96"/>
      <c r="G492" s="96"/>
      <c r="J492" s="96"/>
      <c r="K492" s="96"/>
      <c r="L492" s="96"/>
    </row>
    <row r="493" spans="2:12" ht="15.75" customHeight="1" thickBot="1">
      <c r="B493" s="96"/>
      <c r="C493" s="97"/>
      <c r="D493" s="96"/>
      <c r="E493" s="96"/>
      <c r="F493" s="96"/>
      <c r="G493" s="96"/>
      <c r="J493" s="96"/>
      <c r="K493" s="96"/>
      <c r="L493" s="96"/>
    </row>
    <row r="494" spans="2:12" ht="15.75" customHeight="1" thickBot="1">
      <c r="B494" s="96"/>
      <c r="C494" s="97"/>
      <c r="D494" s="96"/>
      <c r="E494" s="96"/>
      <c r="F494" s="96"/>
      <c r="G494" s="96"/>
      <c r="J494" s="96"/>
      <c r="K494" s="96"/>
      <c r="L494" s="96"/>
    </row>
    <row r="495" spans="2:12" ht="15.75" customHeight="1" thickBot="1">
      <c r="B495" s="96"/>
      <c r="C495" s="97"/>
      <c r="D495" s="96"/>
      <c r="E495" s="96"/>
      <c r="F495" s="96"/>
      <c r="G495" s="96"/>
      <c r="J495" s="96"/>
      <c r="K495" s="96"/>
      <c r="L495" s="96"/>
    </row>
    <row r="496" spans="2:12" ht="15.75" customHeight="1" thickBot="1">
      <c r="B496" s="96"/>
      <c r="C496" s="97"/>
      <c r="D496" s="96"/>
      <c r="E496" s="96"/>
      <c r="F496" s="96"/>
      <c r="G496" s="96"/>
      <c r="J496" s="96"/>
      <c r="K496" s="96"/>
      <c r="L496" s="96"/>
    </row>
    <row r="497" spans="2:12" ht="15.75" customHeight="1" thickBot="1">
      <c r="B497" s="96"/>
      <c r="C497" s="97"/>
      <c r="D497" s="96"/>
      <c r="E497" s="96"/>
      <c r="F497" s="96"/>
      <c r="G497" s="96"/>
      <c r="J497" s="96"/>
      <c r="K497" s="96"/>
      <c r="L497" s="96"/>
    </row>
    <row r="498" spans="2:12" ht="15.75" customHeight="1" thickBot="1">
      <c r="B498" s="96"/>
      <c r="C498" s="97"/>
      <c r="D498" s="96"/>
      <c r="E498" s="96"/>
      <c r="F498" s="96"/>
      <c r="G498" s="96"/>
      <c r="J498" s="96"/>
      <c r="K498" s="96"/>
      <c r="L498" s="96"/>
    </row>
    <row r="499" spans="2:12" ht="15.75" customHeight="1" thickBot="1">
      <c r="B499" s="96"/>
      <c r="C499" s="97"/>
      <c r="D499" s="96"/>
      <c r="E499" s="96"/>
      <c r="F499" s="96"/>
      <c r="G499" s="96"/>
      <c r="J499" s="96"/>
      <c r="K499" s="96"/>
      <c r="L499" s="96"/>
    </row>
    <row r="500" spans="2:12" ht="15.75" customHeight="1" thickBot="1">
      <c r="B500" s="96"/>
      <c r="C500" s="97"/>
      <c r="D500" s="96"/>
      <c r="E500" s="96"/>
      <c r="F500" s="96"/>
      <c r="G500" s="96"/>
      <c r="J500" s="96"/>
      <c r="K500" s="96"/>
      <c r="L500" s="96"/>
    </row>
    <row r="501" spans="2:12" ht="15.75" customHeight="1" thickBot="1">
      <c r="B501" s="96"/>
      <c r="C501" s="97"/>
      <c r="D501" s="96"/>
      <c r="E501" s="96"/>
      <c r="F501" s="96"/>
      <c r="G501" s="96"/>
      <c r="J501" s="96"/>
      <c r="K501" s="96"/>
      <c r="L501" s="96"/>
    </row>
    <row r="502" spans="2:12" ht="15.75" customHeight="1" thickBot="1">
      <c r="B502" s="96"/>
      <c r="C502" s="97"/>
      <c r="D502" s="96"/>
      <c r="E502" s="96"/>
      <c r="F502" s="96"/>
      <c r="G502" s="96"/>
      <c r="J502" s="96"/>
      <c r="K502" s="96"/>
      <c r="L502" s="96"/>
    </row>
    <row r="503" spans="2:12" ht="15.75" customHeight="1" thickBot="1">
      <c r="B503" s="96"/>
      <c r="C503" s="97"/>
      <c r="D503" s="96"/>
      <c r="E503" s="96"/>
      <c r="F503" s="96"/>
      <c r="G503" s="96"/>
      <c r="J503" s="96"/>
      <c r="K503" s="96"/>
      <c r="L503" s="96"/>
    </row>
    <row r="504" spans="2:12" ht="15.75" customHeight="1" thickBot="1">
      <c r="B504" s="96"/>
      <c r="C504" s="97"/>
      <c r="D504" s="96"/>
      <c r="E504" s="96"/>
      <c r="F504" s="96"/>
      <c r="G504" s="96"/>
      <c r="J504" s="96"/>
      <c r="K504" s="96"/>
      <c r="L504" s="96"/>
    </row>
    <row r="505" spans="2:12" ht="15.75" customHeight="1" thickBot="1">
      <c r="B505" s="96"/>
      <c r="C505" s="97"/>
      <c r="D505" s="96"/>
      <c r="E505" s="96"/>
      <c r="F505" s="96"/>
      <c r="G505" s="96"/>
      <c r="J505" s="96"/>
      <c r="K505" s="96"/>
      <c r="L505" s="96"/>
    </row>
    <row r="506" spans="2:12" ht="15.75" customHeight="1" thickBot="1">
      <c r="B506" s="96"/>
      <c r="C506" s="97"/>
      <c r="D506" s="96"/>
      <c r="E506" s="96"/>
      <c r="F506" s="96"/>
      <c r="G506" s="96"/>
      <c r="J506" s="96"/>
      <c r="K506" s="96"/>
      <c r="L506" s="96"/>
    </row>
    <row r="507" spans="2:12" ht="15.75" customHeight="1" thickBot="1">
      <c r="B507" s="96"/>
      <c r="C507" s="97"/>
      <c r="D507" s="96"/>
      <c r="E507" s="96"/>
      <c r="F507" s="96"/>
      <c r="G507" s="96"/>
      <c r="J507" s="96"/>
      <c r="K507" s="96"/>
      <c r="L507" s="96"/>
    </row>
    <row r="508" spans="2:12" ht="15.75" customHeight="1" thickBot="1">
      <c r="B508" s="96"/>
      <c r="C508" s="97"/>
      <c r="D508" s="96"/>
      <c r="E508" s="96"/>
      <c r="F508" s="96"/>
      <c r="G508" s="96"/>
      <c r="J508" s="96"/>
      <c r="K508" s="96"/>
      <c r="L508" s="96"/>
    </row>
    <row r="509" spans="2:12" ht="15.75" customHeight="1" thickBot="1">
      <c r="B509" s="96"/>
      <c r="C509" s="97"/>
      <c r="D509" s="96"/>
      <c r="E509" s="96"/>
      <c r="F509" s="96"/>
      <c r="G509" s="96"/>
      <c r="J509" s="96"/>
      <c r="K509" s="96"/>
      <c r="L509" s="96"/>
    </row>
    <row r="510" spans="2:12" ht="15.75" customHeight="1" thickBot="1">
      <c r="B510" s="96"/>
      <c r="C510" s="97"/>
      <c r="D510" s="96"/>
      <c r="E510" s="96"/>
      <c r="F510" s="96"/>
      <c r="G510" s="96"/>
      <c r="J510" s="96"/>
      <c r="K510" s="96"/>
      <c r="L510" s="96"/>
    </row>
    <row r="511" spans="2:12" ht="15.75" customHeight="1" thickBot="1">
      <c r="B511" s="96"/>
      <c r="C511" s="97"/>
      <c r="D511" s="96"/>
      <c r="E511" s="96"/>
      <c r="F511" s="96"/>
      <c r="G511" s="96"/>
      <c r="J511" s="96"/>
      <c r="K511" s="96"/>
      <c r="L511" s="96"/>
    </row>
    <row r="512" spans="2:12" ht="15.75" customHeight="1" thickBot="1">
      <c r="B512" s="96"/>
      <c r="C512" s="97"/>
      <c r="D512" s="96"/>
      <c r="E512" s="96"/>
      <c r="F512" s="96"/>
      <c r="G512" s="96"/>
      <c r="J512" s="96"/>
      <c r="K512" s="96"/>
      <c r="L512" s="96"/>
    </row>
    <row r="513" spans="2:12" ht="15.75" customHeight="1" thickBot="1">
      <c r="B513" s="96"/>
      <c r="C513" s="97"/>
      <c r="D513" s="96"/>
      <c r="E513" s="96"/>
      <c r="F513" s="96"/>
      <c r="G513" s="96"/>
      <c r="J513" s="96"/>
      <c r="K513" s="96"/>
      <c r="L513" s="96"/>
    </row>
    <row r="514" spans="2:12" ht="15.75" customHeight="1" thickBot="1">
      <c r="B514" s="96"/>
      <c r="C514" s="97"/>
      <c r="D514" s="96"/>
      <c r="E514" s="96"/>
      <c r="F514" s="96"/>
      <c r="G514" s="96"/>
      <c r="J514" s="96"/>
      <c r="K514" s="96"/>
      <c r="L514" s="96"/>
    </row>
    <row r="515" spans="2:12" ht="15.75" customHeight="1" thickBot="1">
      <c r="B515" s="96"/>
      <c r="C515" s="97"/>
      <c r="D515" s="96"/>
      <c r="E515" s="96"/>
      <c r="F515" s="96"/>
      <c r="G515" s="96"/>
      <c r="J515" s="96"/>
      <c r="K515" s="96"/>
      <c r="L515" s="96"/>
    </row>
    <row r="516" spans="2:12" ht="15.75" customHeight="1" thickBot="1">
      <c r="B516" s="96"/>
      <c r="C516" s="97"/>
      <c r="D516" s="96"/>
      <c r="E516" s="96"/>
      <c r="F516" s="96"/>
      <c r="G516" s="96"/>
      <c r="J516" s="96"/>
      <c r="K516" s="96"/>
      <c r="L516" s="96"/>
    </row>
    <row r="517" spans="2:12" ht="15.75" customHeight="1" thickBot="1">
      <c r="B517" s="96"/>
      <c r="C517" s="97"/>
      <c r="D517" s="96"/>
      <c r="E517" s="96"/>
      <c r="F517" s="96"/>
      <c r="G517" s="96"/>
      <c r="J517" s="96"/>
      <c r="K517" s="96"/>
      <c r="L517" s="96"/>
    </row>
    <row r="518" spans="2:12" ht="15.75" customHeight="1" thickBot="1">
      <c r="B518" s="96"/>
      <c r="C518" s="97"/>
      <c r="D518" s="96"/>
      <c r="E518" s="96"/>
      <c r="F518" s="96"/>
      <c r="G518" s="96"/>
      <c r="J518" s="96"/>
      <c r="K518" s="96"/>
      <c r="L518" s="96"/>
    </row>
    <row r="519" spans="2:12" ht="15.75" customHeight="1" thickBot="1">
      <c r="B519" s="96"/>
      <c r="C519" s="97"/>
      <c r="D519" s="96"/>
      <c r="E519" s="96"/>
      <c r="F519" s="96"/>
      <c r="G519" s="96"/>
      <c r="J519" s="96"/>
      <c r="K519" s="96"/>
      <c r="L519" s="96"/>
    </row>
    <row r="520" spans="2:12" ht="15.75" customHeight="1" thickBot="1">
      <c r="B520" s="96"/>
      <c r="C520" s="97"/>
      <c r="D520" s="96"/>
      <c r="E520" s="96"/>
      <c r="F520" s="96"/>
      <c r="G520" s="96"/>
      <c r="J520" s="96"/>
      <c r="K520" s="96"/>
      <c r="L520" s="96"/>
    </row>
    <row r="521" spans="2:12" ht="15.75" customHeight="1" thickBot="1">
      <c r="B521" s="96"/>
      <c r="C521" s="97"/>
      <c r="D521" s="96"/>
      <c r="E521" s="96"/>
      <c r="F521" s="96"/>
      <c r="G521" s="96"/>
      <c r="J521" s="96"/>
      <c r="K521" s="96"/>
      <c r="L521" s="96"/>
    </row>
    <row r="522" spans="2:12" ht="15.75" customHeight="1" thickBot="1">
      <c r="B522" s="96"/>
      <c r="C522" s="97"/>
      <c r="D522" s="96"/>
      <c r="E522" s="96"/>
      <c r="F522" s="96"/>
      <c r="G522" s="96"/>
      <c r="J522" s="96"/>
      <c r="K522" s="96"/>
      <c r="L522" s="96"/>
    </row>
    <row r="523" spans="2:12" ht="15.75" customHeight="1" thickBot="1">
      <c r="B523" s="96"/>
      <c r="C523" s="97"/>
      <c r="D523" s="96"/>
      <c r="E523" s="96"/>
      <c r="F523" s="96"/>
      <c r="G523" s="96"/>
      <c r="J523" s="96"/>
      <c r="K523" s="96"/>
      <c r="L523" s="96"/>
    </row>
    <row r="524" spans="2:12" ht="15.75" customHeight="1" thickBot="1">
      <c r="B524" s="96"/>
      <c r="C524" s="97"/>
      <c r="D524" s="96"/>
      <c r="E524" s="96"/>
      <c r="F524" s="96"/>
      <c r="G524" s="96"/>
      <c r="J524" s="96"/>
      <c r="K524" s="96"/>
      <c r="L524" s="96"/>
    </row>
    <row r="525" spans="2:12" ht="15.75" customHeight="1" thickBot="1">
      <c r="B525" s="96"/>
      <c r="C525" s="97"/>
      <c r="D525" s="96"/>
      <c r="E525" s="96"/>
      <c r="F525" s="96"/>
      <c r="G525" s="96"/>
      <c r="J525" s="96"/>
      <c r="K525" s="96"/>
      <c r="L525" s="96"/>
    </row>
    <row r="526" spans="2:12" ht="15.75" customHeight="1" thickBot="1">
      <c r="B526" s="96"/>
      <c r="C526" s="97"/>
      <c r="D526" s="96"/>
      <c r="E526" s="96"/>
      <c r="F526" s="96"/>
      <c r="G526" s="96"/>
      <c r="J526" s="96"/>
      <c r="K526" s="96"/>
      <c r="L526" s="96"/>
    </row>
    <row r="527" spans="2:12" ht="15.75" customHeight="1" thickBot="1">
      <c r="B527" s="96"/>
      <c r="C527" s="97"/>
      <c r="D527" s="96"/>
      <c r="E527" s="96"/>
      <c r="F527" s="96"/>
      <c r="G527" s="96"/>
      <c r="J527" s="96"/>
      <c r="K527" s="96"/>
      <c r="L527" s="96"/>
    </row>
    <row r="528" spans="2:12" ht="15.75" customHeight="1" thickBot="1">
      <c r="B528" s="96"/>
      <c r="C528" s="97"/>
      <c r="D528" s="96"/>
      <c r="E528" s="96"/>
      <c r="F528" s="96"/>
      <c r="G528" s="96"/>
      <c r="J528" s="96"/>
      <c r="K528" s="96"/>
      <c r="L528" s="96"/>
    </row>
    <row r="529" spans="2:12" ht="15.75" customHeight="1" thickBot="1">
      <c r="B529" s="96"/>
      <c r="C529" s="97"/>
      <c r="D529" s="96"/>
      <c r="E529" s="96"/>
      <c r="F529" s="96"/>
      <c r="G529" s="96"/>
      <c r="J529" s="96"/>
      <c r="K529" s="96"/>
      <c r="L529" s="96"/>
    </row>
    <row r="530" spans="2:12" ht="15.75" customHeight="1" thickBot="1">
      <c r="B530" s="96"/>
      <c r="C530" s="97"/>
      <c r="D530" s="96"/>
      <c r="E530" s="96"/>
      <c r="F530" s="96"/>
      <c r="G530" s="96"/>
      <c r="J530" s="96"/>
      <c r="K530" s="96"/>
      <c r="L530" s="96"/>
    </row>
    <row r="531" spans="2:12" ht="15.75" customHeight="1" thickBot="1">
      <c r="B531" s="96"/>
      <c r="C531" s="97"/>
      <c r="D531" s="96"/>
      <c r="E531" s="96"/>
      <c r="F531" s="96"/>
      <c r="G531" s="96"/>
      <c r="J531" s="96"/>
      <c r="K531" s="96"/>
      <c r="L531" s="96"/>
    </row>
    <row r="532" spans="2:12" ht="15.75" customHeight="1" thickBot="1">
      <c r="B532" s="96"/>
      <c r="C532" s="97"/>
      <c r="D532" s="96"/>
      <c r="E532" s="96"/>
      <c r="F532" s="96"/>
      <c r="G532" s="96"/>
      <c r="J532" s="96"/>
      <c r="K532" s="96"/>
      <c r="L532" s="96"/>
    </row>
    <row r="533" spans="2:12" ht="15.75" customHeight="1" thickBot="1">
      <c r="B533" s="96"/>
      <c r="C533" s="97"/>
      <c r="D533" s="96"/>
      <c r="E533" s="96"/>
      <c r="F533" s="96"/>
      <c r="G533" s="96"/>
      <c r="J533" s="96"/>
      <c r="K533" s="96"/>
      <c r="L533" s="96"/>
    </row>
    <row r="534" spans="2:12" ht="15.75" customHeight="1" thickBot="1">
      <c r="B534" s="96"/>
      <c r="C534" s="97"/>
      <c r="D534" s="96"/>
      <c r="E534" s="96"/>
      <c r="F534" s="96"/>
      <c r="G534" s="96"/>
      <c r="J534" s="96"/>
      <c r="K534" s="96"/>
      <c r="L534" s="96"/>
    </row>
    <row r="535" spans="2:12" ht="15.75" customHeight="1" thickBot="1">
      <c r="B535" s="96"/>
      <c r="C535" s="97"/>
      <c r="D535" s="96"/>
      <c r="E535" s="96"/>
      <c r="F535" s="96"/>
      <c r="G535" s="96"/>
      <c r="J535" s="96"/>
      <c r="K535" s="96"/>
      <c r="L535" s="96"/>
    </row>
    <row r="536" spans="2:12" ht="15.75" customHeight="1" thickBot="1">
      <c r="B536" s="96"/>
      <c r="C536" s="97"/>
      <c r="D536" s="96"/>
      <c r="E536" s="96"/>
      <c r="F536" s="96"/>
      <c r="G536" s="96"/>
      <c r="J536" s="96"/>
      <c r="K536" s="96"/>
      <c r="L536" s="96"/>
    </row>
    <row r="537" spans="2:12" ht="15.75" customHeight="1" thickBot="1">
      <c r="B537" s="96"/>
      <c r="C537" s="97"/>
      <c r="D537" s="96"/>
      <c r="E537" s="96"/>
      <c r="F537" s="96"/>
      <c r="G537" s="96"/>
      <c r="J537" s="96"/>
      <c r="K537" s="96"/>
      <c r="L537" s="96"/>
    </row>
    <row r="538" spans="2:12" ht="15.75" customHeight="1" thickBot="1">
      <c r="B538" s="96"/>
      <c r="C538" s="97"/>
      <c r="D538" s="96"/>
      <c r="E538" s="96"/>
      <c r="F538" s="96"/>
      <c r="G538" s="96"/>
      <c r="J538" s="96"/>
      <c r="K538" s="96"/>
      <c r="L538" s="96"/>
    </row>
    <row r="539" spans="2:12" ht="15.75" customHeight="1" thickBot="1">
      <c r="B539" s="96"/>
      <c r="C539" s="97"/>
      <c r="D539" s="96"/>
      <c r="E539" s="96"/>
      <c r="F539" s="96"/>
      <c r="G539" s="96"/>
      <c r="J539" s="96"/>
      <c r="K539" s="96"/>
      <c r="L539" s="96"/>
    </row>
    <row r="540" spans="2:12" ht="15.75" customHeight="1" thickBot="1">
      <c r="B540" s="96"/>
      <c r="C540" s="97"/>
      <c r="D540" s="96"/>
      <c r="E540" s="96"/>
      <c r="F540" s="96"/>
      <c r="G540" s="96"/>
      <c r="J540" s="96"/>
      <c r="K540" s="96"/>
      <c r="L540" s="96"/>
    </row>
    <row r="541" spans="2:12" ht="15.75" customHeight="1" thickBot="1">
      <c r="B541" s="96"/>
      <c r="C541" s="97"/>
      <c r="D541" s="96"/>
      <c r="E541" s="96"/>
      <c r="F541" s="96"/>
      <c r="G541" s="96"/>
      <c r="J541" s="96"/>
      <c r="K541" s="96"/>
      <c r="L541" s="96"/>
    </row>
    <row r="542" spans="2:12" ht="15.75" customHeight="1" thickBot="1">
      <c r="B542" s="96"/>
      <c r="C542" s="97"/>
      <c r="D542" s="96"/>
      <c r="E542" s="96"/>
      <c r="F542" s="96"/>
      <c r="G542" s="96"/>
      <c r="J542" s="96"/>
      <c r="K542" s="96"/>
      <c r="L542" s="96"/>
    </row>
    <row r="543" spans="2:12" ht="15.75" customHeight="1" thickBot="1">
      <c r="B543" s="96"/>
      <c r="C543" s="97"/>
      <c r="D543" s="96"/>
      <c r="E543" s="96"/>
      <c r="F543" s="96"/>
      <c r="G543" s="96"/>
      <c r="J543" s="96"/>
      <c r="K543" s="96"/>
      <c r="L543" s="96"/>
    </row>
    <row r="544" spans="2:12" ht="15.75" customHeight="1" thickBot="1">
      <c r="B544" s="96"/>
      <c r="C544" s="97"/>
      <c r="D544" s="96"/>
      <c r="E544" s="96"/>
      <c r="F544" s="96"/>
      <c r="G544" s="96"/>
      <c r="J544" s="96"/>
      <c r="K544" s="96"/>
      <c r="L544" s="96"/>
    </row>
    <row r="545" spans="2:12" ht="15.75" customHeight="1" thickBot="1">
      <c r="B545" s="96"/>
      <c r="C545" s="97"/>
      <c r="D545" s="96"/>
      <c r="E545" s="96"/>
      <c r="F545" s="96"/>
      <c r="G545" s="96"/>
      <c r="J545" s="96"/>
      <c r="K545" s="96"/>
      <c r="L545" s="96"/>
    </row>
    <row r="546" spans="2:12" ht="15.75" customHeight="1" thickBot="1">
      <c r="B546" s="96"/>
      <c r="C546" s="97"/>
      <c r="D546" s="96"/>
      <c r="E546" s="96"/>
      <c r="F546" s="96"/>
      <c r="G546" s="96"/>
      <c r="J546" s="96"/>
      <c r="K546" s="96"/>
      <c r="L546" s="96"/>
    </row>
    <row r="547" spans="2:12" ht="15.75" customHeight="1" thickBot="1">
      <c r="B547" s="96"/>
      <c r="C547" s="97"/>
      <c r="D547" s="96"/>
      <c r="E547" s="96"/>
      <c r="F547" s="96"/>
      <c r="G547" s="96"/>
      <c r="J547" s="96"/>
      <c r="K547" s="96"/>
      <c r="L547" s="96"/>
    </row>
    <row r="548" spans="2:12" ht="15.75" customHeight="1" thickBot="1">
      <c r="B548" s="96"/>
      <c r="C548" s="97"/>
      <c r="D548" s="96"/>
      <c r="E548" s="96"/>
      <c r="F548" s="96"/>
      <c r="G548" s="96"/>
      <c r="J548" s="96"/>
      <c r="K548" s="96"/>
      <c r="L548" s="96"/>
    </row>
    <row r="549" spans="2:12" ht="15.75" customHeight="1" thickBot="1">
      <c r="B549" s="96"/>
      <c r="C549" s="97"/>
      <c r="D549" s="96"/>
      <c r="E549" s="96"/>
      <c r="F549" s="96"/>
      <c r="G549" s="96"/>
      <c r="J549" s="96"/>
      <c r="K549" s="96"/>
      <c r="L549" s="96"/>
    </row>
    <row r="550" spans="2:12" ht="15.75" customHeight="1" thickBot="1">
      <c r="B550" s="96"/>
      <c r="C550" s="97"/>
      <c r="D550" s="96"/>
      <c r="E550" s="96"/>
      <c r="F550" s="96"/>
      <c r="G550" s="96"/>
      <c r="J550" s="96"/>
      <c r="K550" s="96"/>
      <c r="L550" s="96"/>
    </row>
    <row r="551" spans="2:12" ht="15.75" customHeight="1" thickBot="1">
      <c r="B551" s="96"/>
      <c r="C551" s="97"/>
      <c r="D551" s="96"/>
      <c r="E551" s="96"/>
      <c r="F551" s="96"/>
      <c r="G551" s="96"/>
      <c r="J551" s="96"/>
      <c r="K551" s="96"/>
      <c r="L551" s="96"/>
    </row>
    <row r="552" spans="2:12" ht="15.75" customHeight="1" thickBot="1">
      <c r="B552" s="96"/>
      <c r="C552" s="97"/>
      <c r="D552" s="96"/>
      <c r="E552" s="96"/>
      <c r="F552" s="96"/>
      <c r="G552" s="96"/>
      <c r="J552" s="96"/>
      <c r="K552" s="96"/>
      <c r="L552" s="96"/>
    </row>
    <row r="553" spans="2:12" ht="15.75" customHeight="1" thickBot="1">
      <c r="B553" s="96"/>
      <c r="C553" s="97"/>
      <c r="D553" s="96"/>
      <c r="E553" s="96"/>
      <c r="F553" s="96"/>
      <c r="G553" s="96"/>
      <c r="J553" s="96"/>
      <c r="K553" s="96"/>
      <c r="L553" s="96"/>
    </row>
    <row r="554" spans="2:12" ht="15.75" customHeight="1" thickBot="1">
      <c r="B554" s="96"/>
      <c r="C554" s="97"/>
      <c r="D554" s="96"/>
      <c r="E554" s="96"/>
      <c r="F554" s="96"/>
      <c r="G554" s="96"/>
      <c r="J554" s="96"/>
      <c r="K554" s="96"/>
      <c r="L554" s="96"/>
    </row>
    <row r="555" spans="2:12" ht="15.75" customHeight="1" thickBot="1">
      <c r="B555" s="96"/>
      <c r="C555" s="97"/>
      <c r="D555" s="96"/>
      <c r="E555" s="96"/>
      <c r="F555" s="96"/>
      <c r="G555" s="96"/>
      <c r="J555" s="96"/>
      <c r="K555" s="96"/>
      <c r="L555" s="96"/>
    </row>
    <row r="556" spans="2:12" ht="15.75" customHeight="1" thickBot="1">
      <c r="B556" s="96"/>
      <c r="C556" s="97"/>
      <c r="D556" s="96"/>
      <c r="E556" s="96"/>
      <c r="F556" s="96"/>
      <c r="G556" s="96"/>
      <c r="J556" s="96"/>
      <c r="K556" s="96"/>
      <c r="L556" s="96"/>
    </row>
    <row r="557" spans="2:12" ht="15.75" customHeight="1" thickBot="1">
      <c r="B557" s="96"/>
      <c r="C557" s="97"/>
      <c r="D557" s="96"/>
      <c r="E557" s="96"/>
      <c r="F557" s="96"/>
      <c r="G557" s="96"/>
      <c r="J557" s="96"/>
      <c r="K557" s="96"/>
      <c r="L557" s="96"/>
    </row>
    <row r="558" spans="2:12" ht="15.75" customHeight="1" thickBot="1">
      <c r="B558" s="96"/>
      <c r="C558" s="97"/>
      <c r="D558" s="96"/>
      <c r="E558" s="96"/>
      <c r="F558" s="96"/>
      <c r="G558" s="96"/>
      <c r="J558" s="96"/>
      <c r="K558" s="96"/>
      <c r="L558" s="96"/>
    </row>
    <row r="559" spans="2:12" ht="15.75" customHeight="1" thickBot="1">
      <c r="B559" s="96"/>
      <c r="C559" s="97"/>
      <c r="D559" s="96"/>
      <c r="E559" s="96"/>
      <c r="F559" s="96"/>
      <c r="G559" s="96"/>
      <c r="J559" s="96"/>
      <c r="K559" s="96"/>
      <c r="L559" s="96"/>
    </row>
    <row r="560" spans="2:12" ht="15.75" customHeight="1" thickBot="1">
      <c r="B560" s="96"/>
      <c r="C560" s="97"/>
      <c r="D560" s="96"/>
      <c r="E560" s="96"/>
      <c r="F560" s="96"/>
      <c r="G560" s="96"/>
      <c r="J560" s="96"/>
      <c r="K560" s="96"/>
      <c r="L560" s="96"/>
    </row>
    <row r="561" spans="2:12" ht="15.75" customHeight="1" thickBot="1">
      <c r="B561" s="96"/>
      <c r="C561" s="97"/>
      <c r="D561" s="96"/>
      <c r="E561" s="96"/>
      <c r="F561" s="96"/>
      <c r="G561" s="96"/>
      <c r="J561" s="96"/>
      <c r="K561" s="96"/>
      <c r="L561" s="96"/>
    </row>
    <row r="562" spans="2:12" ht="15.75" customHeight="1" thickBot="1">
      <c r="B562" s="96"/>
      <c r="C562" s="97"/>
      <c r="D562" s="96"/>
      <c r="E562" s="96"/>
      <c r="F562" s="96"/>
      <c r="G562" s="96"/>
      <c r="J562" s="96"/>
      <c r="K562" s="96"/>
      <c r="L562" s="96"/>
    </row>
    <row r="563" spans="2:12" ht="15.75" customHeight="1" thickBot="1">
      <c r="B563" s="96"/>
      <c r="C563" s="97"/>
      <c r="D563" s="96"/>
      <c r="E563" s="96"/>
      <c r="F563" s="96"/>
      <c r="G563" s="96"/>
      <c r="J563" s="96"/>
      <c r="K563" s="96"/>
      <c r="L563" s="96"/>
    </row>
    <row r="564" spans="2:12" ht="15.75" customHeight="1" thickBot="1">
      <c r="B564" s="96"/>
      <c r="C564" s="97"/>
      <c r="D564" s="96"/>
      <c r="E564" s="96"/>
      <c r="F564" s="96"/>
      <c r="G564" s="96"/>
      <c r="J564" s="96"/>
      <c r="K564" s="96"/>
      <c r="L564" s="96"/>
    </row>
    <row r="565" spans="2:12" ht="15.75" customHeight="1" thickBot="1">
      <c r="B565" s="96"/>
      <c r="C565" s="97"/>
      <c r="D565" s="96"/>
      <c r="E565" s="96"/>
      <c r="F565" s="96"/>
      <c r="G565" s="96"/>
      <c r="J565" s="96"/>
      <c r="K565" s="96"/>
      <c r="L565" s="96"/>
    </row>
    <row r="566" spans="2:12" ht="15.75" customHeight="1" thickBot="1">
      <c r="B566" s="96"/>
      <c r="C566" s="97"/>
      <c r="D566" s="96"/>
      <c r="E566" s="96"/>
      <c r="F566" s="96"/>
      <c r="G566" s="96"/>
      <c r="J566" s="96"/>
      <c r="K566" s="96"/>
      <c r="L566" s="96"/>
    </row>
    <row r="567" spans="2:12" ht="15.75" customHeight="1" thickBot="1">
      <c r="B567" s="96"/>
      <c r="C567" s="97"/>
      <c r="D567" s="96"/>
      <c r="E567" s="96"/>
      <c r="F567" s="96"/>
      <c r="G567" s="96"/>
      <c r="J567" s="96"/>
      <c r="K567" s="96"/>
      <c r="L567" s="96"/>
    </row>
    <row r="568" spans="2:12" ht="15.75" customHeight="1" thickBot="1">
      <c r="B568" s="96"/>
      <c r="C568" s="97"/>
      <c r="D568" s="96"/>
      <c r="E568" s="96"/>
      <c r="F568" s="96"/>
      <c r="G568" s="96"/>
      <c r="J568" s="96"/>
      <c r="K568" s="96"/>
      <c r="L568" s="96"/>
    </row>
    <row r="569" spans="2:12" ht="15.75" customHeight="1" thickBot="1">
      <c r="B569" s="96"/>
      <c r="C569" s="97"/>
      <c r="D569" s="96"/>
      <c r="E569" s="96"/>
      <c r="F569" s="96"/>
      <c r="G569" s="96"/>
      <c r="J569" s="96"/>
      <c r="K569" s="96"/>
      <c r="L569" s="96"/>
    </row>
    <row r="570" spans="2:12" ht="15.75" customHeight="1" thickBot="1">
      <c r="B570" s="96"/>
      <c r="C570" s="97"/>
      <c r="D570" s="96"/>
      <c r="E570" s="96"/>
      <c r="F570" s="96"/>
      <c r="G570" s="96"/>
      <c r="J570" s="96"/>
      <c r="K570" s="96"/>
      <c r="L570" s="96"/>
    </row>
    <row r="571" spans="2:12" ht="15.75" customHeight="1" thickBot="1">
      <c r="B571" s="96"/>
      <c r="C571" s="97"/>
      <c r="D571" s="96"/>
      <c r="E571" s="96"/>
      <c r="F571" s="96"/>
      <c r="G571" s="96"/>
      <c r="J571" s="96"/>
      <c r="K571" s="96"/>
      <c r="L571" s="96"/>
    </row>
    <row r="572" spans="2:12" ht="15.75" customHeight="1" thickBot="1">
      <c r="B572" s="96"/>
      <c r="C572" s="97"/>
      <c r="D572" s="96"/>
      <c r="E572" s="96"/>
      <c r="F572" s="96"/>
      <c r="G572" s="96"/>
      <c r="J572" s="96"/>
      <c r="K572" s="96"/>
      <c r="L572" s="96"/>
    </row>
    <row r="573" spans="2:12" ht="15.75" customHeight="1" thickBot="1">
      <c r="B573" s="96"/>
      <c r="C573" s="97"/>
      <c r="D573" s="96"/>
      <c r="E573" s="96"/>
      <c r="F573" s="96"/>
      <c r="G573" s="96"/>
      <c r="J573" s="96"/>
      <c r="K573" s="96"/>
      <c r="L573" s="96"/>
    </row>
    <row r="574" spans="2:12" ht="15.75" customHeight="1" thickBot="1">
      <c r="B574" s="96"/>
      <c r="C574" s="97"/>
      <c r="D574" s="96"/>
      <c r="E574" s="96"/>
      <c r="F574" s="96"/>
      <c r="G574" s="96"/>
      <c r="J574" s="96"/>
      <c r="K574" s="96"/>
      <c r="L574" s="96"/>
    </row>
    <row r="575" spans="2:12" ht="15.75" customHeight="1" thickBot="1">
      <c r="B575" s="96"/>
      <c r="C575" s="97"/>
      <c r="D575" s="96"/>
      <c r="E575" s="96"/>
      <c r="F575" s="96"/>
      <c r="G575" s="96"/>
      <c r="J575" s="96"/>
      <c r="K575" s="96"/>
      <c r="L575" s="96"/>
    </row>
    <row r="576" spans="2:12" ht="15.75" customHeight="1" thickBot="1">
      <c r="B576" s="96"/>
      <c r="C576" s="97"/>
      <c r="D576" s="96"/>
      <c r="E576" s="96"/>
      <c r="F576" s="96"/>
      <c r="G576" s="96"/>
      <c r="J576" s="96"/>
      <c r="K576" s="96"/>
      <c r="L576" s="96"/>
    </row>
    <row r="577" spans="2:12" ht="15.75" customHeight="1" thickBot="1">
      <c r="B577" s="96"/>
      <c r="C577" s="97"/>
      <c r="D577" s="96"/>
      <c r="E577" s="96"/>
      <c r="F577" s="96"/>
      <c r="G577" s="96"/>
      <c r="J577" s="96"/>
      <c r="K577" s="96"/>
      <c r="L577" s="96"/>
    </row>
    <row r="578" spans="2:12" ht="15.75" customHeight="1" thickBot="1">
      <c r="B578" s="96"/>
      <c r="C578" s="97"/>
      <c r="D578" s="96"/>
      <c r="E578" s="96"/>
      <c r="F578" s="96"/>
      <c r="G578" s="96"/>
      <c r="J578" s="96"/>
      <c r="K578" s="96"/>
      <c r="L578" s="96"/>
    </row>
    <row r="579" spans="2:12" ht="15.75" customHeight="1" thickBot="1">
      <c r="B579" s="96"/>
      <c r="C579" s="97"/>
      <c r="D579" s="96"/>
      <c r="E579" s="96"/>
      <c r="F579" s="96"/>
      <c r="G579" s="96"/>
      <c r="J579" s="96"/>
      <c r="K579" s="96"/>
      <c r="L579" s="96"/>
    </row>
    <row r="580" spans="2:12" ht="15.75" customHeight="1" thickBot="1">
      <c r="B580" s="96"/>
      <c r="C580" s="97"/>
      <c r="D580" s="96"/>
      <c r="E580" s="96"/>
      <c r="F580" s="96"/>
      <c r="G580" s="96"/>
      <c r="J580" s="96"/>
      <c r="K580" s="96"/>
      <c r="L580" s="96"/>
    </row>
    <row r="581" spans="2:12" ht="15.75" customHeight="1" thickBot="1">
      <c r="B581" s="96"/>
      <c r="C581" s="97"/>
      <c r="D581" s="96"/>
      <c r="E581" s="96"/>
      <c r="F581" s="96"/>
      <c r="G581" s="96"/>
      <c r="J581" s="96"/>
      <c r="K581" s="96"/>
      <c r="L581" s="96"/>
    </row>
    <row r="582" spans="2:12" ht="15.75" customHeight="1" thickBot="1">
      <c r="B582" s="96"/>
      <c r="C582" s="97"/>
      <c r="D582" s="96"/>
      <c r="E582" s="96"/>
      <c r="F582" s="96"/>
      <c r="G582" s="96"/>
      <c r="J582" s="96"/>
      <c r="K582" s="96"/>
      <c r="L582" s="96"/>
    </row>
    <row r="583" spans="2:12" ht="15.75" customHeight="1" thickBot="1">
      <c r="B583" s="96"/>
      <c r="C583" s="97"/>
      <c r="D583" s="96"/>
      <c r="E583" s="96"/>
      <c r="F583" s="96"/>
      <c r="G583" s="96"/>
      <c r="J583" s="96"/>
      <c r="K583" s="96"/>
      <c r="L583" s="96"/>
    </row>
    <row r="584" spans="2:12" ht="15.75" customHeight="1" thickBot="1">
      <c r="B584" s="96"/>
      <c r="C584" s="97"/>
      <c r="D584" s="96"/>
      <c r="E584" s="96"/>
      <c r="F584" s="96"/>
      <c r="G584" s="96"/>
      <c r="J584" s="96"/>
      <c r="K584" s="96"/>
      <c r="L584" s="96"/>
    </row>
    <row r="585" spans="2:12" ht="15.75" customHeight="1" thickBot="1">
      <c r="B585" s="96"/>
      <c r="C585" s="97"/>
      <c r="D585" s="96"/>
      <c r="E585" s="96"/>
      <c r="F585" s="96"/>
      <c r="G585" s="96"/>
      <c r="J585" s="96"/>
      <c r="K585" s="96"/>
      <c r="L585" s="96"/>
    </row>
    <row r="586" spans="2:12" ht="15.75" customHeight="1" thickBot="1">
      <c r="B586" s="96"/>
      <c r="C586" s="97"/>
      <c r="D586" s="96"/>
      <c r="E586" s="96"/>
      <c r="F586" s="96"/>
      <c r="G586" s="96"/>
      <c r="J586" s="96"/>
      <c r="K586" s="96"/>
      <c r="L586" s="96"/>
    </row>
    <row r="587" spans="2:12" ht="15.75" customHeight="1" thickBot="1">
      <c r="B587" s="96"/>
      <c r="C587" s="97"/>
      <c r="D587" s="96"/>
      <c r="E587" s="96"/>
      <c r="F587" s="96"/>
      <c r="G587" s="96"/>
      <c r="J587" s="96"/>
      <c r="K587" s="96"/>
      <c r="L587" s="96"/>
    </row>
    <row r="588" spans="2:12" ht="15.75" customHeight="1" thickBot="1">
      <c r="B588" s="96"/>
      <c r="C588" s="97"/>
      <c r="D588" s="96"/>
      <c r="E588" s="96"/>
      <c r="F588" s="96"/>
      <c r="G588" s="96"/>
      <c r="J588" s="96"/>
      <c r="K588" s="96"/>
      <c r="L588" s="96"/>
    </row>
    <row r="589" spans="2:12" ht="15.75" customHeight="1" thickBot="1">
      <c r="B589" s="96"/>
      <c r="C589" s="97"/>
      <c r="D589" s="96"/>
      <c r="E589" s="96"/>
      <c r="F589" s="96"/>
      <c r="G589" s="96"/>
      <c r="J589" s="96"/>
      <c r="K589" s="96"/>
      <c r="L589" s="96"/>
    </row>
    <row r="590" spans="2:12" ht="15.75" customHeight="1" thickBot="1">
      <c r="B590" s="96"/>
      <c r="C590" s="97"/>
      <c r="D590" s="96"/>
      <c r="E590" s="96"/>
      <c r="F590" s="96"/>
      <c r="G590" s="96"/>
      <c r="J590" s="96"/>
      <c r="K590" s="96"/>
      <c r="L590" s="96"/>
    </row>
    <row r="591" spans="2:12" ht="15.75" customHeight="1" thickBot="1">
      <c r="B591" s="96"/>
      <c r="C591" s="97"/>
      <c r="D591" s="96"/>
      <c r="E591" s="96"/>
      <c r="F591" s="96"/>
      <c r="G591" s="96"/>
      <c r="J591" s="96"/>
      <c r="K591" s="96"/>
      <c r="L591" s="96"/>
    </row>
    <row r="592" spans="2:12" ht="15.75" customHeight="1" thickBot="1">
      <c r="B592" s="96"/>
      <c r="C592" s="97"/>
      <c r="D592" s="96"/>
      <c r="E592" s="96"/>
      <c r="F592" s="96"/>
      <c r="G592" s="96"/>
      <c r="J592" s="96"/>
      <c r="K592" s="96"/>
      <c r="L592" s="96"/>
    </row>
    <row r="593" spans="2:12" ht="15.75" customHeight="1" thickBot="1">
      <c r="B593" s="96"/>
      <c r="C593" s="97"/>
      <c r="D593" s="96"/>
      <c r="E593" s="96"/>
      <c r="F593" s="96"/>
      <c r="G593" s="96"/>
      <c r="J593" s="96"/>
      <c r="K593" s="96"/>
      <c r="L593" s="96"/>
    </row>
    <row r="594" spans="2:12" ht="15.75" customHeight="1" thickBot="1">
      <c r="B594" s="96"/>
      <c r="C594" s="97"/>
      <c r="D594" s="96"/>
      <c r="E594" s="96"/>
      <c r="F594" s="96"/>
      <c r="G594" s="96"/>
      <c r="J594" s="96"/>
      <c r="K594" s="96"/>
      <c r="L594" s="96"/>
    </row>
    <row r="595" spans="2:12" ht="15.75" customHeight="1" thickBot="1">
      <c r="B595" s="96"/>
      <c r="C595" s="97"/>
      <c r="D595" s="96"/>
      <c r="E595" s="96"/>
      <c r="F595" s="96"/>
      <c r="G595" s="96"/>
      <c r="J595" s="96"/>
      <c r="K595" s="96"/>
      <c r="L595" s="96"/>
    </row>
    <row r="596" spans="2:12" ht="15.75" customHeight="1" thickBot="1">
      <c r="B596" s="96"/>
      <c r="C596" s="97"/>
      <c r="D596" s="96"/>
      <c r="E596" s="96"/>
      <c r="F596" s="96"/>
      <c r="G596" s="96"/>
      <c r="J596" s="96"/>
      <c r="K596" s="96"/>
      <c r="L596" s="96"/>
    </row>
    <row r="597" spans="2:12" ht="15.75" customHeight="1" thickBot="1">
      <c r="B597" s="96"/>
      <c r="C597" s="97"/>
      <c r="D597" s="96"/>
      <c r="E597" s="96"/>
      <c r="F597" s="96"/>
      <c r="G597" s="96"/>
      <c r="J597" s="96"/>
      <c r="K597" s="96"/>
      <c r="L597" s="96"/>
    </row>
    <row r="598" spans="2:12" ht="15.75" customHeight="1" thickBot="1">
      <c r="B598" s="96"/>
      <c r="C598" s="97"/>
      <c r="D598" s="96"/>
      <c r="E598" s="96"/>
      <c r="F598" s="96"/>
      <c r="G598" s="96"/>
      <c r="J598" s="96"/>
      <c r="K598" s="96"/>
      <c r="L598" s="96"/>
    </row>
    <row r="599" spans="2:12" ht="15.75" customHeight="1" thickBot="1">
      <c r="B599" s="96"/>
      <c r="C599" s="97"/>
      <c r="D599" s="96"/>
      <c r="E599" s="96"/>
      <c r="F599" s="96"/>
      <c r="G599" s="96"/>
      <c r="J599" s="96"/>
      <c r="K599" s="96"/>
      <c r="L599" s="96"/>
    </row>
    <row r="600" spans="2:12" ht="15.75" customHeight="1" thickBot="1">
      <c r="B600" s="96"/>
      <c r="C600" s="97"/>
      <c r="D600" s="96"/>
      <c r="E600" s="96"/>
      <c r="F600" s="96"/>
      <c r="G600" s="96"/>
      <c r="J600" s="96"/>
      <c r="K600" s="96"/>
      <c r="L600" s="96"/>
    </row>
    <row r="601" spans="2:12" ht="15.75" customHeight="1" thickBot="1">
      <c r="B601" s="96"/>
      <c r="C601" s="97"/>
      <c r="D601" s="96"/>
      <c r="E601" s="96"/>
      <c r="F601" s="96"/>
      <c r="G601" s="96"/>
      <c r="J601" s="96"/>
      <c r="K601" s="96"/>
      <c r="L601" s="96"/>
    </row>
    <row r="602" spans="2:12" ht="15.75" customHeight="1" thickBot="1">
      <c r="B602" s="96"/>
      <c r="C602" s="97"/>
      <c r="D602" s="96"/>
      <c r="E602" s="96"/>
      <c r="F602" s="96"/>
      <c r="G602" s="96"/>
      <c r="J602" s="96"/>
      <c r="K602" s="96"/>
      <c r="L602" s="96"/>
    </row>
    <row r="603" spans="2:12" ht="15.75" customHeight="1" thickBot="1">
      <c r="B603" s="96"/>
      <c r="C603" s="97"/>
      <c r="D603" s="96"/>
      <c r="E603" s="96"/>
      <c r="F603" s="96"/>
      <c r="G603" s="96"/>
      <c r="J603" s="96"/>
      <c r="K603" s="96"/>
      <c r="L603" s="96"/>
    </row>
    <row r="604" spans="2:12" ht="15.75" customHeight="1" thickBot="1">
      <c r="B604" s="96"/>
      <c r="C604" s="97"/>
      <c r="D604" s="96"/>
      <c r="E604" s="96"/>
      <c r="F604" s="96"/>
      <c r="G604" s="96"/>
      <c r="J604" s="96"/>
      <c r="K604" s="96"/>
      <c r="L604" s="96"/>
    </row>
    <row r="605" spans="2:12" ht="15.75" customHeight="1" thickBot="1">
      <c r="B605" s="96"/>
      <c r="C605" s="97"/>
      <c r="D605" s="96"/>
      <c r="E605" s="96"/>
      <c r="F605" s="96"/>
      <c r="G605" s="96"/>
      <c r="J605" s="96"/>
      <c r="K605" s="96"/>
      <c r="L605" s="96"/>
    </row>
    <row r="606" spans="2:12" ht="15.75" customHeight="1" thickBot="1">
      <c r="B606" s="96"/>
      <c r="C606" s="97"/>
      <c r="D606" s="96"/>
      <c r="E606" s="96"/>
      <c r="F606" s="96"/>
      <c r="G606" s="96"/>
      <c r="J606" s="96"/>
      <c r="K606" s="96"/>
      <c r="L606" s="96"/>
    </row>
    <row r="607" spans="2:12" ht="15.75" customHeight="1" thickBot="1">
      <c r="B607" s="96"/>
      <c r="C607" s="97"/>
      <c r="D607" s="96"/>
      <c r="E607" s="96"/>
      <c r="F607" s="96"/>
      <c r="G607" s="96"/>
      <c r="J607" s="96"/>
      <c r="K607" s="96"/>
      <c r="L607" s="96"/>
    </row>
    <row r="608" spans="2:12" ht="15.75" customHeight="1" thickBot="1">
      <c r="B608" s="96"/>
      <c r="C608" s="97"/>
      <c r="D608" s="96"/>
      <c r="E608" s="96"/>
      <c r="F608" s="96"/>
      <c r="G608" s="96"/>
      <c r="J608" s="96"/>
      <c r="K608" s="96"/>
      <c r="L608" s="96"/>
    </row>
    <row r="609" spans="2:12" ht="15.75" customHeight="1" thickBot="1">
      <c r="B609" s="96"/>
      <c r="C609" s="97"/>
      <c r="D609" s="96"/>
      <c r="E609" s="96"/>
      <c r="F609" s="96"/>
      <c r="G609" s="96"/>
      <c r="J609" s="96"/>
      <c r="K609" s="96"/>
      <c r="L609" s="96"/>
    </row>
    <row r="610" spans="2:12" ht="15.75" customHeight="1" thickBot="1">
      <c r="B610" s="96"/>
      <c r="C610" s="97"/>
      <c r="D610" s="96"/>
      <c r="E610" s="96"/>
      <c r="F610" s="96"/>
      <c r="G610" s="96"/>
      <c r="J610" s="96"/>
      <c r="K610" s="96"/>
      <c r="L610" s="96"/>
    </row>
    <row r="611" spans="2:12" ht="15.75" customHeight="1" thickBot="1">
      <c r="B611" s="96"/>
      <c r="C611" s="97"/>
      <c r="D611" s="96"/>
      <c r="E611" s="96"/>
      <c r="F611" s="96"/>
      <c r="G611" s="96"/>
      <c r="J611" s="96"/>
      <c r="K611" s="96"/>
      <c r="L611" s="96"/>
    </row>
    <row r="612" spans="2:12" ht="15.75" customHeight="1" thickBot="1">
      <c r="B612" s="96"/>
      <c r="C612" s="97"/>
      <c r="D612" s="96"/>
      <c r="E612" s="96"/>
      <c r="F612" s="96"/>
      <c r="G612" s="96"/>
      <c r="J612" s="96"/>
      <c r="K612" s="96"/>
      <c r="L612" s="96"/>
    </row>
    <row r="613" spans="2:12" ht="15.75" customHeight="1" thickBot="1">
      <c r="B613" s="96"/>
      <c r="C613" s="97"/>
      <c r="D613" s="96"/>
      <c r="E613" s="96"/>
      <c r="F613" s="96"/>
      <c r="G613" s="96"/>
      <c r="J613" s="96"/>
      <c r="K613" s="96"/>
      <c r="L613" s="96"/>
    </row>
    <row r="614" spans="2:12" ht="15.75" customHeight="1" thickBot="1">
      <c r="B614" s="96"/>
      <c r="C614" s="97"/>
      <c r="D614" s="96"/>
      <c r="E614" s="96"/>
      <c r="F614" s="96"/>
      <c r="G614" s="96"/>
      <c r="J614" s="96"/>
      <c r="K614" s="96"/>
      <c r="L614" s="96"/>
    </row>
    <row r="615" spans="2:12" ht="15.75" customHeight="1" thickBot="1">
      <c r="B615" s="96"/>
      <c r="C615" s="97"/>
      <c r="D615" s="96"/>
      <c r="E615" s="96"/>
      <c r="F615" s="96"/>
      <c r="G615" s="96"/>
      <c r="J615" s="96"/>
      <c r="K615" s="96"/>
      <c r="L615" s="96"/>
    </row>
    <row r="616" spans="2:12" ht="15.75" customHeight="1" thickBot="1">
      <c r="B616" s="96"/>
      <c r="C616" s="97"/>
      <c r="D616" s="96"/>
      <c r="E616" s="96"/>
      <c r="F616" s="96"/>
      <c r="G616" s="96"/>
      <c r="J616" s="96"/>
      <c r="K616" s="96"/>
      <c r="L616" s="96"/>
    </row>
    <row r="617" spans="2:12" ht="15.75" customHeight="1" thickBot="1">
      <c r="B617" s="96"/>
      <c r="C617" s="97"/>
      <c r="D617" s="96"/>
      <c r="E617" s="96"/>
      <c r="F617" s="96"/>
      <c r="G617" s="96"/>
      <c r="J617" s="96"/>
      <c r="K617" s="96"/>
      <c r="L617" s="96"/>
    </row>
    <row r="618" spans="2:12" ht="15.75" customHeight="1" thickBot="1">
      <c r="B618" s="96"/>
      <c r="C618" s="97"/>
      <c r="D618" s="96"/>
      <c r="E618" s="96"/>
      <c r="F618" s="96"/>
      <c r="G618" s="96"/>
      <c r="J618" s="96"/>
      <c r="K618" s="96"/>
      <c r="L618" s="96"/>
    </row>
    <row r="619" spans="2:12" ht="15.75" customHeight="1" thickBot="1">
      <c r="B619" s="96"/>
      <c r="C619" s="97"/>
      <c r="D619" s="96"/>
      <c r="E619" s="96"/>
      <c r="F619" s="96"/>
      <c r="G619" s="96"/>
      <c r="J619" s="96"/>
      <c r="K619" s="96"/>
      <c r="L619" s="96"/>
    </row>
    <row r="620" spans="2:12" ht="15.75" customHeight="1" thickBot="1">
      <c r="B620" s="96"/>
      <c r="C620" s="97"/>
      <c r="D620" s="96"/>
      <c r="E620" s="96"/>
      <c r="F620" s="96"/>
      <c r="G620" s="96"/>
      <c r="J620" s="96"/>
      <c r="K620" s="96"/>
      <c r="L620" s="96"/>
    </row>
    <row r="621" spans="2:12" ht="15.75" customHeight="1" thickBot="1">
      <c r="B621" s="96"/>
      <c r="C621" s="97"/>
      <c r="D621" s="96"/>
      <c r="E621" s="96"/>
      <c r="F621" s="96"/>
      <c r="G621" s="96"/>
      <c r="J621" s="96"/>
      <c r="K621" s="96"/>
      <c r="L621" s="96"/>
    </row>
    <row r="622" spans="2:12" ht="15.75" customHeight="1" thickBot="1">
      <c r="B622" s="96"/>
      <c r="C622" s="97"/>
      <c r="D622" s="96"/>
      <c r="E622" s="96"/>
      <c r="F622" s="96"/>
      <c r="G622" s="96"/>
      <c r="J622" s="96"/>
      <c r="K622" s="96"/>
      <c r="L622" s="96"/>
    </row>
    <row r="623" spans="2:12" ht="15.75" customHeight="1" thickBot="1">
      <c r="B623" s="96"/>
      <c r="C623" s="97"/>
      <c r="D623" s="96"/>
      <c r="E623" s="96"/>
      <c r="F623" s="96"/>
      <c r="G623" s="96"/>
      <c r="J623" s="96"/>
      <c r="K623" s="96"/>
      <c r="L623" s="96"/>
    </row>
    <row r="624" spans="2:12" ht="15.75" customHeight="1" thickBot="1">
      <c r="B624" s="96"/>
      <c r="C624" s="97"/>
      <c r="D624" s="96"/>
      <c r="E624" s="96"/>
      <c r="F624" s="96"/>
      <c r="G624" s="96"/>
      <c r="J624" s="96"/>
      <c r="K624" s="96"/>
      <c r="L624" s="96"/>
    </row>
    <row r="625" spans="2:12" ht="15.75" customHeight="1" thickBot="1">
      <c r="B625" s="96"/>
      <c r="C625" s="97"/>
      <c r="D625" s="96"/>
      <c r="E625" s="96"/>
      <c r="F625" s="96"/>
      <c r="G625" s="96"/>
      <c r="J625" s="96"/>
      <c r="K625" s="96"/>
      <c r="L625" s="96"/>
    </row>
    <row r="626" spans="2:12" ht="15.75" customHeight="1" thickBot="1">
      <c r="B626" s="96"/>
      <c r="C626" s="97"/>
      <c r="D626" s="96"/>
      <c r="E626" s="96"/>
      <c r="F626" s="96"/>
      <c r="G626" s="96"/>
      <c r="J626" s="96"/>
      <c r="K626" s="96"/>
      <c r="L626" s="96"/>
    </row>
    <row r="627" spans="2:12" ht="15.75" customHeight="1" thickBot="1">
      <c r="B627" s="96"/>
      <c r="C627" s="97"/>
      <c r="D627" s="96"/>
      <c r="E627" s="96"/>
      <c r="F627" s="96"/>
      <c r="G627" s="96"/>
      <c r="J627" s="96"/>
      <c r="K627" s="96"/>
      <c r="L627" s="96"/>
    </row>
    <row r="628" spans="2:12" ht="15.75" customHeight="1" thickBot="1">
      <c r="B628" s="96"/>
      <c r="C628" s="97"/>
      <c r="D628" s="96"/>
      <c r="E628" s="96"/>
      <c r="F628" s="96"/>
      <c r="G628" s="96"/>
      <c r="J628" s="96"/>
      <c r="K628" s="96"/>
      <c r="L628" s="96"/>
    </row>
    <row r="629" spans="2:12" ht="15.75" customHeight="1" thickBot="1">
      <c r="B629" s="96"/>
      <c r="C629" s="97"/>
      <c r="D629" s="96"/>
      <c r="E629" s="96"/>
      <c r="F629" s="96"/>
      <c r="G629" s="96"/>
      <c r="J629" s="96"/>
      <c r="K629" s="96"/>
      <c r="L629" s="96"/>
    </row>
    <row r="630" spans="2:12" ht="15.75" customHeight="1" thickBot="1">
      <c r="B630" s="96"/>
      <c r="C630" s="97"/>
      <c r="D630" s="96"/>
      <c r="E630" s="96"/>
      <c r="F630" s="96"/>
      <c r="G630" s="96"/>
      <c r="J630" s="96"/>
      <c r="K630" s="96"/>
      <c r="L630" s="96"/>
    </row>
    <row r="631" spans="2:12" ht="15.75" customHeight="1" thickBot="1">
      <c r="B631" s="96"/>
      <c r="C631" s="97"/>
      <c r="D631" s="96"/>
      <c r="E631" s="96"/>
      <c r="F631" s="96"/>
      <c r="G631" s="96"/>
      <c r="J631" s="96"/>
      <c r="K631" s="96"/>
      <c r="L631" s="96"/>
    </row>
    <row r="632" spans="2:12" ht="15.75" customHeight="1" thickBot="1">
      <c r="B632" s="96"/>
      <c r="C632" s="97"/>
      <c r="D632" s="96"/>
      <c r="E632" s="96"/>
      <c r="F632" s="96"/>
      <c r="G632" s="96"/>
      <c r="J632" s="96"/>
      <c r="K632" s="96"/>
      <c r="L632" s="96"/>
    </row>
    <row r="633" spans="2:12" ht="15.75" customHeight="1" thickBot="1">
      <c r="B633" s="96"/>
      <c r="C633" s="97"/>
      <c r="D633" s="96"/>
      <c r="E633" s="96"/>
      <c r="F633" s="96"/>
      <c r="G633" s="96"/>
      <c r="J633" s="96"/>
      <c r="K633" s="96"/>
      <c r="L633" s="96"/>
    </row>
    <row r="634" spans="2:12" ht="15.75" customHeight="1" thickBot="1">
      <c r="B634" s="96"/>
      <c r="C634" s="97"/>
      <c r="D634" s="96"/>
      <c r="E634" s="96"/>
      <c r="F634" s="96"/>
      <c r="G634" s="96"/>
      <c r="J634" s="96"/>
      <c r="K634" s="96"/>
      <c r="L634" s="96"/>
    </row>
    <row r="635" spans="2:12" ht="15.75" customHeight="1" thickBot="1">
      <c r="B635" s="96"/>
      <c r="C635" s="97"/>
      <c r="D635" s="96"/>
      <c r="E635" s="96"/>
      <c r="F635" s="96"/>
      <c r="G635" s="96"/>
      <c r="J635" s="96"/>
      <c r="K635" s="96"/>
      <c r="L635" s="96"/>
    </row>
    <row r="636" spans="2:12" ht="15.75" customHeight="1" thickBot="1">
      <c r="B636" s="96"/>
      <c r="C636" s="97"/>
      <c r="D636" s="96"/>
      <c r="E636" s="96"/>
      <c r="F636" s="96"/>
      <c r="G636" s="96"/>
      <c r="J636" s="96"/>
      <c r="K636" s="96"/>
      <c r="L636" s="96"/>
    </row>
    <row r="637" spans="2:12" ht="15.75" customHeight="1" thickBot="1">
      <c r="B637" s="96"/>
      <c r="C637" s="97"/>
      <c r="D637" s="96"/>
      <c r="E637" s="96"/>
      <c r="F637" s="96"/>
      <c r="G637" s="96"/>
      <c r="J637" s="96"/>
      <c r="K637" s="96"/>
      <c r="L637" s="96"/>
    </row>
    <row r="638" spans="2:12" ht="15.75" customHeight="1" thickBot="1">
      <c r="B638" s="96"/>
      <c r="C638" s="97"/>
      <c r="D638" s="96"/>
      <c r="E638" s="96"/>
      <c r="F638" s="96"/>
      <c r="G638" s="96"/>
      <c r="J638" s="96"/>
      <c r="K638" s="96"/>
      <c r="L638" s="96"/>
    </row>
    <row r="639" spans="2:12" ht="15.75" customHeight="1" thickBot="1">
      <c r="B639" s="96"/>
      <c r="C639" s="97"/>
      <c r="D639" s="96"/>
      <c r="E639" s="96"/>
      <c r="F639" s="96"/>
      <c r="G639" s="96"/>
      <c r="J639" s="96"/>
      <c r="K639" s="96"/>
      <c r="L639" s="96"/>
    </row>
    <row r="640" spans="2:12" ht="15.75" customHeight="1" thickBot="1">
      <c r="B640" s="96"/>
      <c r="C640" s="97"/>
      <c r="D640" s="96"/>
      <c r="E640" s="96"/>
      <c r="F640" s="96"/>
      <c r="G640" s="96"/>
      <c r="J640" s="96"/>
      <c r="K640" s="96"/>
      <c r="L640" s="96"/>
    </row>
    <row r="641" spans="2:12" ht="15.75" customHeight="1" thickBot="1">
      <c r="B641" s="96"/>
      <c r="C641" s="97"/>
      <c r="D641" s="96"/>
      <c r="E641" s="96"/>
      <c r="F641" s="96"/>
      <c r="G641" s="96"/>
      <c r="J641" s="96"/>
      <c r="K641" s="96"/>
      <c r="L641" s="96"/>
    </row>
    <row r="642" spans="2:12" ht="15.75" customHeight="1" thickBot="1">
      <c r="B642" s="96"/>
      <c r="C642" s="97"/>
      <c r="D642" s="96"/>
      <c r="E642" s="96"/>
      <c r="F642" s="96"/>
      <c r="G642" s="96"/>
      <c r="J642" s="96"/>
      <c r="K642" s="96"/>
      <c r="L642" s="96"/>
    </row>
    <row r="643" spans="2:12" ht="15.75" customHeight="1" thickBot="1">
      <c r="B643" s="96"/>
      <c r="C643" s="97"/>
      <c r="D643" s="96"/>
      <c r="E643" s="96"/>
      <c r="F643" s="96"/>
      <c r="G643" s="96"/>
      <c r="J643" s="96"/>
      <c r="K643" s="96"/>
      <c r="L643" s="96"/>
    </row>
    <row r="644" spans="2:12" ht="15.75" customHeight="1" thickBot="1">
      <c r="B644" s="96"/>
      <c r="C644" s="97"/>
      <c r="D644" s="96"/>
      <c r="E644" s="96"/>
      <c r="F644" s="96"/>
      <c r="G644" s="96"/>
      <c r="J644" s="96"/>
      <c r="K644" s="96"/>
      <c r="L644" s="96"/>
    </row>
    <row r="645" spans="2:12" ht="15.75" customHeight="1" thickBot="1">
      <c r="B645" s="96"/>
      <c r="C645" s="97"/>
      <c r="D645" s="96"/>
      <c r="E645" s="96"/>
      <c r="F645" s="96"/>
      <c r="G645" s="96"/>
      <c r="J645" s="96"/>
      <c r="K645" s="96"/>
      <c r="L645" s="96"/>
    </row>
    <row r="646" spans="2:12" ht="15.75" customHeight="1" thickBot="1">
      <c r="B646" s="96"/>
      <c r="C646" s="97"/>
      <c r="D646" s="96"/>
      <c r="E646" s="96"/>
      <c r="F646" s="96"/>
      <c r="G646" s="96"/>
      <c r="J646" s="96"/>
      <c r="K646" s="96"/>
      <c r="L646" s="96"/>
    </row>
    <row r="647" spans="2:12" ht="15.75" customHeight="1" thickBot="1">
      <c r="B647" s="96"/>
      <c r="C647" s="97"/>
      <c r="D647" s="96"/>
      <c r="E647" s="96"/>
      <c r="F647" s="96"/>
      <c r="G647" s="96"/>
      <c r="J647" s="96"/>
      <c r="K647" s="96"/>
      <c r="L647" s="96"/>
    </row>
    <row r="648" spans="2:12" ht="15.75" customHeight="1" thickBot="1">
      <c r="B648" s="96"/>
      <c r="C648" s="97"/>
      <c r="D648" s="96"/>
      <c r="E648" s="96"/>
      <c r="F648" s="96"/>
      <c r="G648" s="96"/>
      <c r="J648" s="96"/>
      <c r="K648" s="96"/>
      <c r="L648" s="96"/>
    </row>
    <row r="649" spans="2:12" ht="15.75" customHeight="1" thickBot="1">
      <c r="B649" s="96"/>
      <c r="C649" s="97"/>
      <c r="D649" s="96"/>
      <c r="E649" s="96"/>
      <c r="F649" s="96"/>
      <c r="G649" s="96"/>
      <c r="J649" s="96"/>
      <c r="K649" s="96"/>
      <c r="L649" s="96"/>
    </row>
    <row r="650" spans="2:12" ht="15.75" customHeight="1" thickBot="1">
      <c r="B650" s="96"/>
      <c r="C650" s="97"/>
      <c r="D650" s="96"/>
      <c r="E650" s="96"/>
      <c r="F650" s="96"/>
      <c r="G650" s="96"/>
      <c r="J650" s="96"/>
      <c r="K650" s="96"/>
      <c r="L650" s="96"/>
    </row>
    <row r="651" spans="2:12" ht="15.75" customHeight="1" thickBot="1">
      <c r="B651" s="96"/>
      <c r="C651" s="97"/>
      <c r="D651" s="96"/>
      <c r="E651" s="96"/>
      <c r="F651" s="96"/>
      <c r="G651" s="96"/>
      <c r="J651" s="96"/>
      <c r="K651" s="96"/>
      <c r="L651" s="96"/>
    </row>
    <row r="652" spans="2:12" ht="15.75" customHeight="1" thickBot="1">
      <c r="B652" s="96"/>
      <c r="C652" s="97"/>
      <c r="D652" s="96"/>
      <c r="E652" s="96"/>
      <c r="F652" s="96"/>
      <c r="G652" s="96"/>
      <c r="J652" s="96"/>
      <c r="K652" s="96"/>
      <c r="L652" s="96"/>
    </row>
    <row r="653" spans="2:12" ht="15.75" customHeight="1" thickBot="1">
      <c r="B653" s="96"/>
      <c r="C653" s="97"/>
      <c r="D653" s="96"/>
      <c r="E653" s="96"/>
      <c r="F653" s="96"/>
      <c r="G653" s="96"/>
      <c r="J653" s="96"/>
      <c r="K653" s="96"/>
      <c r="L653" s="96"/>
    </row>
    <row r="654" spans="2:12" ht="15.75" customHeight="1" thickBot="1">
      <c r="B654" s="96"/>
      <c r="C654" s="97"/>
      <c r="D654" s="96"/>
      <c r="E654" s="96"/>
      <c r="F654" s="96"/>
      <c r="G654" s="96"/>
      <c r="J654" s="96"/>
      <c r="K654" s="96"/>
      <c r="L654" s="96"/>
    </row>
    <row r="655" spans="2:12" ht="15.75" customHeight="1" thickBot="1">
      <c r="B655" s="96"/>
      <c r="C655" s="97"/>
      <c r="D655" s="96"/>
      <c r="E655" s="96"/>
      <c r="F655" s="96"/>
      <c r="G655" s="96"/>
      <c r="J655" s="96"/>
      <c r="K655" s="96"/>
      <c r="L655" s="96"/>
    </row>
    <row r="656" spans="2:12" ht="15.75" customHeight="1" thickBot="1">
      <c r="B656" s="96"/>
      <c r="C656" s="97"/>
      <c r="D656" s="96"/>
      <c r="E656" s="96"/>
      <c r="F656" s="96"/>
      <c r="G656" s="96"/>
      <c r="J656" s="96"/>
      <c r="K656" s="96"/>
      <c r="L656" s="96"/>
    </row>
    <row r="657" spans="2:12" ht="15.75" customHeight="1" thickBot="1">
      <c r="B657" s="96"/>
      <c r="C657" s="97"/>
      <c r="D657" s="96"/>
      <c r="E657" s="96"/>
      <c r="F657" s="96"/>
      <c r="G657" s="96"/>
      <c r="J657" s="96"/>
      <c r="K657" s="96"/>
      <c r="L657" s="96"/>
    </row>
    <row r="658" spans="2:12" ht="15.75" customHeight="1" thickBot="1">
      <c r="B658" s="96"/>
      <c r="C658" s="97"/>
      <c r="D658" s="96"/>
      <c r="E658" s="96"/>
      <c r="F658" s="96"/>
      <c r="G658" s="96"/>
      <c r="J658" s="96"/>
      <c r="K658" s="96"/>
      <c r="L658" s="96"/>
    </row>
    <row r="659" spans="2:12" ht="15.75" customHeight="1" thickBot="1">
      <c r="B659" s="96"/>
      <c r="C659" s="97"/>
      <c r="D659" s="96"/>
      <c r="E659" s="96"/>
      <c r="F659" s="96"/>
      <c r="G659" s="96"/>
      <c r="J659" s="96"/>
      <c r="K659" s="96"/>
      <c r="L659" s="96"/>
    </row>
    <row r="660" spans="2:12" ht="15.75" customHeight="1" thickBot="1">
      <c r="B660" s="96"/>
      <c r="C660" s="97"/>
      <c r="D660" s="96"/>
      <c r="E660" s="96"/>
      <c r="F660" s="96"/>
      <c r="G660" s="96"/>
      <c r="J660" s="96"/>
      <c r="K660" s="96"/>
      <c r="L660" s="96"/>
    </row>
    <row r="661" spans="2:12" ht="15.75" customHeight="1" thickBot="1">
      <c r="B661" s="96"/>
      <c r="C661" s="97"/>
      <c r="D661" s="96"/>
      <c r="E661" s="96"/>
      <c r="F661" s="96"/>
      <c r="G661" s="96"/>
      <c r="J661" s="96"/>
      <c r="K661" s="96"/>
      <c r="L661" s="96"/>
    </row>
    <row r="662" spans="2:12" ht="15.75" customHeight="1" thickBot="1">
      <c r="B662" s="96"/>
      <c r="C662" s="97"/>
      <c r="D662" s="96"/>
      <c r="E662" s="96"/>
      <c r="F662" s="96"/>
      <c r="G662" s="96"/>
      <c r="J662" s="96"/>
      <c r="K662" s="96"/>
      <c r="L662" s="96"/>
    </row>
    <row r="663" spans="2:12" ht="15.75" customHeight="1" thickBot="1">
      <c r="B663" s="96"/>
      <c r="C663" s="97"/>
      <c r="D663" s="96"/>
      <c r="E663" s="96"/>
      <c r="F663" s="96"/>
      <c r="G663" s="96"/>
      <c r="J663" s="96"/>
      <c r="K663" s="96"/>
      <c r="L663" s="96"/>
    </row>
    <row r="664" spans="2:12" ht="15.75" customHeight="1" thickBot="1">
      <c r="B664" s="96"/>
      <c r="C664" s="97"/>
      <c r="D664" s="96"/>
      <c r="E664" s="96"/>
      <c r="F664" s="96"/>
      <c r="G664" s="96"/>
      <c r="J664" s="96"/>
      <c r="K664" s="96"/>
      <c r="L664" s="96"/>
    </row>
    <row r="665" spans="2:12" ht="15.75" customHeight="1" thickBot="1">
      <c r="B665" s="96"/>
      <c r="C665" s="97"/>
      <c r="D665" s="96"/>
      <c r="E665" s="96"/>
      <c r="F665" s="96"/>
      <c r="G665" s="96"/>
      <c r="J665" s="96"/>
      <c r="K665" s="96"/>
      <c r="L665" s="96"/>
    </row>
    <row r="666" spans="2:12" ht="15.75" customHeight="1" thickBot="1">
      <c r="B666" s="96"/>
      <c r="C666" s="97"/>
      <c r="D666" s="96"/>
      <c r="E666" s="96"/>
      <c r="F666" s="96"/>
      <c r="G666" s="96"/>
      <c r="J666" s="96"/>
      <c r="K666" s="96"/>
      <c r="L666" s="96"/>
    </row>
    <row r="667" spans="2:12" ht="15.75" customHeight="1" thickBot="1">
      <c r="B667" s="96"/>
      <c r="C667" s="97"/>
      <c r="D667" s="96"/>
      <c r="E667" s="96"/>
      <c r="F667" s="96"/>
      <c r="G667" s="96"/>
      <c r="J667" s="96"/>
      <c r="K667" s="96"/>
      <c r="L667" s="96"/>
    </row>
    <row r="668" spans="2:12" ht="15.75" customHeight="1" thickBot="1">
      <c r="B668" s="96"/>
      <c r="C668" s="97"/>
      <c r="D668" s="96"/>
      <c r="E668" s="96"/>
      <c r="F668" s="96"/>
      <c r="G668" s="96"/>
      <c r="J668" s="96"/>
      <c r="K668" s="96"/>
      <c r="L668" s="96"/>
    </row>
    <row r="669" spans="2:12" ht="15.75" customHeight="1" thickBot="1">
      <c r="B669" s="96"/>
      <c r="C669" s="97"/>
      <c r="D669" s="96"/>
      <c r="E669" s="96"/>
      <c r="F669" s="96"/>
      <c r="G669" s="96"/>
      <c r="J669" s="96"/>
      <c r="K669" s="96"/>
      <c r="L669" s="96"/>
    </row>
    <row r="670" spans="2:12" ht="15.75" customHeight="1" thickBot="1">
      <c r="B670" s="96"/>
      <c r="C670" s="97"/>
      <c r="D670" s="96"/>
      <c r="E670" s="96"/>
      <c r="F670" s="96"/>
      <c r="G670" s="96"/>
      <c r="J670" s="96"/>
      <c r="K670" s="96"/>
      <c r="L670" s="96"/>
    </row>
    <row r="671" spans="2:12" ht="15.75" customHeight="1" thickBot="1">
      <c r="B671" s="96"/>
      <c r="C671" s="97"/>
      <c r="D671" s="96"/>
      <c r="E671" s="96"/>
      <c r="F671" s="96"/>
      <c r="G671" s="96"/>
      <c r="J671" s="96"/>
      <c r="K671" s="96"/>
      <c r="L671" s="96"/>
    </row>
    <row r="672" spans="2:12" ht="15.75" customHeight="1" thickBot="1">
      <c r="B672" s="96"/>
      <c r="C672" s="97"/>
      <c r="D672" s="96"/>
      <c r="E672" s="96"/>
      <c r="F672" s="96"/>
      <c r="G672" s="96"/>
      <c r="J672" s="96"/>
      <c r="K672" s="96"/>
      <c r="L672" s="96"/>
    </row>
    <row r="673" spans="2:12" ht="15.75" customHeight="1" thickBot="1">
      <c r="B673" s="96"/>
      <c r="C673" s="97"/>
      <c r="D673" s="96"/>
      <c r="E673" s="96"/>
      <c r="F673" s="96"/>
      <c r="G673" s="96"/>
      <c r="J673" s="96"/>
      <c r="K673" s="96"/>
      <c r="L673" s="96"/>
    </row>
    <row r="674" spans="2:12" ht="15.75" customHeight="1" thickBot="1">
      <c r="B674" s="96"/>
      <c r="C674" s="97"/>
      <c r="D674" s="96"/>
      <c r="E674" s="96"/>
      <c r="F674" s="96"/>
      <c r="G674" s="96"/>
      <c r="J674" s="96"/>
      <c r="K674" s="96"/>
      <c r="L674" s="96"/>
    </row>
    <row r="675" spans="2:12" ht="15.75" customHeight="1" thickBot="1">
      <c r="B675" s="96"/>
      <c r="C675" s="97"/>
      <c r="D675" s="96"/>
      <c r="E675" s="96"/>
      <c r="F675" s="96"/>
      <c r="G675" s="96"/>
      <c r="J675" s="96"/>
      <c r="K675" s="96"/>
      <c r="L675" s="96"/>
    </row>
    <row r="676" spans="2:12" ht="15.75" customHeight="1" thickBot="1">
      <c r="B676" s="96"/>
      <c r="C676" s="97"/>
      <c r="D676" s="96"/>
      <c r="E676" s="96"/>
      <c r="F676" s="96"/>
      <c r="G676" s="96"/>
      <c r="J676" s="96"/>
      <c r="K676" s="96"/>
      <c r="L676" s="96"/>
    </row>
    <row r="677" spans="2:12" ht="15.75" customHeight="1" thickBot="1">
      <c r="B677" s="96"/>
      <c r="C677" s="97"/>
      <c r="D677" s="96"/>
      <c r="E677" s="96"/>
      <c r="F677" s="96"/>
      <c r="G677" s="96"/>
      <c r="J677" s="96"/>
      <c r="K677" s="96"/>
      <c r="L677" s="96"/>
    </row>
    <row r="678" spans="2:12" ht="15.75" customHeight="1" thickBot="1">
      <c r="B678" s="96"/>
      <c r="C678" s="97"/>
      <c r="D678" s="96"/>
      <c r="E678" s="96"/>
      <c r="F678" s="96"/>
      <c r="G678" s="96"/>
      <c r="J678" s="96"/>
      <c r="K678" s="96"/>
      <c r="L678" s="96"/>
    </row>
    <row r="679" spans="2:12" ht="15.75" customHeight="1" thickBot="1">
      <c r="B679" s="96"/>
      <c r="C679" s="97"/>
      <c r="D679" s="96"/>
      <c r="E679" s="96"/>
      <c r="F679" s="96"/>
      <c r="G679" s="96"/>
      <c r="J679" s="96"/>
      <c r="K679" s="96"/>
      <c r="L679" s="96"/>
    </row>
    <row r="680" spans="2:12" ht="15.75" customHeight="1" thickBot="1">
      <c r="B680" s="96"/>
      <c r="C680" s="97"/>
      <c r="D680" s="96"/>
      <c r="E680" s="96"/>
      <c r="F680" s="96"/>
      <c r="G680" s="96"/>
      <c r="J680" s="96"/>
      <c r="K680" s="96"/>
      <c r="L680" s="96"/>
    </row>
    <row r="681" spans="2:12" ht="15.75" customHeight="1" thickBot="1">
      <c r="B681" s="96"/>
      <c r="C681" s="97"/>
      <c r="D681" s="96"/>
      <c r="E681" s="96"/>
      <c r="F681" s="96"/>
      <c r="G681" s="96"/>
      <c r="J681" s="96"/>
      <c r="K681" s="96"/>
      <c r="L681" s="96"/>
    </row>
    <row r="682" spans="2:12" ht="15.75" customHeight="1" thickBot="1">
      <c r="B682" s="96"/>
      <c r="C682" s="97"/>
      <c r="D682" s="96"/>
      <c r="E682" s="96"/>
      <c r="F682" s="96"/>
      <c r="G682" s="96"/>
      <c r="J682" s="96"/>
      <c r="K682" s="96"/>
      <c r="L682" s="96"/>
    </row>
    <row r="683" spans="2:12" ht="15.75" customHeight="1" thickBot="1">
      <c r="B683" s="96"/>
      <c r="C683" s="97"/>
      <c r="D683" s="96"/>
      <c r="E683" s="96"/>
      <c r="F683" s="96"/>
      <c r="G683" s="96"/>
      <c r="J683" s="96"/>
      <c r="K683" s="96"/>
      <c r="L683" s="96"/>
    </row>
    <row r="684" spans="2:12" ht="15.75" customHeight="1" thickBot="1">
      <c r="B684" s="96"/>
      <c r="C684" s="97"/>
      <c r="D684" s="96"/>
      <c r="E684" s="96"/>
      <c r="F684" s="96"/>
      <c r="G684" s="96"/>
      <c r="J684" s="96"/>
      <c r="K684" s="96"/>
      <c r="L684" s="96"/>
    </row>
    <row r="685" spans="2:12" ht="15.75" customHeight="1" thickBot="1">
      <c r="B685" s="96"/>
      <c r="C685" s="97"/>
      <c r="D685" s="96"/>
      <c r="E685" s="96"/>
      <c r="F685" s="96"/>
      <c r="G685" s="96"/>
      <c r="J685" s="96"/>
      <c r="K685" s="96"/>
      <c r="L685" s="96"/>
    </row>
    <row r="686" spans="2:12" ht="15.75" customHeight="1" thickBot="1">
      <c r="B686" s="96"/>
      <c r="C686" s="97"/>
      <c r="D686" s="96"/>
      <c r="E686" s="96"/>
      <c r="F686" s="96"/>
      <c r="G686" s="96"/>
      <c r="J686" s="96"/>
      <c r="K686" s="96"/>
      <c r="L686" s="96"/>
    </row>
    <row r="687" spans="2:12" ht="15.75" customHeight="1" thickBot="1">
      <c r="B687" s="96"/>
      <c r="C687" s="97"/>
      <c r="D687" s="96"/>
      <c r="E687" s="96"/>
      <c r="F687" s="96"/>
      <c r="G687" s="96"/>
      <c r="J687" s="96"/>
      <c r="K687" s="96"/>
      <c r="L687" s="96"/>
    </row>
    <row r="688" spans="2:12" ht="15.75" customHeight="1" thickBot="1">
      <c r="B688" s="96"/>
      <c r="C688" s="97"/>
      <c r="D688" s="96"/>
      <c r="E688" s="96"/>
      <c r="F688" s="96"/>
      <c r="G688" s="96"/>
      <c r="J688" s="96"/>
      <c r="K688" s="96"/>
      <c r="L688" s="96"/>
    </row>
    <row r="689" spans="2:12" ht="15.75" customHeight="1" thickBot="1">
      <c r="B689" s="96"/>
      <c r="C689" s="97"/>
      <c r="D689" s="96"/>
      <c r="E689" s="96"/>
      <c r="F689" s="96"/>
      <c r="G689" s="96"/>
      <c r="J689" s="96"/>
      <c r="K689" s="96"/>
      <c r="L689" s="96"/>
    </row>
    <row r="690" spans="2:12" ht="15.75" customHeight="1" thickBot="1">
      <c r="B690" s="96"/>
      <c r="C690" s="97"/>
      <c r="D690" s="96"/>
      <c r="E690" s="96"/>
      <c r="F690" s="96"/>
      <c r="G690" s="96"/>
      <c r="J690" s="96"/>
      <c r="K690" s="96"/>
      <c r="L690" s="96"/>
    </row>
    <row r="691" spans="2:12" ht="15.75" customHeight="1" thickBot="1">
      <c r="B691" s="96"/>
      <c r="C691" s="97"/>
      <c r="D691" s="96"/>
      <c r="E691" s="96"/>
      <c r="F691" s="96"/>
      <c r="G691" s="96"/>
      <c r="J691" s="96"/>
      <c r="K691" s="96"/>
      <c r="L691" s="96"/>
    </row>
    <row r="692" spans="2:12" ht="15.75" customHeight="1" thickBot="1">
      <c r="B692" s="96"/>
      <c r="C692" s="97"/>
      <c r="D692" s="96"/>
      <c r="E692" s="96"/>
      <c r="F692" s="96"/>
      <c r="G692" s="96"/>
      <c r="J692" s="96"/>
      <c r="K692" s="96"/>
      <c r="L692" s="96"/>
    </row>
    <row r="693" spans="2:12" ht="15.75" customHeight="1" thickBot="1">
      <c r="B693" s="96"/>
      <c r="C693" s="97"/>
      <c r="D693" s="96"/>
      <c r="E693" s="96"/>
      <c r="F693" s="96"/>
      <c r="G693" s="96"/>
      <c r="J693" s="96"/>
      <c r="K693" s="96"/>
      <c r="L693" s="96"/>
    </row>
    <row r="694" spans="2:12" ht="15.75" customHeight="1" thickBot="1">
      <c r="B694" s="96"/>
      <c r="C694" s="97"/>
      <c r="D694" s="96"/>
      <c r="E694" s="96"/>
      <c r="F694" s="96"/>
      <c r="G694" s="96"/>
      <c r="J694" s="96"/>
      <c r="K694" s="96"/>
      <c r="L694" s="96"/>
    </row>
    <row r="695" spans="2:12" ht="15.75" customHeight="1" thickBot="1">
      <c r="B695" s="96"/>
      <c r="C695" s="97"/>
      <c r="D695" s="96"/>
      <c r="E695" s="96"/>
      <c r="F695" s="96"/>
      <c r="G695" s="96"/>
      <c r="J695" s="96"/>
      <c r="K695" s="96"/>
      <c r="L695" s="96"/>
    </row>
    <row r="696" spans="2:12" ht="15.75" customHeight="1" thickBot="1">
      <c r="B696" s="96"/>
      <c r="C696" s="97"/>
      <c r="D696" s="96"/>
      <c r="E696" s="96"/>
      <c r="F696" s="96"/>
      <c r="G696" s="96"/>
      <c r="J696" s="96"/>
      <c r="K696" s="96"/>
      <c r="L696" s="96"/>
    </row>
    <row r="697" spans="2:12" ht="15.75" customHeight="1" thickBot="1">
      <c r="B697" s="96"/>
      <c r="C697" s="97"/>
      <c r="D697" s="96"/>
      <c r="E697" s="96"/>
      <c r="F697" s="96"/>
      <c r="G697" s="96"/>
      <c r="J697" s="96"/>
      <c r="K697" s="96"/>
      <c r="L697" s="96"/>
    </row>
    <row r="698" spans="2:12" ht="15.75" customHeight="1" thickBot="1">
      <c r="B698" s="96"/>
      <c r="C698" s="97"/>
      <c r="D698" s="96"/>
      <c r="E698" s="96"/>
      <c r="F698" s="96"/>
      <c r="G698" s="96"/>
      <c r="J698" s="96"/>
      <c r="K698" s="96"/>
      <c r="L698" s="96"/>
    </row>
    <row r="699" spans="2:12" ht="15.75" customHeight="1" thickBot="1">
      <c r="B699" s="96"/>
      <c r="C699" s="97"/>
      <c r="D699" s="96"/>
      <c r="E699" s="96"/>
      <c r="F699" s="96"/>
      <c r="G699" s="96"/>
      <c r="J699" s="96"/>
      <c r="K699" s="96"/>
      <c r="L699" s="96"/>
    </row>
    <row r="700" spans="2:12" ht="15.75" customHeight="1" thickBot="1">
      <c r="B700" s="96"/>
      <c r="C700" s="97"/>
      <c r="D700" s="96"/>
      <c r="E700" s="96"/>
      <c r="F700" s="96"/>
      <c r="G700" s="96"/>
      <c r="J700" s="96"/>
      <c r="K700" s="96"/>
      <c r="L700" s="96"/>
    </row>
    <row r="701" spans="2:12" ht="15.75" customHeight="1" thickBot="1">
      <c r="B701" s="96"/>
      <c r="C701" s="97"/>
      <c r="D701" s="96"/>
      <c r="E701" s="96"/>
      <c r="F701" s="96"/>
      <c r="G701" s="96"/>
      <c r="J701" s="96"/>
      <c r="K701" s="96"/>
      <c r="L701" s="96"/>
    </row>
    <row r="702" spans="2:12" ht="15.75" customHeight="1" thickBot="1">
      <c r="B702" s="96"/>
      <c r="C702" s="97"/>
      <c r="D702" s="96"/>
      <c r="E702" s="96"/>
      <c r="F702" s="96"/>
      <c r="G702" s="96"/>
      <c r="J702" s="96"/>
      <c r="K702" s="96"/>
      <c r="L702" s="96"/>
    </row>
    <row r="703" spans="2:12" ht="15.75" customHeight="1" thickBot="1">
      <c r="B703" s="96"/>
      <c r="C703" s="97"/>
      <c r="D703" s="96"/>
      <c r="E703" s="96"/>
      <c r="F703" s="96"/>
      <c r="G703" s="96"/>
      <c r="J703" s="96"/>
      <c r="K703" s="96"/>
      <c r="L703" s="96"/>
    </row>
    <row r="704" spans="2:12" ht="15.75" customHeight="1" thickBot="1">
      <c r="B704" s="96"/>
      <c r="C704" s="97"/>
      <c r="D704" s="96"/>
      <c r="E704" s="96"/>
      <c r="F704" s="96"/>
      <c r="G704" s="96"/>
      <c r="J704" s="96"/>
      <c r="K704" s="96"/>
      <c r="L704" s="96"/>
    </row>
    <row r="705" spans="2:12" ht="15.75" customHeight="1" thickBot="1">
      <c r="B705" s="96"/>
      <c r="C705" s="97"/>
      <c r="D705" s="96"/>
      <c r="E705" s="96"/>
      <c r="F705" s="96"/>
      <c r="G705" s="96"/>
      <c r="J705" s="96"/>
      <c r="K705" s="96"/>
      <c r="L705" s="96"/>
    </row>
    <row r="706" spans="2:12" ht="15.75" customHeight="1" thickBot="1">
      <c r="B706" s="96"/>
      <c r="C706" s="97"/>
      <c r="D706" s="96"/>
      <c r="E706" s="96"/>
      <c r="F706" s="96"/>
      <c r="G706" s="96"/>
      <c r="J706" s="96"/>
      <c r="K706" s="96"/>
      <c r="L706" s="96"/>
    </row>
    <row r="707" spans="2:12" ht="15.75" customHeight="1" thickBot="1">
      <c r="B707" s="96"/>
      <c r="C707" s="97"/>
      <c r="D707" s="96"/>
      <c r="E707" s="96"/>
      <c r="F707" s="96"/>
      <c r="G707" s="96"/>
      <c r="J707" s="96"/>
      <c r="K707" s="96"/>
      <c r="L707" s="96"/>
    </row>
    <row r="708" spans="2:12" ht="15.75" customHeight="1" thickBot="1">
      <c r="B708" s="96"/>
      <c r="C708" s="97"/>
      <c r="D708" s="96"/>
      <c r="E708" s="96"/>
      <c r="F708" s="96"/>
      <c r="G708" s="96"/>
      <c r="J708" s="96"/>
      <c r="K708" s="96"/>
      <c r="L708" s="96"/>
    </row>
    <row r="709" spans="2:12" ht="15.75" customHeight="1" thickBot="1">
      <c r="B709" s="96"/>
      <c r="C709" s="97"/>
      <c r="D709" s="96"/>
      <c r="E709" s="96"/>
      <c r="F709" s="96"/>
      <c r="G709" s="96"/>
      <c r="J709" s="96"/>
      <c r="K709" s="96"/>
      <c r="L709" s="96"/>
    </row>
    <row r="710" spans="2:12" ht="15.75" customHeight="1" thickBot="1">
      <c r="B710" s="96"/>
      <c r="C710" s="97"/>
      <c r="D710" s="96"/>
      <c r="E710" s="96"/>
      <c r="F710" s="96"/>
      <c r="G710" s="96"/>
      <c r="J710" s="96"/>
      <c r="K710" s="96"/>
      <c r="L710" s="96"/>
    </row>
    <row r="711" spans="2:12" ht="15.75" customHeight="1" thickBot="1">
      <c r="B711" s="96"/>
      <c r="C711" s="97"/>
      <c r="D711" s="96"/>
      <c r="E711" s="96"/>
      <c r="F711" s="96"/>
      <c r="G711" s="96"/>
      <c r="J711" s="96"/>
      <c r="K711" s="96"/>
      <c r="L711" s="96"/>
    </row>
    <row r="712" spans="2:12" ht="15.75" customHeight="1" thickBot="1">
      <c r="B712" s="96"/>
      <c r="C712" s="97"/>
      <c r="D712" s="96"/>
      <c r="E712" s="96"/>
      <c r="F712" s="96"/>
      <c r="G712" s="96"/>
      <c r="J712" s="96"/>
      <c r="K712" s="96"/>
      <c r="L712" s="96"/>
    </row>
    <row r="713" spans="2:12" ht="15.75" customHeight="1" thickBot="1">
      <c r="B713" s="96"/>
      <c r="C713" s="97"/>
      <c r="D713" s="96"/>
      <c r="E713" s="96"/>
      <c r="F713" s="96"/>
      <c r="G713" s="96"/>
      <c r="J713" s="96"/>
      <c r="K713" s="96"/>
      <c r="L713" s="96"/>
    </row>
    <row r="714" spans="2:12" ht="15.75" customHeight="1" thickBot="1">
      <c r="B714" s="96"/>
      <c r="C714" s="97"/>
      <c r="D714" s="96"/>
      <c r="E714" s="96"/>
      <c r="F714" s="96"/>
      <c r="G714" s="96"/>
      <c r="J714" s="96"/>
      <c r="K714" s="96"/>
      <c r="L714" s="96"/>
    </row>
    <row r="715" spans="2:12" ht="15.75" customHeight="1" thickBot="1">
      <c r="B715" s="96"/>
      <c r="C715" s="97"/>
      <c r="D715" s="96"/>
      <c r="E715" s="96"/>
      <c r="F715" s="96"/>
      <c r="G715" s="96"/>
      <c r="J715" s="96"/>
      <c r="K715" s="96"/>
      <c r="L715" s="96"/>
    </row>
    <row r="716" spans="2:12" ht="15.75" customHeight="1" thickBot="1">
      <c r="B716" s="96"/>
      <c r="C716" s="97"/>
      <c r="D716" s="96"/>
      <c r="E716" s="96"/>
      <c r="F716" s="96"/>
      <c r="G716" s="96"/>
      <c r="J716" s="96"/>
      <c r="K716" s="96"/>
      <c r="L716" s="96"/>
    </row>
    <row r="717" spans="2:12" ht="15.75" customHeight="1" thickBot="1">
      <c r="B717" s="96"/>
      <c r="C717" s="97"/>
      <c r="D717" s="96"/>
      <c r="E717" s="96"/>
      <c r="F717" s="96"/>
      <c r="G717" s="96"/>
      <c r="J717" s="96"/>
      <c r="K717" s="96"/>
      <c r="L717" s="96"/>
    </row>
    <row r="718" spans="2:12" ht="15.75" customHeight="1" thickBot="1">
      <c r="B718" s="96"/>
      <c r="C718" s="97"/>
      <c r="D718" s="96"/>
      <c r="E718" s="96"/>
      <c r="F718" s="96"/>
      <c r="G718" s="96"/>
      <c r="J718" s="96"/>
      <c r="K718" s="96"/>
      <c r="L718" s="96"/>
    </row>
    <row r="719" spans="2:12" ht="15.75" customHeight="1" thickBot="1">
      <c r="B719" s="96"/>
      <c r="C719" s="97"/>
      <c r="D719" s="96"/>
      <c r="E719" s="96"/>
      <c r="F719" s="96"/>
      <c r="G719" s="96"/>
      <c r="J719" s="96"/>
      <c r="K719" s="96"/>
      <c r="L719" s="96"/>
    </row>
    <row r="720" spans="2:12" ht="15.75" customHeight="1" thickBot="1">
      <c r="B720" s="96"/>
      <c r="C720" s="97"/>
      <c r="D720" s="96"/>
      <c r="E720" s="96"/>
      <c r="F720" s="96"/>
      <c r="G720" s="96"/>
      <c r="J720" s="96"/>
      <c r="K720" s="96"/>
      <c r="L720" s="96"/>
    </row>
    <row r="721" spans="2:12" ht="15.75" customHeight="1" thickBot="1">
      <c r="B721" s="96"/>
      <c r="C721" s="97"/>
      <c r="D721" s="96"/>
      <c r="E721" s="96"/>
      <c r="F721" s="96"/>
      <c r="G721" s="96"/>
      <c r="J721" s="96"/>
      <c r="K721" s="96"/>
      <c r="L721" s="96"/>
    </row>
    <row r="722" spans="2:12" ht="15.75" customHeight="1" thickBot="1">
      <c r="B722" s="96"/>
      <c r="C722" s="97"/>
      <c r="D722" s="96"/>
      <c r="E722" s="96"/>
      <c r="F722" s="96"/>
      <c r="G722" s="96"/>
      <c r="J722" s="96"/>
      <c r="K722" s="96"/>
      <c r="L722" s="96"/>
    </row>
    <row r="723" spans="2:12" ht="15.75" customHeight="1" thickBot="1">
      <c r="B723" s="96"/>
      <c r="C723" s="97"/>
      <c r="D723" s="96"/>
      <c r="E723" s="96"/>
      <c r="F723" s="96"/>
      <c r="G723" s="96"/>
      <c r="J723" s="96"/>
      <c r="K723" s="96"/>
      <c r="L723" s="96"/>
    </row>
    <row r="724" spans="2:12" ht="15.75" customHeight="1" thickBot="1">
      <c r="B724" s="96"/>
      <c r="C724" s="97"/>
      <c r="D724" s="96"/>
      <c r="E724" s="96"/>
      <c r="F724" s="96"/>
      <c r="G724" s="96"/>
      <c r="J724" s="96"/>
      <c r="K724" s="96"/>
      <c r="L724" s="96"/>
    </row>
    <row r="725" spans="2:12" ht="15.75" customHeight="1" thickBot="1">
      <c r="B725" s="96"/>
      <c r="C725" s="97"/>
      <c r="D725" s="96"/>
      <c r="E725" s="96"/>
      <c r="F725" s="96"/>
      <c r="G725" s="96"/>
      <c r="J725" s="96"/>
      <c r="K725" s="96"/>
      <c r="L725" s="96"/>
    </row>
    <row r="726" spans="2:12" ht="15.75" customHeight="1" thickBot="1">
      <c r="B726" s="96"/>
      <c r="C726" s="97"/>
      <c r="D726" s="96"/>
      <c r="E726" s="96"/>
      <c r="F726" s="96"/>
      <c r="G726" s="96"/>
      <c r="J726" s="96"/>
      <c r="K726" s="96"/>
      <c r="L726" s="96"/>
    </row>
    <row r="727" spans="2:12" ht="15.75" customHeight="1" thickBot="1">
      <c r="B727" s="96"/>
      <c r="C727" s="97"/>
      <c r="D727" s="96"/>
      <c r="E727" s="96"/>
      <c r="F727" s="96"/>
      <c r="G727" s="96"/>
      <c r="J727" s="96"/>
      <c r="K727" s="96"/>
      <c r="L727" s="96"/>
    </row>
    <row r="728" spans="2:12" ht="15.75" customHeight="1" thickBot="1">
      <c r="B728" s="96"/>
      <c r="C728" s="97"/>
      <c r="D728" s="96"/>
      <c r="E728" s="96"/>
      <c r="F728" s="96"/>
      <c r="G728" s="96"/>
      <c r="J728" s="96"/>
      <c r="K728" s="96"/>
      <c r="L728" s="96"/>
    </row>
    <row r="729" spans="2:12" ht="15.75" customHeight="1" thickBot="1">
      <c r="B729" s="96"/>
      <c r="C729" s="97"/>
      <c r="D729" s="96"/>
      <c r="E729" s="96"/>
      <c r="F729" s="96"/>
      <c r="G729" s="96"/>
      <c r="J729" s="96"/>
      <c r="K729" s="96"/>
      <c r="L729" s="96"/>
    </row>
    <row r="730" spans="2:12" ht="15.75" customHeight="1" thickBot="1">
      <c r="B730" s="96"/>
      <c r="C730" s="97"/>
      <c r="D730" s="96"/>
      <c r="E730" s="96"/>
      <c r="F730" s="96"/>
      <c r="G730" s="96"/>
      <c r="J730" s="96"/>
      <c r="K730" s="96"/>
      <c r="L730" s="96"/>
    </row>
    <row r="731" spans="2:12" ht="15.75" customHeight="1" thickBot="1">
      <c r="B731" s="96"/>
      <c r="C731" s="97"/>
      <c r="D731" s="96"/>
      <c r="E731" s="96"/>
      <c r="F731" s="96"/>
      <c r="G731" s="96"/>
      <c r="J731" s="96"/>
      <c r="K731" s="96"/>
      <c r="L731" s="96"/>
    </row>
    <row r="732" spans="2:12" ht="15.75" customHeight="1" thickBot="1">
      <c r="B732" s="96"/>
      <c r="C732" s="97"/>
      <c r="D732" s="96"/>
      <c r="E732" s="96"/>
      <c r="F732" s="96"/>
      <c r="G732" s="96"/>
      <c r="J732" s="96"/>
      <c r="K732" s="96"/>
      <c r="L732" s="96"/>
    </row>
    <row r="733" spans="2:12" ht="15.75" customHeight="1" thickBot="1">
      <c r="B733" s="96"/>
      <c r="C733" s="97"/>
      <c r="D733" s="96"/>
      <c r="E733" s="96"/>
      <c r="F733" s="96"/>
      <c r="G733" s="96"/>
      <c r="J733" s="96"/>
      <c r="K733" s="96"/>
      <c r="L733" s="96"/>
    </row>
    <row r="734" spans="2:12" ht="15.75" customHeight="1" thickBot="1">
      <c r="B734" s="96"/>
      <c r="C734" s="97"/>
      <c r="D734" s="96"/>
      <c r="E734" s="96"/>
      <c r="F734" s="96"/>
      <c r="G734" s="96"/>
      <c r="J734" s="96"/>
      <c r="K734" s="96"/>
      <c r="L734" s="96"/>
    </row>
    <row r="735" spans="2:12" ht="15.75" customHeight="1" thickBot="1">
      <c r="B735" s="96"/>
      <c r="C735" s="97"/>
      <c r="D735" s="96"/>
      <c r="E735" s="96"/>
      <c r="F735" s="96"/>
      <c r="G735" s="96"/>
      <c r="J735" s="96"/>
      <c r="K735" s="96"/>
      <c r="L735" s="96"/>
    </row>
    <row r="736" spans="2:12" ht="15.75" customHeight="1" thickBot="1">
      <c r="B736" s="96"/>
      <c r="C736" s="97"/>
      <c r="D736" s="96"/>
      <c r="E736" s="96"/>
      <c r="F736" s="96"/>
      <c r="G736" s="96"/>
      <c r="J736" s="96"/>
      <c r="K736" s="96"/>
      <c r="L736" s="96"/>
    </row>
    <row r="737" spans="2:12" ht="15.75" customHeight="1" thickBot="1">
      <c r="B737" s="96"/>
      <c r="C737" s="97"/>
      <c r="D737" s="96"/>
      <c r="E737" s="96"/>
      <c r="F737" s="96"/>
      <c r="G737" s="96"/>
      <c r="J737" s="96"/>
      <c r="K737" s="96"/>
      <c r="L737" s="96"/>
    </row>
    <row r="738" spans="2:12" ht="15.75" customHeight="1" thickBot="1">
      <c r="B738" s="96"/>
      <c r="C738" s="97"/>
      <c r="D738" s="96"/>
      <c r="E738" s="96"/>
      <c r="F738" s="96"/>
      <c r="G738" s="96"/>
      <c r="J738" s="96"/>
      <c r="K738" s="96"/>
      <c r="L738" s="96"/>
    </row>
    <row r="739" spans="2:12" ht="15.75" customHeight="1" thickBot="1">
      <c r="B739" s="96"/>
      <c r="C739" s="97"/>
      <c r="D739" s="96"/>
      <c r="E739" s="96"/>
      <c r="F739" s="96"/>
      <c r="G739" s="96"/>
      <c r="J739" s="96"/>
      <c r="K739" s="96"/>
      <c r="L739" s="96"/>
    </row>
    <row r="740" spans="2:12" ht="15.75" customHeight="1" thickBot="1">
      <c r="B740" s="96"/>
      <c r="C740" s="97"/>
      <c r="D740" s="96"/>
      <c r="E740" s="96"/>
      <c r="F740" s="96"/>
      <c r="G740" s="96"/>
      <c r="J740" s="96"/>
      <c r="K740" s="96"/>
      <c r="L740" s="96"/>
    </row>
    <row r="741" spans="2:12" ht="15.75" customHeight="1" thickBot="1">
      <c r="B741" s="96"/>
      <c r="C741" s="97"/>
      <c r="D741" s="96"/>
      <c r="E741" s="96"/>
      <c r="F741" s="96"/>
      <c r="G741" s="96"/>
      <c r="J741" s="96"/>
      <c r="K741" s="96"/>
      <c r="L741" s="96"/>
    </row>
    <row r="742" spans="2:12" ht="15.75" customHeight="1" thickBot="1">
      <c r="B742" s="96"/>
      <c r="C742" s="97"/>
      <c r="D742" s="96"/>
      <c r="E742" s="96"/>
      <c r="F742" s="96"/>
      <c r="G742" s="96"/>
      <c r="J742" s="96"/>
      <c r="K742" s="96"/>
      <c r="L742" s="96"/>
    </row>
    <row r="743" spans="2:12" ht="15.75" customHeight="1" thickBot="1">
      <c r="B743" s="96"/>
      <c r="C743" s="97"/>
      <c r="D743" s="96"/>
      <c r="E743" s="96"/>
      <c r="F743" s="96"/>
      <c r="G743" s="96"/>
      <c r="J743" s="96"/>
      <c r="K743" s="96"/>
      <c r="L743" s="96"/>
    </row>
    <row r="744" spans="2:12" ht="15.75" customHeight="1" thickBot="1">
      <c r="B744" s="96"/>
      <c r="C744" s="97"/>
      <c r="D744" s="96"/>
      <c r="E744" s="96"/>
      <c r="F744" s="96"/>
      <c r="G744" s="96"/>
      <c r="J744" s="96"/>
      <c r="K744" s="96"/>
      <c r="L744" s="96"/>
    </row>
    <row r="745" spans="2:12" ht="15.75" customHeight="1" thickBot="1">
      <c r="B745" s="96"/>
      <c r="C745" s="97"/>
      <c r="D745" s="96"/>
      <c r="E745" s="96"/>
      <c r="F745" s="96"/>
      <c r="G745" s="96"/>
      <c r="J745" s="96"/>
      <c r="K745" s="96"/>
      <c r="L745" s="96"/>
    </row>
    <row r="746" spans="2:12" ht="15.75" customHeight="1" thickBot="1">
      <c r="B746" s="96"/>
      <c r="C746" s="97"/>
      <c r="D746" s="96"/>
      <c r="E746" s="96"/>
      <c r="F746" s="96"/>
      <c r="G746" s="96"/>
      <c r="J746" s="96"/>
      <c r="K746" s="96"/>
      <c r="L746" s="96"/>
    </row>
    <row r="747" spans="2:12" ht="15.75" customHeight="1" thickBot="1">
      <c r="B747" s="96"/>
      <c r="C747" s="97"/>
      <c r="D747" s="96"/>
      <c r="E747" s="96"/>
      <c r="F747" s="96"/>
      <c r="G747" s="96"/>
      <c r="J747" s="96"/>
      <c r="K747" s="96"/>
      <c r="L747" s="96"/>
    </row>
    <row r="748" spans="2:12" ht="15.75" customHeight="1" thickBot="1">
      <c r="B748" s="96"/>
      <c r="C748" s="97"/>
      <c r="D748" s="96"/>
      <c r="E748" s="96"/>
      <c r="F748" s="96"/>
      <c r="G748" s="96"/>
      <c r="J748" s="96"/>
      <c r="K748" s="96"/>
      <c r="L748" s="96"/>
    </row>
    <row r="749" spans="2:12" ht="15.75" customHeight="1" thickBot="1">
      <c r="B749" s="96"/>
      <c r="C749" s="97"/>
      <c r="D749" s="96"/>
      <c r="E749" s="96"/>
      <c r="F749" s="96"/>
      <c r="G749" s="96"/>
      <c r="J749" s="96"/>
      <c r="K749" s="96"/>
      <c r="L749" s="96"/>
    </row>
    <row r="750" spans="2:12" ht="15.75" customHeight="1" thickBot="1">
      <c r="B750" s="96"/>
      <c r="C750" s="97"/>
      <c r="D750" s="96"/>
      <c r="E750" s="96"/>
      <c r="F750" s="96"/>
      <c r="G750" s="96"/>
      <c r="J750" s="96"/>
      <c r="K750" s="96"/>
      <c r="L750" s="96"/>
    </row>
    <row r="751" spans="2:12" ht="15.75" customHeight="1" thickBot="1">
      <c r="B751" s="96"/>
      <c r="C751" s="97"/>
      <c r="D751" s="96"/>
      <c r="E751" s="96"/>
      <c r="F751" s="96"/>
      <c r="G751" s="96"/>
      <c r="J751" s="96"/>
      <c r="K751" s="96"/>
      <c r="L751" s="96"/>
    </row>
    <row r="752" spans="2:12" ht="15.75" customHeight="1" thickBot="1">
      <c r="B752" s="96"/>
      <c r="C752" s="97"/>
      <c r="D752" s="96"/>
      <c r="E752" s="96"/>
      <c r="F752" s="96"/>
      <c r="G752" s="96"/>
      <c r="J752" s="96"/>
      <c r="K752" s="96"/>
      <c r="L752" s="96"/>
    </row>
    <row r="753" spans="2:12" ht="15.75" customHeight="1" thickBot="1">
      <c r="B753" s="96"/>
      <c r="C753" s="97"/>
      <c r="D753" s="96"/>
      <c r="E753" s="96"/>
      <c r="F753" s="96"/>
      <c r="G753" s="96"/>
      <c r="J753" s="96"/>
      <c r="K753" s="96"/>
      <c r="L753" s="96"/>
    </row>
    <row r="754" spans="2:12" ht="15.75" customHeight="1" thickBot="1">
      <c r="B754" s="96"/>
      <c r="C754" s="97"/>
      <c r="D754" s="96"/>
      <c r="E754" s="96"/>
      <c r="F754" s="96"/>
      <c r="G754" s="96"/>
      <c r="J754" s="96"/>
      <c r="K754" s="96"/>
      <c r="L754" s="96"/>
    </row>
    <row r="755" spans="2:12" ht="15.75" customHeight="1" thickBot="1">
      <c r="B755" s="96"/>
      <c r="C755" s="97"/>
      <c r="D755" s="96"/>
      <c r="E755" s="96"/>
      <c r="F755" s="96"/>
      <c r="G755" s="96"/>
      <c r="J755" s="96"/>
      <c r="K755" s="96"/>
      <c r="L755" s="96"/>
    </row>
    <row r="756" spans="2:12" ht="15.75" customHeight="1" thickBot="1">
      <c r="B756" s="96"/>
      <c r="C756" s="97"/>
      <c r="D756" s="96"/>
      <c r="E756" s="96"/>
      <c r="F756" s="96"/>
      <c r="G756" s="96"/>
      <c r="J756" s="96"/>
      <c r="K756" s="96"/>
      <c r="L756" s="96"/>
    </row>
    <row r="757" spans="2:12" ht="15.75" customHeight="1" thickBot="1">
      <c r="B757" s="96"/>
      <c r="C757" s="97"/>
      <c r="D757" s="96"/>
      <c r="E757" s="96"/>
      <c r="F757" s="96"/>
      <c r="G757" s="96"/>
      <c r="J757" s="96"/>
      <c r="K757" s="96"/>
      <c r="L757" s="96"/>
    </row>
    <row r="758" spans="2:12" ht="15.75" customHeight="1" thickBot="1">
      <c r="B758" s="96"/>
      <c r="C758" s="97"/>
      <c r="D758" s="96"/>
      <c r="E758" s="96"/>
      <c r="F758" s="96"/>
      <c r="G758" s="96"/>
      <c r="J758" s="96"/>
      <c r="K758" s="96"/>
      <c r="L758" s="96"/>
    </row>
    <row r="759" spans="2:12" ht="15.75" customHeight="1" thickBot="1">
      <c r="B759" s="96"/>
      <c r="C759" s="97"/>
      <c r="D759" s="96"/>
      <c r="E759" s="96"/>
      <c r="F759" s="96"/>
      <c r="G759" s="96"/>
      <c r="J759" s="96"/>
      <c r="K759" s="96"/>
      <c r="L759" s="96"/>
    </row>
    <row r="760" spans="2:12" ht="15.75" customHeight="1" thickBot="1">
      <c r="B760" s="96"/>
      <c r="C760" s="97"/>
      <c r="D760" s="96"/>
      <c r="E760" s="96"/>
      <c r="F760" s="96"/>
      <c r="G760" s="96"/>
      <c r="J760" s="96"/>
      <c r="K760" s="96"/>
      <c r="L760" s="96"/>
    </row>
    <row r="761" spans="2:12" ht="15.75" customHeight="1" thickBot="1">
      <c r="B761" s="96"/>
      <c r="C761" s="97"/>
      <c r="D761" s="96"/>
      <c r="E761" s="96"/>
      <c r="F761" s="96"/>
      <c r="G761" s="96"/>
      <c r="J761" s="96"/>
      <c r="K761" s="96"/>
      <c r="L761" s="96"/>
    </row>
    <row r="762" spans="2:12" ht="15.75" customHeight="1" thickBot="1">
      <c r="B762" s="96"/>
      <c r="C762" s="97"/>
      <c r="D762" s="96"/>
      <c r="E762" s="96"/>
      <c r="F762" s="96"/>
      <c r="G762" s="96"/>
      <c r="J762" s="96"/>
      <c r="K762" s="96"/>
      <c r="L762" s="96"/>
    </row>
    <row r="763" spans="2:12" ht="15.75" customHeight="1" thickBot="1">
      <c r="B763" s="96"/>
      <c r="C763" s="97"/>
      <c r="D763" s="96"/>
      <c r="E763" s="96"/>
      <c r="F763" s="96"/>
      <c r="G763" s="96"/>
      <c r="J763" s="96"/>
      <c r="K763" s="96"/>
      <c r="L763" s="96"/>
    </row>
    <row r="764" spans="2:12" ht="15.75" customHeight="1" thickBot="1">
      <c r="B764" s="96"/>
      <c r="C764" s="97"/>
      <c r="D764" s="96"/>
      <c r="E764" s="96"/>
      <c r="F764" s="96"/>
      <c r="G764" s="96"/>
      <c r="J764" s="96"/>
      <c r="K764" s="96"/>
      <c r="L764" s="96"/>
    </row>
    <row r="765" spans="2:12" ht="15.75" customHeight="1" thickBot="1">
      <c r="B765" s="96"/>
      <c r="C765" s="97"/>
      <c r="D765" s="96"/>
      <c r="E765" s="96"/>
      <c r="F765" s="96"/>
      <c r="G765" s="96"/>
      <c r="J765" s="96"/>
      <c r="K765" s="96"/>
      <c r="L765" s="96"/>
    </row>
    <row r="766" spans="2:12" ht="15.75" customHeight="1" thickBot="1">
      <c r="B766" s="96"/>
      <c r="C766" s="97"/>
      <c r="D766" s="96"/>
      <c r="E766" s="96"/>
      <c r="F766" s="96"/>
      <c r="G766" s="96"/>
      <c r="J766" s="96"/>
      <c r="K766" s="96"/>
      <c r="L766" s="96"/>
    </row>
    <row r="767" spans="2:12" ht="15.75" customHeight="1" thickBot="1">
      <c r="B767" s="96"/>
      <c r="C767" s="97"/>
      <c r="D767" s="96"/>
      <c r="E767" s="96"/>
      <c r="F767" s="96"/>
      <c r="G767" s="96"/>
      <c r="J767" s="96"/>
      <c r="K767" s="96"/>
      <c r="L767" s="96"/>
    </row>
    <row r="768" spans="2:12" ht="15.75" customHeight="1" thickBot="1">
      <c r="B768" s="96"/>
      <c r="C768" s="97"/>
      <c r="D768" s="96"/>
      <c r="E768" s="96"/>
      <c r="F768" s="96"/>
      <c r="G768" s="96"/>
      <c r="J768" s="96"/>
      <c r="K768" s="96"/>
      <c r="L768" s="96"/>
    </row>
    <row r="769" spans="2:12" ht="15.75" customHeight="1" thickBot="1">
      <c r="B769" s="96"/>
      <c r="C769" s="97"/>
      <c r="D769" s="96"/>
      <c r="E769" s="96"/>
      <c r="F769" s="96"/>
      <c r="G769" s="96"/>
      <c r="J769" s="96"/>
      <c r="K769" s="96"/>
      <c r="L769" s="96"/>
    </row>
    <row r="770" spans="2:12" ht="15.75" customHeight="1" thickBot="1">
      <c r="B770" s="96"/>
      <c r="C770" s="97"/>
      <c r="D770" s="96"/>
      <c r="E770" s="96"/>
      <c r="F770" s="96"/>
      <c r="G770" s="96"/>
      <c r="J770" s="96"/>
      <c r="K770" s="96"/>
      <c r="L770" s="96"/>
    </row>
    <row r="771" spans="2:12" ht="15.75" customHeight="1" thickBot="1">
      <c r="B771" s="96"/>
      <c r="C771" s="97"/>
      <c r="D771" s="96"/>
      <c r="E771" s="96"/>
      <c r="F771" s="96"/>
      <c r="G771" s="96"/>
      <c r="J771" s="96"/>
      <c r="K771" s="96"/>
      <c r="L771" s="96"/>
    </row>
    <row r="772" spans="2:12" ht="15.75" customHeight="1" thickBot="1">
      <c r="B772" s="96"/>
      <c r="C772" s="97"/>
      <c r="D772" s="96"/>
      <c r="E772" s="96"/>
      <c r="F772" s="96"/>
      <c r="G772" s="96"/>
      <c r="J772" s="96"/>
      <c r="K772" s="96"/>
      <c r="L772" s="96"/>
    </row>
    <row r="773" spans="2:12" ht="15.75" customHeight="1" thickBot="1">
      <c r="B773" s="96"/>
      <c r="C773" s="97"/>
      <c r="D773" s="96"/>
      <c r="E773" s="96"/>
      <c r="F773" s="96"/>
      <c r="G773" s="96"/>
      <c r="J773" s="96"/>
      <c r="K773" s="96"/>
      <c r="L773" s="96"/>
    </row>
    <row r="774" spans="2:12" ht="15.75" customHeight="1" thickBot="1">
      <c r="B774" s="96"/>
      <c r="C774" s="97"/>
      <c r="D774" s="96"/>
      <c r="E774" s="96"/>
      <c r="F774" s="96"/>
      <c r="G774" s="96"/>
      <c r="J774" s="96"/>
      <c r="K774" s="96"/>
      <c r="L774" s="96"/>
    </row>
    <row r="775" spans="2:12" ht="15.75" customHeight="1" thickBot="1">
      <c r="B775" s="96"/>
      <c r="C775" s="97"/>
      <c r="D775" s="96"/>
      <c r="E775" s="96"/>
      <c r="F775" s="96"/>
      <c r="G775" s="96"/>
      <c r="J775" s="96"/>
      <c r="K775" s="96"/>
      <c r="L775" s="96"/>
    </row>
    <row r="776" spans="2:12" ht="15.75" customHeight="1" thickBot="1">
      <c r="B776" s="96"/>
      <c r="C776" s="97"/>
      <c r="D776" s="96"/>
      <c r="E776" s="96"/>
      <c r="F776" s="96"/>
      <c r="G776" s="96"/>
      <c r="J776" s="96"/>
      <c r="K776" s="96"/>
      <c r="L776" s="96"/>
    </row>
    <row r="777" spans="2:12" ht="15.75" customHeight="1" thickBot="1">
      <c r="B777" s="96"/>
      <c r="C777" s="97"/>
      <c r="D777" s="96"/>
      <c r="E777" s="96"/>
      <c r="F777" s="96"/>
      <c r="G777" s="96"/>
      <c r="J777" s="96"/>
      <c r="K777" s="96"/>
      <c r="L777" s="96"/>
    </row>
    <row r="778" spans="2:12" ht="15.75" customHeight="1" thickBot="1">
      <c r="B778" s="96"/>
      <c r="C778" s="97"/>
      <c r="D778" s="96"/>
      <c r="E778" s="96"/>
      <c r="F778" s="96"/>
      <c r="G778" s="96"/>
      <c r="J778" s="96"/>
      <c r="K778" s="96"/>
      <c r="L778" s="96"/>
    </row>
    <row r="779" spans="2:12" ht="15.75" customHeight="1" thickBot="1">
      <c r="B779" s="96"/>
      <c r="C779" s="97"/>
      <c r="D779" s="96"/>
      <c r="E779" s="96"/>
      <c r="F779" s="96"/>
      <c r="G779" s="96"/>
      <c r="J779" s="96"/>
      <c r="K779" s="96"/>
      <c r="L779" s="96"/>
    </row>
    <row r="780" spans="2:12" ht="15.75" customHeight="1" thickBot="1">
      <c r="B780" s="96"/>
      <c r="C780" s="97"/>
      <c r="D780" s="96"/>
      <c r="E780" s="96"/>
      <c r="F780" s="96"/>
      <c r="G780" s="96"/>
      <c r="J780" s="96"/>
      <c r="K780" s="96"/>
      <c r="L780" s="96"/>
    </row>
    <row r="781" spans="2:12" ht="15.75" customHeight="1" thickBot="1">
      <c r="B781" s="96"/>
      <c r="C781" s="97"/>
      <c r="D781" s="96"/>
      <c r="E781" s="96"/>
      <c r="F781" s="96"/>
      <c r="G781" s="96"/>
      <c r="J781" s="96"/>
      <c r="K781" s="96"/>
      <c r="L781" s="96"/>
    </row>
    <row r="782" spans="2:12" ht="15.75" customHeight="1" thickBot="1">
      <c r="B782" s="96"/>
      <c r="C782" s="97"/>
      <c r="D782" s="96"/>
      <c r="E782" s="96"/>
      <c r="F782" s="96"/>
      <c r="G782" s="96"/>
      <c r="J782" s="96"/>
      <c r="K782" s="96"/>
      <c r="L782" s="96"/>
    </row>
    <row r="783" spans="2:12" ht="15.75" customHeight="1" thickBot="1">
      <c r="B783" s="96"/>
      <c r="C783" s="97"/>
      <c r="D783" s="96"/>
      <c r="E783" s="96"/>
      <c r="F783" s="96"/>
      <c r="G783" s="96"/>
      <c r="J783" s="96"/>
      <c r="K783" s="96"/>
      <c r="L783" s="96"/>
    </row>
    <row r="784" spans="2:12" ht="15.75" customHeight="1" thickBot="1">
      <c r="B784" s="96"/>
      <c r="C784" s="97"/>
      <c r="D784" s="96"/>
      <c r="E784" s="96"/>
      <c r="F784" s="96"/>
      <c r="G784" s="96"/>
      <c r="J784" s="96"/>
      <c r="K784" s="96"/>
      <c r="L784" s="96"/>
    </row>
    <row r="785" spans="2:12" ht="15.75" customHeight="1" thickBot="1">
      <c r="B785" s="96"/>
      <c r="C785" s="97"/>
      <c r="D785" s="96"/>
      <c r="E785" s="96"/>
      <c r="F785" s="96"/>
      <c r="G785" s="96"/>
      <c r="J785" s="96"/>
      <c r="K785" s="96"/>
      <c r="L785" s="96"/>
    </row>
    <row r="786" spans="2:12" ht="15.75" customHeight="1" thickBot="1">
      <c r="B786" s="96"/>
      <c r="C786" s="97"/>
      <c r="D786" s="96"/>
      <c r="E786" s="96"/>
      <c r="F786" s="96"/>
      <c r="G786" s="96"/>
      <c r="J786" s="96"/>
      <c r="K786" s="96"/>
      <c r="L786" s="96"/>
    </row>
    <row r="787" spans="2:12" ht="15.75" customHeight="1" thickBot="1">
      <c r="B787" s="96"/>
      <c r="C787" s="97"/>
      <c r="D787" s="96"/>
      <c r="E787" s="96"/>
      <c r="F787" s="96"/>
      <c r="G787" s="96"/>
      <c r="J787" s="96"/>
      <c r="K787" s="96"/>
      <c r="L787" s="96"/>
    </row>
    <row r="788" spans="2:12" ht="15.75" customHeight="1" thickBot="1">
      <c r="B788" s="96"/>
      <c r="C788" s="97"/>
      <c r="D788" s="96"/>
      <c r="E788" s="96"/>
      <c r="F788" s="96"/>
      <c r="G788" s="96"/>
      <c r="J788" s="96"/>
      <c r="K788" s="96"/>
      <c r="L788" s="96"/>
    </row>
    <row r="789" spans="2:12" ht="15.75" customHeight="1" thickBot="1">
      <c r="B789" s="96"/>
      <c r="C789" s="97"/>
      <c r="D789" s="96"/>
      <c r="E789" s="96"/>
      <c r="F789" s="96"/>
      <c r="G789" s="96"/>
      <c r="J789" s="96"/>
      <c r="K789" s="96"/>
      <c r="L789" s="96"/>
    </row>
    <row r="790" spans="2:12" ht="15.75" customHeight="1" thickBot="1">
      <c r="B790" s="96"/>
      <c r="C790" s="97"/>
      <c r="D790" s="96"/>
      <c r="E790" s="96"/>
      <c r="F790" s="96"/>
      <c r="G790" s="96"/>
      <c r="J790" s="96"/>
      <c r="K790" s="96"/>
      <c r="L790" s="96"/>
    </row>
    <row r="791" spans="2:12" ht="15.75" customHeight="1" thickBot="1">
      <c r="B791" s="96"/>
      <c r="C791" s="97"/>
      <c r="D791" s="96"/>
      <c r="E791" s="96"/>
      <c r="F791" s="96"/>
      <c r="G791" s="96"/>
      <c r="J791" s="96"/>
      <c r="K791" s="96"/>
      <c r="L791" s="96"/>
    </row>
    <row r="792" spans="2:12" ht="15.75" customHeight="1" thickBot="1">
      <c r="B792" s="96"/>
      <c r="C792" s="97"/>
      <c r="D792" s="96"/>
      <c r="E792" s="96"/>
      <c r="F792" s="96"/>
      <c r="G792" s="96"/>
      <c r="J792" s="96"/>
      <c r="K792" s="96"/>
      <c r="L792" s="96"/>
    </row>
    <row r="793" spans="2:12" ht="15.75" customHeight="1" thickBot="1">
      <c r="B793" s="96"/>
      <c r="C793" s="97"/>
      <c r="D793" s="96"/>
      <c r="E793" s="96"/>
      <c r="F793" s="96"/>
      <c r="G793" s="96"/>
      <c r="J793" s="96"/>
      <c r="K793" s="96"/>
      <c r="L793" s="96"/>
    </row>
    <row r="794" spans="2:12" ht="15.75" customHeight="1" thickBot="1">
      <c r="B794" s="96"/>
      <c r="C794" s="97"/>
      <c r="D794" s="96"/>
      <c r="E794" s="96"/>
      <c r="F794" s="96"/>
      <c r="G794" s="96"/>
      <c r="J794" s="96"/>
      <c r="K794" s="96"/>
      <c r="L794" s="96"/>
    </row>
    <row r="795" spans="2:12" ht="15.75" customHeight="1" thickBot="1">
      <c r="B795" s="96"/>
      <c r="C795" s="97"/>
      <c r="D795" s="96"/>
      <c r="E795" s="96"/>
      <c r="F795" s="96"/>
      <c r="G795" s="96"/>
      <c r="J795" s="96"/>
      <c r="K795" s="96"/>
      <c r="L795" s="96"/>
    </row>
    <row r="796" spans="2:12" ht="15.75" customHeight="1" thickBot="1">
      <c r="B796" s="96"/>
      <c r="C796" s="97"/>
      <c r="D796" s="96"/>
      <c r="E796" s="96"/>
      <c r="F796" s="96"/>
      <c r="G796" s="96"/>
      <c r="J796" s="96"/>
      <c r="K796" s="96"/>
      <c r="L796" s="96"/>
    </row>
    <row r="797" spans="2:12" ht="15.75" customHeight="1" thickBot="1">
      <c r="B797" s="96"/>
      <c r="C797" s="97"/>
      <c r="D797" s="96"/>
      <c r="E797" s="96"/>
      <c r="F797" s="96"/>
      <c r="G797" s="96"/>
      <c r="J797" s="96"/>
      <c r="K797" s="96"/>
      <c r="L797" s="96"/>
    </row>
    <row r="798" spans="2:12" ht="15.75" customHeight="1" thickBot="1">
      <c r="B798" s="96"/>
      <c r="C798" s="97"/>
      <c r="D798" s="96"/>
      <c r="E798" s="96"/>
      <c r="F798" s="96"/>
      <c r="G798" s="96"/>
      <c r="J798" s="96"/>
      <c r="K798" s="96"/>
      <c r="L798" s="96"/>
    </row>
    <row r="799" spans="2:12" ht="15.75" customHeight="1" thickBot="1">
      <c r="B799" s="96"/>
      <c r="C799" s="97"/>
      <c r="D799" s="96"/>
      <c r="E799" s="96"/>
      <c r="F799" s="96"/>
      <c r="G799" s="96"/>
      <c r="J799" s="96"/>
      <c r="K799" s="96"/>
      <c r="L799" s="96"/>
    </row>
    <row r="800" spans="2:12" ht="15.75" customHeight="1" thickBot="1">
      <c r="B800" s="96"/>
      <c r="C800" s="97"/>
      <c r="D800" s="96"/>
      <c r="E800" s="96"/>
      <c r="F800" s="96"/>
      <c r="G800" s="96"/>
      <c r="J800" s="96"/>
      <c r="K800" s="96"/>
      <c r="L800" s="96"/>
    </row>
    <row r="801" spans="2:12" ht="15.75" customHeight="1" thickBot="1">
      <c r="B801" s="96"/>
      <c r="C801" s="97"/>
      <c r="D801" s="96"/>
      <c r="E801" s="96"/>
      <c r="F801" s="96"/>
      <c r="G801" s="96"/>
      <c r="J801" s="96"/>
      <c r="K801" s="96"/>
      <c r="L801" s="96"/>
    </row>
    <row r="802" spans="2:12" ht="15.75" customHeight="1" thickBot="1">
      <c r="B802" s="96"/>
      <c r="C802" s="97"/>
      <c r="D802" s="96"/>
      <c r="E802" s="96"/>
      <c r="F802" s="96"/>
      <c r="G802" s="96"/>
      <c r="J802" s="96"/>
      <c r="K802" s="96"/>
      <c r="L802" s="96"/>
    </row>
    <row r="803" spans="2:12" ht="15.75" customHeight="1" thickBot="1">
      <c r="B803" s="96"/>
      <c r="C803" s="97"/>
      <c r="D803" s="96"/>
      <c r="E803" s="96"/>
      <c r="F803" s="96"/>
      <c r="G803" s="96"/>
      <c r="J803" s="96"/>
      <c r="K803" s="96"/>
      <c r="L803" s="96"/>
    </row>
    <row r="804" spans="2:12" ht="15.75" customHeight="1" thickBot="1">
      <c r="B804" s="96"/>
      <c r="C804" s="97"/>
      <c r="D804" s="96"/>
      <c r="E804" s="96"/>
      <c r="F804" s="96"/>
      <c r="G804" s="96"/>
      <c r="J804" s="96"/>
      <c r="K804" s="96"/>
      <c r="L804" s="96"/>
    </row>
    <row r="805" spans="2:12" ht="15.75" customHeight="1" thickBot="1">
      <c r="B805" s="96"/>
      <c r="C805" s="97"/>
      <c r="D805" s="96"/>
      <c r="E805" s="96"/>
      <c r="F805" s="96"/>
      <c r="G805" s="96"/>
      <c r="J805" s="96"/>
      <c r="K805" s="96"/>
      <c r="L805" s="96"/>
    </row>
    <row r="806" spans="2:12" ht="15.75" customHeight="1" thickBot="1">
      <c r="B806" s="96"/>
      <c r="C806" s="97"/>
      <c r="D806" s="96"/>
      <c r="E806" s="96"/>
      <c r="F806" s="96"/>
      <c r="G806" s="96"/>
      <c r="J806" s="96"/>
      <c r="K806" s="96"/>
      <c r="L806" s="96"/>
    </row>
    <row r="807" spans="2:12" ht="15.75" customHeight="1" thickBot="1">
      <c r="B807" s="96"/>
      <c r="C807" s="97"/>
      <c r="D807" s="96"/>
      <c r="E807" s="96"/>
      <c r="F807" s="96"/>
      <c r="G807" s="96"/>
      <c r="J807" s="96"/>
      <c r="K807" s="96"/>
      <c r="L807" s="96"/>
    </row>
    <row r="808" spans="2:12" ht="15.75" customHeight="1" thickBot="1">
      <c r="B808" s="96"/>
      <c r="C808" s="97"/>
      <c r="D808" s="96"/>
      <c r="E808" s="96"/>
      <c r="F808" s="96"/>
      <c r="G808" s="96"/>
      <c r="J808" s="96"/>
      <c r="K808" s="96"/>
      <c r="L808" s="96"/>
    </row>
    <row r="809" spans="2:12" ht="15.75" customHeight="1" thickBot="1">
      <c r="B809" s="96"/>
      <c r="C809" s="97"/>
      <c r="D809" s="96"/>
      <c r="E809" s="96"/>
      <c r="F809" s="96"/>
      <c r="G809" s="96"/>
      <c r="J809" s="96"/>
      <c r="K809" s="96"/>
      <c r="L809" s="96"/>
    </row>
    <row r="810" spans="2:12" ht="15.75" customHeight="1" thickBot="1">
      <c r="B810" s="96"/>
      <c r="C810" s="97"/>
      <c r="D810" s="96"/>
      <c r="E810" s="96"/>
      <c r="F810" s="96"/>
      <c r="G810" s="96"/>
      <c r="J810" s="96"/>
      <c r="K810" s="96"/>
      <c r="L810" s="96"/>
    </row>
    <row r="811" spans="2:12" ht="15.75" customHeight="1" thickBot="1">
      <c r="B811" s="96"/>
      <c r="C811" s="97"/>
      <c r="D811" s="96"/>
      <c r="E811" s="96"/>
      <c r="F811" s="96"/>
      <c r="G811" s="96"/>
      <c r="J811" s="96"/>
      <c r="K811" s="96"/>
      <c r="L811" s="96"/>
    </row>
    <row r="812" spans="2:12" ht="15.75" customHeight="1" thickBot="1">
      <c r="B812" s="96"/>
      <c r="C812" s="97"/>
      <c r="D812" s="96"/>
      <c r="E812" s="96"/>
      <c r="F812" s="96"/>
      <c r="G812" s="96"/>
      <c r="J812" s="96"/>
      <c r="K812" s="96"/>
      <c r="L812" s="96"/>
    </row>
    <row r="813" spans="2:12" ht="15.75" customHeight="1" thickBot="1">
      <c r="B813" s="96"/>
      <c r="C813" s="97"/>
      <c r="D813" s="96"/>
      <c r="E813" s="96"/>
      <c r="F813" s="96"/>
      <c r="G813" s="96"/>
      <c r="J813" s="96"/>
      <c r="K813" s="96"/>
      <c r="L813" s="96"/>
    </row>
    <row r="814" spans="2:12" ht="15.75" customHeight="1" thickBot="1">
      <c r="B814" s="96"/>
      <c r="C814" s="97"/>
      <c r="D814" s="96"/>
      <c r="E814" s="96"/>
      <c r="F814" s="96"/>
      <c r="G814" s="96"/>
      <c r="J814" s="96"/>
      <c r="K814" s="96"/>
      <c r="L814" s="96"/>
    </row>
    <row r="815" spans="2:12" ht="15.75" customHeight="1" thickBot="1">
      <c r="B815" s="96"/>
      <c r="C815" s="97"/>
      <c r="D815" s="96"/>
      <c r="E815" s="96"/>
      <c r="F815" s="96"/>
      <c r="G815" s="96"/>
      <c r="J815" s="96"/>
      <c r="K815" s="96"/>
      <c r="L815" s="96"/>
    </row>
    <row r="816" spans="2:12" ht="15.75" customHeight="1" thickBot="1">
      <c r="B816" s="96"/>
      <c r="C816" s="97"/>
      <c r="D816" s="96"/>
      <c r="E816" s="96"/>
      <c r="F816" s="96"/>
      <c r="G816" s="96"/>
      <c r="J816" s="96"/>
      <c r="K816" s="96"/>
      <c r="L816" s="96"/>
    </row>
    <row r="817" spans="2:12" ht="15.75" customHeight="1" thickBot="1">
      <c r="B817" s="96"/>
      <c r="C817" s="97"/>
      <c r="D817" s="96"/>
      <c r="E817" s="96"/>
      <c r="F817" s="96"/>
      <c r="G817" s="96"/>
      <c r="J817" s="96"/>
      <c r="K817" s="96"/>
      <c r="L817" s="96"/>
    </row>
    <row r="818" spans="2:12" ht="15.75" customHeight="1" thickBot="1">
      <c r="B818" s="96"/>
      <c r="C818" s="97"/>
      <c r="D818" s="96"/>
      <c r="E818" s="96"/>
      <c r="F818" s="96"/>
      <c r="G818" s="96"/>
      <c r="J818" s="96"/>
      <c r="K818" s="96"/>
      <c r="L818" s="96"/>
    </row>
    <row r="819" spans="2:12" ht="15.75" customHeight="1" thickBot="1">
      <c r="B819" s="96"/>
      <c r="C819" s="97"/>
      <c r="D819" s="96"/>
      <c r="E819" s="96"/>
      <c r="F819" s="96"/>
      <c r="G819" s="96"/>
      <c r="J819" s="96"/>
      <c r="K819" s="96"/>
      <c r="L819" s="96"/>
    </row>
    <row r="820" spans="2:12" ht="15.75" customHeight="1" thickBot="1">
      <c r="B820" s="96"/>
      <c r="C820" s="97"/>
      <c r="D820" s="96"/>
      <c r="E820" s="96"/>
      <c r="F820" s="96"/>
      <c r="G820" s="96"/>
      <c r="J820" s="96"/>
      <c r="K820" s="96"/>
      <c r="L820" s="96"/>
    </row>
    <row r="821" spans="2:12" ht="15.75" customHeight="1" thickBot="1">
      <c r="B821" s="96"/>
      <c r="C821" s="97"/>
      <c r="D821" s="96"/>
      <c r="E821" s="96"/>
      <c r="F821" s="96"/>
      <c r="G821" s="96"/>
      <c r="J821" s="96"/>
      <c r="K821" s="96"/>
      <c r="L821" s="96"/>
    </row>
    <row r="822" spans="2:12" ht="15.75" customHeight="1" thickBot="1">
      <c r="B822" s="96"/>
      <c r="C822" s="97"/>
      <c r="D822" s="96"/>
      <c r="E822" s="96"/>
      <c r="F822" s="96"/>
      <c r="G822" s="96"/>
      <c r="J822" s="96"/>
      <c r="K822" s="96"/>
      <c r="L822" s="96"/>
    </row>
    <row r="823" spans="2:12" ht="15.75" customHeight="1" thickBot="1">
      <c r="B823" s="96"/>
      <c r="C823" s="97"/>
      <c r="D823" s="96"/>
      <c r="E823" s="96"/>
      <c r="F823" s="96"/>
      <c r="G823" s="96"/>
      <c r="J823" s="96"/>
      <c r="K823" s="96"/>
      <c r="L823" s="96"/>
    </row>
    <row r="824" spans="2:12" ht="15.75" customHeight="1" thickBot="1">
      <c r="B824" s="96"/>
      <c r="C824" s="97"/>
      <c r="D824" s="96"/>
      <c r="E824" s="96"/>
      <c r="F824" s="96"/>
      <c r="G824" s="96"/>
      <c r="J824" s="96"/>
      <c r="K824" s="96"/>
      <c r="L824" s="96"/>
    </row>
    <row r="825" spans="2:12" ht="15.75" customHeight="1" thickBot="1">
      <c r="B825" s="96"/>
      <c r="C825" s="97"/>
      <c r="D825" s="96"/>
      <c r="E825" s="96"/>
      <c r="F825" s="96"/>
      <c r="G825" s="96"/>
      <c r="J825" s="96"/>
      <c r="K825" s="96"/>
      <c r="L825" s="96"/>
    </row>
    <row r="826" spans="2:12" ht="15.75" customHeight="1" thickBot="1">
      <c r="B826" s="96"/>
      <c r="C826" s="97"/>
      <c r="D826" s="96"/>
      <c r="E826" s="96"/>
      <c r="F826" s="96"/>
      <c r="G826" s="96"/>
      <c r="J826" s="96"/>
      <c r="K826" s="96"/>
      <c r="L826" s="96"/>
    </row>
    <row r="827" spans="2:12" ht="15.75" customHeight="1" thickBot="1">
      <c r="B827" s="96"/>
      <c r="C827" s="97"/>
      <c r="D827" s="96"/>
      <c r="E827" s="96"/>
      <c r="F827" s="96"/>
      <c r="G827" s="96"/>
      <c r="J827" s="96"/>
      <c r="K827" s="96"/>
      <c r="L827" s="96"/>
    </row>
    <row r="828" spans="2:12" ht="15.75" customHeight="1" thickBot="1">
      <c r="B828" s="96"/>
      <c r="C828" s="97"/>
      <c r="D828" s="96"/>
      <c r="E828" s="96"/>
      <c r="F828" s="96"/>
      <c r="G828" s="96"/>
      <c r="J828" s="96"/>
      <c r="K828" s="96"/>
      <c r="L828" s="96"/>
    </row>
    <row r="829" spans="2:12" ht="15.75" customHeight="1" thickBot="1">
      <c r="B829" s="96"/>
      <c r="C829" s="97"/>
      <c r="D829" s="96"/>
      <c r="E829" s="96"/>
      <c r="F829" s="96"/>
      <c r="G829" s="96"/>
      <c r="J829" s="96"/>
      <c r="K829" s="96"/>
      <c r="L829" s="96"/>
    </row>
    <row r="830" spans="2:12" ht="15.75" customHeight="1" thickBot="1">
      <c r="B830" s="96"/>
      <c r="C830" s="97"/>
      <c r="D830" s="96"/>
      <c r="E830" s="96"/>
      <c r="F830" s="96"/>
      <c r="G830" s="96"/>
      <c r="J830" s="96"/>
      <c r="K830" s="96"/>
      <c r="L830" s="96"/>
    </row>
    <row r="831" spans="2:12" ht="15.75" customHeight="1" thickBot="1">
      <c r="B831" s="96"/>
      <c r="C831" s="97"/>
      <c r="D831" s="96"/>
      <c r="E831" s="96"/>
      <c r="F831" s="96"/>
      <c r="G831" s="96"/>
      <c r="J831" s="96"/>
      <c r="K831" s="96"/>
      <c r="L831" s="96"/>
    </row>
    <row r="832" spans="2:12" ht="15.75" customHeight="1" thickBot="1">
      <c r="B832" s="96"/>
      <c r="C832" s="97"/>
      <c r="D832" s="96"/>
      <c r="E832" s="96"/>
      <c r="F832" s="96"/>
      <c r="G832" s="96"/>
      <c r="J832" s="96"/>
      <c r="K832" s="96"/>
      <c r="L832" s="96"/>
    </row>
    <row r="833" spans="2:12" ht="15.75" customHeight="1" thickBot="1">
      <c r="B833" s="96"/>
      <c r="C833" s="97"/>
      <c r="D833" s="96"/>
      <c r="E833" s="96"/>
      <c r="F833" s="96"/>
      <c r="G833" s="96"/>
      <c r="J833" s="96"/>
      <c r="K833" s="96"/>
      <c r="L833" s="96"/>
    </row>
    <row r="834" spans="2:12" ht="15.75" customHeight="1" thickBot="1">
      <c r="B834" s="96"/>
      <c r="C834" s="97"/>
      <c r="D834" s="96"/>
      <c r="E834" s="96"/>
      <c r="F834" s="96"/>
      <c r="G834" s="96"/>
      <c r="J834" s="96"/>
      <c r="K834" s="96"/>
      <c r="L834" s="96"/>
    </row>
    <row r="835" spans="2:12" ht="15.75" customHeight="1" thickBot="1">
      <c r="B835" s="96"/>
      <c r="C835" s="97"/>
      <c r="D835" s="96"/>
      <c r="E835" s="96"/>
      <c r="F835" s="96"/>
      <c r="G835" s="96"/>
      <c r="J835" s="96"/>
      <c r="K835" s="96"/>
      <c r="L835" s="96"/>
    </row>
    <row r="836" spans="2:12" ht="15.75" customHeight="1" thickBot="1">
      <c r="B836" s="96"/>
      <c r="C836" s="97"/>
      <c r="D836" s="96"/>
      <c r="E836" s="96"/>
      <c r="F836" s="96"/>
      <c r="G836" s="96"/>
      <c r="J836" s="96"/>
      <c r="K836" s="96"/>
      <c r="L836" s="96"/>
    </row>
    <row r="837" spans="2:12" ht="15.75" customHeight="1" thickBot="1">
      <c r="B837" s="96"/>
      <c r="C837" s="97"/>
      <c r="D837" s="96"/>
      <c r="E837" s="96"/>
      <c r="F837" s="96"/>
      <c r="G837" s="96"/>
      <c r="J837" s="96"/>
      <c r="K837" s="96"/>
      <c r="L837" s="96"/>
    </row>
    <row r="838" spans="2:12" ht="15.75" customHeight="1" thickBot="1">
      <c r="B838" s="96"/>
      <c r="C838" s="97"/>
      <c r="D838" s="96"/>
      <c r="E838" s="96"/>
      <c r="F838" s="96"/>
      <c r="G838" s="96"/>
      <c r="J838" s="96"/>
      <c r="K838" s="96"/>
      <c r="L838" s="96"/>
    </row>
    <row r="839" spans="2:12" ht="15.75" customHeight="1" thickBot="1">
      <c r="B839" s="96"/>
      <c r="C839" s="97"/>
      <c r="D839" s="96"/>
      <c r="E839" s="96"/>
      <c r="F839" s="96"/>
      <c r="G839" s="96"/>
      <c r="J839" s="96"/>
      <c r="K839" s="96"/>
      <c r="L839" s="96"/>
    </row>
    <row r="840" spans="2:12" ht="15.75" customHeight="1" thickBot="1">
      <c r="B840" s="96"/>
      <c r="C840" s="97"/>
      <c r="D840" s="96"/>
      <c r="E840" s="96"/>
      <c r="F840" s="96"/>
      <c r="G840" s="96"/>
      <c r="J840" s="96"/>
      <c r="K840" s="96"/>
      <c r="L840" s="96"/>
    </row>
    <row r="841" spans="2:12" ht="15.75" customHeight="1" thickBot="1">
      <c r="B841" s="96"/>
      <c r="C841" s="97"/>
      <c r="D841" s="96"/>
      <c r="E841" s="96"/>
      <c r="F841" s="96"/>
      <c r="G841" s="96"/>
      <c r="J841" s="96"/>
      <c r="K841" s="96"/>
      <c r="L841" s="96"/>
    </row>
    <row r="842" spans="2:12" ht="15.75" customHeight="1" thickBot="1">
      <c r="B842" s="96"/>
      <c r="C842" s="97"/>
      <c r="D842" s="96"/>
      <c r="E842" s="96"/>
      <c r="F842" s="96"/>
      <c r="G842" s="96"/>
      <c r="J842" s="96"/>
      <c r="K842" s="96"/>
      <c r="L842" s="96"/>
    </row>
    <row r="843" spans="2:12" ht="15.75" customHeight="1" thickBot="1">
      <c r="B843" s="96"/>
      <c r="C843" s="97"/>
      <c r="D843" s="96"/>
      <c r="E843" s="96"/>
      <c r="F843" s="96"/>
      <c r="G843" s="96"/>
      <c r="J843" s="96"/>
      <c r="K843" s="96"/>
      <c r="L843" s="96"/>
    </row>
    <row r="844" spans="2:12" ht="15.75" customHeight="1" thickBot="1">
      <c r="B844" s="96"/>
      <c r="C844" s="97"/>
      <c r="D844" s="96"/>
      <c r="E844" s="96"/>
      <c r="F844" s="96"/>
      <c r="G844" s="96"/>
      <c r="J844" s="96"/>
      <c r="K844" s="96"/>
      <c r="L844" s="96"/>
    </row>
    <row r="845" spans="2:12" ht="15.75" customHeight="1" thickBot="1">
      <c r="B845" s="96"/>
      <c r="C845" s="97"/>
      <c r="D845" s="96"/>
      <c r="E845" s="96"/>
      <c r="F845" s="96"/>
      <c r="G845" s="96"/>
      <c r="J845" s="96"/>
      <c r="K845" s="96"/>
      <c r="L845" s="96"/>
    </row>
    <row r="846" spans="2:12" ht="15.75" customHeight="1" thickBot="1">
      <c r="B846" s="96"/>
      <c r="C846" s="97"/>
      <c r="D846" s="96"/>
      <c r="E846" s="96"/>
      <c r="F846" s="96"/>
      <c r="G846" s="96"/>
      <c r="J846" s="96"/>
      <c r="K846" s="96"/>
      <c r="L846" s="96"/>
    </row>
    <row r="847" spans="2:12" ht="15.75" customHeight="1" thickBot="1">
      <c r="B847" s="96"/>
      <c r="C847" s="97"/>
      <c r="D847" s="96"/>
      <c r="E847" s="96"/>
      <c r="F847" s="96"/>
      <c r="G847" s="96"/>
      <c r="J847" s="96"/>
      <c r="K847" s="96"/>
      <c r="L847" s="96"/>
    </row>
    <row r="848" spans="2:12" ht="15.75" customHeight="1" thickBot="1">
      <c r="B848" s="96"/>
      <c r="C848" s="97"/>
      <c r="D848" s="96"/>
      <c r="E848" s="96"/>
      <c r="F848" s="96"/>
      <c r="G848" s="96"/>
      <c r="J848" s="96"/>
      <c r="K848" s="96"/>
      <c r="L848" s="96"/>
    </row>
    <row r="849" spans="2:12" ht="15.75" customHeight="1" thickBot="1">
      <c r="B849" s="96"/>
      <c r="C849" s="97"/>
      <c r="D849" s="96"/>
      <c r="E849" s="96"/>
      <c r="F849" s="96"/>
      <c r="G849" s="96"/>
      <c r="J849" s="96"/>
      <c r="K849" s="96"/>
      <c r="L849" s="96"/>
    </row>
    <row r="850" spans="2:12" ht="15.75" customHeight="1" thickBot="1">
      <c r="B850" s="96"/>
      <c r="C850" s="97"/>
      <c r="D850" s="96"/>
      <c r="E850" s="96"/>
      <c r="F850" s="96"/>
      <c r="G850" s="96"/>
      <c r="J850" s="96"/>
      <c r="K850" s="96"/>
      <c r="L850" s="96"/>
    </row>
    <row r="851" spans="2:12" ht="15.75" customHeight="1" thickBot="1">
      <c r="B851" s="96"/>
      <c r="C851" s="97"/>
      <c r="D851" s="96"/>
      <c r="E851" s="96"/>
      <c r="F851" s="96"/>
      <c r="G851" s="96"/>
      <c r="J851" s="96"/>
      <c r="K851" s="96"/>
      <c r="L851" s="96"/>
    </row>
    <row r="852" spans="2:12" ht="15.75" customHeight="1" thickBot="1">
      <c r="B852" s="96"/>
      <c r="C852" s="97"/>
      <c r="D852" s="96"/>
      <c r="E852" s="96"/>
      <c r="F852" s="96"/>
      <c r="G852" s="96"/>
      <c r="J852" s="96"/>
      <c r="K852" s="96"/>
      <c r="L852" s="96"/>
    </row>
    <row r="853" spans="2:12" ht="15.75" customHeight="1" thickBot="1">
      <c r="B853" s="96"/>
      <c r="C853" s="97"/>
      <c r="D853" s="96"/>
      <c r="E853" s="96"/>
      <c r="F853" s="96"/>
      <c r="G853" s="96"/>
      <c r="J853" s="96"/>
      <c r="K853" s="96"/>
      <c r="L853" s="96"/>
    </row>
    <row r="854" spans="2:12" ht="15.75" customHeight="1" thickBot="1">
      <c r="B854" s="96"/>
      <c r="C854" s="97"/>
      <c r="D854" s="96"/>
      <c r="E854" s="96"/>
      <c r="F854" s="96"/>
      <c r="G854" s="96"/>
      <c r="J854" s="96"/>
      <c r="K854" s="96"/>
      <c r="L854" s="96"/>
    </row>
    <row r="855" spans="2:12" ht="15.75" customHeight="1" thickBot="1">
      <c r="B855" s="96"/>
      <c r="C855" s="97"/>
      <c r="D855" s="96"/>
      <c r="E855" s="96"/>
      <c r="F855" s="96"/>
      <c r="G855" s="96"/>
      <c r="J855" s="96"/>
      <c r="K855" s="96"/>
      <c r="L855" s="96"/>
    </row>
    <row r="856" spans="2:12" ht="15.75" customHeight="1" thickBot="1">
      <c r="B856" s="96"/>
      <c r="C856" s="97"/>
      <c r="D856" s="96"/>
      <c r="E856" s="96"/>
      <c r="F856" s="96"/>
      <c r="G856" s="96"/>
      <c r="J856" s="96"/>
      <c r="K856" s="96"/>
      <c r="L856" s="96"/>
    </row>
    <row r="857" spans="2:12" ht="15.75" customHeight="1" thickBot="1">
      <c r="B857" s="96"/>
      <c r="C857" s="97"/>
      <c r="D857" s="96"/>
      <c r="E857" s="96"/>
      <c r="F857" s="96"/>
      <c r="G857" s="96"/>
      <c r="J857" s="96"/>
      <c r="K857" s="96"/>
      <c r="L857" s="96"/>
    </row>
    <row r="858" spans="2:12" ht="15.75" customHeight="1" thickBot="1">
      <c r="B858" s="96"/>
      <c r="C858" s="97"/>
      <c r="D858" s="96"/>
      <c r="E858" s="96"/>
      <c r="F858" s="96"/>
      <c r="G858" s="96"/>
      <c r="J858" s="96"/>
      <c r="K858" s="96"/>
      <c r="L858" s="96"/>
    </row>
    <row r="859" spans="2:12" ht="15.75" customHeight="1" thickBot="1">
      <c r="B859" s="96"/>
      <c r="C859" s="97"/>
      <c r="D859" s="96"/>
      <c r="E859" s="96"/>
      <c r="F859" s="96"/>
      <c r="G859" s="96"/>
      <c r="J859" s="96"/>
      <c r="K859" s="96"/>
      <c r="L859" s="96"/>
    </row>
    <row r="860" spans="2:12" ht="15.75" customHeight="1" thickBot="1">
      <c r="B860" s="96"/>
      <c r="C860" s="97"/>
      <c r="D860" s="96"/>
      <c r="E860" s="96"/>
      <c r="F860" s="96"/>
      <c r="G860" s="96"/>
      <c r="J860" s="96"/>
      <c r="K860" s="96"/>
      <c r="L860" s="96"/>
    </row>
    <row r="861" spans="2:12" ht="15.75" customHeight="1" thickBot="1">
      <c r="B861" s="96"/>
      <c r="C861" s="97"/>
      <c r="D861" s="96"/>
      <c r="E861" s="96"/>
      <c r="F861" s="96"/>
      <c r="G861" s="96"/>
      <c r="J861" s="96"/>
      <c r="K861" s="96"/>
      <c r="L861" s="96"/>
    </row>
    <row r="862" spans="2:12" ht="15.75" customHeight="1" thickBot="1">
      <c r="B862" s="96"/>
      <c r="C862" s="97"/>
      <c r="D862" s="96"/>
      <c r="E862" s="96"/>
      <c r="F862" s="96"/>
      <c r="G862" s="96"/>
      <c r="J862" s="96"/>
      <c r="K862" s="96"/>
      <c r="L862" s="96"/>
    </row>
    <row r="863" spans="2:12" ht="15.75" customHeight="1" thickBot="1">
      <c r="B863" s="96"/>
      <c r="C863" s="97"/>
      <c r="D863" s="96"/>
      <c r="E863" s="96"/>
      <c r="F863" s="96"/>
      <c r="G863" s="96"/>
      <c r="J863" s="96"/>
      <c r="K863" s="96"/>
      <c r="L863" s="96"/>
    </row>
    <row r="864" spans="2:12" ht="15.75" customHeight="1" thickBot="1">
      <c r="B864" s="96"/>
      <c r="C864" s="97"/>
      <c r="D864" s="96"/>
      <c r="E864" s="96"/>
      <c r="F864" s="96"/>
      <c r="G864" s="96"/>
      <c r="J864" s="96"/>
      <c r="K864" s="96"/>
      <c r="L864" s="96"/>
    </row>
    <row r="865" spans="2:12" ht="15.75" customHeight="1" thickBot="1">
      <c r="B865" s="96"/>
      <c r="C865" s="97"/>
      <c r="D865" s="96"/>
      <c r="E865" s="96"/>
      <c r="F865" s="96"/>
      <c r="G865" s="96"/>
      <c r="J865" s="96"/>
      <c r="K865" s="96"/>
      <c r="L865" s="96"/>
    </row>
    <row r="866" spans="2:12" ht="15.75" customHeight="1" thickBot="1">
      <c r="B866" s="96"/>
      <c r="C866" s="97"/>
      <c r="D866" s="96"/>
      <c r="E866" s="96"/>
      <c r="F866" s="96"/>
      <c r="G866" s="96"/>
      <c r="J866" s="96"/>
      <c r="K866" s="96"/>
      <c r="L866" s="96"/>
    </row>
    <row r="867" spans="2:12" ht="15.75" customHeight="1" thickBot="1">
      <c r="B867" s="96"/>
      <c r="C867" s="97"/>
      <c r="D867" s="96"/>
      <c r="E867" s="96"/>
      <c r="F867" s="96"/>
      <c r="G867" s="96"/>
      <c r="J867" s="96"/>
      <c r="K867" s="96"/>
      <c r="L867" s="96"/>
    </row>
    <row r="868" spans="2:12" ht="15.75" customHeight="1" thickBot="1">
      <c r="B868" s="96"/>
      <c r="C868" s="97"/>
      <c r="D868" s="96"/>
      <c r="E868" s="96"/>
      <c r="F868" s="96"/>
      <c r="G868" s="96"/>
      <c r="J868" s="96"/>
      <c r="K868" s="96"/>
      <c r="L868" s="96"/>
    </row>
    <row r="869" spans="2:12" ht="15.75" customHeight="1" thickBot="1">
      <c r="B869" s="96"/>
      <c r="C869" s="97"/>
      <c r="D869" s="96"/>
      <c r="E869" s="96"/>
      <c r="F869" s="96"/>
      <c r="G869" s="96"/>
      <c r="J869" s="96"/>
      <c r="K869" s="96"/>
      <c r="L869" s="96"/>
    </row>
    <row r="870" spans="2:12" ht="15.75" customHeight="1" thickBot="1">
      <c r="B870" s="96"/>
      <c r="C870" s="97"/>
      <c r="D870" s="96"/>
      <c r="E870" s="96"/>
      <c r="F870" s="96"/>
      <c r="G870" s="96"/>
      <c r="J870" s="96"/>
      <c r="K870" s="96"/>
      <c r="L870" s="96"/>
    </row>
    <row r="871" spans="2:12" ht="15.75" customHeight="1" thickBot="1">
      <c r="B871" s="96"/>
      <c r="C871" s="97"/>
      <c r="D871" s="96"/>
      <c r="E871" s="96"/>
      <c r="F871" s="96"/>
      <c r="G871" s="96"/>
      <c r="J871" s="96"/>
      <c r="K871" s="96"/>
      <c r="L871" s="96"/>
    </row>
    <row r="872" spans="2:12" ht="15.75" customHeight="1" thickBot="1">
      <c r="B872" s="96"/>
      <c r="C872" s="97"/>
      <c r="D872" s="96"/>
      <c r="E872" s="96"/>
      <c r="F872" s="96"/>
      <c r="G872" s="96"/>
      <c r="J872" s="96"/>
      <c r="K872" s="96"/>
      <c r="L872" s="96"/>
    </row>
    <row r="873" spans="2:12" ht="15.75" customHeight="1" thickBot="1">
      <c r="B873" s="96"/>
      <c r="C873" s="97"/>
      <c r="D873" s="96"/>
      <c r="E873" s="96"/>
      <c r="F873" s="96"/>
      <c r="G873" s="96"/>
      <c r="J873" s="96"/>
      <c r="K873" s="96"/>
      <c r="L873" s="96"/>
    </row>
    <row r="874" spans="2:12" ht="15.75" customHeight="1" thickBot="1">
      <c r="B874" s="96"/>
      <c r="C874" s="97"/>
      <c r="D874" s="96"/>
      <c r="E874" s="96"/>
      <c r="F874" s="96"/>
      <c r="G874" s="96"/>
      <c r="J874" s="96"/>
      <c r="K874" s="96"/>
      <c r="L874" s="96"/>
    </row>
    <row r="875" spans="2:12" ht="15.75" customHeight="1" thickBot="1">
      <c r="B875" s="96"/>
      <c r="C875" s="97"/>
      <c r="D875" s="96"/>
      <c r="E875" s="96"/>
      <c r="F875" s="96"/>
      <c r="G875" s="96"/>
      <c r="J875" s="96"/>
      <c r="K875" s="96"/>
      <c r="L875" s="96"/>
    </row>
    <row r="876" spans="2:12" ht="15.75" customHeight="1" thickBot="1">
      <c r="B876" s="96"/>
      <c r="C876" s="97"/>
      <c r="D876" s="96"/>
      <c r="E876" s="96"/>
      <c r="F876" s="96"/>
      <c r="G876" s="96"/>
      <c r="J876" s="96"/>
      <c r="K876" s="96"/>
      <c r="L876" s="96"/>
    </row>
    <row r="877" spans="2:12" ht="15.75" customHeight="1" thickBot="1">
      <c r="B877" s="96"/>
      <c r="C877" s="97"/>
      <c r="D877" s="96"/>
      <c r="E877" s="96"/>
      <c r="F877" s="96"/>
      <c r="G877" s="96"/>
      <c r="J877" s="96"/>
      <c r="K877" s="96"/>
      <c r="L877" s="96"/>
    </row>
    <row r="878" spans="2:12" ht="15.75" customHeight="1" thickBot="1">
      <c r="B878" s="96"/>
      <c r="C878" s="97"/>
      <c r="D878" s="96"/>
      <c r="E878" s="96"/>
      <c r="F878" s="96"/>
      <c r="G878" s="96"/>
      <c r="J878" s="96"/>
      <c r="K878" s="96"/>
      <c r="L878" s="96"/>
    </row>
    <row r="879" spans="2:12" ht="15.75" customHeight="1" thickBot="1">
      <c r="B879" s="96"/>
      <c r="C879" s="97"/>
      <c r="D879" s="96"/>
      <c r="E879" s="96"/>
      <c r="F879" s="96"/>
      <c r="G879" s="96"/>
      <c r="J879" s="96"/>
      <c r="K879" s="96"/>
      <c r="L879" s="96"/>
    </row>
    <row r="880" spans="2:12" ht="15.75" customHeight="1" thickBot="1">
      <c r="B880" s="96"/>
      <c r="C880" s="97"/>
      <c r="D880" s="96"/>
      <c r="E880" s="96"/>
      <c r="F880" s="96"/>
      <c r="G880" s="96"/>
      <c r="J880" s="96"/>
      <c r="K880" s="96"/>
      <c r="L880" s="96"/>
    </row>
    <row r="881" spans="2:12" ht="15.75" customHeight="1" thickBot="1">
      <c r="B881" s="96"/>
      <c r="C881" s="97"/>
      <c r="D881" s="96"/>
      <c r="E881" s="96"/>
      <c r="F881" s="96"/>
      <c r="G881" s="96"/>
      <c r="J881" s="96"/>
      <c r="K881" s="96"/>
      <c r="L881" s="96"/>
    </row>
    <row r="882" spans="2:12" ht="15.75" customHeight="1" thickBot="1">
      <c r="B882" s="96"/>
      <c r="C882" s="97"/>
      <c r="D882" s="96"/>
      <c r="E882" s="96"/>
      <c r="F882" s="96"/>
      <c r="G882" s="96"/>
      <c r="J882" s="96"/>
      <c r="K882" s="96"/>
      <c r="L882" s="96"/>
    </row>
    <row r="883" spans="2:12" ht="15.75" customHeight="1" thickBot="1">
      <c r="B883" s="96"/>
      <c r="C883" s="97"/>
      <c r="D883" s="96"/>
      <c r="E883" s="96"/>
      <c r="F883" s="96"/>
      <c r="G883" s="96"/>
      <c r="J883" s="96"/>
      <c r="K883" s="96"/>
      <c r="L883" s="96"/>
    </row>
    <row r="884" spans="2:12" ht="15.75" customHeight="1" thickBot="1">
      <c r="B884" s="96"/>
      <c r="C884" s="97"/>
      <c r="D884" s="96"/>
      <c r="E884" s="96"/>
      <c r="F884" s="96"/>
      <c r="G884" s="96"/>
      <c r="J884" s="96"/>
      <c r="K884" s="96"/>
      <c r="L884" s="96"/>
    </row>
    <row r="885" spans="2:12" ht="15.75" customHeight="1" thickBot="1">
      <c r="B885" s="96"/>
      <c r="C885" s="97"/>
      <c r="D885" s="96"/>
      <c r="E885" s="96"/>
      <c r="F885" s="96"/>
      <c r="G885" s="96"/>
      <c r="J885" s="96"/>
      <c r="K885" s="96"/>
      <c r="L885" s="96"/>
    </row>
    <row r="886" spans="2:12" ht="15.75" customHeight="1" thickBot="1">
      <c r="B886" s="96"/>
      <c r="C886" s="97"/>
      <c r="D886" s="96"/>
      <c r="E886" s="96"/>
      <c r="F886" s="96"/>
      <c r="G886" s="96"/>
      <c r="J886" s="96"/>
      <c r="K886" s="96"/>
      <c r="L886" s="96"/>
    </row>
    <row r="887" spans="2:12" ht="15.75" customHeight="1" thickBot="1">
      <c r="B887" s="96"/>
      <c r="C887" s="97"/>
      <c r="D887" s="96"/>
      <c r="E887" s="96"/>
      <c r="F887" s="96"/>
      <c r="G887" s="96"/>
      <c r="J887" s="96"/>
      <c r="K887" s="96"/>
      <c r="L887" s="96"/>
    </row>
    <row r="888" spans="2:12" ht="15.75" customHeight="1" thickBot="1">
      <c r="B888" s="96"/>
      <c r="C888" s="97"/>
      <c r="D888" s="96"/>
      <c r="E888" s="96"/>
      <c r="F888" s="96"/>
      <c r="G888" s="96"/>
      <c r="J888" s="96"/>
      <c r="K888" s="96"/>
      <c r="L888" s="96"/>
    </row>
    <row r="889" spans="2:12" ht="15.75" customHeight="1" thickBot="1">
      <c r="B889" s="96"/>
      <c r="C889" s="97"/>
      <c r="D889" s="96"/>
      <c r="E889" s="96"/>
      <c r="F889" s="96"/>
      <c r="G889" s="96"/>
      <c r="J889" s="96"/>
      <c r="K889" s="96"/>
      <c r="L889" s="96"/>
    </row>
    <row r="890" spans="2:12" ht="15.75" customHeight="1" thickBot="1">
      <c r="B890" s="96"/>
      <c r="C890" s="97"/>
      <c r="D890" s="96"/>
      <c r="E890" s="96"/>
      <c r="F890" s="96"/>
      <c r="G890" s="96"/>
      <c r="J890" s="96"/>
      <c r="K890" s="96"/>
      <c r="L890" s="96"/>
    </row>
    <row r="891" spans="2:12" ht="15.75" customHeight="1" thickBot="1">
      <c r="B891" s="96"/>
      <c r="C891" s="97"/>
      <c r="D891" s="96"/>
      <c r="E891" s="96"/>
      <c r="F891" s="96"/>
      <c r="G891" s="96"/>
      <c r="J891" s="96"/>
      <c r="K891" s="96"/>
      <c r="L891" s="96"/>
    </row>
    <row r="892" spans="2:12" ht="15.75" customHeight="1" thickBot="1">
      <c r="B892" s="96"/>
      <c r="C892" s="97"/>
      <c r="D892" s="96"/>
      <c r="E892" s="96"/>
      <c r="F892" s="96"/>
      <c r="G892" s="96"/>
      <c r="J892" s="96"/>
      <c r="K892" s="96"/>
      <c r="L892" s="96"/>
    </row>
    <row r="893" spans="2:12" ht="15.75" customHeight="1" thickBot="1">
      <c r="B893" s="96"/>
      <c r="C893" s="97"/>
      <c r="D893" s="96"/>
      <c r="E893" s="96"/>
      <c r="F893" s="96"/>
      <c r="G893" s="96"/>
      <c r="J893" s="96"/>
      <c r="K893" s="96"/>
      <c r="L893" s="96"/>
    </row>
    <row r="894" spans="2:12" ht="15.75" customHeight="1" thickBot="1">
      <c r="B894" s="96"/>
      <c r="C894" s="97"/>
      <c r="D894" s="96"/>
      <c r="E894" s="96"/>
      <c r="F894" s="96"/>
      <c r="G894" s="96"/>
      <c r="J894" s="96"/>
      <c r="K894" s="96"/>
      <c r="L894" s="96"/>
    </row>
    <row r="895" spans="2:12" ht="15.75" customHeight="1" thickBot="1">
      <c r="B895" s="96"/>
      <c r="C895" s="97"/>
      <c r="D895" s="96"/>
      <c r="E895" s="96"/>
      <c r="F895" s="96"/>
      <c r="G895" s="96"/>
      <c r="J895" s="96"/>
      <c r="K895" s="96"/>
      <c r="L895" s="96"/>
    </row>
    <row r="896" spans="2:12" ht="15.75" customHeight="1" thickBot="1">
      <c r="B896" s="96"/>
      <c r="C896" s="97"/>
      <c r="D896" s="96"/>
      <c r="E896" s="96"/>
      <c r="F896" s="96"/>
      <c r="G896" s="96"/>
      <c r="J896" s="96"/>
      <c r="K896" s="96"/>
      <c r="L896" s="96"/>
    </row>
    <row r="897" spans="2:12" ht="15.75" customHeight="1" thickBot="1">
      <c r="B897" s="96"/>
      <c r="C897" s="97"/>
      <c r="D897" s="96"/>
      <c r="E897" s="96"/>
      <c r="F897" s="96"/>
      <c r="G897" s="96"/>
      <c r="J897" s="96"/>
      <c r="K897" s="96"/>
      <c r="L897" s="96"/>
    </row>
    <row r="898" spans="2:12" ht="15.75" customHeight="1" thickBot="1">
      <c r="B898" s="96"/>
      <c r="C898" s="97"/>
      <c r="D898" s="96"/>
      <c r="E898" s="96"/>
      <c r="F898" s="96"/>
      <c r="G898" s="96"/>
      <c r="J898" s="96"/>
      <c r="K898" s="96"/>
      <c r="L898" s="96"/>
    </row>
    <row r="899" spans="2:12" ht="15.75" customHeight="1" thickBot="1">
      <c r="B899" s="96"/>
      <c r="C899" s="97"/>
      <c r="D899" s="96"/>
      <c r="E899" s="96"/>
      <c r="F899" s="96"/>
      <c r="G899" s="96"/>
      <c r="J899" s="96"/>
      <c r="K899" s="96"/>
      <c r="L899" s="96"/>
    </row>
    <row r="900" spans="2:12" ht="15.75" customHeight="1" thickBot="1">
      <c r="B900" s="96"/>
      <c r="C900" s="97"/>
      <c r="D900" s="96"/>
      <c r="E900" s="96"/>
      <c r="F900" s="96"/>
      <c r="G900" s="96"/>
      <c r="J900" s="96"/>
      <c r="K900" s="96"/>
      <c r="L900" s="96"/>
    </row>
    <row r="901" spans="2:12" ht="15.75" customHeight="1" thickBot="1">
      <c r="B901" s="96"/>
      <c r="C901" s="97"/>
      <c r="D901" s="96"/>
      <c r="E901" s="96"/>
      <c r="F901" s="96"/>
      <c r="G901" s="96"/>
      <c r="J901" s="96"/>
      <c r="K901" s="96"/>
      <c r="L901" s="96"/>
    </row>
    <row r="902" spans="2:12" ht="15.75" customHeight="1" thickBot="1">
      <c r="B902" s="96"/>
      <c r="C902" s="97"/>
      <c r="D902" s="96"/>
      <c r="E902" s="96"/>
      <c r="F902" s="96"/>
      <c r="G902" s="96"/>
      <c r="J902" s="96"/>
      <c r="K902" s="96"/>
      <c r="L902" s="96"/>
    </row>
    <row r="903" spans="2:12" ht="15.75" customHeight="1" thickBot="1">
      <c r="B903" s="96"/>
      <c r="C903" s="97"/>
      <c r="D903" s="96"/>
      <c r="E903" s="96"/>
      <c r="F903" s="96"/>
      <c r="G903" s="96"/>
      <c r="J903" s="96"/>
      <c r="K903" s="96"/>
      <c r="L903" s="96"/>
    </row>
    <row r="904" spans="2:12" ht="15.75" customHeight="1" thickBot="1">
      <c r="B904" s="96"/>
      <c r="C904" s="97"/>
      <c r="D904" s="96"/>
      <c r="E904" s="96"/>
      <c r="F904" s="96"/>
      <c r="G904" s="96"/>
      <c r="J904" s="96"/>
      <c r="K904" s="96"/>
      <c r="L904" s="96"/>
    </row>
    <row r="905" spans="2:12" ht="15.75" customHeight="1" thickBot="1">
      <c r="B905" s="96"/>
      <c r="C905" s="97"/>
      <c r="D905" s="96"/>
      <c r="E905" s="96"/>
      <c r="F905" s="96"/>
      <c r="G905" s="96"/>
      <c r="J905" s="96"/>
      <c r="K905" s="96"/>
      <c r="L905" s="96"/>
    </row>
    <row r="906" spans="2:12" ht="15.75" customHeight="1" thickBot="1">
      <c r="B906" s="96"/>
      <c r="C906" s="97"/>
      <c r="D906" s="96"/>
      <c r="E906" s="96"/>
      <c r="F906" s="96"/>
      <c r="G906" s="96"/>
      <c r="J906" s="96"/>
      <c r="K906" s="96"/>
      <c r="L906" s="96"/>
    </row>
    <row r="907" spans="2:12" ht="15.75" customHeight="1" thickBot="1">
      <c r="B907" s="96"/>
      <c r="C907" s="97"/>
      <c r="D907" s="96"/>
      <c r="E907" s="96"/>
      <c r="F907" s="96"/>
      <c r="G907" s="96"/>
      <c r="J907" s="96"/>
      <c r="K907" s="96"/>
      <c r="L907" s="96"/>
    </row>
    <row r="908" spans="2:12" ht="15.75" customHeight="1" thickBot="1">
      <c r="B908" s="96"/>
      <c r="C908" s="97"/>
      <c r="D908" s="96"/>
      <c r="E908" s="96"/>
      <c r="F908" s="96"/>
      <c r="G908" s="96"/>
      <c r="J908" s="96"/>
      <c r="K908" s="96"/>
      <c r="L908" s="96"/>
    </row>
    <row r="909" spans="2:12" ht="15.75" customHeight="1" thickBot="1">
      <c r="B909" s="96"/>
      <c r="C909" s="97"/>
      <c r="D909" s="96"/>
      <c r="E909" s="96"/>
      <c r="F909" s="96"/>
      <c r="G909" s="96"/>
      <c r="J909" s="96"/>
      <c r="K909" s="96"/>
      <c r="L909" s="96"/>
    </row>
    <row r="910" spans="2:12" ht="15.75" customHeight="1" thickBot="1">
      <c r="B910" s="96"/>
      <c r="C910" s="97"/>
      <c r="D910" s="96"/>
      <c r="E910" s="96"/>
      <c r="F910" s="96"/>
      <c r="G910" s="96"/>
      <c r="J910" s="96"/>
      <c r="K910" s="96"/>
      <c r="L910" s="96"/>
    </row>
    <row r="911" spans="2:12" ht="15.75" customHeight="1" thickBot="1">
      <c r="B911" s="96"/>
      <c r="C911" s="97"/>
      <c r="D911" s="96"/>
      <c r="E911" s="96"/>
      <c r="F911" s="96"/>
      <c r="G911" s="96"/>
      <c r="J911" s="96"/>
      <c r="K911" s="96"/>
      <c r="L911" s="96"/>
    </row>
    <row r="912" spans="2:12" ht="15.75" customHeight="1" thickBot="1">
      <c r="B912" s="96"/>
      <c r="C912" s="97"/>
      <c r="D912" s="96"/>
      <c r="E912" s="96"/>
      <c r="F912" s="96"/>
      <c r="G912" s="96"/>
      <c r="J912" s="96"/>
      <c r="K912" s="96"/>
      <c r="L912" s="96"/>
    </row>
    <row r="913" spans="2:12" ht="15.75" customHeight="1" thickBot="1">
      <c r="B913" s="96"/>
      <c r="C913" s="97"/>
      <c r="D913" s="96"/>
      <c r="E913" s="96"/>
      <c r="F913" s="96"/>
      <c r="G913" s="96"/>
      <c r="J913" s="96"/>
      <c r="K913" s="96"/>
      <c r="L913" s="96"/>
    </row>
    <row r="914" spans="2:12" ht="15.75" customHeight="1" thickBot="1">
      <c r="B914" s="96"/>
      <c r="C914" s="97"/>
      <c r="D914" s="96"/>
      <c r="E914" s="96"/>
      <c r="F914" s="96"/>
      <c r="G914" s="96"/>
      <c r="J914" s="96"/>
      <c r="K914" s="96"/>
      <c r="L914" s="96"/>
    </row>
    <row r="915" spans="2:12" ht="15.75" customHeight="1" thickBot="1">
      <c r="B915" s="96"/>
      <c r="C915" s="97"/>
      <c r="D915" s="96"/>
      <c r="E915" s="96"/>
      <c r="F915" s="96"/>
      <c r="G915" s="96"/>
      <c r="J915" s="96"/>
      <c r="K915" s="96"/>
      <c r="L915" s="96"/>
    </row>
    <row r="916" spans="2:12" ht="15.75" customHeight="1" thickBot="1">
      <c r="B916" s="96"/>
      <c r="C916" s="97"/>
      <c r="D916" s="96"/>
      <c r="E916" s="96"/>
      <c r="F916" s="96"/>
      <c r="G916" s="96"/>
      <c r="J916" s="96"/>
      <c r="K916" s="96"/>
      <c r="L916" s="96"/>
    </row>
    <row r="917" spans="2:12" ht="15.75" customHeight="1" thickBot="1">
      <c r="B917" s="96"/>
      <c r="C917" s="97"/>
      <c r="D917" s="96"/>
      <c r="E917" s="96"/>
      <c r="F917" s="96"/>
      <c r="G917" s="96"/>
      <c r="J917" s="96"/>
      <c r="K917" s="96"/>
      <c r="L917" s="96"/>
    </row>
    <row r="918" spans="2:12" ht="15.75" customHeight="1" thickBot="1">
      <c r="B918" s="96"/>
      <c r="C918" s="97"/>
      <c r="D918" s="96"/>
      <c r="E918" s="96"/>
      <c r="F918" s="96"/>
      <c r="G918" s="96"/>
      <c r="J918" s="96"/>
      <c r="K918" s="96"/>
      <c r="L918" s="96"/>
    </row>
    <row r="919" spans="2:12" ht="15.75" customHeight="1" thickBot="1">
      <c r="B919" s="96"/>
      <c r="C919" s="97"/>
      <c r="D919" s="96"/>
      <c r="E919" s="96"/>
      <c r="F919" s="96"/>
      <c r="G919" s="96"/>
      <c r="J919" s="96"/>
      <c r="K919" s="96"/>
      <c r="L919" s="96"/>
    </row>
    <row r="920" spans="2:12" ht="15.75" customHeight="1" thickBot="1">
      <c r="B920" s="96"/>
      <c r="C920" s="97"/>
      <c r="D920" s="96"/>
      <c r="E920" s="96"/>
      <c r="F920" s="96"/>
      <c r="G920" s="96"/>
      <c r="J920" s="96"/>
      <c r="K920" s="96"/>
      <c r="L920" s="96"/>
    </row>
    <row r="921" spans="2:12" ht="15.75" customHeight="1" thickBot="1">
      <c r="B921" s="96"/>
      <c r="C921" s="97"/>
      <c r="D921" s="96"/>
      <c r="E921" s="96"/>
      <c r="F921" s="96"/>
      <c r="G921" s="96"/>
      <c r="J921" s="96"/>
      <c r="K921" s="96"/>
      <c r="L921" s="96"/>
    </row>
    <row r="922" spans="2:12" ht="15.75" customHeight="1" thickBot="1">
      <c r="B922" s="96"/>
      <c r="C922" s="97"/>
      <c r="D922" s="96"/>
      <c r="E922" s="96"/>
      <c r="F922" s="96"/>
      <c r="G922" s="96"/>
      <c r="J922" s="96"/>
      <c r="K922" s="96"/>
      <c r="L922" s="96"/>
    </row>
    <row r="923" spans="2:12" ht="15.75" customHeight="1" thickBot="1">
      <c r="B923" s="96"/>
      <c r="C923" s="97"/>
      <c r="D923" s="96"/>
      <c r="E923" s="96"/>
      <c r="F923" s="96"/>
      <c r="G923" s="96"/>
      <c r="J923" s="96"/>
      <c r="K923" s="96"/>
      <c r="L923" s="96"/>
    </row>
    <row r="924" spans="2:12" ht="15.75" customHeight="1" thickBot="1">
      <c r="B924" s="96"/>
      <c r="C924" s="97"/>
      <c r="D924" s="96"/>
      <c r="E924" s="96"/>
      <c r="F924" s="96"/>
      <c r="G924" s="96"/>
      <c r="J924" s="96"/>
      <c r="K924" s="96"/>
      <c r="L924" s="96"/>
    </row>
    <row r="925" spans="2:12" ht="15.75" customHeight="1" thickBot="1">
      <c r="B925" s="96"/>
      <c r="C925" s="97"/>
      <c r="D925" s="96"/>
      <c r="E925" s="96"/>
      <c r="F925" s="96"/>
      <c r="G925" s="96"/>
      <c r="J925" s="96"/>
      <c r="K925" s="96"/>
      <c r="L925" s="96"/>
    </row>
    <row r="926" spans="2:12" ht="15.75" customHeight="1" thickBot="1">
      <c r="B926" s="96"/>
      <c r="C926" s="97"/>
      <c r="D926" s="96"/>
      <c r="E926" s="96"/>
      <c r="F926" s="96"/>
      <c r="G926" s="96"/>
      <c r="J926" s="96"/>
      <c r="K926" s="96"/>
      <c r="L926" s="96"/>
    </row>
    <row r="927" spans="2:12" ht="15.75" customHeight="1" thickBot="1">
      <c r="B927" s="96"/>
      <c r="C927" s="97"/>
      <c r="D927" s="96"/>
      <c r="E927" s="96"/>
      <c r="F927" s="96"/>
      <c r="G927" s="96"/>
      <c r="J927" s="96"/>
      <c r="K927" s="96"/>
      <c r="L927" s="96"/>
    </row>
    <row r="928" spans="2:12" ht="15.75" customHeight="1" thickBot="1">
      <c r="B928" s="96"/>
      <c r="C928" s="97"/>
      <c r="D928" s="96"/>
      <c r="E928" s="96"/>
      <c r="F928" s="96"/>
      <c r="G928" s="96"/>
      <c r="J928" s="96"/>
      <c r="K928" s="96"/>
      <c r="L928" s="96"/>
    </row>
    <row r="929" spans="2:12" ht="15.75" customHeight="1" thickBot="1">
      <c r="B929" s="96"/>
      <c r="C929" s="97"/>
      <c r="D929" s="96"/>
      <c r="E929" s="96"/>
      <c r="F929" s="96"/>
      <c r="G929" s="96"/>
      <c r="J929" s="96"/>
      <c r="K929" s="96"/>
      <c r="L929" s="96"/>
    </row>
    <row r="930" spans="2:12" ht="15.75" customHeight="1" thickBot="1">
      <c r="B930" s="96"/>
      <c r="C930" s="97"/>
      <c r="D930" s="96"/>
      <c r="E930" s="96"/>
      <c r="F930" s="96"/>
      <c r="G930" s="96"/>
      <c r="J930" s="96"/>
      <c r="K930" s="96"/>
      <c r="L930" s="96"/>
    </row>
    <row r="931" spans="2:12" ht="15.75" customHeight="1" thickBot="1">
      <c r="B931" s="96"/>
      <c r="C931" s="97"/>
      <c r="D931" s="96"/>
      <c r="E931" s="96"/>
      <c r="F931" s="96"/>
      <c r="G931" s="96"/>
      <c r="J931" s="96"/>
      <c r="K931" s="96"/>
      <c r="L931" s="96"/>
    </row>
    <row r="932" spans="2:12" ht="15.75" customHeight="1" thickBot="1">
      <c r="B932" s="96"/>
      <c r="C932" s="97"/>
      <c r="D932" s="96"/>
      <c r="E932" s="96"/>
      <c r="F932" s="96"/>
      <c r="G932" s="96"/>
      <c r="J932" s="96"/>
      <c r="K932" s="96"/>
      <c r="L932" s="96"/>
    </row>
    <row r="933" spans="2:12" ht="15.75" customHeight="1" thickBot="1">
      <c r="B933" s="96"/>
      <c r="C933" s="97"/>
      <c r="D933" s="96"/>
      <c r="E933" s="96"/>
      <c r="F933" s="96"/>
      <c r="G933" s="96"/>
      <c r="J933" s="96"/>
      <c r="K933" s="96"/>
      <c r="L933" s="96"/>
    </row>
    <row r="934" spans="2:12" ht="15.75" customHeight="1" thickBot="1">
      <c r="B934" s="96"/>
      <c r="C934" s="97"/>
      <c r="D934" s="96"/>
      <c r="E934" s="96"/>
      <c r="F934" s="96"/>
      <c r="G934" s="96"/>
      <c r="J934" s="96"/>
      <c r="K934" s="96"/>
      <c r="L934" s="96"/>
    </row>
    <row r="935" spans="2:12" ht="15.75" customHeight="1" thickBot="1">
      <c r="B935" s="96"/>
      <c r="C935" s="97"/>
      <c r="D935" s="96"/>
      <c r="E935" s="96"/>
      <c r="F935" s="96"/>
      <c r="G935" s="96"/>
      <c r="J935" s="96"/>
      <c r="K935" s="96"/>
      <c r="L935" s="96"/>
    </row>
    <row r="936" spans="2:12" ht="15.75" customHeight="1" thickBot="1">
      <c r="B936" s="96"/>
      <c r="C936" s="97"/>
      <c r="D936" s="96"/>
      <c r="E936" s="96"/>
      <c r="F936" s="96"/>
      <c r="G936" s="96"/>
      <c r="J936" s="96"/>
      <c r="K936" s="96"/>
      <c r="L936" s="96"/>
    </row>
    <row r="937" spans="2:12" ht="15.75" customHeight="1" thickBot="1">
      <c r="B937" s="96"/>
      <c r="C937" s="97"/>
      <c r="D937" s="96"/>
      <c r="E937" s="96"/>
      <c r="F937" s="96"/>
      <c r="G937" s="96"/>
      <c r="J937" s="96"/>
      <c r="K937" s="96"/>
      <c r="L937" s="96"/>
    </row>
    <row r="938" spans="2:12" ht="15.75" customHeight="1" thickBot="1">
      <c r="B938" s="96"/>
      <c r="C938" s="97"/>
      <c r="D938" s="96"/>
      <c r="E938" s="96"/>
      <c r="F938" s="96"/>
      <c r="G938" s="96"/>
      <c r="J938" s="96"/>
      <c r="K938" s="96"/>
      <c r="L938" s="96"/>
    </row>
    <row r="939" spans="2:12" ht="15.75" customHeight="1" thickBot="1">
      <c r="B939" s="96"/>
      <c r="C939" s="97"/>
      <c r="D939" s="96"/>
      <c r="E939" s="96"/>
      <c r="F939" s="96"/>
      <c r="G939" s="96"/>
      <c r="J939" s="96"/>
      <c r="K939" s="96"/>
      <c r="L939" s="96"/>
    </row>
    <row r="940" spans="2:12" ht="15.75" customHeight="1" thickBot="1">
      <c r="B940" s="96"/>
      <c r="C940" s="97"/>
      <c r="D940" s="96"/>
      <c r="E940" s="96"/>
      <c r="F940" s="96"/>
      <c r="G940" s="96"/>
      <c r="J940" s="96"/>
      <c r="K940" s="96"/>
      <c r="L940" s="96"/>
    </row>
    <row r="941" spans="2:12" ht="15.75" customHeight="1" thickBot="1">
      <c r="B941" s="96"/>
      <c r="C941" s="97"/>
      <c r="D941" s="96"/>
      <c r="E941" s="96"/>
      <c r="F941" s="96"/>
      <c r="G941" s="96"/>
      <c r="J941" s="96"/>
      <c r="K941" s="96"/>
      <c r="L941" s="96"/>
    </row>
    <row r="942" spans="2:12" ht="15.75" customHeight="1" thickBot="1">
      <c r="B942" s="96"/>
      <c r="C942" s="97"/>
      <c r="D942" s="96"/>
      <c r="E942" s="96"/>
      <c r="F942" s="96"/>
      <c r="G942" s="96"/>
      <c r="J942" s="96"/>
      <c r="K942" s="96"/>
      <c r="L942" s="96"/>
    </row>
    <row r="943" spans="2:12" ht="15.75" customHeight="1" thickBot="1">
      <c r="B943" s="96"/>
      <c r="C943" s="97"/>
      <c r="D943" s="96"/>
      <c r="E943" s="96"/>
      <c r="F943" s="96"/>
      <c r="G943" s="96"/>
      <c r="J943" s="96"/>
      <c r="K943" s="96"/>
      <c r="L943" s="96"/>
    </row>
    <row r="944" spans="2:12" ht="15.75" customHeight="1" thickBot="1">
      <c r="B944" s="96"/>
      <c r="C944" s="97"/>
      <c r="D944" s="96"/>
      <c r="E944" s="96"/>
      <c r="F944" s="96"/>
      <c r="G944" s="96"/>
      <c r="J944" s="96"/>
      <c r="K944" s="96"/>
      <c r="L944" s="96"/>
    </row>
    <row r="945" spans="2:12" ht="15.75" customHeight="1" thickBot="1">
      <c r="B945" s="96"/>
      <c r="C945" s="97"/>
      <c r="D945" s="96"/>
      <c r="E945" s="96"/>
      <c r="F945" s="96"/>
      <c r="G945" s="96"/>
      <c r="J945" s="96"/>
      <c r="K945" s="96"/>
      <c r="L945" s="96"/>
    </row>
    <row r="946" spans="2:12" ht="15.75" customHeight="1" thickBot="1">
      <c r="B946" s="96"/>
      <c r="C946" s="97"/>
      <c r="D946" s="96"/>
      <c r="E946" s="96"/>
      <c r="F946" s="96"/>
      <c r="G946" s="96"/>
      <c r="J946" s="96"/>
      <c r="K946" s="96"/>
      <c r="L946" s="96"/>
    </row>
    <row r="947" spans="2:12" ht="15.75" customHeight="1" thickBot="1">
      <c r="B947" s="96"/>
      <c r="C947" s="97"/>
      <c r="D947" s="96"/>
      <c r="E947" s="96"/>
      <c r="F947" s="96"/>
      <c r="G947" s="96"/>
      <c r="J947" s="96"/>
      <c r="K947" s="96"/>
      <c r="L947" s="96"/>
    </row>
    <row r="948" spans="2:12" ht="15.75" customHeight="1" thickBot="1">
      <c r="B948" s="96"/>
      <c r="C948" s="97"/>
      <c r="D948" s="96"/>
      <c r="E948" s="96"/>
      <c r="F948" s="96"/>
      <c r="G948" s="96"/>
      <c r="J948" s="96"/>
      <c r="K948" s="96"/>
      <c r="L948" s="96"/>
    </row>
    <row r="949" spans="2:12" ht="15.75" customHeight="1" thickBot="1">
      <c r="B949" s="96"/>
      <c r="C949" s="97"/>
      <c r="D949" s="96"/>
      <c r="E949" s="96"/>
      <c r="F949" s="96"/>
      <c r="G949" s="96"/>
      <c r="J949" s="96"/>
      <c r="K949" s="96"/>
      <c r="L949" s="96"/>
    </row>
    <row r="950" spans="2:12" ht="15.75" customHeight="1" thickBot="1">
      <c r="B950" s="96"/>
      <c r="C950" s="97"/>
      <c r="D950" s="96"/>
      <c r="E950" s="96"/>
      <c r="F950" s="96"/>
      <c r="G950" s="96"/>
      <c r="J950" s="96"/>
      <c r="K950" s="96"/>
      <c r="L950" s="96"/>
    </row>
    <row r="951" spans="2:12" ht="15.75" customHeight="1" thickBot="1">
      <c r="B951" s="96"/>
      <c r="C951" s="97"/>
      <c r="D951" s="96"/>
      <c r="E951" s="96"/>
      <c r="F951" s="96"/>
      <c r="G951" s="96"/>
      <c r="J951" s="96"/>
      <c r="K951" s="96"/>
      <c r="L951" s="96"/>
    </row>
    <row r="952" spans="2:12" ht="15.75" customHeight="1" thickBot="1">
      <c r="B952" s="96"/>
      <c r="C952" s="97"/>
      <c r="D952" s="96"/>
      <c r="E952" s="96"/>
      <c r="F952" s="96"/>
      <c r="G952" s="96"/>
      <c r="J952" s="96"/>
      <c r="K952" s="96"/>
      <c r="L952" s="96"/>
    </row>
    <row r="953" spans="2:12" ht="15.75" customHeight="1" thickBot="1">
      <c r="B953" s="96"/>
      <c r="C953" s="97"/>
      <c r="D953" s="96"/>
      <c r="E953" s="96"/>
      <c r="F953" s="96"/>
      <c r="G953" s="96"/>
      <c r="J953" s="96"/>
      <c r="K953" s="96"/>
      <c r="L953" s="96"/>
    </row>
    <row r="954" spans="2:12" ht="15.75" customHeight="1" thickBot="1">
      <c r="B954" s="96"/>
      <c r="C954" s="97"/>
      <c r="D954" s="96"/>
      <c r="E954" s="96"/>
      <c r="F954" s="96"/>
      <c r="G954" s="96"/>
      <c r="J954" s="96"/>
      <c r="K954" s="96"/>
      <c r="L954" s="96"/>
    </row>
    <row r="955" spans="2:12" ht="15.75" customHeight="1" thickBot="1">
      <c r="B955" s="96"/>
      <c r="C955" s="97"/>
      <c r="D955" s="96"/>
      <c r="E955" s="96"/>
      <c r="F955" s="96"/>
      <c r="G955" s="96"/>
      <c r="J955" s="96"/>
      <c r="K955" s="96"/>
      <c r="L955" s="96"/>
    </row>
    <row r="956" spans="2:12" ht="15.75" customHeight="1" thickBot="1">
      <c r="B956" s="96"/>
      <c r="C956" s="97"/>
      <c r="D956" s="96"/>
      <c r="E956" s="96"/>
      <c r="F956" s="96"/>
      <c r="G956" s="96"/>
      <c r="J956" s="96"/>
      <c r="K956" s="96"/>
      <c r="L956" s="96"/>
    </row>
    <row r="957" spans="2:12" ht="15.75" customHeight="1" thickBot="1">
      <c r="B957" s="96"/>
      <c r="C957" s="97"/>
      <c r="D957" s="96"/>
      <c r="E957" s="96"/>
      <c r="F957" s="96"/>
      <c r="G957" s="96"/>
      <c r="J957" s="96"/>
      <c r="K957" s="96"/>
      <c r="L957" s="96"/>
    </row>
    <row r="958" spans="2:12" ht="15.75" customHeight="1" thickBot="1">
      <c r="B958" s="96"/>
      <c r="C958" s="97"/>
      <c r="D958" s="96"/>
      <c r="E958" s="96"/>
      <c r="F958" s="96"/>
      <c r="G958" s="96"/>
      <c r="J958" s="96"/>
      <c r="K958" s="96"/>
      <c r="L958" s="96"/>
    </row>
    <row r="959" spans="2:12" ht="15.75" customHeight="1" thickBot="1">
      <c r="B959" s="96"/>
      <c r="C959" s="97"/>
      <c r="D959" s="96"/>
      <c r="E959" s="96"/>
      <c r="F959" s="96"/>
      <c r="G959" s="96"/>
      <c r="J959" s="96"/>
      <c r="K959" s="96"/>
      <c r="L959" s="96"/>
    </row>
    <row r="960" spans="2:12" ht="15.75" customHeight="1" thickBot="1">
      <c r="B960" s="96"/>
      <c r="C960" s="97"/>
      <c r="D960" s="96"/>
      <c r="E960" s="96"/>
      <c r="F960" s="96"/>
      <c r="G960" s="96"/>
      <c r="J960" s="96"/>
      <c r="K960" s="96"/>
      <c r="L960" s="96"/>
    </row>
    <row r="961" spans="2:12" ht="15.75" customHeight="1" thickBot="1">
      <c r="B961" s="96"/>
      <c r="C961" s="97"/>
      <c r="D961" s="96"/>
      <c r="E961" s="96"/>
      <c r="F961" s="96"/>
      <c r="G961" s="96"/>
      <c r="J961" s="96"/>
      <c r="K961" s="96"/>
      <c r="L961" s="96"/>
    </row>
    <row r="962" spans="2:12" ht="15.75" customHeight="1" thickBot="1">
      <c r="B962" s="96"/>
      <c r="C962" s="97"/>
      <c r="D962" s="96"/>
      <c r="E962" s="96"/>
      <c r="F962" s="96"/>
      <c r="G962" s="96"/>
      <c r="J962" s="96"/>
      <c r="K962" s="96"/>
      <c r="L962" s="96"/>
    </row>
    <row r="963" spans="2:12" ht="15.75" customHeight="1" thickBot="1">
      <c r="B963" s="96"/>
      <c r="C963" s="97"/>
      <c r="D963" s="96"/>
      <c r="E963" s="96"/>
      <c r="F963" s="96"/>
      <c r="G963" s="96"/>
      <c r="J963" s="96"/>
      <c r="K963" s="96"/>
      <c r="L963" s="96"/>
    </row>
    <row r="964" spans="2:12" ht="15.75" customHeight="1" thickBot="1">
      <c r="B964" s="96"/>
      <c r="C964" s="97"/>
      <c r="D964" s="96"/>
      <c r="E964" s="96"/>
      <c r="F964" s="96"/>
      <c r="G964" s="96"/>
      <c r="J964" s="96"/>
      <c r="K964" s="96"/>
      <c r="L964" s="96"/>
    </row>
    <row r="965" spans="2:12" ht="15.75" customHeight="1" thickBot="1">
      <c r="B965" s="96"/>
      <c r="C965" s="97"/>
      <c r="D965" s="96"/>
      <c r="E965" s="96"/>
      <c r="F965" s="96"/>
      <c r="G965" s="96"/>
      <c r="J965" s="96"/>
      <c r="K965" s="96"/>
      <c r="L965" s="96"/>
    </row>
    <row r="966" spans="2:12" ht="15.75" customHeight="1" thickBot="1">
      <c r="B966" s="96"/>
      <c r="C966" s="97"/>
      <c r="D966" s="96"/>
      <c r="E966" s="96"/>
      <c r="F966" s="96"/>
      <c r="G966" s="96"/>
      <c r="J966" s="96"/>
      <c r="K966" s="96"/>
      <c r="L966" s="96"/>
    </row>
    <row r="967" spans="2:12" ht="15.75" customHeight="1" thickBot="1">
      <c r="B967" s="96"/>
      <c r="C967" s="97"/>
      <c r="D967" s="96"/>
      <c r="E967" s="96"/>
      <c r="F967" s="96"/>
      <c r="G967" s="96"/>
      <c r="J967" s="96"/>
      <c r="K967" s="96"/>
      <c r="L967" s="96"/>
    </row>
    <row r="968" spans="2:12" ht="15.75" customHeight="1" thickBot="1">
      <c r="B968" s="96"/>
      <c r="C968" s="97"/>
      <c r="D968" s="96"/>
      <c r="E968" s="96"/>
      <c r="F968" s="96"/>
      <c r="G968" s="96"/>
      <c r="J968" s="96"/>
      <c r="K968" s="96"/>
      <c r="L968" s="96"/>
    </row>
    <row r="969" spans="2:12" ht="15.75" customHeight="1" thickBot="1">
      <c r="B969" s="96"/>
      <c r="C969" s="97"/>
      <c r="D969" s="96"/>
      <c r="E969" s="96"/>
      <c r="F969" s="96"/>
      <c r="G969" s="96"/>
      <c r="J969" s="96"/>
      <c r="K969" s="96"/>
      <c r="L969" s="96"/>
    </row>
    <row r="970" spans="2:12" ht="15.75" customHeight="1" thickBot="1">
      <c r="B970" s="96"/>
      <c r="C970" s="97"/>
      <c r="D970" s="96"/>
      <c r="E970" s="96"/>
      <c r="F970" s="96"/>
      <c r="G970" s="96"/>
      <c r="J970" s="96"/>
      <c r="K970" s="96"/>
      <c r="L970" s="96"/>
    </row>
    <row r="971" spans="2:12" ht="15.75" customHeight="1" thickBot="1">
      <c r="B971" s="96"/>
      <c r="C971" s="97"/>
      <c r="D971" s="96"/>
      <c r="E971" s="96"/>
      <c r="F971" s="96"/>
      <c r="G971" s="96"/>
      <c r="J971" s="96"/>
      <c r="K971" s="96"/>
      <c r="L971" s="96"/>
    </row>
    <row r="972" spans="2:12" ht="15.75" customHeight="1" thickBot="1">
      <c r="B972" s="96"/>
      <c r="C972" s="97"/>
      <c r="D972" s="96"/>
      <c r="E972" s="96"/>
      <c r="F972" s="96"/>
      <c r="G972" s="96"/>
      <c r="J972" s="96"/>
      <c r="K972" s="96"/>
      <c r="L972" s="96"/>
    </row>
    <row r="973" spans="2:12" ht="15.75" customHeight="1" thickBot="1">
      <c r="B973" s="96"/>
      <c r="C973" s="97"/>
      <c r="D973" s="96"/>
      <c r="E973" s="96"/>
      <c r="F973" s="96"/>
      <c r="G973" s="96"/>
      <c r="J973" s="96"/>
      <c r="K973" s="96"/>
      <c r="L973" s="96"/>
    </row>
    <row r="974" spans="2:12" ht="15.75" customHeight="1" thickBot="1">
      <c r="B974" s="96"/>
      <c r="C974" s="97"/>
      <c r="D974" s="96"/>
      <c r="E974" s="96"/>
      <c r="F974" s="96"/>
      <c r="G974" s="96"/>
      <c r="J974" s="96"/>
      <c r="K974" s="96"/>
      <c r="L974" s="96"/>
    </row>
    <row r="975" spans="2:12" ht="15.75" customHeight="1" thickBot="1">
      <c r="B975" s="96"/>
      <c r="C975" s="97"/>
      <c r="D975" s="96"/>
      <c r="E975" s="96"/>
      <c r="F975" s="96"/>
      <c r="G975" s="96"/>
      <c r="J975" s="96"/>
      <c r="K975" s="96"/>
      <c r="L975" s="96"/>
    </row>
    <row r="976" spans="2:12" ht="15.75" customHeight="1" thickBot="1">
      <c r="B976" s="96"/>
      <c r="C976" s="97"/>
      <c r="D976" s="96"/>
      <c r="E976" s="96"/>
      <c r="F976" s="96"/>
      <c r="G976" s="96"/>
      <c r="J976" s="96"/>
      <c r="K976" s="96"/>
      <c r="L976" s="96"/>
    </row>
    <row r="977" spans="2:12" ht="15.75" customHeight="1" thickBot="1">
      <c r="B977" s="96"/>
      <c r="C977" s="97"/>
      <c r="D977" s="96"/>
      <c r="E977" s="96"/>
      <c r="F977" s="96"/>
      <c r="G977" s="96"/>
      <c r="J977" s="96"/>
      <c r="K977" s="96"/>
      <c r="L977" s="96"/>
    </row>
    <row r="978" spans="2:12" ht="15.75" customHeight="1" thickBot="1">
      <c r="B978" s="96"/>
      <c r="C978" s="97"/>
      <c r="D978" s="96"/>
      <c r="E978" s="96"/>
      <c r="F978" s="96"/>
      <c r="G978" s="96"/>
      <c r="J978" s="96"/>
      <c r="K978" s="96"/>
      <c r="L978" s="96"/>
    </row>
    <row r="979" spans="2:12" ht="15.75" customHeight="1" thickBot="1">
      <c r="B979" s="96"/>
      <c r="C979" s="97"/>
      <c r="D979" s="96"/>
      <c r="E979" s="96"/>
      <c r="F979" s="96"/>
      <c r="G979" s="96"/>
      <c r="J979" s="96"/>
      <c r="K979" s="96"/>
      <c r="L979" s="96"/>
    </row>
    <row r="980" spans="2:12" ht="15.75" customHeight="1" thickBot="1">
      <c r="B980" s="96"/>
      <c r="C980" s="97"/>
      <c r="D980" s="96"/>
      <c r="E980" s="96"/>
      <c r="F980" s="96"/>
      <c r="G980" s="96"/>
      <c r="J980" s="96"/>
      <c r="K980" s="96"/>
      <c r="L980" s="96"/>
    </row>
    <row r="981" spans="2:12" ht="15.75" customHeight="1" thickBot="1">
      <c r="B981" s="96"/>
      <c r="C981" s="97"/>
      <c r="D981" s="96"/>
      <c r="E981" s="96"/>
      <c r="F981" s="96"/>
      <c r="G981" s="96"/>
      <c r="J981" s="96"/>
      <c r="K981" s="96"/>
      <c r="L981" s="96"/>
    </row>
    <row r="982" spans="2:12" ht="15.75" customHeight="1" thickBot="1">
      <c r="B982" s="96"/>
      <c r="C982" s="97"/>
      <c r="D982" s="96"/>
      <c r="E982" s="96"/>
      <c r="F982" s="96"/>
      <c r="G982" s="96"/>
      <c r="J982" s="96"/>
      <c r="K982" s="96"/>
      <c r="L982" s="96"/>
    </row>
    <row r="983" spans="2:12" ht="15.75" customHeight="1" thickBot="1">
      <c r="B983" s="96"/>
      <c r="C983" s="97"/>
      <c r="D983" s="96"/>
      <c r="E983" s="96"/>
      <c r="F983" s="96"/>
      <c r="G983" s="96"/>
      <c r="J983" s="96"/>
      <c r="K983" s="96"/>
      <c r="L983" s="96"/>
    </row>
    <row r="984" spans="2:12" ht="15.75" customHeight="1" thickBot="1">
      <c r="B984" s="96"/>
      <c r="C984" s="97"/>
      <c r="D984" s="96"/>
      <c r="E984" s="96"/>
      <c r="F984" s="96"/>
      <c r="G984" s="96"/>
      <c r="J984" s="96"/>
      <c r="K984" s="96"/>
      <c r="L984" s="96"/>
    </row>
    <row r="985" spans="2:12" ht="15.75" customHeight="1" thickBot="1">
      <c r="B985" s="96"/>
      <c r="C985" s="97"/>
      <c r="D985" s="96"/>
      <c r="E985" s="96"/>
      <c r="F985" s="96"/>
      <c r="G985" s="96"/>
      <c r="J985" s="96"/>
      <c r="K985" s="96"/>
      <c r="L985" s="96"/>
    </row>
    <row r="986" spans="2:12" ht="15.75" customHeight="1" thickBot="1">
      <c r="B986" s="96"/>
      <c r="C986" s="97"/>
      <c r="D986" s="96"/>
      <c r="E986" s="96"/>
      <c r="F986" s="96"/>
      <c r="G986" s="96"/>
      <c r="J986" s="96"/>
      <c r="K986" s="96"/>
      <c r="L986" s="96"/>
    </row>
    <row r="987" spans="2:12" ht="15.75" customHeight="1" thickBot="1">
      <c r="B987" s="96"/>
      <c r="C987" s="97"/>
      <c r="D987" s="96"/>
      <c r="E987" s="96"/>
      <c r="F987" s="96"/>
      <c r="G987" s="96"/>
      <c r="J987" s="96"/>
      <c r="K987" s="96"/>
      <c r="L987" s="96"/>
    </row>
    <row r="988" spans="2:12" ht="15.75" customHeight="1" thickBot="1">
      <c r="B988" s="96"/>
      <c r="C988" s="97"/>
      <c r="D988" s="96"/>
      <c r="E988" s="96"/>
      <c r="F988" s="96"/>
      <c r="G988" s="96"/>
      <c r="J988" s="96"/>
      <c r="K988" s="96"/>
      <c r="L988" s="96"/>
    </row>
    <row r="989" spans="2:12" ht="15.75" customHeight="1" thickBot="1">
      <c r="B989" s="96"/>
      <c r="C989" s="97"/>
      <c r="D989" s="96"/>
      <c r="E989" s="96"/>
      <c r="F989" s="96"/>
      <c r="G989" s="96"/>
      <c r="J989" s="96"/>
      <c r="K989" s="96"/>
      <c r="L989" s="96"/>
    </row>
    <row r="990" spans="2:12" ht="15.75" customHeight="1" thickBot="1">
      <c r="B990" s="96"/>
      <c r="C990" s="97"/>
      <c r="D990" s="96"/>
      <c r="E990" s="96"/>
      <c r="F990" s="96"/>
      <c r="G990" s="96"/>
      <c r="J990" s="96"/>
      <c r="K990" s="96"/>
      <c r="L990" s="96"/>
    </row>
    <row r="991" spans="2:12" ht="15.75" customHeight="1" thickBot="1">
      <c r="B991" s="96"/>
      <c r="C991" s="97"/>
      <c r="D991" s="96"/>
      <c r="E991" s="96"/>
      <c r="F991" s="96"/>
      <c r="G991" s="96"/>
      <c r="J991" s="96"/>
      <c r="K991" s="96"/>
      <c r="L991" s="96"/>
    </row>
    <row r="992" spans="2:12" ht="15.75" customHeight="1" thickBot="1">
      <c r="B992" s="96"/>
      <c r="C992" s="97"/>
      <c r="D992" s="96"/>
      <c r="E992" s="96"/>
      <c r="F992" s="96"/>
      <c r="G992" s="96"/>
      <c r="J992" s="96"/>
      <c r="K992" s="96"/>
      <c r="L992" s="96"/>
    </row>
    <row r="993" spans="2:12" ht="15.75" customHeight="1" thickBot="1">
      <c r="B993" s="96"/>
      <c r="C993" s="97"/>
      <c r="D993" s="96"/>
      <c r="E993" s="96"/>
      <c r="F993" s="96"/>
      <c r="G993" s="96"/>
      <c r="J993" s="96"/>
      <c r="K993" s="96"/>
      <c r="L993" s="96"/>
    </row>
    <row r="994" spans="2:12" ht="15.75" customHeight="1" thickBot="1">
      <c r="B994" s="96"/>
      <c r="C994" s="97"/>
      <c r="D994" s="96"/>
      <c r="E994" s="96"/>
      <c r="F994" s="96"/>
      <c r="G994" s="96"/>
      <c r="J994" s="96"/>
      <c r="K994" s="96"/>
      <c r="L994" s="96"/>
    </row>
    <row r="995" spans="2:12" ht="15.75" customHeight="1" thickBot="1">
      <c r="B995" s="96"/>
      <c r="C995" s="97"/>
      <c r="D995" s="96"/>
      <c r="E995" s="96"/>
      <c r="F995" s="96"/>
      <c r="G995" s="96"/>
      <c r="J995" s="96"/>
      <c r="K995" s="96"/>
      <c r="L995" s="96"/>
    </row>
    <row r="996" spans="2:12" ht="15.75" customHeight="1" thickBot="1">
      <c r="B996" s="96"/>
      <c r="C996" s="97"/>
      <c r="D996" s="96"/>
      <c r="E996" s="96"/>
      <c r="F996" s="96"/>
      <c r="G996" s="96"/>
      <c r="J996" s="96"/>
      <c r="K996" s="96"/>
      <c r="L996" s="96"/>
    </row>
    <row r="997" spans="2:12" ht="15.75" customHeight="1" thickBot="1">
      <c r="B997" s="96"/>
      <c r="C997" s="97"/>
      <c r="D997" s="96"/>
      <c r="E997" s="96"/>
      <c r="F997" s="96"/>
      <c r="G997" s="96"/>
      <c r="J997" s="96"/>
      <c r="K997" s="96"/>
      <c r="L997" s="96"/>
    </row>
    <row r="998" spans="2:12" ht="15.75" customHeight="1" thickBot="1">
      <c r="B998" s="96"/>
      <c r="C998" s="97"/>
      <c r="D998" s="96"/>
      <c r="E998" s="96"/>
      <c r="F998" s="96"/>
      <c r="G998" s="96"/>
      <c r="J998" s="96"/>
      <c r="K998" s="96"/>
      <c r="L998" s="96"/>
    </row>
    <row r="999" spans="2:12" ht="15.75" customHeight="1" thickBot="1">
      <c r="B999" s="96"/>
      <c r="C999" s="97"/>
      <c r="D999" s="96"/>
      <c r="E999" s="96"/>
      <c r="F999" s="96"/>
      <c r="G999" s="96"/>
      <c r="J999" s="96"/>
      <c r="K999" s="96"/>
      <c r="L999" s="96"/>
    </row>
    <row r="1000" spans="2:12" ht="15.75" customHeight="1" thickBot="1">
      <c r="B1000" s="96"/>
      <c r="C1000" s="97"/>
      <c r="D1000" s="96"/>
      <c r="E1000" s="96"/>
      <c r="F1000" s="96"/>
      <c r="G1000" s="96"/>
      <c r="J1000" s="96"/>
      <c r="K1000" s="96"/>
      <c r="L1000" s="96"/>
    </row>
  </sheetData>
  <autoFilter ref="A1:T1000" xr:uid="{00000000-0009-0000-0000-00000E000000}">
    <sortState xmlns:xlrd2="http://schemas.microsoft.com/office/spreadsheetml/2017/richdata2" ref="A2:O1000">
      <sortCondition ref="I1:I1000"/>
    </sortState>
  </autoFilter>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J5"/>
  <sheetViews>
    <sheetView zoomScaleNormal="100" workbookViewId="0">
      <pane xSplit="1" ySplit="1" topLeftCell="B2" activePane="bottomRight" state="frozen"/>
      <selection pane="topRight" activeCell="B1" sqref="B1"/>
      <selection pane="bottomLeft" activeCell="A2" sqref="A2"/>
      <selection pane="bottomRight" activeCell="H15" sqref="H15"/>
    </sheetView>
  </sheetViews>
  <sheetFormatPr defaultColWidth="8.7109375" defaultRowHeight="15"/>
  <cols>
    <col min="1" max="1" width="20" customWidth="1"/>
    <col min="2" max="2" width="8" customWidth="1"/>
    <col min="3" max="3" width="11.140625" customWidth="1"/>
    <col min="4" max="4" width="7" customWidth="1"/>
    <col min="5" max="5" width="6" customWidth="1"/>
    <col min="6" max="7" width="10.7109375" customWidth="1"/>
    <col min="8" max="9" width="40" customWidth="1"/>
    <col min="10" max="10" width="36" customWidth="1"/>
  </cols>
  <sheetData>
    <row r="1" spans="1:10" ht="31.5" customHeight="1">
      <c r="A1" s="2" t="s">
        <v>1998</v>
      </c>
      <c r="B1" s="2" t="s">
        <v>1999</v>
      </c>
      <c r="C1" s="2" t="s">
        <v>570</v>
      </c>
      <c r="D1" s="2" t="s">
        <v>2000</v>
      </c>
      <c r="E1" s="2" t="s">
        <v>2001</v>
      </c>
      <c r="F1" s="2" t="s">
        <v>2002</v>
      </c>
      <c r="G1" s="2" t="s">
        <v>2003</v>
      </c>
      <c r="H1" s="2" t="s">
        <v>2004</v>
      </c>
      <c r="I1" s="2" t="s">
        <v>2005</v>
      </c>
      <c r="J1" s="2" t="s">
        <v>2006</v>
      </c>
    </row>
    <row r="2" spans="1:10" ht="42" customHeight="1">
      <c r="A2" s="4" t="s">
        <v>498</v>
      </c>
      <c r="B2" s="6" t="s">
        <v>2007</v>
      </c>
      <c r="C2" s="4" t="s">
        <v>1254</v>
      </c>
      <c r="D2" s="74">
        <f>Segments!F4</f>
        <v>15</v>
      </c>
      <c r="E2" s="4">
        <v>0</v>
      </c>
      <c r="F2" s="4">
        <v>100</v>
      </c>
      <c r="G2" s="4">
        <v>20</v>
      </c>
      <c r="H2" s="4" t="inlineStr">
        <is>
          <t xml:space="preserve">LV10 cannot be activated.</t>
        </is>
      </c>
      <c r="I2" s="4">
        <v>80</v>
      </c>
      <c r="J2" s="4" t="s">
        <v>796</v>
      </c>
    </row>
    <row r="3" spans="1:10" ht="16.5" customHeight="1">
      <c r="A3" s="4" t="s">
        <v>499</v>
      </c>
      <c r="B3" s="6" t="s">
        <v>2009</v>
      </c>
      <c r="C3" s="59" t="s">
        <v>2010</v>
      </c>
      <c r="D3" s="74">
        <f>(Segments!F2+Segments!F4+Segments!F5+Segments!F6)/5</f>
        <v>6</v>
      </c>
      <c r="E3" s="4">
        <v>0</v>
      </c>
      <c r="F3" s="4">
        <v>100</v>
      </c>
      <c r="G3" s="4">
        <v>20</v>
      </c>
      <c r="H3" s="4" t="s">
        <v>2011</v>
      </c>
      <c r="I3" s="4">
        <v>80</v>
      </c>
    </row>
    <row r="4" spans="1:10" ht="16.5" customHeight="1">
      <c r="A4" s="4" t="s">
        <v>500</v>
      </c>
      <c r="B4" s="6" t="s">
        <v>2012</v>
      </c>
      <c r="C4" s="59" t="s">
        <v>1198</v>
      </c>
      <c r="D4" s="67">
        <v>50000</v>
      </c>
      <c r="E4" s="4">
        <v>0</v>
      </c>
      <c r="F4" s="67">
        <v>1000000</v>
      </c>
      <c r="G4" s="67">
        <v>50000</v>
      </c>
      <c r="H4" s="4" t="s">
        <v>796</v>
      </c>
      <c r="I4" s="67">
        <v>950000</v>
      </c>
      <c r="J4" s="4" t="s">
        <v>796</v>
      </c>
    </row>
    <row r="5" spans="1:10" ht="32.25" customHeight="1">
      <c r="A5" s="4" t="s">
        <v>501</v>
      </c>
      <c r="B5" s="6" t="s">
        <v>2013</v>
      </c>
      <c r="C5" s="4" t="s">
        <v>2014</v>
      </c>
      <c r="D5" s="74">
        <f>Segments!F3</f>
        <v>10</v>
      </c>
      <c r="E5" s="4">
        <v>0</v>
      </c>
      <c r="F5" s="4">
        <v>100</v>
      </c>
      <c r="G5" s="4">
        <v>20</v>
      </c>
      <c r="H5" s="4" t="s">
        <v>2015</v>
      </c>
      <c r="I5" s="4">
        <v>85</v>
      </c>
      <c r="J5" s="4" t="s">
        <v>796</v>
      </c>
    </row>
  </sheetData>
  <pageMargins left="0.75" right="0.75" top="1" bottom="1"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E407"/>
  <sheetViews>
    <sheetView tabSelected="1" workbookViewId="0">
      <pane ySplit="1" topLeftCell="A307" activePane="bottomLeft" state="frozen"/>
      <selection pane="bottomLeft" activeCell="E327" sqref="E327"/>
    </sheetView>
  </sheetViews>
  <sheetFormatPr defaultRowHeight="15"/>
  <cols>
    <col min="1" max="1" width="30" customWidth="1"/>
    <col min="2" max="2" width="34" customWidth="1"/>
    <col min="3" max="3" width="52" customWidth="1"/>
    <col min="4" max="4" width="16" customWidth="1"/>
    <col min="5" max="5" width="66" customWidth="1"/>
  </cols>
  <sheetData>
    <row r="1" spans="1:5">
      <c r="A1" s="12" t="s">
        <v>2016</v>
      </c>
      <c r="B1" s="12" t="s">
        <v>2017</v>
      </c>
      <c r="C1" s="12" t="s">
        <v>2018</v>
      </c>
      <c r="D1" s="12" t="s">
        <v>2019</v>
      </c>
      <c r="E1" s="12" t="s">
        <v>2020</v>
      </c>
    </row>
    <row r="2" spans="1:5">
      <c r="A2" t="s">
        <v>2021</v>
      </c>
      <c r="B2" t="s">
        <v>2022</v>
      </c>
      <c r="C2" s="13" t="s">
        <v>2023</v>
      </c>
      <c r="E2" s="13" t="s">
        <v>2024</v>
      </c>
    </row>
    <row r="3" spans="1:5">
      <c r="A3" t="s">
        <v>2025</v>
      </c>
      <c r="B3" t="s">
        <v>2022</v>
      </c>
      <c r="C3" s="13" t="s">
        <v>2026</v>
      </c>
      <c r="E3" s="13" t="s">
        <v>2027</v>
      </c>
    </row>
    <row r="4" spans="1:5">
      <c r="A4" t="s">
        <v>2028</v>
      </c>
      <c r="B4" t="s">
        <v>2022</v>
      </c>
      <c r="C4" s="13" t="s">
        <v>2029</v>
      </c>
      <c r="E4" s="13" t="s">
        <v>2030</v>
      </c>
    </row>
    <row r="5" spans="1:5" ht="30" customHeight="1">
      <c r="A5" t="s">
        <v>2031</v>
      </c>
      <c r="B5" t="s">
        <v>2022</v>
      </c>
      <c r="C5" s="13" t="s">
        <v>2032</v>
      </c>
      <c r="E5" s="13" t="s">
        <v>2033</v>
      </c>
    </row>
    <row r="6" spans="1:5" ht="30" customHeight="1">
      <c r="A6" t="s">
        <v>2034</v>
      </c>
      <c r="B6" t="s">
        <v>2022</v>
      </c>
      <c r="C6" s="13" t="s">
        <v>2035</v>
      </c>
      <c r="D6" t="s">
        <v>2036</v>
      </c>
      <c r="E6" s="13" t="s">
        <v>2037</v>
      </c>
    </row>
    <row r="7" spans="1:5">
      <c r="A7" t="s">
        <v>2038</v>
      </c>
      <c r="B7" t="s">
        <v>2022</v>
      </c>
      <c r="C7" s="13" t="s">
        <v>2039</v>
      </c>
      <c r="E7" s="13" t="s">
        <v>2040</v>
      </c>
    </row>
    <row r="8" spans="1:5">
      <c r="A8" t="s">
        <v>2041</v>
      </c>
      <c r="B8" t="s">
        <v>2042</v>
      </c>
      <c r="C8" s="13" t="s">
        <v>2043</v>
      </c>
      <c r="D8" t="s">
        <v>2044</v>
      </c>
      <c r="E8" s="13" t="s">
        <v>2045</v>
      </c>
    </row>
    <row r="9" spans="1:5" ht="30" customHeight="1">
      <c r="A9" t="s">
        <v>2046</v>
      </c>
      <c r="B9" t="s">
        <v>2042</v>
      </c>
      <c r="C9" s="13" t="s">
        <v>2047</v>
      </c>
      <c r="D9" t="s">
        <v>2044</v>
      </c>
      <c r="E9" s="13" t="s">
        <v>2048</v>
      </c>
    </row>
    <row r="10" spans="1:5">
      <c r="A10" t="s">
        <v>2049</v>
      </c>
      <c r="B10" t="s">
        <v>2042</v>
      </c>
      <c r="C10" s="13" t="s">
        <v>2050</v>
      </c>
      <c r="D10" t="s">
        <v>2051</v>
      </c>
      <c r="E10" s="13" t="s">
        <v>2052</v>
      </c>
    </row>
    <row r="11" spans="1:5" ht="30" customHeight="1">
      <c r="A11" t="s">
        <v>2053</v>
      </c>
      <c r="B11" t="s">
        <v>2042</v>
      </c>
      <c r="C11" s="13" t="s">
        <v>2054</v>
      </c>
      <c r="E11" s="13" t="s">
        <v>2055</v>
      </c>
    </row>
    <row r="12" spans="1:5">
      <c r="A12" t="s">
        <v>2056</v>
      </c>
      <c r="B12" t="s">
        <v>2042</v>
      </c>
      <c r="C12" s="13" t="s">
        <v>2057</v>
      </c>
      <c r="D12" t="s">
        <v>2044</v>
      </c>
      <c r="E12" s="13" t="s">
        <v>2058</v>
      </c>
    </row>
    <row r="13" spans="1:5" ht="30" customHeight="1">
      <c r="A13" t="s">
        <v>2059</v>
      </c>
      <c r="B13" t="s">
        <v>2060</v>
      </c>
      <c r="C13" s="13" t="s">
        <v>2061</v>
      </c>
      <c r="E13" s="13" t="s">
        <v>2062</v>
      </c>
    </row>
    <row r="14" spans="1:5" ht="30" customHeight="1">
      <c r="A14" t="s">
        <v>2063</v>
      </c>
      <c r="B14" t="s">
        <v>2060</v>
      </c>
      <c r="C14" s="13" t="s">
        <v>2064</v>
      </c>
      <c r="D14" t="s">
        <v>2065</v>
      </c>
      <c r="E14" s="13" t="s">
        <v>2066</v>
      </c>
    </row>
    <row r="15" spans="1:5">
      <c r="A15" t="s">
        <v>2067</v>
      </c>
      <c r="B15" t="s">
        <v>2068</v>
      </c>
      <c r="C15" s="13" t="s">
        <v>2069</v>
      </c>
      <c r="E15" s="13" t="s">
        <v>2070</v>
      </c>
    </row>
    <row r="16" spans="1:5">
      <c r="A16" t="s">
        <v>2071</v>
      </c>
      <c r="B16" t="s">
        <v>2068</v>
      </c>
      <c r="C16" s="13" t="s">
        <v>2072</v>
      </c>
      <c r="E16" s="13" t="s">
        <v>2073</v>
      </c>
    </row>
    <row r="17" spans="1:5">
      <c r="A17" t="s">
        <v>2074</v>
      </c>
      <c r="B17" t="s">
        <v>2068</v>
      </c>
      <c r="C17" s="13" t="s">
        <v>2075</v>
      </c>
      <c r="E17" s="13" t="s">
        <v>2076</v>
      </c>
    </row>
    <row r="18" spans="1:5">
      <c r="A18" t="s">
        <v>2077</v>
      </c>
      <c r="B18" t="s">
        <v>2078</v>
      </c>
      <c r="C18" s="13" t="s">
        <v>2079</v>
      </c>
      <c r="E18" s="13" t="s">
        <v>2080</v>
      </c>
    </row>
    <row r="19" spans="1:5" ht="30" customHeight="1">
      <c r="A19" t="s">
        <v>2081</v>
      </c>
      <c r="B19" t="s">
        <v>2078</v>
      </c>
      <c r="C19" s="13" t="s">
        <v>2082</v>
      </c>
      <c r="D19" t="s">
        <v>2083</v>
      </c>
      <c r="E19" s="13" t="s">
        <v>2084</v>
      </c>
    </row>
    <row r="20" spans="1:5">
      <c r="A20" t="s">
        <v>2085</v>
      </c>
      <c r="B20" t="s">
        <v>2078</v>
      </c>
      <c r="C20" s="13" t="s">
        <v>2086</v>
      </c>
      <c r="E20" s="13" t="s">
        <v>2087</v>
      </c>
    </row>
    <row r="21" spans="1:5">
      <c r="A21" t="s">
        <v>2088</v>
      </c>
      <c r="B21" t="s">
        <v>2078</v>
      </c>
      <c r="C21" s="13" t="s">
        <v>2089</v>
      </c>
      <c r="E21" s="13" t="s">
        <v>2090</v>
      </c>
    </row>
    <row r="22" spans="1:5">
      <c r="A22" t="s">
        <v>2091</v>
      </c>
      <c r="B22" t="s">
        <v>2078</v>
      </c>
      <c r="C22" s="13" t="s">
        <v>2092</v>
      </c>
      <c r="E22" s="13" t="s">
        <v>2093</v>
      </c>
    </row>
    <row r="23" spans="1:5">
      <c r="A23" t="s">
        <v>2094</v>
      </c>
      <c r="B23" t="s">
        <v>2095</v>
      </c>
      <c r="C23" s="13" t="s">
        <v>2096</v>
      </c>
      <c r="D23" t="s">
        <v>2097</v>
      </c>
      <c r="E23" s="13" t="s">
        <v>2098</v>
      </c>
    </row>
    <row r="24" spans="1:5">
      <c r="A24" t="s">
        <v>2099</v>
      </c>
      <c r="B24" t="s">
        <v>2095</v>
      </c>
      <c r="C24" s="13" t="s">
        <v>2100</v>
      </c>
      <c r="E24" s="13" t="s">
        <v>2101</v>
      </c>
    </row>
    <row r="25" spans="1:5">
      <c r="A25" t="s">
        <v>2102</v>
      </c>
      <c r="B25" t="s">
        <v>2095</v>
      </c>
      <c r="C25" s="13" t="s">
        <v>2103</v>
      </c>
      <c r="E25" s="13" t="s">
        <v>2104</v>
      </c>
    </row>
    <row r="26" spans="1:5">
      <c r="A26" t="s">
        <v>2105</v>
      </c>
      <c r="B26" t="s">
        <v>2095</v>
      </c>
      <c r="C26" s="13" t="s">
        <v>2106</v>
      </c>
      <c r="E26" s="13" t="s">
        <v>2107</v>
      </c>
    </row>
    <row r="28" spans="1:5">
      <c r="A28" t="s">
        <v>2108</v>
      </c>
      <c r="B28" t="s">
        <v>2095</v>
      </c>
      <c r="C28" s="13" t="s">
        <v>2109</v>
      </c>
      <c r="E28" s="13" t="s">
        <v>2110</v>
      </c>
    </row>
    <row r="29" spans="1:5">
      <c r="A29" t="s">
        <v>2111</v>
      </c>
      <c r="B29" t="s">
        <v>2095</v>
      </c>
      <c r="C29" s="13" t="s">
        <v>2112</v>
      </c>
      <c r="E29" s="13" t="s">
        <v>2113</v>
      </c>
    </row>
    <row r="30" spans="1:5">
      <c r="A30" t="s">
        <v>2114</v>
      </c>
      <c r="B30" t="s">
        <v>2095</v>
      </c>
      <c r="C30" s="13" t="s">
        <v>2115</v>
      </c>
      <c r="D30" t="s">
        <v>2116</v>
      </c>
      <c r="E30" s="13" t="s">
        <v>2117</v>
      </c>
    </row>
    <row r="31" spans="1:5">
      <c r="A31" t="s">
        <v>2118</v>
      </c>
      <c r="B31" t="s">
        <v>2119</v>
      </c>
      <c r="C31" s="13" t="s">
        <v>2120</v>
      </c>
      <c r="D31" t="s">
        <v>2121</v>
      </c>
      <c r="E31" s="13" t="s">
        <v>2122</v>
      </c>
    </row>
    <row r="32" spans="1:5">
      <c r="A32" t="s">
        <v>2123</v>
      </c>
      <c r="B32" t="s">
        <v>2119</v>
      </c>
      <c r="C32" s="13" t="s">
        <v>2124</v>
      </c>
      <c r="D32" t="s">
        <v>2125</v>
      </c>
      <c r="E32" s="13" t="s">
        <v>2126</v>
      </c>
    </row>
    <row r="33" spans="1:5">
      <c r="A33" t="s">
        <v>2127</v>
      </c>
      <c r="B33" t="s">
        <v>2119</v>
      </c>
      <c r="C33" s="13" t="s">
        <v>2128</v>
      </c>
      <c r="D33" t="s">
        <v>2044</v>
      </c>
      <c r="E33" s="13"/>
    </row>
    <row r="34" spans="1:5">
      <c r="A34" t="s">
        <v>2129</v>
      </c>
      <c r="B34" t="s">
        <v>2119</v>
      </c>
      <c r="C34" s="13" t="s">
        <v>2130</v>
      </c>
      <c r="D34" t="s">
        <v>2044</v>
      </c>
      <c r="E34" s="13"/>
    </row>
    <row r="35" spans="1:5">
      <c r="A35" t="s">
        <v>2131</v>
      </c>
      <c r="B35" t="s">
        <v>2119</v>
      </c>
      <c r="C35" s="13" t="s">
        <v>2132</v>
      </c>
      <c r="D35" t="s">
        <v>2133</v>
      </c>
      <c r="E35" s="13"/>
    </row>
    <row r="36" spans="1:5">
      <c r="A36" t="s">
        <v>2134</v>
      </c>
      <c r="B36" t="s">
        <v>2119</v>
      </c>
      <c r="C36" s="13" t="s">
        <v>2135</v>
      </c>
      <c r="D36" t="s">
        <v>2136</v>
      </c>
      <c r="E36" s="13" t="s">
        <v>2137</v>
      </c>
    </row>
    <row r="37" spans="1:5">
      <c r="A37" t="s">
        <v>2138</v>
      </c>
      <c r="B37" t="s">
        <v>2119</v>
      </c>
      <c r="C37" s="13" t="s">
        <v>2139</v>
      </c>
      <c r="D37" t="s">
        <v>2140</v>
      </c>
      <c r="E37" s="13" t="s">
        <v>2141</v>
      </c>
    </row>
    <row r="38" spans="1:5">
      <c r="A38" t="s">
        <v>2142</v>
      </c>
      <c r="B38" t="s">
        <v>2119</v>
      </c>
      <c r="C38" s="13" t="s">
        <v>2143</v>
      </c>
      <c r="D38" t="s">
        <v>2144</v>
      </c>
      <c r="E38" s="13"/>
    </row>
    <row r="39" spans="1:5">
      <c r="A39" t="s">
        <v>2145</v>
      </c>
      <c r="B39" t="s">
        <v>2119</v>
      </c>
      <c r="C39" s="13" t="s">
        <v>2146</v>
      </c>
      <c r="D39" t="s">
        <v>2044</v>
      </c>
      <c r="E39" s="13" t="s">
        <v>2147</v>
      </c>
    </row>
    <row r="40" spans="1:5">
      <c r="A40" t="s">
        <v>2148</v>
      </c>
      <c r="B40" t="s">
        <v>2119</v>
      </c>
      <c r="C40" s="13" t="s">
        <v>2149</v>
      </c>
      <c r="D40" t="s">
        <v>2044</v>
      </c>
      <c r="E40" s="13"/>
    </row>
    <row r="41" spans="1:5">
      <c r="A41" t="s">
        <v>2150</v>
      </c>
      <c r="B41" t="s">
        <v>2119</v>
      </c>
      <c r="C41" s="13" t="s">
        <v>2151</v>
      </c>
      <c r="D41" t="s">
        <v>2152</v>
      </c>
      <c r="E41" s="13"/>
    </row>
    <row r="42" spans="1:5">
      <c r="A42" t="s">
        <v>2153</v>
      </c>
      <c r="B42" t="s">
        <v>2119</v>
      </c>
      <c r="C42" s="13" t="s">
        <v>2154</v>
      </c>
      <c r="D42" t="s">
        <v>2155</v>
      </c>
      <c r="E42" s="13"/>
    </row>
    <row r="43" spans="1:5">
      <c r="A43" t="s">
        <v>2156</v>
      </c>
      <c r="B43" t="s">
        <v>2119</v>
      </c>
      <c r="C43" s="13" t="s">
        <v>2157</v>
      </c>
      <c r="D43" t="s">
        <v>2158</v>
      </c>
      <c r="E43" s="13" t="s">
        <v>2159</v>
      </c>
    </row>
    <row r="44" spans="1:5">
      <c r="A44" t="s">
        <v>2160</v>
      </c>
      <c r="B44" t="s">
        <v>2119</v>
      </c>
      <c r="C44" s="13" t="s">
        <v>2161</v>
      </c>
      <c r="D44" t="s">
        <v>2162</v>
      </c>
      <c r="E44" s="13"/>
    </row>
    <row r="45" spans="1:5">
      <c r="A45" t="s">
        <v>2163</v>
      </c>
      <c r="B45" t="s">
        <v>2164</v>
      </c>
      <c r="C45" s="13" t="s">
        <v>2165</v>
      </c>
      <c r="D45" t="s">
        <v>2044</v>
      </c>
      <c r="E45" s="13"/>
    </row>
    <row r="46" spans="1:5">
      <c r="A46" t="s">
        <v>2166</v>
      </c>
      <c r="B46" t="s">
        <v>2164</v>
      </c>
      <c r="C46" s="13" t="s">
        <v>2167</v>
      </c>
      <c r="D46" t="s">
        <v>2133</v>
      </c>
      <c r="E46" s="13"/>
    </row>
    <row r="47" spans="1:5">
      <c r="A47" t="s">
        <v>2168</v>
      </c>
      <c r="B47" t="s">
        <v>2164</v>
      </c>
      <c r="C47" s="13" t="s">
        <v>2169</v>
      </c>
      <c r="E47" s="13" t="s">
        <v>2170</v>
      </c>
    </row>
    <row r="48" spans="1:5">
      <c r="A48" t="s">
        <v>2171</v>
      </c>
      <c r="B48" t="s">
        <v>2164</v>
      </c>
      <c r="C48" s="13" t="s">
        <v>2172</v>
      </c>
      <c r="E48" s="13" t="s">
        <v>2173</v>
      </c>
    </row>
    <row r="49" spans="1:5">
      <c r="A49" t="s">
        <v>2174</v>
      </c>
      <c r="B49" t="s">
        <v>2164</v>
      </c>
      <c r="C49" s="13" t="s">
        <v>2175</v>
      </c>
      <c r="D49" t="s">
        <v>2158</v>
      </c>
      <c r="E49" s="13"/>
    </row>
    <row r="50" spans="1:5">
      <c r="A50" t="s">
        <v>2176</v>
      </c>
      <c r="B50" t="s">
        <v>2164</v>
      </c>
      <c r="C50" s="13" t="s">
        <v>2177</v>
      </c>
      <c r="D50" t="s">
        <v>2044</v>
      </c>
      <c r="E50" s="13"/>
    </row>
    <row r="51" spans="1:5">
      <c r="A51" t="s">
        <v>2178</v>
      </c>
      <c r="B51" t="s">
        <v>2164</v>
      </c>
      <c r="C51" s="13" t="s">
        <v>2179</v>
      </c>
      <c r="D51" t="s">
        <v>2158</v>
      </c>
      <c r="E51" s="13" t="s">
        <v>2180</v>
      </c>
    </row>
    <row r="54" spans="1:5">
      <c r="A54" t="s">
        <v>2181</v>
      </c>
      <c r="B54" t="s">
        <v>2164</v>
      </c>
      <c r="C54" s="13" t="s">
        <v>2182</v>
      </c>
      <c r="D54" t="s">
        <v>2158</v>
      </c>
      <c r="E54" s="13" t="s">
        <v>2183</v>
      </c>
    </row>
    <row r="55" spans="1:5" ht="30" customHeight="1">
      <c r="A55" t="s">
        <v>2184</v>
      </c>
      <c r="B55" t="s">
        <v>2164</v>
      </c>
      <c r="C55" s="13" t="s">
        <v>2185</v>
      </c>
      <c r="D55" t="s">
        <v>2133</v>
      </c>
      <c r="E55" s="13" t="s">
        <v>2186</v>
      </c>
    </row>
    <row r="56" spans="1:5">
      <c r="A56" t="s">
        <v>2187</v>
      </c>
      <c r="B56" t="s">
        <v>2188</v>
      </c>
      <c r="C56" s="13" t="s">
        <v>2189</v>
      </c>
      <c r="E56" s="13"/>
    </row>
    <row r="57" spans="1:5">
      <c r="A57" t="s">
        <v>2190</v>
      </c>
      <c r="B57" t="s">
        <v>2188</v>
      </c>
      <c r="C57" s="13" t="s">
        <v>2191</v>
      </c>
      <c r="D57" t="s">
        <v>2192</v>
      </c>
      <c r="E57" s="13" t="s">
        <v>2193</v>
      </c>
    </row>
    <row r="58" spans="1:5">
      <c r="A58" t="s">
        <v>2194</v>
      </c>
      <c r="B58" t="s">
        <v>2188</v>
      </c>
      <c r="C58" s="13" t="s">
        <v>2195</v>
      </c>
      <c r="E58" s="13"/>
    </row>
    <row r="59" spans="1:5">
      <c r="A59" t="s">
        <v>2196</v>
      </c>
      <c r="B59" t="s">
        <v>2188</v>
      </c>
      <c r="C59" s="13" t="s">
        <v>2197</v>
      </c>
      <c r="E59" s="13"/>
    </row>
    <row r="60" spans="1:5">
      <c r="A60" t="s">
        <v>2198</v>
      </c>
      <c r="B60" t="s">
        <v>2188</v>
      </c>
      <c r="C60" s="13" t="s">
        <v>2199</v>
      </c>
      <c r="E60" s="13"/>
    </row>
    <row r="61" spans="1:5">
      <c r="A61" t="s">
        <v>2200</v>
      </c>
      <c r="B61" t="s">
        <v>2188</v>
      </c>
      <c r="C61" s="13" t="s">
        <v>2201</v>
      </c>
      <c r="E61" s="13"/>
    </row>
    <row r="62" spans="1:5">
      <c r="A62" t="s">
        <v>2202</v>
      </c>
      <c r="B62" t="s">
        <v>2188</v>
      </c>
      <c r="C62" s="13" t="s">
        <v>945</v>
      </c>
      <c r="E62" s="13"/>
    </row>
    <row r="63" spans="1:5">
      <c r="A63" t="s">
        <v>2203</v>
      </c>
      <c r="B63" t="s">
        <v>2188</v>
      </c>
      <c r="C63" s="13" t="s">
        <v>2204</v>
      </c>
      <c r="E63" s="13"/>
    </row>
    <row r="64" spans="1:5">
      <c r="A64" t="s">
        <v>2205</v>
      </c>
      <c r="B64" t="s">
        <v>2188</v>
      </c>
      <c r="C64" s="13" t="s">
        <v>2206</v>
      </c>
      <c r="E64" s="13"/>
    </row>
    <row r="65" spans="1:5">
      <c r="A65" t="s">
        <v>2207</v>
      </c>
      <c r="B65" t="s">
        <v>2188</v>
      </c>
      <c r="C65" s="13" t="s">
        <v>2208</v>
      </c>
      <c r="E65" s="13"/>
    </row>
    <row r="66" spans="1:5">
      <c r="A66" t="s">
        <v>2209</v>
      </c>
      <c r="B66" t="s">
        <v>2188</v>
      </c>
      <c r="C66" s="13" t="s">
        <v>2210</v>
      </c>
      <c r="E66" s="13"/>
    </row>
    <row r="67" spans="1:5">
      <c r="A67" t="s">
        <v>2211</v>
      </c>
      <c r="B67" t="s">
        <v>2188</v>
      </c>
      <c r="C67" s="13" t="s">
        <v>2212</v>
      </c>
      <c r="D67" t="s">
        <v>2044</v>
      </c>
      <c r="E67" s="13"/>
    </row>
    <row r="68" spans="1:5" ht="30" customHeight="1">
      <c r="A68" t="s">
        <v>2213</v>
      </c>
      <c r="B68" t="s">
        <v>2188</v>
      </c>
      <c r="C68" s="13" t="s">
        <v>2214</v>
      </c>
      <c r="D68" t="s">
        <v>2215</v>
      </c>
      <c r="E68" s="13" t="s">
        <v>2216</v>
      </c>
    </row>
    <row r="69" spans="1:5">
      <c r="A69" t="s">
        <v>2217</v>
      </c>
      <c r="B69" t="s">
        <v>2188</v>
      </c>
      <c r="C69" s="13" t="s">
        <v>2218</v>
      </c>
      <c r="D69" t="s">
        <v>2044</v>
      </c>
      <c r="E69" s="13" t="s">
        <v>2219</v>
      </c>
    </row>
    <row r="70" spans="1:5" ht="30" customHeight="1">
      <c r="A70" t="s">
        <v>2220</v>
      </c>
      <c r="B70" t="s">
        <v>2188</v>
      </c>
      <c r="C70" s="13" t="s">
        <v>2221</v>
      </c>
      <c r="D70" t="s">
        <v>2044</v>
      </c>
      <c r="E70" s="13" t="s">
        <v>2222</v>
      </c>
    </row>
    <row r="71" spans="1:5">
      <c r="A71" t="s">
        <v>2223</v>
      </c>
      <c r="B71" t="s">
        <v>2188</v>
      </c>
      <c r="C71" s="13" t="s">
        <v>2224</v>
      </c>
      <c r="D71" t="s">
        <v>2225</v>
      </c>
      <c r="E71" s="13" t="s">
        <v>2226</v>
      </c>
    </row>
    <row r="72" spans="1:5" ht="30" customHeight="1">
      <c r="A72" t="s">
        <v>2227</v>
      </c>
      <c r="B72" t="s">
        <v>2188</v>
      </c>
      <c r="C72" s="13" t="s">
        <v>2228</v>
      </c>
      <c r="D72" t="s">
        <v>2229</v>
      </c>
      <c r="E72" s="13" t="s">
        <v>2230</v>
      </c>
    </row>
    <row r="73" spans="1:5" ht="30" customHeight="1">
      <c r="A73" t="s">
        <v>2231</v>
      </c>
      <c r="B73" t="s">
        <v>2188</v>
      </c>
      <c r="C73" s="13" t="s">
        <v>2232</v>
      </c>
      <c r="E73" s="13" t="s">
        <v>2233</v>
      </c>
    </row>
    <row r="74" spans="1:5">
      <c r="A74" t="s">
        <v>2234</v>
      </c>
      <c r="B74" t="s">
        <v>2188</v>
      </c>
      <c r="C74" s="13" t="s">
        <v>2235</v>
      </c>
      <c r="E74" s="13"/>
    </row>
    <row r="75" spans="1:5">
      <c r="A75" t="s">
        <v>2236</v>
      </c>
      <c r="B75" t="s">
        <v>2188</v>
      </c>
      <c r="C75" s="13" t="s">
        <v>2237</v>
      </c>
      <c r="D75" t="s">
        <v>2044</v>
      </c>
      <c r="E75" s="13"/>
    </row>
    <row r="76" spans="1:5">
      <c r="A76" t="s">
        <v>2238</v>
      </c>
      <c r="B76" t="s">
        <v>2188</v>
      </c>
      <c r="C76" s="13" t="s">
        <v>2239</v>
      </c>
      <c r="E76" s="13" t="s">
        <v>2240</v>
      </c>
    </row>
    <row r="77" spans="1:5">
      <c r="A77" t="s">
        <v>2241</v>
      </c>
      <c r="B77" t="s">
        <v>2188</v>
      </c>
      <c r="C77" s="13" t="s">
        <v>2242</v>
      </c>
      <c r="D77" t="s">
        <v>2044</v>
      </c>
      <c r="E77" s="13"/>
    </row>
    <row r="78" spans="1:5" ht="30" customHeight="1">
      <c r="A78" t="s">
        <v>2243</v>
      </c>
      <c r="B78" t="s">
        <v>2188</v>
      </c>
      <c r="C78" s="13" t="s">
        <v>2244</v>
      </c>
      <c r="D78" t="s">
        <v>2245</v>
      </c>
      <c r="E78" s="13"/>
    </row>
    <row r="79" spans="1:5" ht="30" customHeight="1">
      <c r="A79" t="s">
        <v>2246</v>
      </c>
      <c r="B79" t="s">
        <v>2188</v>
      </c>
      <c r="C79" s="13" t="s">
        <v>2247</v>
      </c>
      <c r="D79" t="s">
        <v>2044</v>
      </c>
      <c r="E79" s="13"/>
    </row>
    <row r="80" spans="1:5" ht="30" customHeight="1">
      <c r="A80" t="s">
        <v>2248</v>
      </c>
      <c r="B80" t="s">
        <v>2188</v>
      </c>
      <c r="C80" s="13" t="s">
        <v>2249</v>
      </c>
      <c r="D80" t="s">
        <v>2044</v>
      </c>
      <c r="E80" s="13"/>
    </row>
    <row r="81" spans="1:5">
      <c r="A81" t="s">
        <v>2250</v>
      </c>
      <c r="B81" t="s">
        <v>2188</v>
      </c>
      <c r="C81" s="13" t="s">
        <v>2251</v>
      </c>
      <c r="D81" t="s">
        <v>2044</v>
      </c>
      <c r="E81" s="13"/>
    </row>
    <row r="82" spans="1:5" ht="30" customHeight="1">
      <c r="A82" t="s">
        <v>2252</v>
      </c>
      <c r="B82" t="s">
        <v>2188</v>
      </c>
      <c r="C82" s="13" t="s">
        <v>2253</v>
      </c>
      <c r="E82" s="13"/>
    </row>
    <row r="83" spans="1:5">
      <c r="A83" t="s">
        <v>2254</v>
      </c>
      <c r="B83" t="s">
        <v>2188</v>
      </c>
      <c r="C83" s="13" t="s">
        <v>2255</v>
      </c>
      <c r="E83" s="13"/>
    </row>
    <row r="84" spans="1:5" ht="30" customHeight="1">
      <c r="A84" t="s">
        <v>2256</v>
      </c>
      <c r="B84" t="s">
        <v>2188</v>
      </c>
      <c r="C84" s="13" t="s">
        <v>2257</v>
      </c>
      <c r="D84" t="s">
        <v>2258</v>
      </c>
      <c r="E84" s="13"/>
    </row>
    <row r="85" spans="1:5" ht="45" customHeight="1">
      <c r="A85" t="s">
        <v>2259</v>
      </c>
      <c r="B85" t="s">
        <v>2188</v>
      </c>
      <c r="C85" s="13" t="s">
        <v>2260</v>
      </c>
      <c r="D85" t="s">
        <v>2258</v>
      </c>
      <c r="E85" s="13"/>
    </row>
    <row r="86" spans="1:5" ht="30" customHeight="1">
      <c r="A86" t="s">
        <v>2261</v>
      </c>
      <c r="B86" t="s">
        <v>2188</v>
      </c>
      <c r="C86" s="13" t="s">
        <v>2262</v>
      </c>
      <c r="D86" t="s">
        <v>2258</v>
      </c>
      <c r="E86" s="13"/>
    </row>
    <row r="87" spans="1:5">
      <c r="A87" t="s">
        <v>2263</v>
      </c>
      <c r="B87" t="s">
        <v>2188</v>
      </c>
      <c r="C87" s="13" t="s">
        <v>2264</v>
      </c>
      <c r="D87" t="s">
        <v>2258</v>
      </c>
      <c r="E87" s="13"/>
    </row>
    <row r="88" spans="1:5">
      <c r="A88" t="s">
        <v>2265</v>
      </c>
      <c r="B88" t="s">
        <v>2188</v>
      </c>
      <c r="C88" s="13" t="s">
        <v>2266</v>
      </c>
      <c r="D88" t="s">
        <v>2044</v>
      </c>
      <c r="E88" s="13"/>
    </row>
    <row r="89" spans="1:5">
      <c r="A89" t="s">
        <v>2267</v>
      </c>
      <c r="B89" t="s">
        <v>2268</v>
      </c>
      <c r="C89" s="13" t="s">
        <v>2269</v>
      </c>
      <c r="E89" s="13"/>
    </row>
    <row r="90" spans="1:5">
      <c r="A90" t="s">
        <v>2270</v>
      </c>
      <c r="B90" t="s">
        <v>2271</v>
      </c>
      <c r="C90" s="13" t="s">
        <v>2272</v>
      </c>
      <c r="E90" s="13"/>
    </row>
    <row r="91" spans="1:5">
      <c r="A91" t="s">
        <v>2273</v>
      </c>
      <c r="B91" t="s">
        <v>2271</v>
      </c>
      <c r="C91" s="13" t="s">
        <v>2274</v>
      </c>
      <c r="E91" s="13" t="s">
        <v>2275</v>
      </c>
    </row>
    <row r="92" spans="1:5">
      <c r="A92" t="s">
        <v>2276</v>
      </c>
      <c r="B92" t="s">
        <v>2271</v>
      </c>
      <c r="C92" s="13" t="s">
        <v>2277</v>
      </c>
      <c r="E92" s="13"/>
    </row>
    <row r="93" spans="1:5">
      <c r="A93" t="s">
        <v>2278</v>
      </c>
      <c r="B93" t="s">
        <v>2268</v>
      </c>
      <c r="C93" s="13" t="s">
        <v>2279</v>
      </c>
      <c r="E93" s="13" t="s">
        <v>2280</v>
      </c>
    </row>
    <row r="94" spans="1:5">
      <c r="A94" t="s">
        <v>2281</v>
      </c>
      <c r="B94" t="s">
        <v>2268</v>
      </c>
      <c r="C94" s="13" t="s">
        <v>2282</v>
      </c>
      <c r="D94" t="s">
        <v>2283</v>
      </c>
      <c r="E94" s="13"/>
    </row>
    <row r="95" spans="1:5">
      <c r="A95" t="s">
        <v>2284</v>
      </c>
      <c r="B95" t="s">
        <v>2268</v>
      </c>
      <c r="C95" s="13" t="s">
        <v>2285</v>
      </c>
      <c r="E95" s="13" t="s">
        <v>2286</v>
      </c>
    </row>
    <row r="96" spans="1:5">
      <c r="A96" t="s">
        <v>2287</v>
      </c>
      <c r="B96" t="s">
        <v>2268</v>
      </c>
      <c r="C96" s="13" t="s">
        <v>2288</v>
      </c>
      <c r="E96" s="13"/>
    </row>
    <row r="97" spans="1:5">
      <c r="A97" t="s">
        <v>2289</v>
      </c>
      <c r="B97" t="s">
        <v>2268</v>
      </c>
      <c r="C97" s="13" t="s">
        <v>2290</v>
      </c>
      <c r="E97" s="13"/>
    </row>
    <row r="98" spans="1:5">
      <c r="A98" t="s">
        <v>2291</v>
      </c>
      <c r="B98" t="s">
        <v>2292</v>
      </c>
      <c r="C98" s="13" t="s">
        <v>2293</v>
      </c>
      <c r="D98" t="s">
        <v>2044</v>
      </c>
      <c r="E98" s="13"/>
    </row>
    <row r="99" spans="1:5">
      <c r="A99" t="s">
        <v>2294</v>
      </c>
      <c r="B99" t="s">
        <v>2292</v>
      </c>
      <c r="C99" s="13" t="s">
        <v>2295</v>
      </c>
      <c r="E99" s="13"/>
    </row>
    <row r="100" spans="1:5">
      <c r="A100" t="s">
        <v>2296</v>
      </c>
      <c r="B100" t="s">
        <v>2292</v>
      </c>
      <c r="C100" s="13" t="s">
        <v>2297</v>
      </c>
      <c r="D100" t="s">
        <v>2044</v>
      </c>
      <c r="E100" s="13"/>
    </row>
    <row r="101" spans="1:5" ht="30" customHeight="1">
      <c r="A101" t="s">
        <v>2298</v>
      </c>
      <c r="B101" t="s">
        <v>2292</v>
      </c>
      <c r="C101" s="13" t="s">
        <v>2299</v>
      </c>
      <c r="E101" s="13"/>
    </row>
    <row r="102" spans="1:5">
      <c r="A102" t="s">
        <v>2300</v>
      </c>
      <c r="B102" t="s">
        <v>2292</v>
      </c>
      <c r="C102" s="13" t="s">
        <v>2301</v>
      </c>
      <c r="D102" t="s">
        <v>2302</v>
      </c>
      <c r="E102" s="13"/>
    </row>
    <row r="103" spans="1:5">
      <c r="A103" t="s">
        <v>2303</v>
      </c>
      <c r="B103" t="s">
        <v>2292</v>
      </c>
      <c r="C103" s="13" t="s">
        <v>2304</v>
      </c>
      <c r="E103" s="13"/>
    </row>
    <row r="104" spans="1:5">
      <c r="A104" t="s">
        <v>2309</v>
      </c>
      <c r="B104" t="s">
        <v>2310</v>
      </c>
      <c r="C104" s="13" t="s">
        <v>2311</v>
      </c>
      <c r="E104" s="13" t="s">
        <v>2308</v>
      </c>
    </row>
    <row r="105" spans="1:5">
      <c r="A105" t="s">
        <v>2312</v>
      </c>
      <c r="B105" t="s">
        <v>2313</v>
      </c>
      <c r="C105" s="13" t="inlineStr">
        <is>
          <t xml:space="preserve">Boosters</t>
        </is>
      </c>
      <c r="E105" s="13" t="s">
        <v>2315</v>
      </c>
    </row>
    <row r="106" spans="1:5">
      <c r="A106" t="s">
        <v>2328</v>
      </c>
      <c r="B106" t="s">
        <v>2310</v>
      </c>
      <c r="C106" s="13" t="s">
        <v>2329</v>
      </c>
      <c r="D106" t="s">
        <v>2330</v>
      </c>
      <c r="E106" s="13" t="s">
        <v>2331</v>
      </c>
    </row>
    <row r="107" spans="1:5">
      <c r="A107" t="s">
        <v>2332</v>
      </c>
      <c r="B107" t="s">
        <v>2310</v>
      </c>
      <c r="C107" s="13" t="s">
        <v>2333</v>
      </c>
      <c r="D107" t="s">
        <v>2283</v>
      </c>
      <c r="E107" s="13"/>
    </row>
    <row r="108" spans="1:5">
      <c r="A108" t="s">
        <v>2334</v>
      </c>
      <c r="B108" t="s">
        <v>2310</v>
      </c>
      <c r="C108" s="13" t="s">
        <v>2335</v>
      </c>
      <c r="E108" s="13"/>
    </row>
    <row r="109" spans="1:5">
      <c r="A109" t="s">
        <v>2336</v>
      </c>
      <c r="B109" t="s">
        <v>2310</v>
      </c>
      <c r="C109" s="13" t="s">
        <v>2337</v>
      </c>
      <c r="E109" s="13" t="s">
        <v>2338</v>
      </c>
    </row>
    <row r="110" spans="1:5" ht="45" customHeight="1">
      <c r="A110" t="s">
        <v>2339</v>
      </c>
      <c r="B110" t="s">
        <v>2340</v>
      </c>
      <c r="C110" s="13" t="s">
        <v>2341</v>
      </c>
      <c r="E110" s="13"/>
    </row>
    <row r="111" spans="1:5" ht="45" customHeight="1">
      <c r="A111" t="s">
        <v>2342</v>
      </c>
      <c r="B111" t="s">
        <v>2313</v>
      </c>
      <c r="C111" s="13" t="s">
        <v>2343</v>
      </c>
      <c r="E111" s="13"/>
    </row>
    <row r="112" spans="1:5">
      <c r="A112" t="s">
        <v>2344</v>
      </c>
      <c r="B112" t="s">
        <v>2313</v>
      </c>
      <c r="C112" s="13" t="s">
        <v>2345</v>
      </c>
      <c r="E112" s="13"/>
    </row>
    <row r="113" spans="1:5">
      <c r="A113" t="s">
        <v>2346</v>
      </c>
      <c r="B113" t="s">
        <v>2313</v>
      </c>
      <c r="C113" s="13" t="s">
        <v>2347</v>
      </c>
      <c r="E113" s="13"/>
    </row>
    <row r="114" spans="1:5" ht="30" customHeight="1">
      <c r="A114" t="s">
        <v>2350</v>
      </c>
      <c r="B114" t="s">
        <v>2313</v>
      </c>
      <c r="C114" s="13" t="s">
        <v>2351</v>
      </c>
      <c r="E114" s="13" t="s">
        <v>2352</v>
      </c>
    </row>
    <row r="115" spans="1:5">
      <c r="A115" t="s">
        <v>2353</v>
      </c>
      <c r="B115" t="s">
        <v>2354</v>
      </c>
      <c r="C115" s="13" t="s">
        <v>2355</v>
      </c>
      <c r="E115" s="13" t="s">
        <v>2356</v>
      </c>
    </row>
    <row r="116" spans="1:5">
      <c r="A116" t="s">
        <v>2357</v>
      </c>
      <c r="B116" t="s">
        <v>2354</v>
      </c>
      <c r="C116" s="13" t="s">
        <v>2358</v>
      </c>
      <c r="E116" s="13"/>
    </row>
    <row r="117" spans="1:5">
      <c r="A117" t="s">
        <v>2359</v>
      </c>
      <c r="B117" t="s">
        <v>2354</v>
      </c>
      <c r="C117" s="13" t="s">
        <v>2360</v>
      </c>
      <c r="D117" t="s">
        <v>2044</v>
      </c>
      <c r="E117" s="13"/>
    </row>
    <row r="118" spans="1:5">
      <c r="A118" t="s">
        <v>2361</v>
      </c>
      <c r="B118" t="s">
        <v>2354</v>
      </c>
      <c r="C118" s="13" t="s">
        <v>2362</v>
      </c>
      <c r="E118" s="13"/>
    </row>
    <row r="119" spans="1:5">
      <c r="A119" t="s">
        <v>2363</v>
      </c>
      <c r="B119" t="s">
        <v>2354</v>
      </c>
      <c r="C119" s="13" t="s">
        <v>2364</v>
      </c>
      <c r="E119" s="13"/>
    </row>
    <row r="120" spans="1:5">
      <c r="A120" t="s">
        <v>2365</v>
      </c>
      <c r="B120" t="s">
        <v>2354</v>
      </c>
      <c r="C120" s="13" t="s">
        <v>2366</v>
      </c>
      <c r="D120" t="s">
        <v>2367</v>
      </c>
      <c r="E120" s="13"/>
    </row>
    <row r="121" spans="1:5">
      <c r="A121" t="s">
        <v>2368</v>
      </c>
      <c r="B121" t="s">
        <v>2354</v>
      </c>
      <c r="C121" s="13" t="s">
        <v>2369</v>
      </c>
      <c r="D121" t="s">
        <v>2044</v>
      </c>
      <c r="E121" s="13" t="s">
        <v>2370</v>
      </c>
    </row>
    <row r="122" spans="1:5">
      <c r="A122" t="s">
        <v>2371</v>
      </c>
      <c r="B122" t="s">
        <v>2354</v>
      </c>
      <c r="C122" s="13" t="s">
        <v>2372</v>
      </c>
      <c r="D122" t="s">
        <v>2373</v>
      </c>
      <c r="E122" s="13"/>
    </row>
    <row r="123" spans="1:5">
      <c r="A123" t="s">
        <v>2374</v>
      </c>
      <c r="B123" t="s">
        <v>2354</v>
      </c>
      <c r="C123" s="13" t="s">
        <v>2375</v>
      </c>
      <c r="D123" t="s">
        <v>2373</v>
      </c>
      <c r="E123" s="13"/>
    </row>
    <row r="124" spans="1:5">
      <c r="A124" t="s">
        <v>2376</v>
      </c>
      <c r="B124" t="s">
        <v>2354</v>
      </c>
      <c r="C124" s="13" t="s">
        <v>2377</v>
      </c>
      <c r="D124" t="s">
        <v>2044</v>
      </c>
      <c r="E124" s="13"/>
    </row>
    <row r="125" spans="1:5">
      <c r="A125" t="s">
        <v>2378</v>
      </c>
      <c r="B125" t="s">
        <v>2354</v>
      </c>
      <c r="C125" s="13" t="s">
        <v>2379</v>
      </c>
      <c r="D125" t="s">
        <v>2044</v>
      </c>
      <c r="E125" s="13"/>
    </row>
    <row r="126" spans="1:5" ht="30" customHeight="1">
      <c r="A126" t="s">
        <v>2386</v>
      </c>
      <c r="B126" t="s">
        <v>2387</v>
      </c>
      <c r="C126" s="13" t="s">
        <v>2388</v>
      </c>
      <c r="E126" s="13" t="s">
        <v>2389</v>
      </c>
    </row>
    <row r="127" spans="1:5">
      <c r="A127" t="s">
        <v>2390</v>
      </c>
      <c r="B127" t="s">
        <v>2387</v>
      </c>
      <c r="C127" s="13" t="s">
        <v>2391</v>
      </c>
      <c r="E127" s="13"/>
    </row>
    <row r="128" spans="1:5">
      <c r="A128" t="s">
        <v>2396</v>
      </c>
      <c r="B128" t="s">
        <v>2387</v>
      </c>
      <c r="C128" s="13" t="s">
        <v>2397</v>
      </c>
      <c r="E128" s="13"/>
    </row>
    <row r="129" spans="1:5">
      <c r="A129" t="s">
        <v>2398</v>
      </c>
      <c r="B129" t="s">
        <v>2387</v>
      </c>
      <c r="C129" s="13" t="s">
        <v>2399</v>
      </c>
      <c r="E129" s="13"/>
    </row>
    <row r="130" spans="1:5">
      <c r="A130" t="s">
        <v>2400</v>
      </c>
      <c r="B130" t="s">
        <v>2387</v>
      </c>
      <c r="C130" s="13" t="s">
        <v>2401</v>
      </c>
      <c r="E130" s="13" t="s">
        <v>2402</v>
      </c>
    </row>
    <row r="131" spans="1:5">
      <c r="A131" t="s">
        <v>2403</v>
      </c>
      <c r="B131" t="s">
        <v>2387</v>
      </c>
      <c r="C131" s="13" t="s">
        <v>2404</v>
      </c>
      <c r="E131" s="13"/>
    </row>
    <row r="132" spans="1:5">
      <c r="A132" t="s">
        <v>2405</v>
      </c>
      <c r="B132" t="s">
        <v>2387</v>
      </c>
      <c r="C132" s="13" t="s">
        <v>2406</v>
      </c>
      <c r="D132" t="s">
        <v>2044</v>
      </c>
      <c r="E132" s="13"/>
    </row>
    <row r="133" spans="1:5">
      <c r="A133" t="s">
        <v>2407</v>
      </c>
      <c r="B133" t="s">
        <v>2387</v>
      </c>
      <c r="C133" s="13" t="s">
        <v>2408</v>
      </c>
      <c r="E133" s="13"/>
    </row>
    <row r="134" spans="1:5">
      <c r="A134" t="s">
        <v>2409</v>
      </c>
      <c r="B134" t="s">
        <v>2387</v>
      </c>
      <c r="C134" s="13" t="s">
        <v>2410</v>
      </c>
      <c r="D134" t="s">
        <v>2411</v>
      </c>
      <c r="E134" s="13" t="s">
        <v>2412</v>
      </c>
    </row>
    <row r="135" spans="1:5">
      <c r="A135" t="s">
        <v>2413</v>
      </c>
      <c r="B135" t="s">
        <v>2387</v>
      </c>
      <c r="C135" s="13" t="s">
        <v>2414</v>
      </c>
      <c r="D135" t="s">
        <v>2415</v>
      </c>
      <c r="E135" s="13"/>
    </row>
    <row r="136" spans="1:5">
      <c r="A136" t="s">
        <v>2416</v>
      </c>
      <c r="B136" t="s">
        <v>2387</v>
      </c>
      <c r="C136" s="13" t="s">
        <v>2417</v>
      </c>
      <c r="D136" t="s">
        <v>2044</v>
      </c>
      <c r="E136" s="13" t="s">
        <v>2418</v>
      </c>
    </row>
    <row r="137" spans="1:5">
      <c r="A137" t="s">
        <v>2419</v>
      </c>
      <c r="B137" t="s">
        <v>2387</v>
      </c>
      <c r="C137" s="13" t="s">
        <v>2420</v>
      </c>
      <c r="D137" t="s">
        <v>2258</v>
      </c>
      <c r="E137" s="13" t="s">
        <v>2418</v>
      </c>
    </row>
    <row r="138" spans="1:5">
      <c r="A138" t="s">
        <v>2421</v>
      </c>
      <c r="B138" t="s">
        <v>2387</v>
      </c>
      <c r="C138" s="13" t="s">
        <v>2422</v>
      </c>
      <c r="E138" s="13"/>
    </row>
    <row r="139" spans="1:5">
      <c r="A139" t="s">
        <v>2423</v>
      </c>
      <c r="B139" t="s">
        <v>2387</v>
      </c>
      <c r="C139" s="13" t="s">
        <v>2424</v>
      </c>
      <c r="E139" s="13"/>
    </row>
    <row r="140" spans="1:5">
      <c r="A140" t="s">
        <v>2425</v>
      </c>
      <c r="B140" t="s">
        <v>2387</v>
      </c>
      <c r="C140" s="13" t="s">
        <v>2426</v>
      </c>
      <c r="E140" s="13"/>
    </row>
    <row r="141" spans="1:5">
      <c r="A141" t="s">
        <v>2427</v>
      </c>
      <c r="B141" t="s">
        <v>2387</v>
      </c>
      <c r="C141" s="13" t="s">
        <v>2428</v>
      </c>
      <c r="E141" s="13"/>
    </row>
    <row r="142" spans="1:5">
      <c r="A142" t="s">
        <v>2429</v>
      </c>
      <c r="B142" t="s">
        <v>2387</v>
      </c>
      <c r="C142" s="13" t="s">
        <v>2430</v>
      </c>
      <c r="D142" t="s">
        <v>2036</v>
      </c>
      <c r="E142" s="13"/>
    </row>
    <row r="143" spans="1:5">
      <c r="A143" t="s">
        <v>2431</v>
      </c>
      <c r="B143" t="s">
        <v>2387</v>
      </c>
      <c r="C143" s="13" t="s">
        <v>2432</v>
      </c>
      <c r="E143" s="13"/>
    </row>
    <row r="144" spans="1:5">
      <c r="A144" t="s">
        <v>2433</v>
      </c>
      <c r="B144" t="s">
        <v>2387</v>
      </c>
      <c r="C144" s="13" t="s">
        <v>2434</v>
      </c>
      <c r="E144" s="13"/>
    </row>
    <row r="145" spans="1:5">
      <c r="A145" t="s">
        <v>2435</v>
      </c>
      <c r="B145" t="s">
        <v>2387</v>
      </c>
      <c r="C145" s="13" t="s">
        <v>2436</v>
      </c>
      <c r="D145" t="s">
        <v>2044</v>
      </c>
      <c r="E145" s="13"/>
    </row>
    <row r="146" spans="1:5">
      <c r="A146" t="s">
        <v>2437</v>
      </c>
      <c r="B146" t="s">
        <v>2387</v>
      </c>
      <c r="C146" s="13" t="s">
        <v>2438</v>
      </c>
      <c r="D146" t="s">
        <v>2044</v>
      </c>
      <c r="E146" s="13"/>
    </row>
    <row r="147" spans="1:5">
      <c r="A147" t="s">
        <v>2439</v>
      </c>
      <c r="B147" t="s">
        <v>2440</v>
      </c>
      <c r="C147" s="13" t="s">
        <v>2441</v>
      </c>
      <c r="D147" t="s">
        <v>2442</v>
      </c>
      <c r="E147" s="13"/>
    </row>
    <row r="148" spans="1:5">
      <c r="A148" t="s">
        <v>2443</v>
      </c>
      <c r="B148" t="s">
        <v>2440</v>
      </c>
      <c r="C148" s="13" t="s">
        <v>2444</v>
      </c>
      <c r="D148" t="s">
        <v>2445</v>
      </c>
      <c r="E148" s="13"/>
    </row>
    <row r="149" spans="1:5">
      <c r="A149" t="s">
        <v>2446</v>
      </c>
      <c r="B149" t="s">
        <v>2440</v>
      </c>
      <c r="C149" s="13" t="s">
        <v>2447</v>
      </c>
      <c r="D149" t="s">
        <v>2445</v>
      </c>
      <c r="E149" s="13" t="s">
        <v>2448</v>
      </c>
    </row>
    <row r="150" spans="1:5">
      <c r="A150" t="s">
        <v>2449</v>
      </c>
      <c r="B150" t="s">
        <v>2450</v>
      </c>
      <c r="C150" s="13" t="s">
        <v>2451</v>
      </c>
      <c r="D150" t="s">
        <v>2445</v>
      </c>
      <c r="E150" s="13"/>
    </row>
    <row r="151" spans="1:5">
      <c r="A151" t="s">
        <v>2452</v>
      </c>
      <c r="B151" t="s">
        <v>2453</v>
      </c>
      <c r="C151" s="13" t="s">
        <v>2454</v>
      </c>
      <c r="E151" s="13" t="s">
        <v>2455</v>
      </c>
    </row>
    <row r="152" spans="1:5">
      <c r="A152" t="s">
        <v>2456</v>
      </c>
      <c r="B152" t="s">
        <v>2453</v>
      </c>
      <c r="C152" s="13" t="s">
        <v>2457</v>
      </c>
      <c r="D152" t="s">
        <v>2133</v>
      </c>
      <c r="E152" s="13" t="s">
        <v>2458</v>
      </c>
    </row>
    <row r="153" spans="1:5">
      <c r="A153" t="s">
        <v>2459</v>
      </c>
      <c r="B153" t="s">
        <v>2453</v>
      </c>
      <c r="C153" s="13" t="s">
        <v>2460</v>
      </c>
      <c r="D153" t="s">
        <v>2133</v>
      </c>
      <c r="E153" s="13"/>
    </row>
    <row r="154" spans="1:5">
      <c r="A154" t="s">
        <v>2461</v>
      </c>
      <c r="B154" t="s">
        <v>2453</v>
      </c>
      <c r="C154" s="13" t="s">
        <v>2462</v>
      </c>
      <c r="D154" t="s">
        <v>2133</v>
      </c>
      <c r="E154" s="13"/>
    </row>
    <row r="156" spans="1:5">
      <c r="A156" t="s">
        <v>2463</v>
      </c>
      <c r="B156" t="s">
        <v>2464</v>
      </c>
      <c r="C156" t="s">
        <v>2465</v>
      </c>
      <c r="D156" t="s">
        <v>2466</v>
      </c>
      <c r="E156" t="s">
        <v>2467</v>
      </c>
    </row>
    <row r="157" spans="1:5">
      <c r="A157" t="s">
        <v>2468</v>
      </c>
      <c r="B157" t="s">
        <v>2469</v>
      </c>
      <c r="C157" t="s">
        <v>2470</v>
      </c>
      <c r="D157" t="s">
        <v>2471</v>
      </c>
    </row>
    <row r="158" spans="1:5">
      <c r="A158" t="s">
        <v>2472</v>
      </c>
      <c r="B158" t="s">
        <v>2469</v>
      </c>
      <c r="C158" t="s">
        <v>2473</v>
      </c>
      <c r="D158" t="s">
        <v>2471</v>
      </c>
    </row>
    <row r="159" spans="1:5">
      <c r="A159" t="s">
        <v>2474</v>
      </c>
      <c r="B159" t="s">
        <v>2469</v>
      </c>
      <c r="C159" t="s">
        <v>2475</v>
      </c>
      <c r="D159" t="s">
        <v>2051</v>
      </c>
    </row>
    <row r="160" spans="1:5">
      <c r="A160" t="s">
        <v>2476</v>
      </c>
      <c r="B160" t="s">
        <v>2469</v>
      </c>
      <c r="C160" t="s">
        <v>2477</v>
      </c>
      <c r="D160" t="s">
        <v>2478</v>
      </c>
      <c r="E160" t="s">
        <v>2479</v>
      </c>
    </row>
    <row r="161" spans="1:5">
      <c r="A161" t="s">
        <v>2480</v>
      </c>
      <c r="B161" t="s">
        <v>2481</v>
      </c>
      <c r="C161" t="s">
        <v>2482</v>
      </c>
      <c r="D161" t="s">
        <v>2483</v>
      </c>
      <c r="E161" t="s">
        <v>2484</v>
      </c>
    </row>
    <row r="162" spans="1:5">
      <c r="A162" t="s">
        <v>2485</v>
      </c>
      <c r="B162" t="s">
        <v>2481</v>
      </c>
      <c r="C162" t="s">
        <v>2486</v>
      </c>
      <c r="D162" t="s">
        <v>2487</v>
      </c>
    </row>
    <row r="163" spans="1:5">
      <c r="A163" t="s">
        <v>2488</v>
      </c>
      <c r="B163" t="s">
        <v>2481</v>
      </c>
      <c r="C163" t="s">
        <v>2489</v>
      </c>
      <c r="D163" t="s">
        <v>2478</v>
      </c>
    </row>
    <row r="164" spans="1:5">
      <c r="A164" t="s">
        <v>2490</v>
      </c>
      <c r="B164" t="s">
        <v>2481</v>
      </c>
      <c r="C164" t="s">
        <v>2491</v>
      </c>
      <c r="D164" t="s">
        <v>2492</v>
      </c>
      <c r="E164" t="s">
        <v>2493</v>
      </c>
    </row>
    <row r="165" spans="1:5">
      <c r="A165" t="s">
        <v>2494</v>
      </c>
      <c r="B165" t="s">
        <v>2481</v>
      </c>
      <c r="C165" t="s">
        <v>2495</v>
      </c>
      <c r="D165" t="s">
        <v>2478</v>
      </c>
    </row>
    <row r="166" spans="1:5">
      <c r="A166" t="s">
        <v>2501</v>
      </c>
      <c r="B166" t="s">
        <v>2497</v>
      </c>
      <c r="C166" t="s">
        <v>2502</v>
      </c>
      <c r="D166" t="s">
        <v>2044</v>
      </c>
    </row>
    <row r="167" spans="1:5">
      <c r="A167" t="s">
        <v>2503</v>
      </c>
      <c r="B167" t="s">
        <v>2469</v>
      </c>
      <c r="C167" t="s">
        <v>2504</v>
      </c>
      <c r="D167" t="s">
        <v>2505</v>
      </c>
    </row>
    <row r="168" spans="1:5">
      <c r="A168" t="s">
        <v>2506</v>
      </c>
      <c r="B168" t="s">
        <v>2469</v>
      </c>
      <c r="C168" t="s">
        <v>2507</v>
      </c>
      <c r="D168" t="s">
        <v>2478</v>
      </c>
    </row>
    <row r="169" spans="1:5">
      <c r="A169" t="s">
        <v>2508</v>
      </c>
      <c r="B169" t="s">
        <v>2509</v>
      </c>
      <c r="C169" t="s">
        <v>2510</v>
      </c>
      <c r="D169" t="s">
        <v>2478</v>
      </c>
    </row>
    <row r="170" spans="1:5">
      <c r="A170" t="s">
        <v>2511</v>
      </c>
      <c r="B170" t="s">
        <v>2512</v>
      </c>
      <c r="C170" t="s">
        <v>2513</v>
      </c>
      <c r="D170" t="s">
        <v>2514</v>
      </c>
    </row>
    <row r="171" spans="1:5">
      <c r="A171" t="s">
        <v>2515</v>
      </c>
      <c r="B171" t="s">
        <v>2516</v>
      </c>
      <c r="C171" t="s">
        <v>2517</v>
      </c>
      <c r="D171" t="s">
        <v>2518</v>
      </c>
    </row>
    <row r="172" spans="1:5">
      <c r="A172" t="s">
        <v>2519</v>
      </c>
      <c r="B172" t="s">
        <v>2516</v>
      </c>
      <c r="C172" t="s">
        <v>2520</v>
      </c>
      <c r="D172" t="s">
        <v>2518</v>
      </c>
    </row>
    <row r="173" spans="1:5">
      <c r="A173" t="s">
        <v>2521</v>
      </c>
      <c r="B173" t="s">
        <v>2522</v>
      </c>
      <c r="C173" t="s">
        <v>2523</v>
      </c>
      <c r="D173" t="s">
        <v>2133</v>
      </c>
    </row>
    <row r="174" spans="1:5">
      <c r="A174" t="s">
        <v>2524</v>
      </c>
      <c r="B174" t="s">
        <v>2522</v>
      </c>
      <c r="C174" t="s">
        <v>2525</v>
      </c>
      <c r="D174" t="s">
        <v>2133</v>
      </c>
      <c r="E174" t="s">
        <v>2526</v>
      </c>
    </row>
    <row r="175" spans="1:5">
      <c r="A175" t="s">
        <v>2527</v>
      </c>
      <c r="B175" t="s">
        <v>2522</v>
      </c>
      <c r="C175" t="s">
        <v>2528</v>
      </c>
      <c r="D175" t="s">
        <v>2478</v>
      </c>
    </row>
    <row r="176" spans="1:5">
      <c r="A176" t="s">
        <v>2529</v>
      </c>
      <c r="B176" t="s">
        <v>2522</v>
      </c>
      <c r="C176" t="s">
        <v>2530</v>
      </c>
      <c r="D176" t="s">
        <v>2144</v>
      </c>
    </row>
    <row r="177" spans="1:5">
      <c r="A177" t="s">
        <v>2531</v>
      </c>
      <c r="B177" t="s">
        <v>2522</v>
      </c>
      <c r="C177" t="s">
        <v>2532</v>
      </c>
      <c r="D177" t="s">
        <v>2533</v>
      </c>
    </row>
    <row r="178" spans="1:5">
      <c r="A178" t="s">
        <v>2534</v>
      </c>
      <c r="B178" t="s">
        <v>2522</v>
      </c>
      <c r="C178" t="s">
        <v>2535</v>
      </c>
      <c r="D178" t="s">
        <v>2536</v>
      </c>
    </row>
    <row r="179" spans="1:5">
      <c r="A179" t="s">
        <v>2537</v>
      </c>
      <c r="B179" t="s">
        <v>2522</v>
      </c>
      <c r="C179" t="s">
        <v>2538</v>
      </c>
      <c r="D179" t="s">
        <v>2478</v>
      </c>
      <c r="E179" t="s">
        <v>2539</v>
      </c>
    </row>
    <row r="180" spans="1:5">
      <c r="A180" t="s">
        <v>2540</v>
      </c>
      <c r="B180" t="s">
        <v>2541</v>
      </c>
      <c r="C180" t="s">
        <v>2542</v>
      </c>
      <c r="D180" t="s">
        <v>2044</v>
      </c>
    </row>
    <row r="181" spans="1:5">
      <c r="A181" t="s">
        <v>2543</v>
      </c>
      <c r="B181" t="s">
        <v>2541</v>
      </c>
      <c r="C181" t="s">
        <v>2544</v>
      </c>
      <c r="D181" t="s">
        <v>2044</v>
      </c>
    </row>
    <row r="182" spans="1:5">
      <c r="A182" t="s">
        <v>2545</v>
      </c>
      <c r="B182" t="s">
        <v>2541</v>
      </c>
      <c r="C182" t="s">
        <v>2546</v>
      </c>
      <c r="D182" t="s">
        <v>2044</v>
      </c>
    </row>
    <row r="183" spans="1:5">
      <c r="A183" t="s">
        <v>2547</v>
      </c>
      <c r="B183" t="s">
        <v>2541</v>
      </c>
      <c r="C183" t="s">
        <v>2548</v>
      </c>
      <c r="D183" t="s">
        <v>2044</v>
      </c>
    </row>
    <row r="184" spans="1:5">
      <c r="A184" t="s">
        <v>2549</v>
      </c>
      <c r="B184" t="s">
        <v>2541</v>
      </c>
      <c r="C184" t="s">
        <v>2550</v>
      </c>
      <c r="D184" t="s">
        <v>2133</v>
      </c>
      <c r="E184" t="s">
        <v>2493</v>
      </c>
    </row>
    <row r="185" spans="1:5">
      <c r="A185" t="s">
        <v>2551</v>
      </c>
      <c r="B185" t="s">
        <v>2541</v>
      </c>
      <c r="C185" t="s">
        <v>2552</v>
      </c>
      <c r="D185" t="s">
        <v>2478</v>
      </c>
    </row>
    <row r="186" spans="1:5">
      <c r="A186" t="s">
        <v>2553</v>
      </c>
      <c r="B186" t="s">
        <v>2541</v>
      </c>
      <c r="C186" t="s">
        <v>2554</v>
      </c>
      <c r="D186" t="s">
        <v>2478</v>
      </c>
    </row>
    <row r="187" spans="1:5">
      <c r="A187" t="s">
        <v>2555</v>
      </c>
      <c r="B187" t="s">
        <v>2556</v>
      </c>
      <c r="C187" t="s">
        <v>2557</v>
      </c>
      <c r="D187" t="s">
        <v>2558</v>
      </c>
    </row>
    <row r="188" spans="1:5">
      <c r="A188" t="s">
        <v>2559</v>
      </c>
      <c r="B188" t="s">
        <v>2556</v>
      </c>
      <c r="C188" t="s">
        <v>2560</v>
      </c>
      <c r="D188" t="s">
        <v>2561</v>
      </c>
    </row>
    <row r="190" spans="1:5">
      <c r="A190" t="s">
        <v>2562</v>
      </c>
      <c r="B190" t="s">
        <v>2563</v>
      </c>
      <c r="C190" t="s">
        <v>419</v>
      </c>
    </row>
    <row r="191" spans="1:5">
      <c r="A191" t="s">
        <v>2564</v>
      </c>
      <c r="B191" t="s">
        <v>2565</v>
      </c>
      <c r="C191" t="s">
        <v>2566</v>
      </c>
    </row>
    <row r="192" spans="1:5">
      <c r="A192" t="s">
        <v>2567</v>
      </c>
      <c r="B192" t="s">
        <v>2568</v>
      </c>
      <c r="C192" t="s">
        <v>2569</v>
      </c>
      <c r="D192" t="s">
        <v>2570</v>
      </c>
    </row>
    <row r="193" spans="1:5">
      <c r="A193" t="s">
        <v>2571</v>
      </c>
      <c r="B193" t="s">
        <v>2572</v>
      </c>
      <c r="C193" t="s">
        <v>2573</v>
      </c>
    </row>
    <row r="194" spans="1:5">
      <c r="A194" t="s">
        <v>2574</v>
      </c>
      <c r="B194" t="s">
        <v>2575</v>
      </c>
      <c r="C194" t="s">
        <v>2576</v>
      </c>
      <c r="D194" t="s">
        <v>2577</v>
      </c>
    </row>
    <row r="195" spans="1:5">
      <c r="A195" t="s">
        <v>2578</v>
      </c>
      <c r="B195" t="s">
        <v>2579</v>
      </c>
      <c r="C195" t="s">
        <v>2580</v>
      </c>
      <c r="D195" t="s">
        <v>2581</v>
      </c>
    </row>
    <row r="196" spans="1:5">
      <c r="A196" t="s">
        <v>2582</v>
      </c>
      <c r="B196" t="s">
        <v>2583</v>
      </c>
      <c r="C196" t="s">
        <v>2584</v>
      </c>
    </row>
    <row r="201" spans="1:5">
      <c r="A201" t="s">
        <v>2589</v>
      </c>
      <c r="B201" t="s">
        <v>2590</v>
      </c>
      <c r="C201" t="s">
        <v>2591</v>
      </c>
      <c r="D201" t="s">
        <v>2044</v>
      </c>
      <c r="E201" t="s">
        <v>2592</v>
      </c>
    </row>
    <row r="202" spans="1:5">
      <c r="A202" t="s">
        <v>2593</v>
      </c>
      <c r="B202" t="s">
        <v>2590</v>
      </c>
      <c r="C202" t="s">
        <v>2594</v>
      </c>
      <c r="D202" t="s">
        <v>2581</v>
      </c>
      <c r="E202" t="s">
        <v>2595</v>
      </c>
    </row>
    <row r="203" spans="1:5">
      <c r="A203" t="s">
        <v>2596</v>
      </c>
      <c r="B203" t="s">
        <v>2590</v>
      </c>
      <c r="C203" t="s">
        <v>2597</v>
      </c>
      <c r="E203" t="s">
        <v>2598</v>
      </c>
    </row>
    <row r="204" spans="1:5">
      <c r="A204" t="s">
        <v>2599</v>
      </c>
      <c r="B204" t="s">
        <v>2354</v>
      </c>
      <c r="C204" t="s">
        <v>2600</v>
      </c>
      <c r="E204" t="s">
        <v>2601</v>
      </c>
    </row>
    <row r="205" spans="1:5">
      <c r="A205" t="s">
        <v>2602</v>
      </c>
      <c r="B205" t="s">
        <v>2603</v>
      </c>
      <c r="C205" t="s">
        <v>2604</v>
      </c>
    </row>
    <row r="206" spans="1:5">
      <c r="A206" t="s">
        <v>2605</v>
      </c>
      <c r="B206" t="s">
        <v>2606</v>
      </c>
      <c r="C206" t="s">
        <v>2604</v>
      </c>
    </row>
    <row r="207" spans="1:5">
      <c r="A207" t="s">
        <v>2607</v>
      </c>
      <c r="B207" t="s">
        <v>2608</v>
      </c>
      <c r="C207" t="s">
        <v>2609</v>
      </c>
    </row>
    <row r="208" spans="1:5">
      <c r="A208" t="s">
        <v>2610</v>
      </c>
      <c r="B208" t="s">
        <v>2611</v>
      </c>
      <c r="C208" t="s">
        <v>2612</v>
      </c>
      <c r="D208" t="s">
        <v>2471</v>
      </c>
    </row>
    <row r="209" spans="1:5">
      <c r="A209" t="s">
        <v>2613</v>
      </c>
      <c r="B209" t="s">
        <v>2614</v>
      </c>
      <c r="C209" t="s">
        <v>2615</v>
      </c>
      <c r="D209" t="s">
        <v>2044</v>
      </c>
    </row>
    <row r="210" spans="1:5">
      <c r="A210" t="s">
        <v>2616</v>
      </c>
      <c r="B210" t="s">
        <v>2617</v>
      </c>
      <c r="C210" t="s">
        <v>2618</v>
      </c>
      <c r="D210" t="s">
        <v>2044</v>
      </c>
      <c r="E210" t="s">
        <v>2619</v>
      </c>
    </row>
    <row r="211" spans="1:5">
      <c r="A211" t="s">
        <v>2620</v>
      </c>
      <c r="B211" t="s">
        <v>2621</v>
      </c>
      <c r="C211" t="s">
        <v>2622</v>
      </c>
    </row>
    <row r="212" spans="1:5">
      <c r="A212" t="s">
        <v>2623</v>
      </c>
      <c r="B212" t="s">
        <v>2624</v>
      </c>
      <c r="C212" t="s">
        <v>2069</v>
      </c>
    </row>
    <row r="213" spans="1:5">
      <c r="A213" t="s">
        <v>2625</v>
      </c>
      <c r="B213" t="s">
        <v>2626</v>
      </c>
      <c r="C213" t="s">
        <v>2627</v>
      </c>
    </row>
    <row r="214" spans="1:5">
      <c r="A214" t="s">
        <v>2628</v>
      </c>
      <c r="B214" t="s">
        <v>2629</v>
      </c>
      <c r="C214" t="s">
        <v>2630</v>
      </c>
    </row>
    <row r="215" spans="1:5">
      <c r="A215" t="s">
        <v>2631</v>
      </c>
      <c r="B215" t="s">
        <v>2632</v>
      </c>
      <c r="C215" t="s">
        <v>2633</v>
      </c>
    </row>
    <row r="216" spans="1:5">
      <c r="A216" t="s">
        <v>2634</v>
      </c>
      <c r="B216" t="s">
        <v>2635</v>
      </c>
      <c r="C216" t="s">
        <v>2636</v>
      </c>
    </row>
    <row r="217" spans="1:5">
      <c r="A217" t="s">
        <v>2637</v>
      </c>
      <c r="B217" t="s">
        <v>2638</v>
      </c>
      <c r="C217" t="s">
        <v>2639</v>
      </c>
    </row>
    <row r="218" spans="1:5">
      <c r="A218" t="s">
        <v>2640</v>
      </c>
      <c r="B218" t="s">
        <v>2641</v>
      </c>
      <c r="C218" t="s">
        <v>2642</v>
      </c>
      <c r="D218" t="s">
        <v>2116</v>
      </c>
    </row>
    <row r="219" spans="1:5">
      <c r="A219" t="s">
        <v>2643</v>
      </c>
      <c r="B219" t="s">
        <v>2644</v>
      </c>
      <c r="C219" t="s">
        <v>2645</v>
      </c>
      <c r="D219" t="s">
        <v>2116</v>
      </c>
    </row>
    <row r="220" spans="1:5">
      <c r="A220" t="s">
        <v>2646</v>
      </c>
      <c r="B220" t="s">
        <v>2647</v>
      </c>
      <c r="C220" t="s">
        <v>2648</v>
      </c>
      <c r="D220" t="s">
        <v>2116</v>
      </c>
    </row>
    <row r="221" spans="1:5">
      <c r="A221" t="s">
        <v>2649</v>
      </c>
      <c r="B221" t="s">
        <v>2650</v>
      </c>
      <c r="C221" t="s">
        <v>2651</v>
      </c>
    </row>
    <row r="222" spans="1:5">
      <c r="A222" t="s">
        <v>2652</v>
      </c>
      <c r="B222" t="s">
        <v>2650</v>
      </c>
      <c r="C222" t="s">
        <v>2653</v>
      </c>
      <c r="E222" t="s">
        <v>2654</v>
      </c>
    </row>
    <row r="223" spans="1:5">
      <c r="A223" t="s">
        <v>2655</v>
      </c>
      <c r="B223" t="s">
        <v>2650</v>
      </c>
      <c r="C223" t="s">
        <v>2656</v>
      </c>
      <c r="E223" t="s">
        <v>2657</v>
      </c>
    </row>
    <row r="224" spans="1:5">
      <c r="A224" t="s">
        <v>2658</v>
      </c>
      <c r="B224" t="s">
        <v>2659</v>
      </c>
      <c r="C224" t="s">
        <v>2660</v>
      </c>
      <c r="E224" t="s">
        <v>2661</v>
      </c>
    </row>
    <row r="225" spans="1:5">
      <c r="A225" t="s">
        <v>2662</v>
      </c>
      <c r="B225" t="s">
        <v>2659</v>
      </c>
      <c r="C225" t="s">
        <v>2663</v>
      </c>
    </row>
    <row r="226" spans="1:5">
      <c r="A226" t="s">
        <v>2664</v>
      </c>
      <c r="B226" t="s">
        <v>2665</v>
      </c>
      <c r="C226" t="s">
        <v>2666</v>
      </c>
    </row>
    <row r="227" spans="1:5">
      <c r="A227" t="s">
        <v>2667</v>
      </c>
      <c r="B227" t="s">
        <v>2668</v>
      </c>
      <c r="C227" t="s">
        <v>2669</v>
      </c>
    </row>
    <row r="228" spans="1:5">
      <c r="A228" t="s">
        <v>2670</v>
      </c>
      <c r="B228" t="s">
        <v>2671</v>
      </c>
      <c r="C228" t="s">
        <v>2672</v>
      </c>
      <c r="D228" t="s">
        <v>2673</v>
      </c>
    </row>
    <row r="229" spans="1:5">
      <c r="A229" t="s">
        <v>2674</v>
      </c>
      <c r="B229" t="s">
        <v>2675</v>
      </c>
      <c r="C229" t="s">
        <v>2057</v>
      </c>
      <c r="D229" t="s">
        <v>2044</v>
      </c>
    </row>
    <row r="230" spans="1:5">
      <c r="A230" t="s">
        <v>2676</v>
      </c>
      <c r="B230" t="s">
        <v>2675</v>
      </c>
      <c r="C230" t="s">
        <v>2677</v>
      </c>
      <c r="D230" t="s">
        <v>2044</v>
      </c>
    </row>
    <row r="231" spans="1:5">
      <c r="A231" t="s">
        <v>2678</v>
      </c>
      <c r="B231" t="s">
        <v>2679</v>
      </c>
      <c r="C231" t="s">
        <v>2680</v>
      </c>
    </row>
    <row r="232" spans="1:5">
      <c r="A232" t="s">
        <v>2681</v>
      </c>
      <c r="B232" t="s">
        <v>2682</v>
      </c>
      <c r="C232" t="s">
        <v>2683</v>
      </c>
    </row>
    <row r="233" spans="1:5">
      <c r="A233" t="s">
        <v>2684</v>
      </c>
      <c r="B233" t="s">
        <v>2685</v>
      </c>
      <c r="C233" t="s">
        <v>2686</v>
      </c>
      <c r="D233" t="s">
        <v>2116</v>
      </c>
    </row>
    <row r="234" spans="1:5">
      <c r="A234" t="s">
        <v>2687</v>
      </c>
      <c r="B234" t="s">
        <v>2688</v>
      </c>
      <c r="C234" t="s">
        <v>2689</v>
      </c>
      <c r="E234" t="s">
        <v>2690</v>
      </c>
    </row>
    <row r="235" spans="1:5">
      <c r="A235" t="s">
        <v>2691</v>
      </c>
      <c r="B235" t="s">
        <v>2692</v>
      </c>
      <c r="C235" t="s">
        <v>2693</v>
      </c>
    </row>
    <row r="236" spans="1:5">
      <c r="A236" t="s">
        <v>2694</v>
      </c>
      <c r="B236" t="s">
        <v>2354</v>
      </c>
      <c r="C236" t="s">
        <v>2695</v>
      </c>
      <c r="E236" t="s">
        <v>2696</v>
      </c>
    </row>
    <row r="237" spans="1:5">
      <c r="A237" t="s">
        <v>2697</v>
      </c>
      <c r="B237" t="s">
        <v>2698</v>
      </c>
      <c r="C237" t="s">
        <v>2699</v>
      </c>
      <c r="D237" t="s">
        <v>2116</v>
      </c>
      <c r="E237" t="s">
        <v>2700</v>
      </c>
    </row>
    <row r="238" spans="1:5">
      <c r="A238" t="s">
        <v>2701</v>
      </c>
      <c r="B238" t="s">
        <v>2702</v>
      </c>
      <c r="C238" t="s">
        <v>2703</v>
      </c>
      <c r="E238" t="s">
        <v>2704</v>
      </c>
    </row>
    <row r="239" spans="1:5">
      <c r="A239" t="s">
        <v>2705</v>
      </c>
      <c r="B239" t="s">
        <v>2706</v>
      </c>
      <c r="C239" t="s">
        <v>2707</v>
      </c>
    </row>
    <row r="240" spans="1:5">
      <c r="A240" t="s">
        <v>2708</v>
      </c>
      <c r="B240" t="s">
        <v>2709</v>
      </c>
      <c r="C240" t="s">
        <v>2710</v>
      </c>
    </row>
    <row r="241" spans="1:5">
      <c r="A241" t="s">
        <v>2711</v>
      </c>
      <c r="B241" t="s">
        <v>2712</v>
      </c>
      <c r="C241" t="s">
        <v>2713</v>
      </c>
    </row>
    <row r="242" spans="1:5">
      <c r="A242" t="s">
        <v>2714</v>
      </c>
      <c r="B242" t="s">
        <v>2715</v>
      </c>
      <c r="C242" t="s">
        <v>2716</v>
      </c>
      <c r="D242" t="s">
        <v>2116</v>
      </c>
    </row>
    <row r="243" spans="1:5">
      <c r="A243" t="s">
        <v>2717</v>
      </c>
      <c r="B243" t="s">
        <v>2718</v>
      </c>
      <c r="C243" t="s">
        <v>6995</v>
      </c>
      <c r="E243" t="s">
        <v>2719</v>
      </c>
    </row>
    <row r="244" spans="1:5">
      <c r="A244" t="s">
        <v>2720</v>
      </c>
      <c r="B244" t="s">
        <v>2721</v>
      </c>
      <c r="C244" t="s">
        <v>2722</v>
      </c>
    </row>
    <row r="245" spans="1:5">
      <c r="A245" t="s">
        <v>2723</v>
      </c>
      <c r="B245" t="s">
        <v>2724</v>
      </c>
      <c r="C245" t="s">
        <v>2725</v>
      </c>
      <c r="E245" t="s">
        <v>2726</v>
      </c>
    </row>
    <row r="246" spans="1:5">
      <c r="A246" t="s">
        <v>2727</v>
      </c>
      <c r="B246" t="s">
        <v>2728</v>
      </c>
      <c r="C246" t="s">
        <v>2729</v>
      </c>
      <c r="D246" t="s">
        <v>2116</v>
      </c>
    </row>
    <row r="247" spans="1:5">
      <c r="A247" t="s">
        <v>2730</v>
      </c>
      <c r="B247" t="s">
        <v>2731</v>
      </c>
      <c r="C247" t="s">
        <v>2732</v>
      </c>
      <c r="D247" t="s">
        <v>2733</v>
      </c>
    </row>
    <row r="248" spans="1:5">
      <c r="A248" t="s">
        <v>2734</v>
      </c>
      <c r="B248" t="s">
        <v>2735</v>
      </c>
      <c r="C248" t="s">
        <v>2736</v>
      </c>
      <c r="D248" t="s">
        <v>2083</v>
      </c>
    </row>
    <row r="249" spans="1:5">
      <c r="A249" t="s">
        <v>2737</v>
      </c>
      <c r="B249" t="s">
        <v>2738</v>
      </c>
      <c r="C249" t="s">
        <v>2739</v>
      </c>
    </row>
    <row r="250" spans="1:5">
      <c r="A250" t="s">
        <v>2740</v>
      </c>
      <c r="B250" t="s">
        <v>2741</v>
      </c>
      <c r="C250" t="s">
        <v>2742</v>
      </c>
    </row>
    <row r="251" spans="1:5">
      <c r="A251" t="s">
        <v>2743</v>
      </c>
      <c r="B251" t="s">
        <v>2744</v>
      </c>
      <c r="C251" t="s">
        <v>2745</v>
      </c>
      <c r="D251" t="s">
        <v>2746</v>
      </c>
    </row>
    <row r="252" spans="1:5">
      <c r="A252" t="s">
        <v>2747</v>
      </c>
      <c r="B252" t="s">
        <v>2748</v>
      </c>
      <c r="C252" t="s">
        <v>6994</v>
      </c>
      <c r="D252" t="s">
        <v>2749</v>
      </c>
    </row>
    <row r="253" spans="1:5">
      <c r="A253" t="s">
        <v>2750</v>
      </c>
      <c r="B253" t="s">
        <v>2751</v>
      </c>
      <c r="C253" t="s">
        <v>2752</v>
      </c>
    </row>
    <row r="254" spans="1:5">
      <c r="A254" t="s">
        <v>2753</v>
      </c>
      <c r="B254" t="s">
        <v>2754</v>
      </c>
      <c r="C254" t="s">
        <v>2755</v>
      </c>
      <c r="D254" t="s">
        <v>2756</v>
      </c>
    </row>
    <row r="255" spans="1:5">
      <c r="A255" t="s">
        <v>2757</v>
      </c>
      <c r="B255" t="s">
        <v>2758</v>
      </c>
      <c r="C255" t="s">
        <v>2759</v>
      </c>
    </row>
    <row r="256" spans="1:5">
      <c r="A256" t="s">
        <v>2760</v>
      </c>
      <c r="B256" t="s">
        <v>2761</v>
      </c>
      <c r="C256" t="s">
        <v>2739</v>
      </c>
    </row>
    <row r="257" spans="1:5">
      <c r="A257" t="s">
        <v>2762</v>
      </c>
      <c r="B257" t="s">
        <v>2761</v>
      </c>
      <c r="C257" t="s">
        <v>2763</v>
      </c>
    </row>
    <row r="258" spans="1:5">
      <c r="A258" t="s">
        <v>2764</v>
      </c>
      <c r="B258" t="s">
        <v>2765</v>
      </c>
      <c r="C258" t="s">
        <v>2766</v>
      </c>
    </row>
    <row r="259" spans="1:4">
      <c r="A259" t="s">
        <v>2767</v>
      </c>
      <c r="B259" t="s">
        <v>2768</v>
      </c>
      <c r="C259" t="s">
        <v>2769</v>
      </c>
      <c r="D259" t="s">
        <v>2570</v>
      </c>
    </row>
    <row r="260" spans="1:4">
      <c r="A260" t="s">
        <v>2770</v>
      </c>
      <c r="B260" t="s">
        <v>2771</v>
      </c>
      <c r="C260" t="s">
        <v>2772</v>
      </c>
    </row>
    <row r="261" spans="1:4">
      <c r="A261" t="s">
        <v>2773</v>
      </c>
      <c r="B261" t="s">
        <v>2774</v>
      </c>
      <c r="C261" t="s">
        <v>2775</v>
      </c>
    </row>
    <row r="262" spans="1:4">
      <c r="A262" t="s">
        <v>2776</v>
      </c>
      <c r="B262" t="s">
        <v>2777</v>
      </c>
      <c r="C262" t="s">
        <v>2778</v>
      </c>
    </row>
    <row r="263" spans="1:4">
      <c r="A263" t="s">
        <v>2779</v>
      </c>
      <c r="B263" t="s">
        <v>2780</v>
      </c>
      <c r="C263" t="s">
        <v>2781</v>
      </c>
      <c r="D263" t="s">
        <v>2044</v>
      </c>
    </row>
    <row r="264" spans="1:4">
      <c r="A264" t="s">
        <v>2782</v>
      </c>
      <c r="B264" t="s">
        <v>2780</v>
      </c>
      <c r="C264" t="s">
        <v>2783</v>
      </c>
    </row>
    <row r="265" spans="1:4">
      <c r="A265" t="s">
        <v>2784</v>
      </c>
      <c r="B265" t="s">
        <v>2780</v>
      </c>
      <c r="C265" t="s">
        <v>2785</v>
      </c>
      <c r="D265" t="s">
        <v>2044</v>
      </c>
    </row>
    <row r="266" spans="1:4">
      <c r="A266" t="s">
        <v>2786</v>
      </c>
      <c r="B266" t="s">
        <v>2780</v>
      </c>
      <c r="C266" t="s">
        <v>2787</v>
      </c>
    </row>
    <row r="267" spans="1:4">
      <c r="A267" t="s">
        <v>2788</v>
      </c>
      <c r="B267" t="s">
        <v>2780</v>
      </c>
      <c r="C267" t="s">
        <v>2789</v>
      </c>
    </row>
    <row r="268" spans="1:4">
      <c r="A268" t="s">
        <v>2790</v>
      </c>
      <c r="B268" t="s">
        <v>2780</v>
      </c>
      <c r="C268" t="s">
        <v>2791</v>
      </c>
    </row>
    <row r="269" spans="1:4">
      <c r="A269" t="s">
        <v>2792</v>
      </c>
      <c r="B269" t="s">
        <v>2780</v>
      </c>
      <c r="C269" t="s">
        <v>2793</v>
      </c>
      <c r="D269" t="s">
        <v>2794</v>
      </c>
    </row>
    <row r="270" spans="1:4">
      <c r="A270" t="s">
        <v>2795</v>
      </c>
      <c r="B270" t="s">
        <v>2796</v>
      </c>
      <c r="C270" t="s">
        <v>2797</v>
      </c>
      <c r="D270" t="s">
        <v>2116</v>
      </c>
    </row>
    <row r="271" spans="1:4">
      <c r="A271" t="s">
        <v>2798</v>
      </c>
      <c r="B271" t="s">
        <v>2354</v>
      </c>
      <c r="C271" t="s">
        <v>2799</v>
      </c>
      <c r="D271" t="s">
        <v>2800</v>
      </c>
    </row>
    <row r="272" spans="1:4">
      <c r="A272" t="s">
        <v>2801</v>
      </c>
      <c r="B272" t="s">
        <v>2802</v>
      </c>
      <c r="C272" t="s">
        <v>2803</v>
      </c>
    </row>
    <row r="273" spans="1:4">
      <c r="A273" t="s">
        <v>2804</v>
      </c>
      <c r="B273" t="s">
        <v>2354</v>
      </c>
      <c r="C273" t="s">
        <v>2805</v>
      </c>
      <c r="D273" t="s">
        <v>2800</v>
      </c>
    </row>
    <row r="274" spans="1:4">
      <c r="A274" t="s">
        <v>2806</v>
      </c>
      <c r="B274" t="s">
        <v>2807</v>
      </c>
      <c r="C274" t="s">
        <v>2808</v>
      </c>
      <c r="D274" t="s">
        <v>2116</v>
      </c>
    </row>
    <row r="275" spans="1:5">
      <c r="A275" t="s">
        <v>2809</v>
      </c>
      <c r="B275" t="s">
        <v>2354</v>
      </c>
      <c r="C275" t="s">
        <v>2810</v>
      </c>
    </row>
    <row r="276" spans="1:5">
      <c r="A276" t="s">
        <v>2811</v>
      </c>
      <c r="B276" t="s">
        <v>2812</v>
      </c>
      <c r="C276" t="s">
        <v>2813</v>
      </c>
    </row>
    <row r="277" spans="1:5">
      <c r="A277" t="s">
        <v>2814</v>
      </c>
      <c r="B277" t="s">
        <v>2815</v>
      </c>
      <c r="C277" t="s">
        <v>2816</v>
      </c>
      <c r="D277" t="s">
        <v>2044</v>
      </c>
    </row>
    <row r="278" spans="1:5">
      <c r="A278" t="s">
        <v>2823</v>
      </c>
      <c r="B278" t="s">
        <v>2824</v>
      </c>
      <c r="C278" t="s">
        <v>2825</v>
      </c>
      <c r="D278" t="s">
        <v>2826</v>
      </c>
    </row>
    <row r="279" spans="1:5">
      <c r="A279" t="s">
        <v>2827</v>
      </c>
      <c r="B279" t="s">
        <v>2828</v>
      </c>
      <c r="C279" t="s">
        <v>2829</v>
      </c>
      <c r="D279" t="s">
        <v>2830</v>
      </c>
    </row>
    <row r="280" spans="1:5">
      <c r="A280" t="s">
        <v>2831</v>
      </c>
      <c r="B280" t="s">
        <v>2832</v>
      </c>
      <c r="C280" t="s">
        <v>2833</v>
      </c>
    </row>
    <row r="281" spans="1:5">
      <c r="A281" t="s">
        <v>2834</v>
      </c>
      <c r="B281" t="s">
        <v>2835</v>
      </c>
      <c r="C281" t="s">
        <v>2836</v>
      </c>
    </row>
    <row r="282" spans="1:5">
      <c r="A282" t="s">
        <v>2837</v>
      </c>
      <c r="B282" t="s">
        <v>2838</v>
      </c>
      <c r="C282" t="s">
        <v>2839</v>
      </c>
    </row>
    <row r="283" spans="1:5">
      <c r="A283" t="s">
        <v>2840</v>
      </c>
      <c r="B283" t="s">
        <v>2841</v>
      </c>
      <c r="C283" t="s">
        <v>2842</v>
      </c>
    </row>
    <row r="284" spans="1:5">
      <c r="A284" t="s">
        <v>2843</v>
      </c>
      <c r="B284" t="s">
        <v>2844</v>
      </c>
      <c r="C284" t="s">
        <v>2845</v>
      </c>
      <c r="D284" t="s">
        <v>2846</v>
      </c>
    </row>
    <row r="285" spans="1:5">
      <c r="A285" t="s">
        <v>2847</v>
      </c>
      <c r="B285" t="s">
        <v>2848</v>
      </c>
      <c r="C285" t="s">
        <v>2849</v>
      </c>
      <c r="D285" t="s">
        <v>2846</v>
      </c>
    </row>
    <row r="286" spans="1:5">
      <c r="A286" t="s">
        <v>4861</v>
      </c>
      <c r="B286" t="s">
        <v>4862</v>
      </c>
      <c r="C286" t="s">
        <v>4863</v>
      </c>
      <c r="D286" t="s">
        <v>4864</v>
      </c>
      <c r="E286" t="s">
        <v>4865</v>
      </c>
    </row>
    <row r="287" spans="1:5">
      <c r="A287" t="s">
        <v>4866</v>
      </c>
      <c r="B287" t="s">
        <v>4867</v>
      </c>
      <c r="C287" t="s">
        <v>4868</v>
      </c>
      <c r="D287" t="s">
        <v>4869</v>
      </c>
      <c r="E287" t="s">
        <v>4870</v>
      </c>
    </row>
    <row r="288" spans="1:5">
      <c r="A288" t="s">
        <v>4871</v>
      </c>
      <c r="B288" t="s">
        <v>4867</v>
      </c>
      <c r="C288" t="s">
        <v>4872</v>
      </c>
      <c r="D288" t="s">
        <v>4869</v>
      </c>
      <c r="E288" t="s">
        <v>4873</v>
      </c>
    </row>
    <row r="289" spans="1:5">
      <c r="A289" t="s">
        <v>4874</v>
      </c>
      <c r="B289" t="s">
        <v>4875</v>
      </c>
      <c r="C289" t="s">
        <v>4876</v>
      </c>
      <c r="E289" t="s">
        <v>4877</v>
      </c>
    </row>
    <row r="290" spans="1:5">
      <c r="A290" t="s">
        <v>4878</v>
      </c>
      <c r="B290" t="s">
        <v>4879</v>
      </c>
      <c r="C290" t="s">
        <v>4880</v>
      </c>
    </row>
    <row r="291" spans="1:5">
      <c r="A291" t="s">
        <v>4881</v>
      </c>
      <c r="B291" t="s">
        <v>4882</v>
      </c>
      <c r="C291" t="s">
        <v>4883</v>
      </c>
      <c r="D291" t="s">
        <v>4884</v>
      </c>
    </row>
    <row r="292" spans="1:5">
      <c r="A292" t="s">
        <v>4885</v>
      </c>
      <c r="B292" t="s">
        <v>4886</v>
      </c>
      <c r="C292" t="s">
        <v>4887</v>
      </c>
      <c r="E292" t="s">
        <v>4888</v>
      </c>
    </row>
    <row r="293" spans="1:5">
      <c r="A293" t="s">
        <v>4889</v>
      </c>
      <c r="B293" t="s">
        <v>4890</v>
      </c>
      <c r="C293" t="s">
        <v>4891</v>
      </c>
    </row>
    <row r="294" spans="1:5">
      <c r="A294" t="s">
        <v>4892</v>
      </c>
      <c r="B294" t="s">
        <v>4890</v>
      </c>
      <c r="C294" t="s">
        <v>4893</v>
      </c>
      <c r="D294" t="s">
        <v>4894</v>
      </c>
      <c r="E294" t="s">
        <v>4895</v>
      </c>
    </row>
    <row r="295" spans="1:5">
      <c r="A295" t="s">
        <v>4896</v>
      </c>
      <c r="B295" t="s">
        <v>4890</v>
      </c>
      <c r="C295" t="s">
        <v>4897</v>
      </c>
      <c r="E295" t="s">
        <v>4898</v>
      </c>
    </row>
    <row r="296" spans="1:5">
      <c r="A296" t="s">
        <v>4899</v>
      </c>
      <c r="B296" t="s">
        <v>4890</v>
      </c>
      <c r="C296" t="s">
        <v>4900</v>
      </c>
      <c r="D296" t="s">
        <v>2445</v>
      </c>
      <c r="E296" t="s">
        <v>4901</v>
      </c>
    </row>
    <row r="297" spans="1:5">
      <c r="A297" t="s">
        <v>4902</v>
      </c>
      <c r="B297" t="s">
        <v>4903</v>
      </c>
      <c r="C297" t="s">
        <v>4904</v>
      </c>
      <c r="E297" t="s">
        <v>4905</v>
      </c>
    </row>
    <row r="298" spans="1:5">
      <c r="A298" t="s">
        <v>4906</v>
      </c>
      <c r="B298" t="s">
        <v>4907</v>
      </c>
      <c r="C298" t="s">
        <v>4908</v>
      </c>
      <c r="E298" t="s">
        <v>4909</v>
      </c>
    </row>
    <row r="299" spans="1:5">
      <c r="A299" t="s">
        <v>4910</v>
      </c>
      <c r="B299" t="s">
        <v>4911</v>
      </c>
      <c r="C299" t="s">
        <v>4912</v>
      </c>
    </row>
    <row r="300" spans="1:5">
      <c r="A300" t="s">
        <v>4913</v>
      </c>
      <c r="B300" t="s">
        <v>4911</v>
      </c>
      <c r="C300" t="s">
        <v>4914</v>
      </c>
    </row>
    <row r="301" spans="1:5">
      <c r="A301" t="s">
        <v>4915</v>
      </c>
      <c r="B301" t="s">
        <v>4911</v>
      </c>
      <c r="C301" t="s">
        <v>4916</v>
      </c>
    </row>
    <row r="302" spans="1:5">
      <c r="A302" t="s">
        <v>4917</v>
      </c>
      <c r="B302" t="s">
        <v>4918</v>
      </c>
      <c r="C302" t="s">
        <v>4919</v>
      </c>
      <c r="D302" t="s">
        <v>4920</v>
      </c>
    </row>
    <row r="303" spans="1:5">
      <c r="A303" t="s">
        <v>4921</v>
      </c>
      <c r="B303" t="s">
        <v>4911</v>
      </c>
      <c r="C303" t="s">
        <v>4922</v>
      </c>
    </row>
    <row r="304" spans="1:5">
      <c r="A304" t="s">
        <v>4923</v>
      </c>
      <c r="B304" t="s">
        <v>4911</v>
      </c>
      <c r="C304" t="s">
        <v>4924</v>
      </c>
    </row>
    <row r="305" spans="1:5">
      <c r="A305" t="s">
        <v>4925</v>
      </c>
      <c r="B305" t="s">
        <v>4926</v>
      </c>
      <c r="C305" t="s">
        <v>4927</v>
      </c>
      <c r="D305" t="s">
        <v>4928</v>
      </c>
    </row>
    <row r="306" spans="1:5">
      <c r="A306" t="s">
        <v>4929</v>
      </c>
      <c r="B306" t="s">
        <v>4930</v>
      </c>
      <c r="C306" t="s">
        <v>4931</v>
      </c>
    </row>
    <row r="307" spans="1:5">
      <c r="A307" t="s">
        <v>4932</v>
      </c>
      <c r="B307" t="s">
        <v>4933</v>
      </c>
      <c r="C307" t="s">
        <v>4934</v>
      </c>
    </row>
    <row r="308" spans="1:5">
      <c r="A308" t="s">
        <v>4935</v>
      </c>
      <c r="B308" t="s">
        <v>4936</v>
      </c>
      <c r="C308" t="s">
        <v>4937</v>
      </c>
    </row>
    <row r="309" spans="1:5">
      <c r="A309" t="s">
        <v>4938</v>
      </c>
      <c r="B309" t="s">
        <v>4939</v>
      </c>
      <c r="C309" t="s">
        <v>4940</v>
      </c>
    </row>
    <row r="310" spans="1:5">
      <c r="A310" t="s">
        <v>4941</v>
      </c>
      <c r="B310" t="s">
        <v>4939</v>
      </c>
      <c r="C310" t="s">
        <v>4942</v>
      </c>
    </row>
    <row r="311" spans="1:5">
      <c r="A311" t="s">
        <v>4943</v>
      </c>
      <c r="B311" t="s">
        <v>4939</v>
      </c>
      <c r="C311" t="s">
        <v>4944</v>
      </c>
    </row>
    <row r="312" spans="1:5">
      <c r="A312" t="s">
        <v>4945</v>
      </c>
      <c r="B312" t="s">
        <v>4946</v>
      </c>
      <c r="C312" t="s">
        <v>4947</v>
      </c>
    </row>
    <row r="313" spans="1:5">
      <c r="A313" t="s">
        <v>4948</v>
      </c>
      <c r="B313" t="s">
        <v>4949</v>
      </c>
      <c r="C313" t="s">
        <v>4950</v>
      </c>
    </row>
    <row r="314" spans="1:5">
      <c r="A314" t="s">
        <v>4951</v>
      </c>
      <c r="B314" t="s">
        <v>4952</v>
      </c>
      <c r="C314" t="s">
        <v>4953</v>
      </c>
    </row>
    <row r="315" spans="1:5">
      <c r="A315" t="s">
        <v>4954</v>
      </c>
      <c r="B315" t="s">
        <v>4952</v>
      </c>
      <c r="C315" t="s">
        <v>4955</v>
      </c>
    </row>
    <row r="316" spans="1:5">
      <c r="A316" t="s">
        <v>4956</v>
      </c>
      <c r="B316" t="s">
        <v>4952</v>
      </c>
      <c r="C316" t="s">
        <v>4957</v>
      </c>
    </row>
    <row r="317" spans="1:5">
      <c r="A317" t="s">
        <v>4958</v>
      </c>
      <c r="B317" t="s">
        <v>2042</v>
      </c>
      <c r="C317" t="s">
        <v>4959</v>
      </c>
      <c r="D317" t="s">
        <v>2051</v>
      </c>
      <c r="E317" t="s">
        <v>4960</v>
      </c>
    </row>
    <row r="318" spans="1:5">
      <c r="A318" t="s">
        <v>4961</v>
      </c>
      <c r="B318" t="s">
        <v>4962</v>
      </c>
      <c r="C318" t="s">
        <v>2384</v>
      </c>
    </row>
    <row r="319" spans="1:5">
      <c r="A319" t="s">
        <v>4963</v>
      </c>
      <c r="B319" t="s">
        <v>4964</v>
      </c>
      <c r="C319" t="s">
        <v>4965</v>
      </c>
    </row>
    <row r="320" spans="1:5">
      <c r="A320" t="s">
        <v>4966</v>
      </c>
      <c r="B320" t="s">
        <v>4967</v>
      </c>
      <c r="C320" t="s">
        <v>4968</v>
      </c>
      <c r="D320" t="s">
        <v>4969</v>
      </c>
    </row>
    <row r="321" spans="1:5">
      <c r="A321" t="s">
        <v>4970</v>
      </c>
      <c r="B321" t="s">
        <v>4971</v>
      </c>
      <c r="C321" t="s">
        <v>4972</v>
      </c>
      <c r="D321" t="s">
        <v>4969</v>
      </c>
    </row>
    <row r="322" spans="1:5">
      <c r="A322" t="s">
        <v>4973</v>
      </c>
      <c r="B322" t="s">
        <v>4974</v>
      </c>
      <c r="C322" t="s">
        <v>4975</v>
      </c>
      <c r="D322" t="s">
        <v>4969</v>
      </c>
    </row>
    <row r="323" spans="1:5">
      <c r="A323" t="s">
        <v>4976</v>
      </c>
      <c r="B323" t="s">
        <v>2042</v>
      </c>
      <c r="C323" t="s">
        <v>4977</v>
      </c>
      <c r="D323" t="s">
        <v>2051</v>
      </c>
      <c r="E323" t="s">
        <v>4978</v>
      </c>
    </row>
    <row r="324" spans="1:5">
      <c r="A324" t="s">
        <v>5007</v>
      </c>
      <c r="B324" t="s">
        <v>2387</v>
      </c>
      <c r="C324" t="s">
        <v>5008</v>
      </c>
      <c r="D324" t="s">
        <v>5009</v>
      </c>
      <c r="E324" t="s">
        <v>5010</v>
      </c>
    </row>
    <row r="325" spans="1:5">
      <c r="A325" t="s">
        <v>5011</v>
      </c>
      <c r="B325" t="s">
        <v>5012</v>
      </c>
      <c r="C325" t="s">
        <v>5013</v>
      </c>
      <c r="D325" t="s">
        <v>5009</v>
      </c>
      <c r="E325" t="s">
        <v>5014</v>
      </c>
    </row>
    <row r="326" spans="1:5">
      <c r="A326" t="s">
        <v>5015</v>
      </c>
      <c r="B326" t="s">
        <v>5012</v>
      </c>
      <c r="C326" t="s">
        <v>5016</v>
      </c>
      <c r="D326" t="s">
        <v>5009</v>
      </c>
      <c r="E326" t="s">
        <v>5017</v>
      </c>
    </row>
    <row r="327" spans="1:5">
      <c r="A327" t="s">
        <v>5018</v>
      </c>
      <c r="B327" t="s">
        <v>5019</v>
      </c>
      <c r="C327" t="s">
        <v>2739</v>
      </c>
      <c r="D327" t="s">
        <v>5009</v>
      </c>
      <c r="E327" t="s">
        <v>5020</v>
      </c>
    </row>
    <row r="328" spans="1:5">
      <c r="A328" t="s">
        <v>5021</v>
      </c>
      <c r="B328" t="s">
        <v>5022</v>
      </c>
      <c r="C328" t="s">
        <v>5023</v>
      </c>
      <c r="D328" t="s">
        <v>5009</v>
      </c>
      <c r="E328" t="s">
        <v>5024</v>
      </c>
    </row>
    <row r="329" spans="1:5">
      <c r="A329" t="s">
        <v>5025</v>
      </c>
      <c r="B329" t="s">
        <v>5022</v>
      </c>
      <c r="C329" t="s">
        <v>5026</v>
      </c>
      <c r="D329" t="s">
        <v>5009</v>
      </c>
      <c r="E329" t="s">
        <v>5009</v>
      </c>
    </row>
    <row r="330" spans="1:5">
      <c r="A330" t="s">
        <v>5027</v>
      </c>
      <c r="B330" t="s">
        <v>5022</v>
      </c>
      <c r="C330" t="s">
        <v>5028</v>
      </c>
      <c r="D330" t="s">
        <v>5009</v>
      </c>
      <c r="E330" t="s">
        <v>5009</v>
      </c>
    </row>
    <row r="331" spans="1:5">
      <c r="A331" t="s">
        <v>5029</v>
      </c>
      <c r="B331" t="s">
        <v>5022</v>
      </c>
      <c r="C331" t="s">
        <v>5030</v>
      </c>
      <c r="D331" t="s">
        <v>5009</v>
      </c>
      <c r="E331" t="s">
        <v>5009</v>
      </c>
    </row>
    <row r="332" spans="1:5">
      <c r="A332" t="s">
        <v>5031</v>
      </c>
      <c r="B332" t="s">
        <v>5022</v>
      </c>
      <c r="C332" t="s">
        <v>5032</v>
      </c>
      <c r="D332" t="s">
        <v>5009</v>
      </c>
      <c r="E332" t="s">
        <v>5009</v>
      </c>
    </row>
    <row r="333" spans="1:5">
      <c r="A333" t="s">
        <v>5033</v>
      </c>
      <c r="B333" t="s">
        <v>5034</v>
      </c>
      <c r="C333" t="s">
        <v>5035</v>
      </c>
      <c r="D333" t="s">
        <v>5036</v>
      </c>
      <c r="E333" t="s">
        <v>5037</v>
      </c>
    </row>
    <row r="334" spans="1:5">
      <c r="A334" t="s">
        <v>5038</v>
      </c>
      <c r="B334" t="s">
        <v>5039</v>
      </c>
      <c r="C334" t="s">
        <v>5040</v>
      </c>
      <c r="D334" t="s">
        <v>2116</v>
      </c>
      <c r="E334" t="s">
        <v>5009</v>
      </c>
    </row>
    <row r="335" spans="1:5">
      <c r="A335" t="s">
        <v>5041</v>
      </c>
      <c r="B335" t="s">
        <v>5039</v>
      </c>
      <c r="C335" t="s">
        <v>5042</v>
      </c>
      <c r="D335" t="s">
        <v>2116</v>
      </c>
      <c r="E335" t="s">
        <v>5009</v>
      </c>
    </row>
    <row r="336" spans="1:5">
      <c r="A336" t="s">
        <v>5043</v>
      </c>
      <c r="B336" t="s">
        <v>5039</v>
      </c>
      <c r="C336" t="s">
        <v>5044</v>
      </c>
      <c r="D336" t="s">
        <v>5045</v>
      </c>
      <c r="E336" t="s">
        <v>5009</v>
      </c>
    </row>
    <row r="337" spans="1:5">
      <c r="A337" t="s">
        <v>5046</v>
      </c>
      <c r="B337" t="s">
        <v>5039</v>
      </c>
      <c r="C337" t="s">
        <v>5047</v>
      </c>
      <c r="D337" t="s">
        <v>5009</v>
      </c>
      <c r="E337" t="s">
        <v>5048</v>
      </c>
    </row>
    <row r="338" spans="1:5">
      <c r="A338" t="s">
        <v>5049</v>
      </c>
      <c r="B338" t="s">
        <v>5039</v>
      </c>
      <c r="C338" t="s">
        <v>5050</v>
      </c>
      <c r="D338" t="s">
        <v>5051</v>
      </c>
      <c r="E338" t="s">
        <v>5009</v>
      </c>
    </row>
    <row r="339" spans="1:5">
      <c r="A339" t="s">
        <v>5052</v>
      </c>
      <c r="B339" t="s">
        <v>5039</v>
      </c>
      <c r="C339" t="s">
        <v>5053</v>
      </c>
      <c r="D339" t="s">
        <v>5009</v>
      </c>
      <c r="E339" t="s">
        <v>5009</v>
      </c>
    </row>
    <row r="340" spans="1:5">
      <c r="A340" t="s">
        <v>5054</v>
      </c>
      <c r="B340" t="s">
        <v>5039</v>
      </c>
      <c r="C340" t="s">
        <v>5055</v>
      </c>
      <c r="D340" t="s">
        <v>2051</v>
      </c>
      <c r="E340" t="s">
        <v>5009</v>
      </c>
    </row>
    <row r="341" spans="1:5">
      <c r="A341" t="s">
        <v>5056</v>
      </c>
      <c r="B341" t="s">
        <v>5039</v>
      </c>
      <c r="C341" t="s">
        <v>5057</v>
      </c>
      <c r="D341" t="s">
        <v>2051</v>
      </c>
      <c r="E341" t="s">
        <v>5009</v>
      </c>
    </row>
    <row r="342" spans="1:5">
      <c r="A342" t="s">
        <v>5058</v>
      </c>
      <c r="B342" t="s">
        <v>5059</v>
      </c>
      <c r="C342" t="s">
        <v>5060</v>
      </c>
      <c r="D342" t="s">
        <v>5009</v>
      </c>
      <c r="E342" t="s">
        <v>5061</v>
      </c>
    </row>
    <row r="343" spans="1:5">
      <c r="A343" t="s">
        <v>5062</v>
      </c>
      <c r="B343" t="s">
        <v>5063</v>
      </c>
      <c r="C343" t="s">
        <v>5064</v>
      </c>
      <c r="D343" t="s">
        <v>5009</v>
      </c>
      <c r="E343" t="s">
        <v>5065</v>
      </c>
    </row>
    <row r="344" spans="1:5">
      <c r="A344" t="s">
        <v>5066</v>
      </c>
      <c r="B344" t="s">
        <v>5067</v>
      </c>
      <c r="C344" t="s">
        <v>5068</v>
      </c>
      <c r="D344" t="s">
        <v>2116</v>
      </c>
      <c r="E344" t="s">
        <v>5069</v>
      </c>
    </row>
    <row r="345" spans="1:5">
      <c r="A345" t="s">
        <v>5070</v>
      </c>
      <c r="B345" t="s">
        <v>5071</v>
      </c>
      <c r="C345" t="s">
        <v>684</v>
      </c>
      <c r="D345" t="s">
        <v>5009</v>
      </c>
      <c r="E345" t="s">
        <v>5072</v>
      </c>
    </row>
    <row r="346" spans="1:5">
      <c r="A346" t="s">
        <v>5073</v>
      </c>
      <c r="B346" t="s">
        <v>5074</v>
      </c>
      <c r="C346" t="s">
        <v>5075</v>
      </c>
      <c r="D346" t="s">
        <v>5009</v>
      </c>
      <c r="E346" t="s">
        <v>5009</v>
      </c>
    </row>
    <row r="347" spans="1:5">
      <c r="A347" t="s">
        <v>5076</v>
      </c>
      <c r="B347" t="s">
        <v>5077</v>
      </c>
      <c r="C347" t="s">
        <v>5078</v>
      </c>
      <c r="D347" t="s">
        <v>5009</v>
      </c>
      <c r="E347" t="s">
        <v>5079</v>
      </c>
    </row>
    <row r="348" spans="1:5">
      <c r="A348" t="s">
        <v>5080</v>
      </c>
      <c r="B348" t="s">
        <v>5081</v>
      </c>
      <c r="C348" t="s">
        <v>5082</v>
      </c>
      <c r="D348" t="s">
        <v>5009</v>
      </c>
      <c r="E348" t="s">
        <v>5083</v>
      </c>
    </row>
    <row r="349" spans="1:5">
      <c r="A349" t="s">
        <v>5084</v>
      </c>
      <c r="B349" t="s">
        <v>5085</v>
      </c>
      <c r="C349" t="s">
        <v>5086</v>
      </c>
      <c r="D349" t="s">
        <v>5009</v>
      </c>
      <c r="E349" t="s">
        <v>5009</v>
      </c>
    </row>
    <row r="350" spans="1:5">
      <c r="A350" t="s">
        <v>5087</v>
      </c>
      <c r="B350" t="s">
        <v>5088</v>
      </c>
      <c r="C350" t="s">
        <v>405</v>
      </c>
      <c r="D350" t="s">
        <v>5009</v>
      </c>
      <c r="E350" t="s">
        <v>5009</v>
      </c>
    </row>
    <row r="351" spans="1:5">
      <c r="A351" t="s">
        <v>5089</v>
      </c>
      <c r="B351" t="s">
        <v>5088</v>
      </c>
      <c r="C351" t="s">
        <v>5090</v>
      </c>
      <c r="D351" t="s">
        <v>2800</v>
      </c>
      <c r="E351" t="s">
        <v>5009</v>
      </c>
    </row>
    <row r="352" spans="1:5">
      <c r="A352" t="s">
        <v>5091</v>
      </c>
      <c r="B352" t="s">
        <v>5081</v>
      </c>
      <c r="C352" t="s">
        <v>5092</v>
      </c>
      <c r="D352" t="s">
        <v>2083</v>
      </c>
      <c r="E352" t="s">
        <v>5009</v>
      </c>
    </row>
    <row r="353" spans="1:5">
      <c r="A353" t="s">
        <v>6708</v>
      </c>
      <c r="B353" t="s">
        <v>2354</v>
      </c>
      <c r="C353" t="s">
        <v>6709</v>
      </c>
      <c r="D353" t="s">
        <v>5009</v>
      </c>
      <c r="E353" t="s">
        <v>5009</v>
      </c>
    </row>
    <row r="354" spans="1:5">
      <c r="A354" t="s">
        <v>6710</v>
      </c>
      <c r="B354" t="s">
        <v>6711</v>
      </c>
      <c r="C354" t="s">
        <v>6712</v>
      </c>
      <c r="D354" t="s">
        <v>5009</v>
      </c>
      <c r="E354" t="s">
        <v>5009</v>
      </c>
    </row>
    <row r="355" spans="1:5">
      <c r="A355" t="s">
        <v>6713</v>
      </c>
      <c r="B355" t="s">
        <v>6714</v>
      </c>
      <c r="C355" t="s">
        <v>6715</v>
      </c>
      <c r="D355" t="s">
        <v>5009</v>
      </c>
      <c r="E355" t="s">
        <v>5009</v>
      </c>
    </row>
    <row r="356" spans="1:5">
      <c r="A356" t="s">
        <v>6716</v>
      </c>
      <c r="B356" t="s">
        <v>6714</v>
      </c>
      <c r="C356" t="s">
        <v>6717</v>
      </c>
      <c r="D356" t="s">
        <v>5009</v>
      </c>
      <c r="E356" t="s">
        <v>6718</v>
      </c>
    </row>
    <row r="357" spans="1:5">
      <c r="A357" t="s">
        <v>6909</v>
      </c>
      <c r="B357" t="s">
        <v>6910</v>
      </c>
      <c r="C357" t="s">
        <v>6911</v>
      </c>
      <c r="E357" t="s">
        <v>6912</v>
      </c>
    </row>
    <row r="358" spans="1:5">
      <c r="A358" t="s">
        <v>6913</v>
      </c>
      <c r="B358" t="s">
        <v>6914</v>
      </c>
      <c r="C358" t="s">
        <v>6911</v>
      </c>
      <c r="E358" t="s">
        <v>6915</v>
      </c>
    </row>
    <row r="359" spans="1:5">
      <c r="A359" t="s">
        <v>6916</v>
      </c>
      <c r="B359" t="s">
        <v>6917</v>
      </c>
      <c r="C359" t="s">
        <v>6911</v>
      </c>
      <c r="E359" t="s">
        <v>6918</v>
      </c>
    </row>
    <row r="360" spans="1:5">
      <c r="A360" t="s">
        <v>6919</v>
      </c>
      <c r="B360" t="s">
        <v>6920</v>
      </c>
      <c r="C360" t="s">
        <v>6921</v>
      </c>
      <c r="E360" t="s">
        <v>6922</v>
      </c>
    </row>
    <row r="361" spans="1:5">
      <c r="A361" t="s">
        <v>6923</v>
      </c>
      <c r="B361" t="s">
        <v>6924</v>
      </c>
      <c r="C361" t="s">
        <v>6925</v>
      </c>
      <c r="E361" t="s">
        <v>6926</v>
      </c>
    </row>
    <row r="362" spans="1:5">
      <c r="A362" t="s">
        <v>6927</v>
      </c>
      <c r="B362" t="s">
        <v>6924</v>
      </c>
      <c r="C362" t="s">
        <v>6928</v>
      </c>
      <c r="E362" t="s">
        <v>6929</v>
      </c>
    </row>
    <row r="363" spans="1:5">
      <c r="A363" t="inlineStr">
        <is>
          <t xml:space="preserve">office.reputation_and_results</t>
        </is>
      </c>
      <c r="B363" t="inlineStr">
        <is>
          <t xml:space="preserve">Office — menu button</t>
        </is>
      </c>
      <c r="C363" t="inlineStr">
        <is>
          <t xml:space="preserve">Reputation and Results</t>
        </is>
      </c>
      <c r="E363" t="inlineStr">
        <is>
          <t xml:space="preserve">The Office button that opens a menu holding Important Stakeholders and Your Record. Also that menu's heading.</t>
        </is>
      </c>
    </row>
    <row r="364" spans="1:5">
      <c r="A364" t="inlineStr">
        <is>
          <t xml:space="preserve">office.administration</t>
        </is>
      </c>
      <c r="B364" t="inlineStr">
        <is>
          <t xml:space="preserve">Office — menu button</t>
        </is>
      </c>
      <c r="C364" t="inlineStr">
        <is>
          <t xml:space="preserve">Administration</t>
        </is>
      </c>
      <c r="E364" t="inlineStr">
        <is>
          <t xml:space="preserve">The Office button that opens a menu holding Appearance and Music and How to Play. Also that menu's heading.</t>
        </is>
      </c>
    </row>
    <row r="365" spans="1:5">
      <c r="A365" t="inlineStr">
        <is>
          <t xml:space="preserve">staff.profile_cost</t>
        </is>
      </c>
      <c r="B365" t="inlineStr">
        <is>
          <t xml:space="preserve">Office · Staff Profile, under the name</t>
        </is>
      </c>
      <c r="C365" t="inlineStr">
        <is>
          <t xml:space="preserve">Hiring cost: {cost} Yen</t>
        </is>
      </c>
      <c r="D365" t="inlineStr">
        <is>
          <t xml:space="preserve">cost</t>
        </is>
      </c>
      <c r="E365" t="inlineStr">
        <is>
          <t xml:space="preserve">The price to hire this person.</t>
        </is>
      </c>
    </row>
    <row r="366" spans="1:5">
      <c r="A366" t="inlineStr">
        <is>
          <t xml:space="preserve">staff.tiers_heading</t>
        </is>
      </c>
      <c r="B366" t="inlineStr">
        <is>
          <t xml:space="preserve">Office · Staff Profile, heading above the tier list</t>
        </is>
      </c>
      <c r="C366" t="inlineStr">
        <is>
          <t xml:space="preserve">Bonuses by tier</t>
        </is>
      </c>
      <c r="E366" t="inlineStr">
        <is>
          <t xml:space="preserve">Heading above the list of tiers.</t>
        </is>
      </c>
    </row>
    <row r="367" spans="1:5">
      <c r="A367" t="inlineStr">
        <is>
          <t xml:space="preserve">staff.tier_label</t>
        </is>
      </c>
      <c r="B367" t="inlineStr">
        <is>
          <t xml:space="preserve">Office · Staff Profile, a tier already passed or not on offer</t>
        </is>
      </c>
      <c r="C367" t="inlineStr">
        <is>
          <t xml:space="preserve">Tier {tier}</t>
        </is>
      </c>
      <c r="D367" t="inlineStr">
        <is>
          <t xml:space="preserve">tier</t>
        </is>
      </c>
      <c r="E367" t="inlineStr">
        <is>
          <t xml:space="preserve">A tier's own heading when nothing else needs saying.</t>
        </is>
      </c>
    </row>
    <row r="368" spans="1:5">
      <c r="A368" t="inlineStr">
        <is>
          <t xml:space="preserve">staff.tier_on_hire</t>
        </is>
      </c>
      <c r="B368" t="inlineStr">
        <is>
          <t xml:space="preserve">Office · Staff Profile, the tier a candidate arrives at</t>
        </is>
      </c>
      <c r="C368" t="inlineStr">
        <is>
          <t xml:space="preserve">Tier {tier} · given when hired</t>
        </is>
      </c>
      <c r="D368" t="inlineStr">
        <is>
          <t xml:space="preserve">tier</t>
        </is>
      </c>
      <c r="E368" t="inlineStr">
        <is>
          <t xml:space="preserve">The tier the bonus below is paid at the moment you hire them.</t>
        </is>
      </c>
    </row>
    <row r="369" spans="1:5">
      <c r="A369" t="inlineStr">
        <is>
          <t xml:space="preserve">staff.tier_current</t>
        </is>
      </c>
      <c r="B369" t="inlineStr">
        <is>
          <t xml:space="preserve">Office · Staff Profile, the tier a hired person is at</t>
        </is>
      </c>
      <c r="C369" t="inlineStr">
        <is>
          <t xml:space="preserve">Tier {tier} · current</t>
        </is>
      </c>
      <c r="D369" t="inlineStr">
        <is>
          <t xml:space="preserve">tier</t>
        </is>
      </c>
      <c r="E369" t="inlineStr">
        <is>
          <t xml:space="preserve">Marks the tier a hired person has reached.</t>
        </is>
      </c>
    </row>
    <row r="370" spans="1:5">
      <c r="A370" t="inlineStr">
        <is>
          <t xml:space="preserve">staff.tier_upgrade</t>
        </is>
      </c>
      <c r="B370" t="inlineStr">
        <is>
          <t xml:space="preserve">Office · Staff Profile, a tier still to be bought</t>
        </is>
      </c>
      <c r="C370" t="inlineStr">
        <is>
          <t xml:space="preserve">Tier {tier} · upgrade cost {cost} Yen</t>
        </is>
      </c>
      <c r="D370" t="inlineStr">
        <is>
          <t xml:space="preserve">tier, cost</t>
        </is>
      </c>
      <c r="E370" t="inlineStr">
        <is>
          <t xml:space="preserve">What it costs to upgrade into this tier; the bonus below is paid when you do.</t>
        </is>
      </c>
    </row>
    <row r="371" spans="1:5">
      <c r="A371" t="inlineStr">
        <is>
          <t xml:space="preserve">staff.tier_upgrade_unpriced</t>
        </is>
      </c>
      <c r="B371" t="inlineStr">
        <is>
          <t xml:space="preserve">Office · Staff Profile, a tier with no price entered</t>
        </is>
      </c>
      <c r="C371" t="inlineStr">
        <is>
          <t xml:space="preserve">Tier {tier} · upgrade cost not set</t>
        </is>
      </c>
      <c r="D371" t="inlineStr">
        <is>
          <t xml:space="preserve">tier</t>
        </is>
      </c>
      <c r="E371" t="inlineStr">
        <is>
          <t xml:space="preserve">Shown when the workbook has no upgrade price for this step.</t>
        </is>
      </c>
    </row>
    <row r="372" spans="1:5">
      <c r="A372" t="inlineStr">
        <is>
          <t xml:space="preserve">staff.reward_booster</t>
        </is>
      </c>
      <c r="B372" t="inlineStr">
        <is>
          <t xml:space="preserve">Office · Staff Profile, a bonus line for an organisation</t>
        </is>
      </c>
      <c r="C372" t="inlineStr">
        <is>
          <t xml:space="preserve">{delta} standing with {name}</t>
        </is>
      </c>
      <c r="D372" t="inlineStr">
        <is>
          <t xml:space="preserve">delta, name</t>
        </is>
      </c>
      <c r="E372" t="inlineStr">
        <is>
          <t xml:space="preserve">One bonus: how much an organisation's standing moves. {delta} reads +2 or -2.</t>
        </is>
      </c>
    </row>
    <row r="373" spans="1:5">
      <c r="A373" t="inlineStr">
        <is>
          <t xml:space="preserve">staff.reward_segment</t>
        </is>
      </c>
      <c r="B373" t="inlineStr">
        <is>
          <t xml:space="preserve">Office · Staff Profile, a bonus line for an audience group</t>
        </is>
      </c>
      <c r="C373" t="inlineStr">
        <is>
          <t xml:space="preserve">{delta} sentiment among {name}</t>
        </is>
      </c>
      <c r="D373" t="inlineStr">
        <is>
          <t xml:space="preserve">delta, name</t>
        </is>
      </c>
      <c r="E373" t="inlineStr">
        <is>
          <t xml:space="preserve">One bonus: how much an audience group's sentiment moves. {delta} reads +2 or -2.</t>
        </is>
      </c>
    </row>
    <row r="374" spans="1:5">
      <c r="A374" t="inlineStr">
        <is>
          <t xml:space="preserve">staff.reward_none</t>
        </is>
      </c>
      <c r="B374" t="inlineStr">
        <is>
          <t xml:space="preserve">Office · Staff Profile, a tier that gives nothing</t>
        </is>
      </c>
      <c r="C374" t="inlineStr">
        <is>
          <t xml:space="preserve">No bonus at this tier.</t>
        </is>
      </c>
      <c r="E374" t="inlineStr">
        <is>
          <t xml:space="preserve">Shown for a tier with no bonus written.</t>
        </is>
      </c>
    </row>
    <row r="375" spans="1:5">
      <c r="A375" t="inlineStr">
        <is>
          <t xml:space="preserve">staff.no_upgrades</t>
        </is>
      </c>
      <c r="B375" t="inlineStr">
        <is>
          <t xml:space="preserve">Office · Staff Profile, for someone with only one tier</t>
        </is>
      </c>
      <c r="C375" t="inlineStr">
        <is>
          <t xml:space="preserve">This person has no higher tiers.</t>
        </is>
      </c>
      <c r="E375" t="inlineStr">
        <is>
          <t xml:space="preserve">Shown under the tier list when there is nothing to upgrade to.</t>
        </is>
      </c>
    </row>
    <row r="376" spans="1:5">
      <c r="A376" t="inlineStr">
        <is>
          <t xml:space="preserve">outcome.booster_hint</t>
        </is>
      </c>
      <c r="B376" t="inlineStr">
        <is>
          <t xml:space="preserve">Outcome panel, above the organisation icons</t>
        </is>
      </c>
      <c r="C376" t="inlineStr">
        <is>
          <t xml:space="preserve">Tap an organisation to see how its standing moved.</t>
        </is>
      </c>
      <c r="E376" t="inlineStr">
        <is>
          <t xml:space="preserve">One line above the row of organisation icons shown when a stage touched any.</t>
        </is>
      </c>
    </row>
    <row r="377" spans="1:5">
      <c r="A377" t="inlineStr">
        <is>
          <t xml:space="preserve">outcome.booster_change</t>
        </is>
      </c>
      <c r="B377" t="inlineStr">
        <is>
          <t xml:space="preserve">Outcome panel, after tapping an organisation icon</t>
        </is>
      </c>
      <c r="C377" t="inlineStr">
        <is>
          <t xml:space="preserve">{name}: {change}</t>
        </is>
      </c>
      <c r="D377" t="inlineStr">
        <is>
          <t xml:space="preserve">change, name</t>
        </is>
      </c>
      <c r="E377" t="inlineStr">
        <is>
          <t xml:space="preserve">The net standing change for that organisation this stage; {change} already carries its + or - sign.</t>
        </is>
      </c>
    </row>
    <row r="378" spans="1:5">
      <c r="A378" t="inlineStr">
        <is>
          <t xml:space="preserve">briefing.loss_ends_level</t>
        </is>
      </c>
      <c r="B378" t="inlineStr">
        <is>
          <t xml:space="preserve">Office · level briefing, per stage</t>
        </is>
      </c>
      <c r="C378" t="inlineStr">
        <is>
          <t xml:space="preserve">Losing this stage ends the level.</t>
        </is>
      </c>
      <c r="E378" t="inlineStr">
        <is>
          <t xml:space="preserve">Shown for a stage whose loss sends you back to the Office.</t>
        </is>
      </c>
    </row>
    <row r="379" spans="1:5">
      <c r="A379" t="inlineStr">
        <is>
          <t xml:space="preserve">briefing.loss_continues</t>
        </is>
      </c>
      <c r="B379" t="inlineStr">
        <is>
          <t xml:space="preserve">Office · level briefing, per stage</t>
        </is>
      </c>
      <c r="C379" t="inlineStr">
        <is>
          <t xml:space="preserve">Losing this stage costs you, but the level carries on.</t>
        </is>
      </c>
      <c r="E379" t="inlineStr">
        <is>
          <t xml:space="preserve">Shown for a stage whose loss does not end the level.</t>
        </is>
      </c>
    </row>
    <row r="380" spans="1:5">
      <c r="A380" t="inlineStr">
        <is>
          <t xml:space="preserve">briefing.between_resets</t>
        </is>
      </c>
      <c r="B380" t="inlineStr">
        <is>
          <t xml:space="preserve">Office · level briefing and battle Details</t>
        </is>
      </c>
      <c r="C380" t="inlineStr">
        <is>
          <t xml:space="preserve">Between opponents these start again: {things}.</t>
        </is>
      </c>
      <c r="D380" t="inlineStr">
        <is>
          <t xml:space="preserve">things</t>
        </is>
      </c>
      <c r="E380" t="inlineStr">
        <is>
          <t xml:space="preserve">Stages with several opponents. {things} is a list of the resource names below.</t>
        </is>
      </c>
    </row>
    <row r="381" spans="1:5">
      <c r="A381" t="inlineStr">
        <is>
          <t xml:space="preserve">briefing.between_carries</t>
        </is>
      </c>
      <c r="B381" t="inlineStr">
        <is>
          <t xml:space="preserve">Office · level briefing and battle Details</t>
        </is>
      </c>
      <c r="C381" t="inlineStr">
        <is>
          <t xml:space="preserve">These carry over: {things}.</t>
        </is>
      </c>
      <c r="D381" t="inlineStr">
        <is>
          <t xml:space="preserve">things</t>
        </is>
      </c>
      <c r="E381" t="inlineStr">
        <is>
          <t xml:space="preserve">Stages with several opponents; omitted when nothing carries over.</t>
        </is>
      </c>
    </row>
    <row r="382" spans="1:5">
      <c r="A382" t="inlineStr">
        <is>
          <t xml:space="preserve">briefing.res_support</t>
        </is>
      </c>
      <c r="B382" t="inlineStr">
        <is>
          <t xml:space="preserve">Resource name in the between-opponents lines</t>
        </is>
      </c>
      <c r="C382" t="inlineStr">
        <is>
          <t xml:space="preserve">support</t>
        </is>
      </c>
    </row>
    <row r="383" spans="1:5">
      <c r="A383" t="inlineStr">
        <is>
          <t xml:space="preserve">briefing.res_energy</t>
        </is>
      </c>
      <c r="B383" t="inlineStr">
        <is>
          <t xml:space="preserve">Resource name in the between-opponents lines</t>
        </is>
      </c>
      <c r="C383" t="inlineStr">
        <is>
          <t xml:space="preserve">energy</t>
        </is>
      </c>
    </row>
    <row r="384" spans="1:5">
      <c r="A384" t="inlineStr">
        <is>
          <t xml:space="preserve">briefing.res_gaffes</t>
        </is>
      </c>
      <c r="B384" t="inlineStr">
        <is>
          <t xml:space="preserve">Resource name in the between-opponents lines</t>
        </is>
      </c>
      <c r="C384" t="inlineStr">
        <is>
          <t xml:space="preserve">gaffes</t>
        </is>
      </c>
    </row>
    <row r="385" spans="1:5">
      <c r="A385" t="inlineStr">
        <is>
          <t xml:space="preserve">briefing.res_turns</t>
        </is>
      </c>
      <c r="B385" t="inlineStr">
        <is>
          <t xml:space="preserve">Resource name in the between-opponents lines</t>
        </is>
      </c>
      <c r="C385" t="inlineStr">
        <is>
          <t xml:space="preserve">the turn count</t>
        </is>
      </c>
    </row>
    <row r="386" spans="1:5">
      <c r="A386" t="inlineStr">
        <is>
          <t xml:space="preserve">briefing.res_guard</t>
        </is>
      </c>
      <c r="B386" t="inlineStr">
        <is>
          <t xml:space="preserve">Resource name in the between-opponents lines</t>
        </is>
      </c>
      <c r="C386" t="inlineStr">
        <is>
          <t xml:space="preserve">guard</t>
        </is>
      </c>
    </row>
    <row r="387" spans="1:5">
      <c r="A387" t="inlineStr">
        <is>
          <t xml:space="preserve">briefing.res_hand</t>
        </is>
      </c>
      <c r="B387" t="inlineStr">
        <is>
          <t xml:space="preserve">Resource name in the between-opponents lines</t>
        </is>
      </c>
      <c r="C387" t="inlineStr">
        <is>
          <t xml:space="preserve">your hand and deck</t>
        </is>
      </c>
    </row>
    <row r="388">
      <c r="A388" t="inlineStr">
        <is>
          <t xml:space="preserve">office.parties</t>
        </is>
      </c>
      <c r="B388" t="inlineStr">
        <is>
          <t xml:space="preserve">Reputation and Results menu button and panel title</t>
        </is>
      </c>
      <c r="C388" t="inlineStr">
        <is>
          <t xml:space="preserve">Parties</t>
        </is>
      </c>
    </row>
    <row r="389">
      <c r="A389" t="inlineStr">
        <is>
          <t xml:space="preserve">party_opinion.blurb</t>
        </is>
      </c>
      <c r="B389" t="inlineStr">
        <is>
          <t xml:space="preserve">Parties page, top</t>
        </is>
      </c>
      <c r="C389" t="inlineStr">
        <is>
          <t xml:space="preserve">How each party sees you: its mood about your votes and rewards, blended with how its stakeholder organisations feel about you.</t>
        </is>
      </c>
    </row>
    <row r="390">
      <c r="A390" t="inlineStr">
        <is>
          <t xml:space="preserve">party_opinion.own_tag</t>
        </is>
      </c>
      <c r="B390" t="inlineStr">
        <is>
          <t xml:space="preserve">Parties page, after your own party's name</t>
        </is>
      </c>
      <c r="C390" t="inlineStr">
        <is>
          <t xml:space="preserve">(your party)</t>
        </is>
      </c>
    </row>
    <row r="391">
      <c r="A391" t="inlineStr">
        <is>
          <t xml:space="preserve">party_opinion.line</t>
        </is>
      </c>
      <c r="B391" t="inlineStr">
        <is>
          <t xml:space="preserve">Parties page, one line per party</t>
        </is>
      </c>
      <c r="C391" t="inlineStr">
        <is>
          <t xml:space="preserve">{score} · {band}</t>
        </is>
      </c>
      <c r="D391" t="inlineStr">
        <is>
          <t xml:space="preserve">score, band</t>
        </is>
      </c>
    </row>
    <row r="392">
      <c r="A392" t="inlineStr">
        <is>
          <t xml:space="preserve">party_opinion.detail</t>
        </is>
      </c>
      <c r="B392" t="inlineStr">
        <is>
          <t xml:space="preserve">Parties page, small line per party</t>
        </is>
      </c>
      <c r="C392" t="inlineStr">
        <is>
          <t xml:space="preserve">Votes and rewards {direct} · Stakeholders {stakeholder}</t>
        </is>
      </c>
      <c r="D392" t="inlineStr">
        <is>
          <t xml:space="preserve">direct, stakeholder</t>
        </is>
      </c>
      <c r="E392" t="inlineStr">
        <is>
          <t xml:space="preserve">Stakeholders shows a dash where no organisation is tied to the party.</t>
        </is>
      </c>
    </row>
    <row r="393">
      <c r="A393" t="inlineStr">
        <is>
          <t xml:space="preserve">party_opinion.helping</t>
        </is>
      </c>
      <c r="B393" t="inlineStr">
        <is>
          <t xml:space="preserve">Parties page, small line</t>
        </is>
      </c>
      <c r="C393" t="inlineStr">
        <is>
          <t xml:space="preserve">Helping: {names}.</t>
        </is>
      </c>
      <c r="D393" t="inlineStr">
        <is>
          <t xml:space="preserve">names</t>
        </is>
      </c>
    </row>
    <row r="394">
      <c r="A394" t="inlineStr">
        <is>
          <t xml:space="preserve">party_opinion.hurting</t>
        </is>
      </c>
      <c r="B394" t="inlineStr">
        <is>
          <t xml:space="preserve">Parties page, small line</t>
        </is>
      </c>
      <c r="C394" t="inlineStr">
        <is>
          <t xml:space="preserve">Hurting: {names}.</t>
        </is>
      </c>
      <c r="D394" t="inlineStr">
        <is>
          <t xml:space="preserve">names</t>
        </is>
      </c>
    </row>
    <row r="395">
      <c r="A395" t="inlineStr">
        <is>
          <t xml:space="preserve">party_opinion.band_hostile</t>
        </is>
      </c>
      <c r="B395" t="inlineStr">
        <is>
          <t xml:space="preserve">Parties page, opinion word</t>
        </is>
      </c>
      <c r="C395" t="inlineStr">
        <is>
          <t xml:space="preserve">Hostile</t>
        </is>
      </c>
    </row>
    <row r="396">
      <c r="A396" t="inlineStr">
        <is>
          <t xml:space="preserve">party_opinion.band_cold</t>
        </is>
      </c>
      <c r="B396" t="inlineStr">
        <is>
          <t xml:space="preserve">Parties page, opinion word</t>
        </is>
      </c>
      <c r="C396" t="inlineStr">
        <is>
          <t xml:space="preserve">Cold</t>
        </is>
      </c>
    </row>
    <row r="397">
      <c r="A397" t="inlineStr">
        <is>
          <t xml:space="preserve">party_opinion.band_neutral</t>
        </is>
      </c>
      <c r="B397" t="inlineStr">
        <is>
          <t xml:space="preserve">Parties page, opinion word</t>
        </is>
      </c>
      <c r="C397" t="inlineStr">
        <is>
          <t xml:space="preserve">Neutral</t>
        </is>
      </c>
    </row>
    <row r="398">
      <c r="A398" t="inlineStr">
        <is>
          <t xml:space="preserve">party_opinion.band_warm</t>
        </is>
      </c>
      <c r="B398" t="inlineStr">
        <is>
          <t xml:space="preserve">Parties page, opinion word</t>
        </is>
      </c>
      <c r="C398" t="inlineStr">
        <is>
          <t xml:space="preserve">Warm</t>
        </is>
      </c>
    </row>
    <row r="399">
      <c r="A399" t="inlineStr">
        <is>
          <t xml:space="preserve">party_opinion.band_allied</t>
        </is>
      </c>
      <c r="B399" t="inlineStr">
        <is>
          <t xml:space="preserve">Parties page, opinion word</t>
        </is>
      </c>
      <c r="C399" t="inlineStr">
        <is>
          <t xml:space="preserve">Allied</t>
        </is>
      </c>
    </row>
    <row r="400">
      <c r="A400" t="inlineStr">
        <is>
          <t xml:space="preserve">outcome.opposed</t>
        </is>
      </c>
      <c r="B400" t="inlineStr">
        <is>
          <t xml:space="preserve">Outcome panel, plain-text fallback</t>
        </is>
      </c>
      <c r="C400" t="inlineStr">
        <is>
          <t xml:space="preserve">Set back by your answers: {names}.</t>
        </is>
      </c>
      <c r="D400" t="inlineStr">
        <is>
          <t xml:space="preserve">names</t>
        </is>
      </c>
    </row>
    <row r="401" spans="1:5">
      <c r="A401" t="inlineStr">
        <is>
          <t xml:space="preserve">office.record_statute_heading</t>
        </is>
      </c>
      <c r="B401" t="inlineStr">
        <is>
          <t xml:space="preserve">Your Record — heading</t>
        </is>
      </c>
      <c r="C401" t="inlineStr">
        <is>
          <t xml:space="preserve">Statute book</t>
        </is>
      </c>
      <c r="E401" t="inlineStr">
        <is>
          <t xml:space="preserve">Heading over every bill that has come to a Floor Vote.</t>
        </is>
      </c>
    </row>
    <row r="402" spans="1:5">
      <c r="A402" t="inlineStr">
        <is>
          <t xml:space="preserve">office.record_statute_empty</t>
        </is>
      </c>
      <c r="B402" t="inlineStr">
        <is>
          <t xml:space="preserve">Your Record — no votes yet</t>
        </is>
      </c>
      <c r="C402" t="inlineStr">
        <is>
          <t xml:space="preserve">No bill has come to a vote yet.</t>
        </is>
      </c>
      <c r="E402" t="inlineStr">
        <is>
          <t xml:space="preserve">Shown under the statute book heading before any Floor Vote.</t>
        </is>
      </c>
    </row>
    <row r="403" spans="1:5">
      <c r="A403" t="inlineStr">
        <is>
          <t xml:space="preserve">office.record_law_passed</t>
        </is>
      </c>
      <c r="B403" t="inlineStr">
        <is>
          <t xml:space="preserve">Your Record — a passed bill</t>
        </is>
      </c>
      <c r="C403" t="inlineStr">
        <is>
          <t xml:space="preserve">{name}: passed, {yes} to {no} with {abstain} abstaining. You voted {vote}.</t>
        </is>
      </c>
      <c r="D403" t="inlineStr">
        <is>
          <t xml:space="preserve">name, yes, no, abstain, vote</t>
        </is>
      </c>
      <c r="E403" t="inlineStr">
        <is>
          <t xml:space="preserve">One line per bill that passed.</t>
        </is>
      </c>
    </row>
    <row r="404" spans="1:5">
      <c r="A404" t="inlineStr">
        <is>
          <t xml:space="preserve">office.record_law_failed</t>
        </is>
      </c>
      <c r="B404" t="inlineStr">
        <is>
          <t xml:space="preserve">Your Record — a failed bill</t>
        </is>
      </c>
      <c r="C404" t="inlineStr">
        <is>
          <t xml:space="preserve">{name}: failed, {yes} to {no} with {abstain} abstaining. You voted {vote}.</t>
        </is>
      </c>
      <c r="D404" t="inlineStr">
        <is>
          <t xml:space="preserve">name, yes, no, abstain, vote</t>
        </is>
      </c>
      <c r="E404" t="inlineStr">
        <is>
          <t xml:space="preserve">One line per bill that failed.</t>
        </is>
      </c>
    </row>
    <row r="405" spans="1:5">
      <c r="A405" t="inlineStr">
        <is>
          <t xml:space="preserve">office.record_vote_yes</t>
        </is>
      </c>
      <c r="B405" t="inlineStr">
        <is>
          <t xml:space="preserve">Your Record — how you voted</t>
        </is>
      </c>
      <c r="C405" t="inlineStr">
        <is>
          <t xml:space="preserve">Yes</t>
        </is>
      </c>
      <c r="E405" t="inlineStr">
        <is>
          <t xml:space="preserve">Fills {vote} above.</t>
        </is>
      </c>
    </row>
    <row r="406" spans="1:5">
      <c r="A406" t="inlineStr">
        <is>
          <t xml:space="preserve">office.record_vote_no</t>
        </is>
      </c>
      <c r="B406" t="inlineStr">
        <is>
          <t xml:space="preserve">Your Record — how you voted</t>
        </is>
      </c>
      <c r="C406" t="inlineStr">
        <is>
          <t xml:space="preserve">No</t>
        </is>
      </c>
      <c r="E406" t="inlineStr">
        <is>
          <t xml:space="preserve">Fills {vote} above.</t>
        </is>
      </c>
    </row>
    <row r="407" spans="1:5">
      <c r="A407" t="inlineStr">
        <is>
          <t xml:space="preserve">office.record_vote_abstain</t>
        </is>
      </c>
      <c r="B407" t="inlineStr">
        <is>
          <t xml:space="preserve">Your Record — how you voted</t>
        </is>
      </c>
      <c r="C407" t="inlineStr">
        <is>
          <t xml:space="preserve">to abstain</t>
        </is>
      </c>
      <c r="E407" t="inlineStr">
        <is>
          <t xml:space="preserve">Fills {vote} above ("You voted to abstain").</t>
        </is>
      </c>
    </row>
  </sheetData>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Q55"/>
  <sheetViews>
    <sheetView workbookViewId="0">
      <pane xSplit="3" ySplit="1" topLeftCell="D45" activePane="bottomRight" state="frozen"/>
      <selection pane="topRight"/>
      <selection pane="bottomLeft"/>
      <selection pane="bottomRight" activeCell="D46" sqref="D46"/>
    </sheetView>
  </sheetViews>
  <sheetFormatPr defaultRowHeight="15"/>
  <cols>
    <col min="1" max="1" width="8" customWidth="1"/>
    <col min="2" max="2" width="28" customWidth="1"/>
    <col min="3" max="3" width="12" customWidth="1"/>
    <col min="4" max="4" width="34" customWidth="1"/>
    <col min="9" max="9" width="5" customWidth="1"/>
    <col min="14" max="14" width="8" customWidth="1"/>
    <col min="16" max="16" width="18" customWidth="1"/>
    <col min="17" max="17" width="8" customWidth="1"/>
  </cols>
  <sheetData>
    <row r="1" spans="1:17" ht="25.5" customHeight="1">
      <c r="A1" s="14" t="s">
        <v>0</v>
      </c>
      <c r="B1" s="14" t="s">
        <v>1</v>
      </c>
      <c r="C1" s="14" t="s">
        <v>2</v>
      </c>
      <c r="D1" s="14" t="s">
        <v>3</v>
      </c>
      <c r="E1" s="14" t="s">
        <v>4</v>
      </c>
      <c r="F1" s="14" t="s">
        <v>5</v>
      </c>
      <c r="G1" s="14" t="s">
        <v>6</v>
      </c>
      <c r="H1" s="14" t="s">
        <v>7</v>
      </c>
      <c r="I1" s="15" t="s">
        <v>8</v>
      </c>
      <c r="J1" s="15" t="s">
        <v>9</v>
      </c>
      <c r="K1" s="15" t="s">
        <v>10</v>
      </c>
      <c r="L1" s="15" t="s">
        <v>11</v>
      </c>
      <c r="M1" s="15" t="s">
        <v>12</v>
      </c>
      <c r="N1" s="15" t="s">
        <v>13</v>
      </c>
      <c r="P1" s="16"/>
    </row>
    <row r="2" spans="1:17" ht="89.25" customHeight="1">
      <c r="A2" t="s">
        <v>14</v>
      </c>
      <c r="B2" t="s">
        <v>15</v>
      </c>
      <c r="C2" s="18" t="s">
        <v>16</v>
      </c>
      <c r="D2" s="19" t="s">
        <v>17</v>
      </c>
      <c r="E2" s="19" t="s">
        <v>18</v>
      </c>
      <c r="F2" s="19" t="s">
        <v>19</v>
      </c>
      <c r="G2" s="19" t="s">
        <v>20</v>
      </c>
      <c r="H2" s="19" t="s">
        <v>21</v>
      </c>
      <c r="I2" s="17">
        <f t="shared" ref="I2:I33" si="0">IF(LEN(TRIM(D2))=0,0,LEN(TRIM(D2))-LEN(SUBSTITUTE(TRIM(D2)," ",""))+1)</f>
        <v>5</v>
      </c>
      <c r="J2" s="17">
        <f t="shared" ref="J2:J33" si="1">IF(LEN(TRIM(E2))=0,0,LEN(TRIM(E2))-LEN(SUBSTITUTE(TRIM(E2)," ",""))+1)</f>
        <v>7</v>
      </c>
      <c r="K2" s="17">
        <f t="shared" ref="K2:K33" si="2">IF(LEN(TRIM(F2))=0,0,LEN(TRIM(F2))-LEN(SUBSTITUTE(TRIM(F2)," ",""))+1)</f>
        <v>5</v>
      </c>
      <c r="L2" s="17">
        <f t="shared" ref="L2:L33" si="3">IF(LEN(TRIM(G2))=0,0,LEN(TRIM(G2))-LEN(SUBSTITUTE(TRIM(G2)," ",""))+1)</f>
        <v>7</v>
      </c>
      <c r="M2" s="17">
        <f t="shared" ref="M2:M33" si="4">IF(LEN(TRIM(H2))=0,0,LEN(TRIM(H2))-LEN(SUBSTITUTE(TRIM(H2)," ",""))+1)</f>
        <v>7</v>
      </c>
      <c r="N2" s="17">
        <f t="shared" ref="N2:N33" si="5">MAX(I2:M2)</f>
        <v>7</v>
      </c>
      <c r="P2" s="20"/>
    </row>
    <row r="3" spans="1:17" ht="51" customHeight="1">
      <c r="A3" t="s">
        <v>22</v>
      </c>
      <c r="B3" t="s">
        <v>23</v>
      </c>
      <c r="C3" s="18" t="s">
        <v>16</v>
      </c>
      <c r="D3" s="19" t="s">
        <v>24</v>
      </c>
      <c r="E3" s="19" t="s">
        <v>25</v>
      </c>
      <c r="F3" s="19" t="s">
        <v>26</v>
      </c>
      <c r="G3" s="19" t="s">
        <v>27</v>
      </c>
      <c r="H3" s="19" t="s">
        <v>28</v>
      </c>
      <c r="I3" s="17">
        <f t="shared" si="0"/>
        <v>6</v>
      </c>
      <c r="J3" s="17">
        <f t="shared" si="1"/>
        <v>5</v>
      </c>
      <c r="K3" s="17">
        <f t="shared" si="2"/>
        <v>5</v>
      </c>
      <c r="L3" s="17">
        <f t="shared" si="3"/>
        <v>5</v>
      </c>
      <c r="M3" s="17">
        <f t="shared" si="4"/>
        <v>9</v>
      </c>
      <c r="N3" s="17">
        <f t="shared" si="5"/>
        <v>9</v>
      </c>
    </row>
    <row r="4" spans="1:17" ht="76.5" customHeight="1">
      <c r="A4" t="s">
        <v>29</v>
      </c>
      <c r="B4" t="s">
        <v>30</v>
      </c>
      <c r="C4" s="18" t="s">
        <v>16</v>
      </c>
      <c r="D4" s="19" t="s">
        <v>31</v>
      </c>
      <c r="E4" s="19" t="s">
        <v>32</v>
      </c>
      <c r="F4" s="19" t="s">
        <v>33</v>
      </c>
      <c r="G4" s="19" t="s">
        <v>34</v>
      </c>
      <c r="H4" s="19" t="s">
        <v>35</v>
      </c>
      <c r="I4" s="17">
        <f t="shared" si="0"/>
        <v>3</v>
      </c>
      <c r="J4" s="17">
        <f t="shared" si="1"/>
        <v>7</v>
      </c>
      <c r="K4" s="17">
        <f t="shared" si="2"/>
        <v>7</v>
      </c>
      <c r="L4" s="17">
        <f t="shared" si="3"/>
        <v>8</v>
      </c>
      <c r="M4" s="17">
        <f t="shared" si="4"/>
        <v>9</v>
      </c>
      <c r="N4" s="17">
        <f t="shared" si="5"/>
        <v>9</v>
      </c>
      <c r="P4" s="16"/>
      <c r="Q4" s="16"/>
    </row>
    <row r="5" spans="1:17" ht="76.5" customHeight="1">
      <c r="A5" t="s">
        <v>36</v>
      </c>
      <c r="B5" t="s">
        <v>37</v>
      </c>
      <c r="C5" s="18" t="s">
        <v>16</v>
      </c>
      <c r="D5" s="19" t="s">
        <v>38</v>
      </c>
      <c r="E5" s="19" t="s">
        <v>39</v>
      </c>
      <c r="F5" s="19" t="s">
        <v>40</v>
      </c>
      <c r="G5" s="19" t="s">
        <v>41</v>
      </c>
      <c r="H5" s="19" t="s">
        <v>42</v>
      </c>
      <c r="I5" s="17">
        <f t="shared" si="0"/>
        <v>7</v>
      </c>
      <c r="J5" s="17">
        <f t="shared" si="1"/>
        <v>7</v>
      </c>
      <c r="K5" s="17">
        <f t="shared" si="2"/>
        <v>8</v>
      </c>
      <c r="L5" s="17">
        <f t="shared" si="3"/>
        <v>7</v>
      </c>
      <c r="M5" s="17">
        <f t="shared" si="4"/>
        <v>8</v>
      </c>
      <c r="N5" s="17">
        <f t="shared" si="5"/>
        <v>8</v>
      </c>
      <c r="P5" s="16"/>
      <c r="Q5" s="16"/>
    </row>
    <row r="6" spans="1:17" ht="76.5" customHeight="1">
      <c r="A6" t="s">
        <v>78</v>
      </c>
      <c r="B6" t="s">
        <v>79</v>
      </c>
      <c r="C6" s="22" t="s">
        <v>80</v>
      </c>
      <c r="D6" s="23" t="s">
        <v>81</v>
      </c>
      <c r="E6" s="23" t="s">
        <v>82</v>
      </c>
      <c r="F6" s="23" t="s">
        <v>83</v>
      </c>
      <c r="G6" s="23" t="s">
        <v>84</v>
      </c>
      <c r="H6" s="23" t="s">
        <v>85</v>
      </c>
      <c r="I6" s="21">
        <f t="shared" si="0"/>
        <v>8</v>
      </c>
      <c r="J6" s="21">
        <f t="shared" si="1"/>
        <v>7</v>
      </c>
      <c r="K6" s="21">
        <f t="shared" si="2"/>
        <v>6</v>
      </c>
      <c r="L6" s="21">
        <f t="shared" si="3"/>
        <v>8</v>
      </c>
      <c r="M6" s="21">
        <f t="shared" si="4"/>
        <v>6</v>
      </c>
      <c r="N6" s="21">
        <f t="shared" si="5"/>
        <v>8</v>
      </c>
    </row>
    <row r="7" spans="1:17" ht="76.5" customHeight="1">
      <c r="A7" t="s">
        <v>86</v>
      </c>
      <c r="B7" t="s">
        <v>87</v>
      </c>
      <c r="C7" s="22" t="s">
        <v>80</v>
      </c>
      <c r="D7" s="23" t="s">
        <v>88</v>
      </c>
      <c r="E7" s="23" t="s">
        <v>89</v>
      </c>
      <c r="F7" s="23" t="s">
        <v>90</v>
      </c>
      <c r="G7" s="23" t="s">
        <v>91</v>
      </c>
      <c r="H7" s="23" t="s">
        <v>92</v>
      </c>
      <c r="I7" s="21">
        <f t="shared" si="0"/>
        <v>6</v>
      </c>
      <c r="J7" s="21">
        <f t="shared" si="1"/>
        <v>6</v>
      </c>
      <c r="K7" s="21">
        <f t="shared" si="2"/>
        <v>7</v>
      </c>
      <c r="L7" s="21">
        <f t="shared" si="3"/>
        <v>6</v>
      </c>
      <c r="M7" s="21">
        <f t="shared" si="4"/>
        <v>8</v>
      </c>
      <c r="N7" s="21">
        <f t="shared" si="5"/>
        <v>8</v>
      </c>
    </row>
    <row r="8" spans="1:17" ht="76.5" customHeight="1">
      <c r="A8" t="s">
        <v>93</v>
      </c>
      <c r="B8" t="s">
        <v>94</v>
      </c>
      <c r="C8" s="22" t="s">
        <v>80</v>
      </c>
      <c r="D8" s="23" t="s">
        <v>95</v>
      </c>
      <c r="E8" s="23" t="s">
        <v>96</v>
      </c>
      <c r="F8" s="23" t="s">
        <v>97</v>
      </c>
      <c r="G8" s="23" t="s">
        <v>98</v>
      </c>
      <c r="H8" s="23" t="s">
        <v>99</v>
      </c>
      <c r="I8" s="21">
        <f t="shared" si="0"/>
        <v>7</v>
      </c>
      <c r="J8" s="21">
        <f t="shared" si="1"/>
        <v>5</v>
      </c>
      <c r="K8" s="21">
        <f t="shared" si="2"/>
        <v>6</v>
      </c>
      <c r="L8" s="21">
        <f t="shared" si="3"/>
        <v>6</v>
      </c>
      <c r="M8" s="21">
        <f t="shared" si="4"/>
        <v>5</v>
      </c>
      <c r="N8" s="21">
        <f t="shared" si="5"/>
        <v>7</v>
      </c>
    </row>
    <row r="9" spans="1:17" ht="76.5" customHeight="1">
      <c r="A9" t="s">
        <v>100</v>
      </c>
      <c r="B9" t="s">
        <v>101</v>
      </c>
      <c r="C9" s="22" t="s">
        <v>80</v>
      </c>
      <c r="D9" s="23" t="s">
        <v>102</v>
      </c>
      <c r="E9" s="23" t="s">
        <v>103</v>
      </c>
      <c r="F9" s="23" t="s">
        <v>104</v>
      </c>
      <c r="G9" s="23" t="s">
        <v>105</v>
      </c>
      <c r="H9" s="23" t="s">
        <v>106</v>
      </c>
      <c r="I9" s="21">
        <f t="shared" si="0"/>
        <v>7</v>
      </c>
      <c r="J9" s="21">
        <f t="shared" si="1"/>
        <v>8</v>
      </c>
      <c r="K9" s="21">
        <f t="shared" si="2"/>
        <v>8</v>
      </c>
      <c r="L9" s="21">
        <f t="shared" si="3"/>
        <v>7</v>
      </c>
      <c r="M9" s="21">
        <f t="shared" si="4"/>
        <v>7</v>
      </c>
      <c r="N9" s="21">
        <f t="shared" si="5"/>
        <v>8</v>
      </c>
    </row>
    <row r="10" spans="1:17" ht="63.75" customHeight="1">
      <c r="A10" t="s">
        <v>142</v>
      </c>
      <c r="B10" t="s">
        <v>143</v>
      </c>
      <c r="C10" s="25" t="s">
        <v>144</v>
      </c>
      <c r="D10" s="26" t="s">
        <v>145</v>
      </c>
      <c r="E10" s="26" t="s">
        <v>146</v>
      </c>
      <c r="F10" s="26" t="s">
        <v>147</v>
      </c>
      <c r="G10" s="26" t="s">
        <v>148</v>
      </c>
      <c r="H10" s="26" t="s">
        <v>149</v>
      </c>
      <c r="I10" s="24">
        <f t="shared" si="0"/>
        <v>5</v>
      </c>
      <c r="J10" s="24">
        <f t="shared" si="1"/>
        <v>6</v>
      </c>
      <c r="K10" s="24">
        <f t="shared" si="2"/>
        <v>6</v>
      </c>
      <c r="L10" s="24">
        <f t="shared" si="3"/>
        <v>6</v>
      </c>
      <c r="M10" s="24">
        <f t="shared" si="4"/>
        <v>8</v>
      </c>
      <c r="N10" s="24">
        <f t="shared" si="5"/>
        <v>8</v>
      </c>
    </row>
    <row r="11" spans="1:17" ht="63.75" customHeight="1">
      <c r="A11" t="s">
        <v>150</v>
      </c>
      <c r="B11" t="s">
        <v>151</v>
      </c>
      <c r="C11" s="25" t="s">
        <v>144</v>
      </c>
      <c r="D11" s="26" t="s">
        <v>152</v>
      </c>
      <c r="E11" s="26" t="s">
        <v>153</v>
      </c>
      <c r="F11" s="26" t="s">
        <v>154</v>
      </c>
      <c r="G11" s="26" t="s">
        <v>155</v>
      </c>
      <c r="H11" s="26" t="s">
        <v>156</v>
      </c>
      <c r="I11" s="24">
        <f t="shared" si="0"/>
        <v>9</v>
      </c>
      <c r="J11" s="24">
        <f t="shared" si="1"/>
        <v>6</v>
      </c>
      <c r="K11" s="24">
        <f t="shared" si="2"/>
        <v>8</v>
      </c>
      <c r="L11" s="24">
        <f t="shared" si="3"/>
        <v>8</v>
      </c>
      <c r="M11" s="24">
        <f t="shared" si="4"/>
        <v>6</v>
      </c>
      <c r="N11" s="24">
        <f t="shared" si="5"/>
        <v>9</v>
      </c>
    </row>
    <row r="12" spans="1:17" ht="89.25" customHeight="1">
      <c r="A12" t="s">
        <v>157</v>
      </c>
      <c r="B12" t="s">
        <v>158</v>
      </c>
      <c r="C12" s="25" t="s">
        <v>144</v>
      </c>
      <c r="D12" s="26" t="s">
        <v>159</v>
      </c>
      <c r="E12" s="26" t="s">
        <v>160</v>
      </c>
      <c r="F12" s="26" t="s">
        <v>161</v>
      </c>
      <c r="G12" s="26" t="s">
        <v>162</v>
      </c>
      <c r="H12" s="26" t="s">
        <v>163</v>
      </c>
      <c r="I12" s="24">
        <f t="shared" si="0"/>
        <v>6</v>
      </c>
      <c r="J12" s="24">
        <f t="shared" si="1"/>
        <v>6</v>
      </c>
      <c r="K12" s="24">
        <f t="shared" si="2"/>
        <v>6</v>
      </c>
      <c r="L12" s="24">
        <f t="shared" si="3"/>
        <v>7</v>
      </c>
      <c r="M12" s="24">
        <f t="shared" si="4"/>
        <v>6</v>
      </c>
      <c r="N12" s="24">
        <f t="shared" si="5"/>
        <v>7</v>
      </c>
    </row>
    <row r="13" spans="1:17" ht="63.75" customHeight="1">
      <c r="A13" t="s">
        <v>164</v>
      </c>
      <c r="B13" t="s">
        <v>165</v>
      </c>
      <c r="C13" s="25" t="s">
        <v>144</v>
      </c>
      <c r="D13" s="26" t="s">
        <v>166</v>
      </c>
      <c r="E13" s="26" t="s">
        <v>167</v>
      </c>
      <c r="F13" s="26" t="s">
        <v>168</v>
      </c>
      <c r="G13" s="26" t="s">
        <v>169</v>
      </c>
      <c r="H13" s="26" t="s">
        <v>170</v>
      </c>
      <c r="I13" s="24">
        <f t="shared" si="0"/>
        <v>6</v>
      </c>
      <c r="J13" s="24">
        <f t="shared" si="1"/>
        <v>5</v>
      </c>
      <c r="K13" s="24">
        <f t="shared" si="2"/>
        <v>9</v>
      </c>
      <c r="L13" s="24">
        <f t="shared" si="3"/>
        <v>6</v>
      </c>
      <c r="M13" s="24">
        <f t="shared" si="4"/>
        <v>7</v>
      </c>
      <c r="N13" s="24">
        <f t="shared" si="5"/>
        <v>9</v>
      </c>
    </row>
    <row r="14" spans="1:17" ht="76.5" customHeight="1">
      <c r="A14" t="s">
        <v>203</v>
      </c>
      <c r="B14" t="s">
        <v>204</v>
      </c>
      <c r="C14" s="28" t="s">
        <v>205</v>
      </c>
      <c r="D14" s="29" t="s">
        <v>206</v>
      </c>
      <c r="E14" s="29" t="s">
        <v>207</v>
      </c>
      <c r="F14" s="29" t="s">
        <v>208</v>
      </c>
      <c r="G14" s="29" t="s">
        <v>209</v>
      </c>
      <c r="H14" s="29" t="s">
        <v>210</v>
      </c>
      <c r="I14" s="27">
        <f t="shared" si="0"/>
        <v>6</v>
      </c>
      <c r="J14" s="27">
        <f t="shared" si="1"/>
        <v>6</v>
      </c>
      <c r="K14" s="27">
        <f t="shared" si="2"/>
        <v>6</v>
      </c>
      <c r="L14" s="27">
        <f t="shared" si="3"/>
        <v>6</v>
      </c>
      <c r="M14" s="27">
        <f t="shared" si="4"/>
        <v>5</v>
      </c>
      <c r="N14" s="27">
        <f t="shared" si="5"/>
        <v>6</v>
      </c>
    </row>
    <row r="15" spans="1:17" ht="63.75" customHeight="1">
      <c r="A15" t="s">
        <v>211</v>
      </c>
      <c r="B15" t="s">
        <v>212</v>
      </c>
      <c r="C15" s="28" t="s">
        <v>205</v>
      </c>
      <c r="D15" s="29" t="s">
        <v>213</v>
      </c>
      <c r="E15" s="29" t="s">
        <v>214</v>
      </c>
      <c r="F15" s="29" t="s">
        <v>215</v>
      </c>
      <c r="G15" s="29" t="s">
        <v>216</v>
      </c>
      <c r="H15" s="29" t="s">
        <v>217</v>
      </c>
      <c r="I15" s="27">
        <f t="shared" si="0"/>
        <v>8</v>
      </c>
      <c r="J15" s="27">
        <f t="shared" si="1"/>
        <v>5</v>
      </c>
      <c r="K15" s="27">
        <f t="shared" si="2"/>
        <v>5</v>
      </c>
      <c r="L15" s="27">
        <f t="shared" si="3"/>
        <v>5</v>
      </c>
      <c r="M15" s="27">
        <f t="shared" si="4"/>
        <v>4</v>
      </c>
      <c r="N15" s="27">
        <f t="shared" si="5"/>
        <v>8</v>
      </c>
    </row>
    <row r="16" spans="1:17" ht="76.5" customHeight="1">
      <c r="A16" t="s">
        <v>218</v>
      </c>
      <c r="B16" t="s">
        <v>219</v>
      </c>
      <c r="C16" s="28" t="s">
        <v>205</v>
      </c>
      <c r="D16" s="29" t="s">
        <v>220</v>
      </c>
      <c r="E16" s="29" t="s">
        <v>221</v>
      </c>
      <c r="F16" s="29" t="s">
        <v>222</v>
      </c>
      <c r="G16" s="29" t="s">
        <v>223</v>
      </c>
      <c r="H16" s="29" t="s">
        <v>224</v>
      </c>
      <c r="I16" s="27">
        <f t="shared" si="0"/>
        <v>7</v>
      </c>
      <c r="J16" s="27">
        <f t="shared" si="1"/>
        <v>4</v>
      </c>
      <c r="K16" s="27">
        <f t="shared" si="2"/>
        <v>6</v>
      </c>
      <c r="L16" s="27">
        <f t="shared" si="3"/>
        <v>7</v>
      </c>
      <c r="M16" s="27">
        <f t="shared" si="4"/>
        <v>6</v>
      </c>
      <c r="N16" s="27">
        <f t="shared" si="5"/>
        <v>7</v>
      </c>
    </row>
    <row r="17" spans="1:14" ht="76.5" customHeight="1">
      <c r="A17" t="s">
        <v>225</v>
      </c>
      <c r="B17" t="s">
        <v>226</v>
      </c>
      <c r="C17" s="28" t="s">
        <v>205</v>
      </c>
      <c r="D17" s="29" t="s">
        <v>227</v>
      </c>
      <c r="E17" s="29" t="s">
        <v>228</v>
      </c>
      <c r="F17" s="29" t="s">
        <v>229</v>
      </c>
      <c r="G17" s="29" t="s">
        <v>230</v>
      </c>
      <c r="H17" s="29" t="s">
        <v>231</v>
      </c>
      <c r="I17" s="27">
        <f t="shared" si="0"/>
        <v>7</v>
      </c>
      <c r="J17" s="27">
        <f t="shared" si="1"/>
        <v>6</v>
      </c>
      <c r="K17" s="27">
        <f t="shared" si="2"/>
        <v>7</v>
      </c>
      <c r="L17" s="27">
        <f t="shared" si="3"/>
        <v>6</v>
      </c>
      <c r="M17" s="27">
        <f t="shared" si="4"/>
        <v>8</v>
      </c>
      <c r="N17" s="27">
        <f t="shared" si="5"/>
        <v>8</v>
      </c>
    </row>
    <row r="18" spans="1:14" ht="51" customHeight="1">
      <c r="A18" t="s">
        <v>267</v>
      </c>
      <c r="B18" t="s">
        <v>268</v>
      </c>
      <c r="C18" s="31" t="s">
        <v>269</v>
      </c>
      <c r="D18" s="32" t="s">
        <v>270</v>
      </c>
      <c r="E18" s="32" t="s">
        <v>271</v>
      </c>
      <c r="F18" s="32" t="s">
        <v>272</v>
      </c>
      <c r="G18" s="32" t="s">
        <v>273</v>
      </c>
      <c r="H18" s="32" t="s">
        <v>274</v>
      </c>
      <c r="I18" s="30">
        <f t="shared" si="0"/>
        <v>7</v>
      </c>
      <c r="J18" s="30">
        <f t="shared" si="1"/>
        <v>3</v>
      </c>
      <c r="K18" s="30">
        <f t="shared" si="2"/>
        <v>6</v>
      </c>
      <c r="L18" s="30">
        <f t="shared" si="3"/>
        <v>4</v>
      </c>
      <c r="M18" s="30">
        <f t="shared" si="4"/>
        <v>6</v>
      </c>
      <c r="N18" s="30">
        <f t="shared" si="5"/>
        <v>7</v>
      </c>
    </row>
    <row r="19" spans="1:14" ht="76.5" customHeight="1">
      <c r="A19" t="s">
        <v>275</v>
      </c>
      <c r="B19" t="s">
        <v>276</v>
      </c>
      <c r="C19" s="31" t="s">
        <v>269</v>
      </c>
      <c r="D19" s="32" t="s">
        <v>277</v>
      </c>
      <c r="E19" s="32" t="s">
        <v>278</v>
      </c>
      <c r="F19" s="32" t="s">
        <v>279</v>
      </c>
      <c r="G19" s="32" t="s">
        <v>280</v>
      </c>
      <c r="H19" s="32" t="s">
        <v>281</v>
      </c>
      <c r="I19" s="30">
        <f t="shared" si="0"/>
        <v>7</v>
      </c>
      <c r="J19" s="30">
        <f t="shared" si="1"/>
        <v>8</v>
      </c>
      <c r="K19" s="30">
        <f t="shared" si="2"/>
        <v>7</v>
      </c>
      <c r="L19" s="30">
        <f t="shared" si="3"/>
        <v>8</v>
      </c>
      <c r="M19" s="30">
        <f t="shared" si="4"/>
        <v>8</v>
      </c>
      <c r="N19" s="30">
        <f t="shared" si="5"/>
        <v>8</v>
      </c>
    </row>
    <row r="20" spans="1:14" ht="76.5" customHeight="1">
      <c r="A20" t="s">
        <v>282</v>
      </c>
      <c r="B20" t="s">
        <v>283</v>
      </c>
      <c r="C20" s="31" t="s">
        <v>269</v>
      </c>
      <c r="D20" s="32" t="s">
        <v>284</v>
      </c>
      <c r="E20" s="32" t="s">
        <v>285</v>
      </c>
      <c r="F20" s="32" t="s">
        <v>286</v>
      </c>
      <c r="G20" s="32" t="s">
        <v>287</v>
      </c>
      <c r="H20" s="32" t="s">
        <v>288</v>
      </c>
      <c r="I20" s="30">
        <f t="shared" si="0"/>
        <v>8</v>
      </c>
      <c r="J20" s="30">
        <f t="shared" si="1"/>
        <v>6</v>
      </c>
      <c r="K20" s="30">
        <f t="shared" si="2"/>
        <v>6</v>
      </c>
      <c r="L20" s="30">
        <f t="shared" si="3"/>
        <v>8</v>
      </c>
      <c r="M20" s="30">
        <f t="shared" si="4"/>
        <v>8</v>
      </c>
      <c r="N20" s="30">
        <f t="shared" si="5"/>
        <v>8</v>
      </c>
    </row>
    <row r="21" spans="1:14" ht="76.5" customHeight="1">
      <c r="A21" t="s">
        <v>289</v>
      </c>
      <c r="B21" t="s">
        <v>290</v>
      </c>
      <c r="C21" s="31" t="s">
        <v>269</v>
      </c>
      <c r="D21" s="32" t="s">
        <v>291</v>
      </c>
      <c r="E21" s="32" t="s">
        <v>292</v>
      </c>
      <c r="F21" s="32" t="s">
        <v>293</v>
      </c>
      <c r="G21" s="32" t="s">
        <v>294</v>
      </c>
      <c r="H21" s="32" t="s">
        <v>295</v>
      </c>
      <c r="I21" s="30">
        <f t="shared" si="0"/>
        <v>8</v>
      </c>
      <c r="J21" s="30">
        <f t="shared" si="1"/>
        <v>6</v>
      </c>
      <c r="K21" s="30">
        <f t="shared" si="2"/>
        <v>5</v>
      </c>
      <c r="L21" s="30">
        <f t="shared" si="3"/>
        <v>7</v>
      </c>
      <c r="M21" s="30">
        <f t="shared" si="4"/>
        <v>3</v>
      </c>
      <c r="N21" s="30">
        <f t="shared" si="5"/>
        <v>8</v>
      </c>
    </row>
    <row r="22" spans="1:14" ht="63.75" customHeight="1">
      <c r="A22" t="s">
        <v>331</v>
      </c>
      <c r="B22" t="s">
        <v>332</v>
      </c>
      <c r="C22" s="34" t="s">
        <v>333</v>
      </c>
      <c r="D22" s="35" t="s">
        <v>334</v>
      </c>
      <c r="E22" s="35" t="s">
        <v>335</v>
      </c>
      <c r="F22" s="35" t="s">
        <v>336</v>
      </c>
      <c r="G22" s="35" t="s">
        <v>337</v>
      </c>
      <c r="H22" s="35" t="s">
        <v>338</v>
      </c>
      <c r="I22" s="33">
        <f t="shared" si="0"/>
        <v>7</v>
      </c>
      <c r="J22" s="33">
        <f t="shared" si="1"/>
        <v>7</v>
      </c>
      <c r="K22" s="33">
        <f t="shared" si="2"/>
        <v>7</v>
      </c>
      <c r="L22" s="33">
        <f t="shared" si="3"/>
        <v>7</v>
      </c>
      <c r="M22" s="33">
        <f t="shared" si="4"/>
        <v>7</v>
      </c>
      <c r="N22" s="33">
        <f t="shared" si="5"/>
        <v>7</v>
      </c>
    </row>
    <row r="23" spans="1:14" ht="63.75" customHeight="1">
      <c r="A23" t="s">
        <v>339</v>
      </c>
      <c r="B23" t="s">
        <v>340</v>
      </c>
      <c r="C23" s="34" t="s">
        <v>333</v>
      </c>
      <c r="D23" s="35" t="s">
        <v>341</v>
      </c>
      <c r="E23" s="35" t="s">
        <v>342</v>
      </c>
      <c r="F23" s="35" t="s">
        <v>343</v>
      </c>
      <c r="G23" s="35" t="s">
        <v>344</v>
      </c>
      <c r="H23" s="35" t="s">
        <v>345</v>
      </c>
      <c r="I23" s="33">
        <f t="shared" si="0"/>
        <v>6</v>
      </c>
      <c r="J23" s="33">
        <f t="shared" si="1"/>
        <v>6</v>
      </c>
      <c r="K23" s="33">
        <f t="shared" si="2"/>
        <v>5</v>
      </c>
      <c r="L23" s="33">
        <f t="shared" si="3"/>
        <v>7</v>
      </c>
      <c r="M23" s="33">
        <f t="shared" si="4"/>
        <v>6</v>
      </c>
      <c r="N23" s="33">
        <f t="shared" si="5"/>
        <v>7</v>
      </c>
    </row>
    <row r="24" spans="1:14" ht="76.5" customHeight="1">
      <c r="A24" t="s">
        <v>346</v>
      </c>
      <c r="B24" t="s">
        <v>347</v>
      </c>
      <c r="C24" s="34" t="s">
        <v>333</v>
      </c>
      <c r="D24" s="35" t="s">
        <v>6701</v>
      </c>
      <c r="E24" s="35" t="s">
        <v>348</v>
      </c>
      <c r="F24" s="35" t="s">
        <v>349</v>
      </c>
      <c r="G24" s="35" t="s">
        <v>350</v>
      </c>
      <c r="H24" s="35" t="s">
        <v>351</v>
      </c>
      <c r="I24" s="33">
        <f t="shared" si="0"/>
        <v>9</v>
      </c>
      <c r="J24" s="33">
        <f t="shared" si="1"/>
        <v>6</v>
      </c>
      <c r="K24" s="33">
        <f t="shared" si="2"/>
        <v>7</v>
      </c>
      <c r="L24" s="33">
        <f t="shared" si="3"/>
        <v>6</v>
      </c>
      <c r="M24" s="33">
        <f t="shared" si="4"/>
        <v>7</v>
      </c>
      <c r="N24" s="33">
        <f t="shared" si="5"/>
        <v>9</v>
      </c>
    </row>
    <row r="25" spans="1:14" ht="76.5" customHeight="1">
      <c r="A25" t="s">
        <v>352</v>
      </c>
      <c r="B25" t="s">
        <v>353</v>
      </c>
      <c r="C25" s="34" t="s">
        <v>333</v>
      </c>
      <c r="D25" s="35" t="s">
        <v>354</v>
      </c>
      <c r="E25" s="35" t="s">
        <v>355</v>
      </c>
      <c r="F25" s="35" t="s">
        <v>356</v>
      </c>
      <c r="G25" s="35" t="s">
        <v>357</v>
      </c>
      <c r="H25" s="35" t="s">
        <v>358</v>
      </c>
      <c r="I25" s="33">
        <f t="shared" si="0"/>
        <v>7</v>
      </c>
      <c r="J25" s="33">
        <f t="shared" si="1"/>
        <v>7</v>
      </c>
      <c r="K25" s="33">
        <f t="shared" si="2"/>
        <v>7</v>
      </c>
      <c r="L25" s="33">
        <f t="shared" si="3"/>
        <v>6</v>
      </c>
      <c r="M25" s="33">
        <f t="shared" si="4"/>
        <v>6</v>
      </c>
      <c r="N25" s="33">
        <f t="shared" si="5"/>
        <v>7</v>
      </c>
    </row>
    <row r="26" spans="1:14" ht="89.25" customHeight="1">
      <c r="A26" t="s">
        <v>43</v>
      </c>
      <c r="B26" t="s">
        <v>44</v>
      </c>
      <c r="C26" s="18" t="s">
        <v>16</v>
      </c>
      <c r="D26" s="19" t="s">
        <v>45</v>
      </c>
      <c r="E26" s="19" t="s">
        <v>46</v>
      </c>
      <c r="F26" s="19" t="s">
        <v>47</v>
      </c>
      <c r="G26" s="19" t="s">
        <v>48</v>
      </c>
      <c r="H26" s="19" t="s">
        <v>49</v>
      </c>
      <c r="I26" s="17">
        <f t="shared" si="0"/>
        <v>8</v>
      </c>
      <c r="J26" s="17">
        <f t="shared" si="1"/>
        <v>5</v>
      </c>
      <c r="K26" s="17">
        <f t="shared" si="2"/>
        <v>6</v>
      </c>
      <c r="L26" s="17">
        <f t="shared" si="3"/>
        <v>6</v>
      </c>
      <c r="M26" s="17">
        <f t="shared" si="4"/>
        <v>7</v>
      </c>
      <c r="N26" s="17">
        <f t="shared" si="5"/>
        <v>8</v>
      </c>
    </row>
    <row r="27" spans="1:14" ht="63.75" customHeight="1">
      <c r="A27" t="s">
        <v>50</v>
      </c>
      <c r="B27" t="s">
        <v>51</v>
      </c>
      <c r="C27" s="18" t="s">
        <v>16</v>
      </c>
      <c r="D27" s="19" t="s">
        <v>52</v>
      </c>
      <c r="E27" s="19" t="s">
        <v>53</v>
      </c>
      <c r="F27" s="19" t="s">
        <v>54</v>
      </c>
      <c r="G27" s="19" t="s">
        <v>55</v>
      </c>
      <c r="H27" s="19" t="s">
        <v>56</v>
      </c>
      <c r="I27" s="17">
        <f t="shared" si="0"/>
        <v>6</v>
      </c>
      <c r="J27" s="17">
        <f t="shared" si="1"/>
        <v>7</v>
      </c>
      <c r="K27" s="17">
        <f t="shared" si="2"/>
        <v>6</v>
      </c>
      <c r="L27" s="17">
        <f t="shared" si="3"/>
        <v>7</v>
      </c>
      <c r="M27" s="17">
        <f t="shared" si="4"/>
        <v>6</v>
      </c>
      <c r="N27" s="17">
        <f t="shared" si="5"/>
        <v>7</v>
      </c>
    </row>
    <row r="28" spans="1:14" ht="76.5" customHeight="1">
      <c r="A28" t="s">
        <v>57</v>
      </c>
      <c r="B28" t="s">
        <v>58</v>
      </c>
      <c r="C28" s="18" t="s">
        <v>16</v>
      </c>
      <c r="D28" s="19" t="s">
        <v>59</v>
      </c>
      <c r="E28" s="19" t="s">
        <v>60</v>
      </c>
      <c r="F28" s="19" t="s">
        <v>61</v>
      </c>
      <c r="G28" s="19" t="s">
        <v>62</v>
      </c>
      <c r="H28" s="19" t="s">
        <v>63</v>
      </c>
      <c r="I28" s="17">
        <f t="shared" si="0"/>
        <v>7</v>
      </c>
      <c r="J28" s="17">
        <f t="shared" si="1"/>
        <v>8</v>
      </c>
      <c r="K28" s="17">
        <f t="shared" si="2"/>
        <v>8</v>
      </c>
      <c r="L28" s="17">
        <f t="shared" si="3"/>
        <v>7</v>
      </c>
      <c r="M28" s="17">
        <f t="shared" si="4"/>
        <v>7</v>
      </c>
      <c r="N28" s="17">
        <f t="shared" si="5"/>
        <v>8</v>
      </c>
    </row>
    <row r="29" spans="1:14" ht="63.75" customHeight="1">
      <c r="A29" t="s">
        <v>64</v>
      </c>
      <c r="B29" t="s">
        <v>65</v>
      </c>
      <c r="C29" s="18" t="s">
        <v>16</v>
      </c>
      <c r="D29" s="19" t="s">
        <v>66</v>
      </c>
      <c r="E29" s="19" t="s">
        <v>67</v>
      </c>
      <c r="F29" s="19" t="s">
        <v>68</v>
      </c>
      <c r="G29" s="19" t="s">
        <v>69</v>
      </c>
      <c r="H29" s="19" t="s">
        <v>70</v>
      </c>
      <c r="I29" s="17">
        <f t="shared" si="0"/>
        <v>9</v>
      </c>
      <c r="J29" s="17">
        <f t="shared" si="1"/>
        <v>7</v>
      </c>
      <c r="K29" s="17">
        <f t="shared" si="2"/>
        <v>7</v>
      </c>
      <c r="L29" s="17">
        <f t="shared" si="3"/>
        <v>7</v>
      </c>
      <c r="M29" s="17">
        <f t="shared" si="4"/>
        <v>7</v>
      </c>
      <c r="N29" s="17">
        <f t="shared" si="5"/>
        <v>9</v>
      </c>
    </row>
    <row r="30" spans="1:14" ht="76.5" customHeight="1">
      <c r="A30" t="s">
        <v>71</v>
      </c>
      <c r="B30" t="s">
        <v>72</v>
      </c>
      <c r="C30" s="18" t="s">
        <v>16</v>
      </c>
      <c r="D30" s="19" t="s">
        <v>73</v>
      </c>
      <c r="E30" s="19" t="s">
        <v>74</v>
      </c>
      <c r="F30" s="19" t="s">
        <v>75</v>
      </c>
      <c r="G30" s="19" t="s">
        <v>76</v>
      </c>
      <c r="H30" s="19" t="s">
        <v>77</v>
      </c>
      <c r="I30" s="17">
        <f t="shared" si="0"/>
        <v>4</v>
      </c>
      <c r="J30" s="17">
        <f t="shared" si="1"/>
        <v>8</v>
      </c>
      <c r="K30" s="17">
        <f t="shared" si="2"/>
        <v>7</v>
      </c>
      <c r="L30" s="17">
        <f t="shared" si="3"/>
        <v>7</v>
      </c>
      <c r="M30" s="17">
        <f t="shared" si="4"/>
        <v>8</v>
      </c>
      <c r="N30" s="17">
        <f t="shared" si="5"/>
        <v>8</v>
      </c>
    </row>
    <row r="31" spans="1:14" ht="63.75" customHeight="1">
      <c r="A31" t="s">
        <v>107</v>
      </c>
      <c r="B31" t="s">
        <v>108</v>
      </c>
      <c r="C31" s="22" t="s">
        <v>80</v>
      </c>
      <c r="D31" s="23" t="s">
        <v>109</v>
      </c>
      <c r="E31" s="23" t="s">
        <v>110</v>
      </c>
      <c r="F31" s="23" t="s">
        <v>111</v>
      </c>
      <c r="G31" s="23" t="s">
        <v>112</v>
      </c>
      <c r="H31" s="23" t="s">
        <v>113</v>
      </c>
      <c r="I31" s="21">
        <f t="shared" si="0"/>
        <v>6</v>
      </c>
      <c r="J31" s="21">
        <f t="shared" si="1"/>
        <v>5</v>
      </c>
      <c r="K31" s="21">
        <f t="shared" si="2"/>
        <v>7</v>
      </c>
      <c r="L31" s="21">
        <f t="shared" si="3"/>
        <v>7</v>
      </c>
      <c r="M31" s="21">
        <f t="shared" si="4"/>
        <v>7</v>
      </c>
      <c r="N31" s="21">
        <f t="shared" si="5"/>
        <v>7</v>
      </c>
    </row>
    <row r="32" spans="1:14" ht="76.5" customHeight="1">
      <c r="A32" t="s">
        <v>114</v>
      </c>
      <c r="B32" t="s">
        <v>115</v>
      </c>
      <c r="C32" s="22" t="s">
        <v>80</v>
      </c>
      <c r="D32" s="23" t="s">
        <v>116</v>
      </c>
      <c r="E32" s="23" t="s">
        <v>117</v>
      </c>
      <c r="F32" s="23" t="s">
        <v>118</v>
      </c>
      <c r="G32" s="23" t="s">
        <v>119</v>
      </c>
      <c r="H32" s="23" t="s">
        <v>120</v>
      </c>
      <c r="I32" s="21">
        <f t="shared" si="0"/>
        <v>7</v>
      </c>
      <c r="J32" s="21">
        <f t="shared" si="1"/>
        <v>8</v>
      </c>
      <c r="K32" s="21">
        <f t="shared" si="2"/>
        <v>6</v>
      </c>
      <c r="L32" s="21">
        <f t="shared" si="3"/>
        <v>7</v>
      </c>
      <c r="M32" s="21">
        <f t="shared" si="4"/>
        <v>6</v>
      </c>
      <c r="N32" s="21">
        <f t="shared" si="5"/>
        <v>8</v>
      </c>
    </row>
    <row r="33" spans="1:14" ht="76.5" customHeight="1">
      <c r="A33" t="s">
        <v>121</v>
      </c>
      <c r="B33" t="s">
        <v>122</v>
      </c>
      <c r="C33" s="22" t="s">
        <v>80</v>
      </c>
      <c r="D33" s="23" t="s">
        <v>123</v>
      </c>
      <c r="E33" s="23" t="s">
        <v>124</v>
      </c>
      <c r="F33" s="23" t="s">
        <v>125</v>
      </c>
      <c r="G33" s="23" t="s">
        <v>126</v>
      </c>
      <c r="H33" s="23" t="s">
        <v>127</v>
      </c>
      <c r="I33" s="21">
        <f t="shared" si="0"/>
        <v>6</v>
      </c>
      <c r="J33" s="21">
        <f t="shared" si="1"/>
        <v>6</v>
      </c>
      <c r="K33" s="21">
        <f t="shared" si="2"/>
        <v>6</v>
      </c>
      <c r="L33" s="21">
        <f t="shared" si="3"/>
        <v>7</v>
      </c>
      <c r="M33" s="21">
        <f t="shared" si="4"/>
        <v>6</v>
      </c>
      <c r="N33" s="21">
        <f t="shared" si="5"/>
        <v>7</v>
      </c>
    </row>
    <row r="34" spans="1:14" ht="76.5" customHeight="1">
      <c r="A34" t="s">
        <v>128</v>
      </c>
      <c r="B34" t="s">
        <v>129</v>
      </c>
      <c r="C34" s="22" t="s">
        <v>80</v>
      </c>
      <c r="D34" s="23" t="s">
        <v>130</v>
      </c>
      <c r="E34" s="23" t="s">
        <v>131</v>
      </c>
      <c r="F34" s="23" t="s">
        <v>132</v>
      </c>
      <c r="G34" s="23" t="s">
        <v>133</v>
      </c>
      <c r="H34" s="23" t="s">
        <v>134</v>
      </c>
      <c r="I34" s="21">
        <f t="shared" ref="I34:I55" si="6">IF(LEN(TRIM(D34))=0,0,LEN(TRIM(D34))-LEN(SUBSTITUTE(TRIM(D34)," ",""))+1)</f>
        <v>6</v>
      </c>
      <c r="J34" s="21">
        <f t="shared" ref="J34:J55" si="7">IF(LEN(TRIM(E34))=0,0,LEN(TRIM(E34))-LEN(SUBSTITUTE(TRIM(E34)," ",""))+1)</f>
        <v>7</v>
      </c>
      <c r="K34" s="21">
        <f t="shared" ref="K34:K55" si="8">IF(LEN(TRIM(F34))=0,0,LEN(TRIM(F34))-LEN(SUBSTITUTE(TRIM(F34)," ",""))+1)</f>
        <v>6</v>
      </c>
      <c r="L34" s="21">
        <f t="shared" ref="L34:L55" si="9">IF(LEN(TRIM(G34))=0,0,LEN(TRIM(G34))-LEN(SUBSTITUTE(TRIM(G34)," ",""))+1)</f>
        <v>5</v>
      </c>
      <c r="M34" s="21">
        <f t="shared" ref="M34:M55" si="10">IF(LEN(TRIM(H34))=0,0,LEN(TRIM(H34))-LEN(SUBSTITUTE(TRIM(H34)," ",""))+1)</f>
        <v>7</v>
      </c>
      <c r="N34" s="21">
        <f t="shared" ref="N34:N55" si="11">MAX(I34:M34)</f>
        <v>7</v>
      </c>
    </row>
    <row r="35" spans="1:14" ht="63.75" customHeight="1">
      <c r="A35" t="s">
        <v>135</v>
      </c>
      <c r="B35" t="s">
        <v>136</v>
      </c>
      <c r="C35" s="22" t="s">
        <v>80</v>
      </c>
      <c r="D35" s="23" t="s">
        <v>137</v>
      </c>
      <c r="E35" s="23" t="s">
        <v>138</v>
      </c>
      <c r="F35" s="23" t="s">
        <v>139</v>
      </c>
      <c r="G35" s="23" t="s">
        <v>140</v>
      </c>
      <c r="H35" s="23" t="s">
        <v>141</v>
      </c>
      <c r="I35" s="21">
        <f t="shared" si="6"/>
        <v>7</v>
      </c>
      <c r="J35" s="21">
        <f t="shared" si="7"/>
        <v>6</v>
      </c>
      <c r="K35" s="21">
        <f t="shared" si="8"/>
        <v>5</v>
      </c>
      <c r="L35" s="21">
        <f t="shared" si="9"/>
        <v>5</v>
      </c>
      <c r="M35" s="21">
        <f t="shared" si="10"/>
        <v>7</v>
      </c>
      <c r="N35" s="21">
        <f t="shared" si="11"/>
        <v>7</v>
      </c>
    </row>
    <row r="36" spans="1:14" ht="51" customHeight="1">
      <c r="A36" t="s">
        <v>171</v>
      </c>
      <c r="B36" t="s">
        <v>172</v>
      </c>
      <c r="C36" s="25" t="s">
        <v>144</v>
      </c>
      <c r="D36" s="26" t="s">
        <v>173</v>
      </c>
      <c r="E36" s="26" t="s">
        <v>174</v>
      </c>
      <c r="F36" s="26" t="s">
        <v>175</v>
      </c>
      <c r="G36" s="26" t="s">
        <v>176</v>
      </c>
      <c r="H36" s="26" t="s">
        <v>177</v>
      </c>
      <c r="I36" s="24">
        <f t="shared" si="6"/>
        <v>8</v>
      </c>
      <c r="J36" s="24">
        <f t="shared" si="7"/>
        <v>6</v>
      </c>
      <c r="K36" s="24">
        <f t="shared" si="8"/>
        <v>6</v>
      </c>
      <c r="L36" s="24">
        <f t="shared" si="9"/>
        <v>7</v>
      </c>
      <c r="M36" s="24">
        <f t="shared" si="10"/>
        <v>8</v>
      </c>
      <c r="N36" s="24">
        <f t="shared" si="11"/>
        <v>8</v>
      </c>
    </row>
    <row r="37" spans="1:14" ht="76.5" customHeight="1">
      <c r="A37" t="s">
        <v>178</v>
      </c>
      <c r="B37" t="s">
        <v>179</v>
      </c>
      <c r="C37" s="25" t="s">
        <v>144</v>
      </c>
      <c r="D37" s="26" t="s">
        <v>180</v>
      </c>
      <c r="E37" s="26" t="s">
        <v>181</v>
      </c>
      <c r="F37" s="26" t="s">
        <v>182</v>
      </c>
      <c r="G37" s="26" t="s">
        <v>183</v>
      </c>
      <c r="H37" s="26" t="s">
        <v>6705</v>
      </c>
      <c r="I37" s="24">
        <f t="shared" si="6"/>
        <v>8</v>
      </c>
      <c r="J37" s="24">
        <f t="shared" si="7"/>
        <v>9</v>
      </c>
      <c r="K37" s="24">
        <f t="shared" si="8"/>
        <v>7</v>
      </c>
      <c r="L37" s="24">
        <f t="shared" si="9"/>
        <v>5</v>
      </c>
      <c r="M37" s="24">
        <f t="shared" si="10"/>
        <v>6</v>
      </c>
      <c r="N37" s="24">
        <f t="shared" si="11"/>
        <v>9</v>
      </c>
    </row>
    <row r="38" spans="1:14" ht="63.75" customHeight="1">
      <c r="A38" t="s">
        <v>184</v>
      </c>
      <c r="B38" t="s">
        <v>185</v>
      </c>
      <c r="C38" s="25" t="s">
        <v>144</v>
      </c>
      <c r="D38" s="26" t="s">
        <v>186</v>
      </c>
      <c r="E38" s="26" t="s">
        <v>187</v>
      </c>
      <c r="F38" s="26" t="s">
        <v>188</v>
      </c>
      <c r="G38" s="26" t="s">
        <v>189</v>
      </c>
      <c r="H38" s="26" t="s">
        <v>190</v>
      </c>
      <c r="I38" s="24">
        <f t="shared" si="6"/>
        <v>7</v>
      </c>
      <c r="J38" s="24">
        <f t="shared" si="7"/>
        <v>8</v>
      </c>
      <c r="K38" s="24">
        <f t="shared" si="8"/>
        <v>8</v>
      </c>
      <c r="L38" s="24">
        <f t="shared" si="9"/>
        <v>7</v>
      </c>
      <c r="M38" s="24">
        <f t="shared" si="10"/>
        <v>7</v>
      </c>
      <c r="N38" s="24">
        <f t="shared" si="11"/>
        <v>8</v>
      </c>
    </row>
    <row r="39" spans="1:14" ht="76.5" customHeight="1">
      <c r="A39" t="s">
        <v>191</v>
      </c>
      <c r="B39" t="s">
        <v>192</v>
      </c>
      <c r="C39" s="25" t="s">
        <v>144</v>
      </c>
      <c r="D39" s="26" t="s">
        <v>193</v>
      </c>
      <c r="E39" s="26" t="s">
        <v>194</v>
      </c>
      <c r="F39" s="26" t="s">
        <v>195</v>
      </c>
      <c r="G39" s="26" t="s">
        <v>196</v>
      </c>
      <c r="H39" s="26" t="s">
        <v>197</v>
      </c>
      <c r="I39" s="24">
        <f t="shared" si="6"/>
        <v>5</v>
      </c>
      <c r="J39" s="24">
        <f t="shared" si="7"/>
        <v>7</v>
      </c>
      <c r="K39" s="24">
        <f t="shared" si="8"/>
        <v>5</v>
      </c>
      <c r="L39" s="24">
        <f t="shared" si="9"/>
        <v>6</v>
      </c>
      <c r="M39" s="24">
        <f t="shared" si="10"/>
        <v>7</v>
      </c>
      <c r="N39" s="24">
        <f t="shared" si="11"/>
        <v>7</v>
      </c>
    </row>
    <row r="40" spans="1:14" ht="76.5" customHeight="1">
      <c r="A40" t="s">
        <v>198</v>
      </c>
      <c r="B40" t="s">
        <v>199</v>
      </c>
      <c r="C40" s="25" t="s">
        <v>144</v>
      </c>
      <c r="D40" s="26" t="s">
        <v>200</v>
      </c>
      <c r="E40" s="26" t="s">
        <v>201</v>
      </c>
      <c r="F40" s="26" t="s">
        <v>202</v>
      </c>
      <c r="G40" s="26" t="s">
        <v>6703</v>
      </c>
      <c r="H40" s="26" t="s">
        <v>6704</v>
      </c>
      <c r="I40" s="24">
        <f t="shared" si="6"/>
        <v>7</v>
      </c>
      <c r="J40" s="24">
        <f t="shared" si="7"/>
        <v>6</v>
      </c>
      <c r="K40" s="24">
        <f t="shared" si="8"/>
        <v>8</v>
      </c>
      <c r="L40" s="24">
        <f t="shared" si="9"/>
        <v>9</v>
      </c>
      <c r="M40" s="24">
        <f t="shared" si="10"/>
        <v>5</v>
      </c>
      <c r="N40" s="24">
        <f t="shared" si="11"/>
        <v>9</v>
      </c>
    </row>
    <row r="41" spans="1:14" ht="76.5" customHeight="1">
      <c r="A41" t="s">
        <v>232</v>
      </c>
      <c r="B41" t="s">
        <v>233</v>
      </c>
      <c r="C41" s="28" t="s">
        <v>205</v>
      </c>
      <c r="D41" s="29" t="s">
        <v>234</v>
      </c>
      <c r="E41" s="29" t="s">
        <v>235</v>
      </c>
      <c r="F41" s="29" t="s">
        <v>236</v>
      </c>
      <c r="G41" s="29" t="s">
        <v>237</v>
      </c>
      <c r="H41" s="29" t="s">
        <v>238</v>
      </c>
      <c r="I41" s="27">
        <f t="shared" si="6"/>
        <v>5</v>
      </c>
      <c r="J41" s="27">
        <f t="shared" si="7"/>
        <v>8</v>
      </c>
      <c r="K41" s="27">
        <f t="shared" si="8"/>
        <v>7</v>
      </c>
      <c r="L41" s="27">
        <f t="shared" si="9"/>
        <v>6</v>
      </c>
      <c r="M41" s="27">
        <f t="shared" si="10"/>
        <v>6</v>
      </c>
      <c r="N41" s="27">
        <f t="shared" si="11"/>
        <v>8</v>
      </c>
    </row>
    <row r="42" spans="1:14" ht="76.5" customHeight="1">
      <c r="A42" t="s">
        <v>239</v>
      </c>
      <c r="B42" t="s">
        <v>240</v>
      </c>
      <c r="C42" s="28" t="s">
        <v>205</v>
      </c>
      <c r="D42" s="29" t="s">
        <v>241</v>
      </c>
      <c r="E42" s="29" t="s">
        <v>242</v>
      </c>
      <c r="F42" s="29" t="s">
        <v>243</v>
      </c>
      <c r="G42" s="29" t="s">
        <v>244</v>
      </c>
      <c r="H42" s="29" t="s">
        <v>245</v>
      </c>
      <c r="I42" s="27">
        <f t="shared" si="6"/>
        <v>6</v>
      </c>
      <c r="J42" s="27">
        <f t="shared" si="7"/>
        <v>7</v>
      </c>
      <c r="K42" s="27">
        <f t="shared" si="8"/>
        <v>5</v>
      </c>
      <c r="L42" s="27">
        <f t="shared" si="9"/>
        <v>6</v>
      </c>
      <c r="M42" s="27">
        <f t="shared" si="10"/>
        <v>6</v>
      </c>
      <c r="N42" s="27">
        <f t="shared" si="11"/>
        <v>7</v>
      </c>
    </row>
    <row r="43" spans="1:14" ht="76.5" customHeight="1">
      <c r="A43" t="s">
        <v>246</v>
      </c>
      <c r="B43" t="s">
        <v>247</v>
      </c>
      <c r="C43" s="28" t="s">
        <v>205</v>
      </c>
      <c r="D43" s="29" t="s">
        <v>248</v>
      </c>
      <c r="E43" s="29" t="s">
        <v>249</v>
      </c>
      <c r="F43" s="29" t="s">
        <v>250</v>
      </c>
      <c r="G43" s="29" t="s">
        <v>251</v>
      </c>
      <c r="H43" s="29" t="s">
        <v>252</v>
      </c>
      <c r="I43" s="27">
        <f t="shared" si="6"/>
        <v>7</v>
      </c>
      <c r="J43" s="27">
        <f t="shared" si="7"/>
        <v>4</v>
      </c>
      <c r="K43" s="27">
        <f t="shared" si="8"/>
        <v>6</v>
      </c>
      <c r="L43" s="27">
        <f t="shared" si="9"/>
        <v>5</v>
      </c>
      <c r="M43" s="27">
        <f t="shared" si="10"/>
        <v>5</v>
      </c>
      <c r="N43" s="27">
        <f t="shared" si="11"/>
        <v>7</v>
      </c>
    </row>
    <row r="44" spans="1:14" ht="89.25" customHeight="1">
      <c r="A44" t="s">
        <v>253</v>
      </c>
      <c r="B44" t="s">
        <v>254</v>
      </c>
      <c r="C44" s="28" t="s">
        <v>205</v>
      </c>
      <c r="D44" s="29" t="s">
        <v>255</v>
      </c>
      <c r="E44" s="29" t="s">
        <v>256</v>
      </c>
      <c r="F44" s="29" t="s">
        <v>257</v>
      </c>
      <c r="G44" s="29" t="s">
        <v>258</v>
      </c>
      <c r="H44" s="29" t="s">
        <v>259</v>
      </c>
      <c r="I44" s="27">
        <f t="shared" si="6"/>
        <v>2</v>
      </c>
      <c r="J44" s="27">
        <f t="shared" si="7"/>
        <v>3</v>
      </c>
      <c r="K44" s="27">
        <f t="shared" si="8"/>
        <v>5</v>
      </c>
      <c r="L44" s="27">
        <f t="shared" si="9"/>
        <v>4</v>
      </c>
      <c r="M44" s="27">
        <f t="shared" si="10"/>
        <v>5</v>
      </c>
      <c r="N44" s="27">
        <f t="shared" si="11"/>
        <v>5</v>
      </c>
    </row>
    <row r="45" spans="1:14" ht="76.5" customHeight="1">
      <c r="A45" t="s">
        <v>260</v>
      </c>
      <c r="B45" t="s">
        <v>261</v>
      </c>
      <c r="C45" s="28" t="s">
        <v>205</v>
      </c>
      <c r="D45" s="29" t="s">
        <v>262</v>
      </c>
      <c r="E45" s="29" t="s">
        <v>263</v>
      </c>
      <c r="F45" s="29" t="s">
        <v>264</v>
      </c>
      <c r="G45" s="29" t="s">
        <v>265</v>
      </c>
      <c r="H45" s="29" t="s">
        <v>266</v>
      </c>
      <c r="I45" s="27">
        <f t="shared" si="6"/>
        <v>5</v>
      </c>
      <c r="J45" s="27">
        <f t="shared" si="7"/>
        <v>6</v>
      </c>
      <c r="K45" s="27">
        <f t="shared" si="8"/>
        <v>6</v>
      </c>
      <c r="L45" s="27">
        <f t="shared" si="9"/>
        <v>7</v>
      </c>
      <c r="M45" s="27">
        <f t="shared" si="10"/>
        <v>7</v>
      </c>
      <c r="N45" s="27">
        <f t="shared" si="11"/>
        <v>7</v>
      </c>
    </row>
    <row r="46" spans="1:14" ht="76.5" customHeight="1">
      <c r="A46" t="s">
        <v>296</v>
      </c>
      <c r="B46" t="s">
        <v>297</v>
      </c>
      <c r="C46" s="31" t="s">
        <v>269</v>
      </c>
      <c r="D46" s="32" t="s">
        <v>298</v>
      </c>
      <c r="E46" s="32" t="s">
        <v>299</v>
      </c>
      <c r="F46" s="32" t="s">
        <v>300</v>
      </c>
      <c r="G46" s="32" t="s">
        <v>301</v>
      </c>
      <c r="H46" s="32" t="s">
        <v>302</v>
      </c>
      <c r="I46" s="30">
        <f t="shared" si="6"/>
        <v>6</v>
      </c>
      <c r="J46" s="30">
        <f t="shared" si="7"/>
        <v>7</v>
      </c>
      <c r="K46" s="30">
        <f t="shared" si="8"/>
        <v>8</v>
      </c>
      <c r="L46" s="30">
        <f t="shared" si="9"/>
        <v>6</v>
      </c>
      <c r="M46" s="30">
        <f t="shared" si="10"/>
        <v>8</v>
      </c>
      <c r="N46" s="30">
        <f t="shared" si="11"/>
        <v>8</v>
      </c>
    </row>
    <row r="47" spans="1:14" ht="63.75" customHeight="1">
      <c r="A47" t="s">
        <v>303</v>
      </c>
      <c r="B47" t="s">
        <v>304</v>
      </c>
      <c r="C47" s="31" t="s">
        <v>269</v>
      </c>
      <c r="D47" s="32" t="s">
        <v>305</v>
      </c>
      <c r="E47" s="32" t="s">
        <v>306</v>
      </c>
      <c r="F47" s="32" t="s">
        <v>307</v>
      </c>
      <c r="G47" s="32" t="s">
        <v>308</v>
      </c>
      <c r="H47" s="32" t="s">
        <v>309</v>
      </c>
      <c r="I47" s="30">
        <f t="shared" si="6"/>
        <v>5</v>
      </c>
      <c r="J47" s="30">
        <f t="shared" si="7"/>
        <v>7</v>
      </c>
      <c r="K47" s="30">
        <f t="shared" si="8"/>
        <v>8</v>
      </c>
      <c r="L47" s="30">
        <f t="shared" si="9"/>
        <v>7</v>
      </c>
      <c r="M47" s="30">
        <f t="shared" si="10"/>
        <v>7</v>
      </c>
      <c r="N47" s="30">
        <f t="shared" si="11"/>
        <v>8</v>
      </c>
    </row>
    <row r="48" spans="1:14" ht="63.75" customHeight="1">
      <c r="A48" t="s">
        <v>310</v>
      </c>
      <c r="B48" t="s">
        <v>311</v>
      </c>
      <c r="C48" s="31" t="s">
        <v>269</v>
      </c>
      <c r="D48" s="32" t="s">
        <v>312</v>
      </c>
      <c r="E48" s="32" t="s">
        <v>313</v>
      </c>
      <c r="F48" s="32" t="s">
        <v>314</v>
      </c>
      <c r="G48" s="32" t="s">
        <v>315</v>
      </c>
      <c r="H48" s="32" t="s">
        <v>316</v>
      </c>
      <c r="I48" s="30">
        <f t="shared" si="6"/>
        <v>6</v>
      </c>
      <c r="J48" s="30">
        <f t="shared" si="7"/>
        <v>7</v>
      </c>
      <c r="K48" s="30">
        <f t="shared" si="8"/>
        <v>6</v>
      </c>
      <c r="L48" s="30">
        <f t="shared" si="9"/>
        <v>6</v>
      </c>
      <c r="M48" s="30">
        <f t="shared" si="10"/>
        <v>7</v>
      </c>
      <c r="N48" s="30">
        <f t="shared" si="11"/>
        <v>7</v>
      </c>
    </row>
    <row r="49" spans="1:14" ht="63.75" customHeight="1">
      <c r="A49" t="s">
        <v>317</v>
      </c>
      <c r="B49" t="s">
        <v>318</v>
      </c>
      <c r="C49" s="31" t="s">
        <v>269</v>
      </c>
      <c r="D49" s="32" t="s">
        <v>319</v>
      </c>
      <c r="E49" s="32" t="s">
        <v>320</v>
      </c>
      <c r="F49" s="32" t="s">
        <v>321</v>
      </c>
      <c r="G49" s="32" t="s">
        <v>322</v>
      </c>
      <c r="H49" s="32" t="s">
        <v>323</v>
      </c>
      <c r="I49" s="30">
        <f t="shared" si="6"/>
        <v>6</v>
      </c>
      <c r="J49" s="30">
        <f t="shared" si="7"/>
        <v>6</v>
      </c>
      <c r="K49" s="30">
        <f t="shared" si="8"/>
        <v>6</v>
      </c>
      <c r="L49" s="30">
        <f t="shared" si="9"/>
        <v>7</v>
      </c>
      <c r="M49" s="30">
        <f t="shared" si="10"/>
        <v>6</v>
      </c>
      <c r="N49" s="30">
        <f t="shared" si="11"/>
        <v>7</v>
      </c>
    </row>
    <row r="50" spans="1:14" ht="76.5" customHeight="1">
      <c r="A50" t="s">
        <v>324</v>
      </c>
      <c r="B50" t="s">
        <v>325</v>
      </c>
      <c r="C50" s="31" t="s">
        <v>269</v>
      </c>
      <c r="D50" s="32" t="s">
        <v>326</v>
      </c>
      <c r="E50" s="32" t="s">
        <v>327</v>
      </c>
      <c r="F50" s="32" t="s">
        <v>328</v>
      </c>
      <c r="G50" s="32" t="s">
        <v>329</v>
      </c>
      <c r="H50" s="32" t="s">
        <v>330</v>
      </c>
      <c r="I50" s="30">
        <f t="shared" si="6"/>
        <v>7</v>
      </c>
      <c r="J50" s="30">
        <f t="shared" si="7"/>
        <v>6</v>
      </c>
      <c r="K50" s="30">
        <f t="shared" si="8"/>
        <v>7</v>
      </c>
      <c r="L50" s="30">
        <f t="shared" si="9"/>
        <v>7</v>
      </c>
      <c r="M50" s="30">
        <f t="shared" si="10"/>
        <v>7</v>
      </c>
      <c r="N50" s="30">
        <f t="shared" si="11"/>
        <v>7</v>
      </c>
    </row>
    <row r="51" spans="1:14" ht="63.75" customHeight="1">
      <c r="A51" t="s">
        <v>359</v>
      </c>
      <c r="B51" t="s">
        <v>360</v>
      </c>
      <c r="C51" s="34" t="s">
        <v>333</v>
      </c>
      <c r="D51" s="35" t="s">
        <v>361</v>
      </c>
      <c r="E51" s="35" t="s">
        <v>362</v>
      </c>
      <c r="F51" s="35" t="s">
        <v>363</v>
      </c>
      <c r="G51" s="35" t="s">
        <v>364</v>
      </c>
      <c r="H51" s="35" t="s">
        <v>365</v>
      </c>
      <c r="I51" s="33">
        <f t="shared" si="6"/>
        <v>5</v>
      </c>
      <c r="J51" s="33">
        <f t="shared" si="7"/>
        <v>5</v>
      </c>
      <c r="K51" s="33">
        <f t="shared" si="8"/>
        <v>5</v>
      </c>
      <c r="L51" s="33">
        <f t="shared" si="9"/>
        <v>5</v>
      </c>
      <c r="M51" s="33">
        <f t="shared" si="10"/>
        <v>6</v>
      </c>
      <c r="N51" s="33">
        <f t="shared" si="11"/>
        <v>6</v>
      </c>
    </row>
    <row r="52" spans="1:14" ht="76.5" customHeight="1">
      <c r="A52" t="s">
        <v>366</v>
      </c>
      <c r="B52" t="s">
        <v>367</v>
      </c>
      <c r="C52" s="34" t="s">
        <v>333</v>
      </c>
      <c r="D52" s="35" t="inlineStr">
        <is>
          <t xml:space="preserve">Look closer at where the money comes from.</t>
        </is>
      </c>
      <c r="E52" s="35" t="s">
        <v>368</v>
      </c>
      <c r="F52" s="35" t="s">
        <v>369</v>
      </c>
      <c r="G52" s="35" t="s">
        <v>370</v>
      </c>
      <c r="H52" s="35" t="s">
        <v>371</v>
      </c>
      <c r="I52" s="33">
        <f t="shared" si="6"/>
        <v>8</v>
      </c>
      <c r="J52" s="33">
        <f t="shared" si="7"/>
        <v>7</v>
      </c>
      <c r="K52" s="33">
        <f t="shared" si="8"/>
        <v>7</v>
      </c>
      <c r="L52" s="33">
        <f t="shared" si="9"/>
        <v>7</v>
      </c>
      <c r="M52" s="33">
        <f t="shared" si="10"/>
        <v>8</v>
      </c>
      <c r="N52" s="33">
        <f t="shared" si="11"/>
        <v>8</v>
      </c>
    </row>
    <row r="53" spans="1:14" ht="102" customHeight="1">
      <c r="A53" t="s">
        <v>372</v>
      </c>
      <c r="B53" t="s">
        <v>373</v>
      </c>
      <c r="C53" s="34" t="s">
        <v>333</v>
      </c>
      <c r="D53" s="35" t="s">
        <v>374</v>
      </c>
      <c r="E53" s="35" t="s">
        <v>375</v>
      </c>
      <c r="F53" s="35" t="s">
        <v>376</v>
      </c>
      <c r="G53" s="35" t="s">
        <v>377</v>
      </c>
      <c r="H53" s="35" t="s">
        <v>378</v>
      </c>
      <c r="I53" s="33">
        <f t="shared" si="6"/>
        <v>7</v>
      </c>
      <c r="J53" s="33">
        <f t="shared" si="7"/>
        <v>7</v>
      </c>
      <c r="K53" s="33">
        <f t="shared" si="8"/>
        <v>6</v>
      </c>
      <c r="L53" s="33">
        <f t="shared" si="9"/>
        <v>7</v>
      </c>
      <c r="M53" s="33">
        <f t="shared" si="10"/>
        <v>8</v>
      </c>
      <c r="N53" s="33">
        <f t="shared" si="11"/>
        <v>8</v>
      </c>
    </row>
    <row r="54" spans="1:14" ht="76.5" customHeight="1">
      <c r="A54" t="s">
        <v>379</v>
      </c>
      <c r="B54" t="s">
        <v>380</v>
      </c>
      <c r="C54" s="34" t="s">
        <v>333</v>
      </c>
      <c r="D54" s="35" t="s">
        <v>381</v>
      </c>
      <c r="E54" s="35" t="s">
        <v>382</v>
      </c>
      <c r="F54" s="35" t="s">
        <v>383</v>
      </c>
      <c r="G54" s="35" t="s">
        <v>384</v>
      </c>
      <c r="H54" s="35" t="s">
        <v>385</v>
      </c>
      <c r="I54" s="33">
        <f t="shared" si="6"/>
        <v>7</v>
      </c>
      <c r="J54" s="33">
        <f t="shared" si="7"/>
        <v>8</v>
      </c>
      <c r="K54" s="33">
        <f t="shared" si="8"/>
        <v>5</v>
      </c>
      <c r="L54" s="33">
        <f t="shared" si="9"/>
        <v>6</v>
      </c>
      <c r="M54" s="33">
        <f t="shared" si="10"/>
        <v>7</v>
      </c>
      <c r="N54" s="33">
        <f t="shared" si="11"/>
        <v>8</v>
      </c>
    </row>
    <row r="55" spans="1:14" ht="63.75" customHeight="1">
      <c r="A55" t="s">
        <v>386</v>
      </c>
      <c r="B55" t="s">
        <v>387</v>
      </c>
      <c r="C55" s="34" t="s">
        <v>333</v>
      </c>
      <c r="D55" s="35" t="s">
        <v>388</v>
      </c>
      <c r="E55" s="35" t="s">
        <v>389</v>
      </c>
      <c r="F55" s="35" t="s">
        <v>390</v>
      </c>
      <c r="G55" s="35" t="s">
        <v>391</v>
      </c>
      <c r="H55" s="35" t="s">
        <v>392</v>
      </c>
      <c r="I55" s="33">
        <f t="shared" si="6"/>
        <v>7</v>
      </c>
      <c r="J55" s="33">
        <f t="shared" si="7"/>
        <v>4</v>
      </c>
      <c r="K55" s="33">
        <f t="shared" si="8"/>
        <v>5</v>
      </c>
      <c r="L55" s="33">
        <f t="shared" si="9"/>
        <v>5</v>
      </c>
      <c r="M55" s="33">
        <f t="shared" si="10"/>
        <v>8</v>
      </c>
      <c r="N55" s="33">
        <f t="shared" si="11"/>
        <v>8</v>
      </c>
    </row>
  </sheetData>
  <autoFilter ref="A1:N55" xr:uid="{00000000-0001-0000-1100-000000000000}">
    <sortState xmlns:xlrd2="http://schemas.microsoft.com/office/spreadsheetml/2017/richdata2" ref="A2:N55">
      <sortCondition ref="A1:A55"/>
    </sortState>
  </autoFilter>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E19"/>
  <sheetViews>
    <sheetView workbookViewId="0"/>
  </sheetViews>
  <sheetFormatPr defaultRowHeight="15"/>
  <cols>
    <col min="1" max="1" width="13" customWidth="1"/>
    <col min="2" max="2" width="44" customWidth="1"/>
    <col min="4" max="4" width="40" customWidth="1"/>
    <col min="5" max="5" width="36" customWidth="1"/>
  </cols>
  <sheetData>
    <row r="1" spans="1:5" ht="15.75" customHeight="1">
      <c r="A1" s="36" t="s">
        <v>2850</v>
      </c>
    </row>
    <row r="2" spans="1:5">
      <c r="A2" s="37" t="s">
        <v>2851</v>
      </c>
    </row>
    <row r="4" spans="1:5">
      <c r="A4" s="38" t="s">
        <v>2</v>
      </c>
      <c r="B4" s="38" t="s">
        <v>2852</v>
      </c>
      <c r="C4" s="38" t="s">
        <v>2853</v>
      </c>
      <c r="D4" s="38" t="s">
        <v>2854</v>
      </c>
      <c r="E4" s="38" t="s">
        <v>2855</v>
      </c>
    </row>
    <row r="5" spans="1:5" ht="76.5" customHeight="1">
      <c r="A5" s="39" t="s">
        <v>16</v>
      </c>
      <c r="B5" s="40" t="s">
        <v>2856</v>
      </c>
      <c r="C5" s="40" t="s">
        <v>2857</v>
      </c>
      <c r="D5" s="40" t="s">
        <v>2858</v>
      </c>
      <c r="E5" s="40" t="s">
        <v>17</v>
      </c>
    </row>
    <row r="6" spans="1:5" ht="63.75" customHeight="1">
      <c r="A6" s="41" t="s">
        <v>80</v>
      </c>
      <c r="B6" s="42" t="s">
        <v>2859</v>
      </c>
      <c r="C6" s="42" t="s">
        <v>2860</v>
      </c>
      <c r="D6" s="42" t="s">
        <v>2861</v>
      </c>
      <c r="E6" s="42" t="s">
        <v>124</v>
      </c>
    </row>
    <row r="7" spans="1:5" ht="63.75" customHeight="1">
      <c r="A7" s="43" t="s">
        <v>144</v>
      </c>
      <c r="B7" s="44" t="s">
        <v>2862</v>
      </c>
      <c r="C7" s="44" t="s">
        <v>2863</v>
      </c>
      <c r="D7" s="44" t="s">
        <v>2864</v>
      </c>
      <c r="E7" s="44" t="s">
        <v>193</v>
      </c>
    </row>
    <row r="8" spans="1:5" ht="76.5" customHeight="1">
      <c r="A8" s="45" t="s">
        <v>205</v>
      </c>
      <c r="B8" s="46" t="s">
        <v>2865</v>
      </c>
      <c r="C8" s="46" t="s">
        <v>2866</v>
      </c>
      <c r="D8" s="46" t="s">
        <v>2867</v>
      </c>
      <c r="E8" s="46" t="s">
        <v>220</v>
      </c>
    </row>
    <row r="9" spans="1:5" ht="63.75" customHeight="1">
      <c r="A9" s="47" t="s">
        <v>269</v>
      </c>
      <c r="B9" s="48" t="s">
        <v>2868</v>
      </c>
      <c r="C9" s="48" t="s">
        <v>2869</v>
      </c>
      <c r="D9" s="48" t="s">
        <v>2870</v>
      </c>
      <c r="E9" s="48" t="s">
        <v>309</v>
      </c>
    </row>
    <row r="10" spans="1:5" ht="63.75" customHeight="1">
      <c r="A10" s="49" t="s">
        <v>333</v>
      </c>
      <c r="B10" s="50" t="s">
        <v>2871</v>
      </c>
      <c r="C10" s="50" t="s">
        <v>2872</v>
      </c>
      <c r="D10" s="50" t="s">
        <v>2873</v>
      </c>
      <c r="E10" s="50" t="s">
        <v>361</v>
      </c>
    </row>
    <row r="13" spans="1:5" ht="15.75" customHeight="1">
      <c r="A13" s="36" t="s">
        <v>2874</v>
      </c>
    </row>
    <row r="14" spans="1:5">
      <c r="A14" s="38" t="s">
        <v>2875</v>
      </c>
      <c r="B14" s="38" t="s">
        <v>2876</v>
      </c>
      <c r="C14" s="38" t="s">
        <v>2877</v>
      </c>
      <c r="D14" s="38" t="s">
        <v>2878</v>
      </c>
    </row>
    <row r="15" spans="1:5" ht="25.5" customHeight="1">
      <c r="A15" s="51" t="s">
        <v>2879</v>
      </c>
      <c r="B15" s="52" t="s">
        <v>2880</v>
      </c>
      <c r="C15" s="52" t="s">
        <v>749</v>
      </c>
      <c r="D15" s="52" t="s">
        <v>309</v>
      </c>
    </row>
    <row r="16" spans="1:5" ht="127.5" customHeight="1">
      <c r="A16" s="51" t="s">
        <v>2881</v>
      </c>
      <c r="B16" s="52" t="s">
        <v>2882</v>
      </c>
      <c r="C16" s="52" t="s">
        <v>2883</v>
      </c>
      <c r="D16" s="52" t="s">
        <v>248</v>
      </c>
    </row>
    <row r="17" spans="1:4" ht="76.5" customHeight="1">
      <c r="A17" s="51" t="s">
        <v>2884</v>
      </c>
      <c r="B17" s="52" t="s">
        <v>2885</v>
      </c>
      <c r="C17" s="52" t="s">
        <v>2886</v>
      </c>
      <c r="D17" s="52" t="s">
        <v>221</v>
      </c>
    </row>
    <row r="18" spans="1:4" ht="114.75" customHeight="1">
      <c r="A18" s="51" t="s">
        <v>2887</v>
      </c>
      <c r="B18" s="52" t="s">
        <v>2888</v>
      </c>
      <c r="C18" s="52" t="s">
        <v>2889</v>
      </c>
      <c r="D18" s="52" t="s">
        <v>193</v>
      </c>
    </row>
    <row r="19" spans="1:4" ht="114.75" customHeight="1">
      <c r="A19" s="51" t="s">
        <v>2890</v>
      </c>
      <c r="B19" s="52" t="s">
        <v>2891</v>
      </c>
      <c r="C19" s="52" t="s">
        <v>2892</v>
      </c>
      <c r="D19" s="52" t="s">
        <v>120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N41"/>
  <sheetViews>
    <sheetView workbookViewId="0">
      <pane xSplit="2" ySplit="1" topLeftCell="C18" activePane="bottomRight" state="frozen"/>
      <selection pane="topRight"/>
      <selection pane="bottomLeft"/>
      <selection pane="bottomRight" activeCell="P21" sqref="P21"/>
    </sheetView>
  </sheetViews>
  <sheetFormatPr defaultRowHeight="15"/>
  <cols>
    <col min="1" max="1" width="6" customWidth="1"/>
    <col min="2" max="2" width="40" customWidth="1"/>
    <col min="3" max="3" width="13"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02" customHeight="1">
      <c r="A2" s="53" t="s">
        <v>2896</v>
      </c>
      <c r="B2" s="54" t="s">
        <v>2897</v>
      </c>
      <c r="C2" s="55" t="s">
        <v>2898</v>
      </c>
      <c r="D2" s="53" t="s">
        <v>2899</v>
      </c>
      <c r="E2" s="53" t="s">
        <v>2899</v>
      </c>
      <c r="F2" s="53" t="s">
        <v>2899</v>
      </c>
      <c r="G2" s="53" t="s">
        <v>515</v>
      </c>
      <c r="H2" s="53" t="s">
        <v>515</v>
      </c>
      <c r="I2" s="53" t="s">
        <v>515</v>
      </c>
      <c r="J2" s="53"/>
      <c r="K2" s="53"/>
      <c r="L2" s="56"/>
      <c r="M2" s="56"/>
      <c r="N2" s="56"/>
    </row>
    <row r="3" spans="1:14" ht="114.75" customHeight="1">
      <c r="A3" s="53" t="s">
        <v>2900</v>
      </c>
      <c r="B3" s="54" t="s">
        <v>2901</v>
      </c>
      <c r="C3" s="55" t="s">
        <v>2902</v>
      </c>
      <c r="D3" s="53" t="s">
        <v>2899</v>
      </c>
      <c r="E3" s="53" t="s">
        <v>515</v>
      </c>
      <c r="F3" s="53" t="s">
        <v>515</v>
      </c>
      <c r="G3" s="53" t="s">
        <v>515</v>
      </c>
      <c r="H3" s="53" t="s">
        <v>2899</v>
      </c>
      <c r="I3" s="53" t="s">
        <v>2899</v>
      </c>
      <c r="J3" s="53"/>
      <c r="K3" s="53"/>
      <c r="L3" s="56"/>
      <c r="M3" s="56"/>
      <c r="N3" s="56"/>
    </row>
    <row r="4" spans="1:14" ht="102" customHeight="1">
      <c r="A4" s="53" t="s">
        <v>2903</v>
      </c>
      <c r="B4" s="54" t="s">
        <v>2904</v>
      </c>
      <c r="C4" s="55" t="s">
        <v>2905</v>
      </c>
      <c r="D4" s="53" t="s">
        <v>515</v>
      </c>
      <c r="E4" s="53" t="s">
        <v>2899</v>
      </c>
      <c r="F4" s="53" t="s">
        <v>515</v>
      </c>
      <c r="G4" s="53" t="s">
        <v>2899</v>
      </c>
      <c r="H4" s="53" t="s">
        <v>2899</v>
      </c>
      <c r="I4" s="53" t="s">
        <v>515</v>
      </c>
      <c r="J4" s="53"/>
      <c r="K4" s="53"/>
      <c r="L4" s="56"/>
      <c r="M4" s="56"/>
      <c r="N4" s="56"/>
    </row>
    <row r="5" spans="1:14" ht="114.75" customHeight="1">
      <c r="A5" s="53" t="s">
        <v>2906</v>
      </c>
      <c r="B5" s="54" t="s">
        <v>2907</v>
      </c>
      <c r="C5" s="55" t="s">
        <v>2908</v>
      </c>
      <c r="D5" s="53" t="s">
        <v>2909</v>
      </c>
      <c r="E5" s="53" t="s">
        <v>515</v>
      </c>
      <c r="F5" s="53" t="s">
        <v>2899</v>
      </c>
      <c r="G5" s="53" t="s">
        <v>515</v>
      </c>
      <c r="H5" s="53" t="s">
        <v>2899</v>
      </c>
      <c r="I5" s="53" t="s">
        <v>515</v>
      </c>
      <c r="J5" s="53"/>
      <c r="K5" s="53"/>
      <c r="L5" s="56"/>
      <c r="M5" s="56"/>
      <c r="N5" s="56"/>
    </row>
    <row r="6" spans="1:14" ht="127.5" customHeight="1">
      <c r="A6" s="53" t="s">
        <v>2910</v>
      </c>
      <c r="B6" s="54" t="s">
        <v>2911</v>
      </c>
      <c r="C6" s="55" t="s">
        <v>2912</v>
      </c>
      <c r="D6" s="53" t="s">
        <v>515</v>
      </c>
      <c r="E6" s="53" t="s">
        <v>2899</v>
      </c>
      <c r="F6" s="53" t="s">
        <v>515</v>
      </c>
      <c r="G6" s="53" t="s">
        <v>2899</v>
      </c>
      <c r="H6" s="53" t="s">
        <v>2899</v>
      </c>
      <c r="I6" s="53" t="s">
        <v>515</v>
      </c>
      <c r="J6" s="53"/>
      <c r="K6" s="53"/>
      <c r="L6" s="56"/>
      <c r="M6" s="56"/>
      <c r="N6" s="56"/>
    </row>
    <row r="7" spans="1:14" ht="114.75" customHeight="1">
      <c r="A7" s="53" t="s">
        <v>2913</v>
      </c>
      <c r="B7" s="54" t="s">
        <v>2914</v>
      </c>
      <c r="C7" s="55" t="s">
        <v>2915</v>
      </c>
      <c r="D7" s="53" t="s">
        <v>515</v>
      </c>
      <c r="E7" s="53" t="s">
        <v>515</v>
      </c>
      <c r="F7" s="53" t="s">
        <v>2899</v>
      </c>
      <c r="G7" s="53" t="s">
        <v>2909</v>
      </c>
      <c r="H7" s="53" t="s">
        <v>2899</v>
      </c>
      <c r="I7" s="53" t="s">
        <v>515</v>
      </c>
      <c r="J7" s="53"/>
      <c r="K7" s="53"/>
      <c r="L7" s="56"/>
      <c r="M7" s="56"/>
      <c r="N7" s="56"/>
    </row>
    <row r="8" spans="1:14" ht="127.5" customHeight="1">
      <c r="A8" s="53" t="s">
        <v>2916</v>
      </c>
      <c r="B8" s="54" t="s">
        <v>2917</v>
      </c>
      <c r="C8" s="55" t="s">
        <v>2918</v>
      </c>
      <c r="D8" s="53" t="s">
        <v>515</v>
      </c>
      <c r="E8" s="53" t="s">
        <v>2909</v>
      </c>
      <c r="F8" s="53" t="s">
        <v>2909</v>
      </c>
      <c r="G8" s="53" t="s">
        <v>2899</v>
      </c>
      <c r="H8" s="53" t="s">
        <v>515</v>
      </c>
      <c r="I8" s="53" t="s">
        <v>2899</v>
      </c>
      <c r="J8" s="53"/>
      <c r="K8" s="53"/>
      <c r="L8" s="56"/>
      <c r="M8" s="56"/>
      <c r="N8" s="56"/>
    </row>
    <row r="9" spans="1:14" ht="140.25" customHeight="1">
      <c r="A9" s="53" t="s">
        <v>2919</v>
      </c>
      <c r="B9" s="54" t="s">
        <v>2920</v>
      </c>
      <c r="C9" s="55" t="s">
        <v>2921</v>
      </c>
      <c r="D9" s="53" t="s">
        <v>515</v>
      </c>
      <c r="E9" s="53" t="s">
        <v>515</v>
      </c>
      <c r="F9" s="53" t="s">
        <v>2909</v>
      </c>
      <c r="G9" s="53" t="s">
        <v>2899</v>
      </c>
      <c r="H9" s="53" t="s">
        <v>2909</v>
      </c>
      <c r="I9" s="53" t="s">
        <v>2899</v>
      </c>
      <c r="J9" s="53"/>
      <c r="K9" s="53"/>
      <c r="L9" s="56"/>
      <c r="M9" s="56"/>
      <c r="N9" s="56"/>
    </row>
    <row r="10" spans="1:14" ht="102" customHeight="1">
      <c r="A10" s="53" t="s">
        <v>2922</v>
      </c>
      <c r="B10" s="54" t="s">
        <v>2923</v>
      </c>
      <c r="C10" s="55" t="s">
        <v>2924</v>
      </c>
      <c r="D10" s="53" t="s">
        <v>2899</v>
      </c>
      <c r="E10" s="53" t="s">
        <v>2899</v>
      </c>
      <c r="F10" s="53" t="s">
        <v>515</v>
      </c>
      <c r="G10" s="53" t="s">
        <v>515</v>
      </c>
      <c r="H10" s="53" t="s">
        <v>515</v>
      </c>
      <c r="I10" s="53" t="s">
        <v>2899</v>
      </c>
      <c r="J10" s="53"/>
      <c r="K10" s="53"/>
      <c r="L10" s="56"/>
      <c r="M10" s="56"/>
      <c r="N10" s="56"/>
    </row>
    <row r="11" spans="1:14" ht="127.5" customHeight="1">
      <c r="A11" s="53" t="s">
        <v>2925</v>
      </c>
      <c r="B11" s="54" t="s">
        <v>2926</v>
      </c>
      <c r="C11" s="55" t="s">
        <v>2927</v>
      </c>
      <c r="D11" s="53" t="s">
        <v>2899</v>
      </c>
      <c r="E11" s="53" t="s">
        <v>2899</v>
      </c>
      <c r="F11" s="53" t="s">
        <v>515</v>
      </c>
      <c r="G11" s="53" t="s">
        <v>515</v>
      </c>
      <c r="H11" s="53" t="s">
        <v>2899</v>
      </c>
      <c r="I11" s="53" t="s">
        <v>515</v>
      </c>
      <c r="J11" s="53"/>
      <c r="K11" s="53"/>
      <c r="L11" s="56"/>
      <c r="M11" s="56"/>
      <c r="N11" s="56"/>
    </row>
    <row r="12" spans="1:14" ht="102" customHeight="1">
      <c r="A12" s="53" t="s">
        <v>2928</v>
      </c>
      <c r="B12" s="54" t="s">
        <v>2929</v>
      </c>
      <c r="C12" s="55" t="s">
        <v>2930</v>
      </c>
      <c r="D12" s="53" t="s">
        <v>515</v>
      </c>
      <c r="E12" s="53" t="s">
        <v>2899</v>
      </c>
      <c r="F12" s="53" t="s">
        <v>515</v>
      </c>
      <c r="G12" s="53" t="s">
        <v>2899</v>
      </c>
      <c r="H12" s="53" t="s">
        <v>515</v>
      </c>
      <c r="I12" s="53" t="s">
        <v>2899</v>
      </c>
      <c r="J12" s="53"/>
      <c r="K12" s="53"/>
      <c r="L12" s="56"/>
      <c r="M12" s="56"/>
      <c r="N12" s="56"/>
    </row>
    <row r="13" spans="1:14" ht="127.5" customHeight="1">
      <c r="A13" s="53" t="s">
        <v>2931</v>
      </c>
      <c r="B13" s="54" t="s">
        <v>2932</v>
      </c>
      <c r="C13" s="55" t="s">
        <v>2930</v>
      </c>
      <c r="D13" s="53" t="s">
        <v>515</v>
      </c>
      <c r="E13" s="53" t="s">
        <v>2899</v>
      </c>
      <c r="F13" s="53" t="s">
        <v>2899</v>
      </c>
      <c r="G13" s="53" t="s">
        <v>515</v>
      </c>
      <c r="H13" s="53" t="s">
        <v>515</v>
      </c>
      <c r="I13" s="53" t="s">
        <v>515</v>
      </c>
      <c r="J13" s="53"/>
      <c r="K13" s="53"/>
      <c r="L13" s="56"/>
      <c r="M13" s="56"/>
      <c r="N13" s="56"/>
    </row>
    <row r="14" spans="1:14" ht="114.75" customHeight="1">
      <c r="A14" s="53" t="s">
        <v>2933</v>
      </c>
      <c r="B14" s="54" t="s">
        <v>2934</v>
      </c>
      <c r="C14" s="55" t="s">
        <v>2935</v>
      </c>
      <c r="D14" s="53" t="s">
        <v>2899</v>
      </c>
      <c r="E14" s="53" t="s">
        <v>515</v>
      </c>
      <c r="F14" s="53" t="s">
        <v>2899</v>
      </c>
      <c r="G14" s="53" t="s">
        <v>2909</v>
      </c>
      <c r="H14" s="53" t="s">
        <v>2899</v>
      </c>
      <c r="I14" s="53" t="s">
        <v>515</v>
      </c>
      <c r="J14" s="53"/>
      <c r="K14" s="53"/>
      <c r="L14" s="56"/>
      <c r="M14" s="56"/>
      <c r="N14" s="56"/>
    </row>
    <row r="15" spans="1:14" ht="127.5" customHeight="1">
      <c r="A15" s="53" t="s">
        <v>2936</v>
      </c>
      <c r="B15" s="54" t="s">
        <v>2937</v>
      </c>
      <c r="C15" s="55" t="s">
        <v>2938</v>
      </c>
      <c r="D15" s="53" t="s">
        <v>2899</v>
      </c>
      <c r="E15" s="53" t="s">
        <v>515</v>
      </c>
      <c r="F15" s="53" t="s">
        <v>2909</v>
      </c>
      <c r="G15" s="53" t="s">
        <v>2899</v>
      </c>
      <c r="H15" s="53" t="s">
        <v>2899</v>
      </c>
      <c r="I15" s="53" t="s">
        <v>515</v>
      </c>
      <c r="J15" s="53"/>
      <c r="K15" s="53"/>
      <c r="L15" s="56"/>
      <c r="M15" s="56"/>
      <c r="N15" s="56"/>
    </row>
    <row r="16" spans="1:14" ht="127.5" customHeight="1">
      <c r="A16" s="53" t="s">
        <v>2939</v>
      </c>
      <c r="B16" s="54" t="s">
        <v>2940</v>
      </c>
      <c r="C16" s="55" t="s">
        <v>975</v>
      </c>
      <c r="D16" s="53" t="s">
        <v>2899</v>
      </c>
      <c r="E16" s="53" t="s">
        <v>2899</v>
      </c>
      <c r="F16" s="53" t="s">
        <v>2899</v>
      </c>
      <c r="G16" s="53" t="s">
        <v>2909</v>
      </c>
      <c r="H16" s="53" t="s">
        <v>2899</v>
      </c>
      <c r="I16" s="53" t="s">
        <v>515</v>
      </c>
      <c r="J16" s="53"/>
      <c r="K16" s="53"/>
      <c r="L16" s="56"/>
      <c r="M16" s="56"/>
      <c r="N16" s="56"/>
    </row>
    <row r="17" spans="1:14" ht="114.75" customHeight="1">
      <c r="A17" s="53" t="s">
        <v>2941</v>
      </c>
      <c r="B17" s="54" t="s">
        <v>2942</v>
      </c>
      <c r="C17" s="55" t="s">
        <v>2943</v>
      </c>
      <c r="D17" s="53" t="s">
        <v>2899</v>
      </c>
      <c r="E17" s="53" t="s">
        <v>515</v>
      </c>
      <c r="F17" s="53" t="s">
        <v>515</v>
      </c>
      <c r="G17" s="53" t="s">
        <v>2899</v>
      </c>
      <c r="H17" s="53" t="s">
        <v>2909</v>
      </c>
      <c r="I17" s="53" t="s">
        <v>2899</v>
      </c>
      <c r="J17" s="53"/>
      <c r="K17" s="53"/>
      <c r="L17" s="56"/>
      <c r="M17" s="56"/>
      <c r="N17" s="56"/>
    </row>
    <row r="18" spans="1:14" ht="127.5" customHeight="1">
      <c r="A18" s="53" t="s">
        <v>2944</v>
      </c>
      <c r="B18" s="54" t="s">
        <v>2945</v>
      </c>
      <c r="C18" s="55" t="s">
        <v>2946</v>
      </c>
      <c r="D18" s="53" t="s">
        <v>2899</v>
      </c>
      <c r="E18" s="53" t="s">
        <v>515</v>
      </c>
      <c r="F18" s="53" t="s">
        <v>515</v>
      </c>
      <c r="G18" s="53" t="s">
        <v>2899</v>
      </c>
      <c r="H18" s="53" t="s">
        <v>515</v>
      </c>
      <c r="I18" s="53" t="s">
        <v>2899</v>
      </c>
      <c r="J18" s="53"/>
      <c r="K18" s="53"/>
      <c r="L18" s="56"/>
      <c r="M18" s="56"/>
      <c r="N18" s="56"/>
    </row>
    <row r="19" spans="1:14" ht="114.75" customHeight="1">
      <c r="A19" s="53" t="s">
        <v>2947</v>
      </c>
      <c r="B19" s="54" t="s">
        <v>2948</v>
      </c>
      <c r="C19" s="55" t="s">
        <v>2949</v>
      </c>
      <c r="D19" s="53" t="s">
        <v>2899</v>
      </c>
      <c r="E19" s="53" t="s">
        <v>515</v>
      </c>
      <c r="F19" s="53" t="s">
        <v>2909</v>
      </c>
      <c r="G19" s="53" t="s">
        <v>515</v>
      </c>
      <c r="H19" s="53" t="s">
        <v>2899</v>
      </c>
      <c r="I19" s="53" t="s">
        <v>2899</v>
      </c>
      <c r="J19" s="53"/>
      <c r="K19" s="53"/>
      <c r="L19" s="56"/>
      <c r="M19" s="56"/>
      <c r="N19" s="56"/>
    </row>
    <row r="20" spans="1:14" ht="102" customHeight="1">
      <c r="A20" s="53" t="s">
        <v>2950</v>
      </c>
      <c r="B20" s="54" t="s">
        <v>2951</v>
      </c>
      <c r="C20" s="55" t="s">
        <v>2952</v>
      </c>
      <c r="D20" s="53" t="s">
        <v>515</v>
      </c>
      <c r="E20" s="53" t="s">
        <v>515</v>
      </c>
      <c r="F20" s="53" t="s">
        <v>2899</v>
      </c>
      <c r="G20" s="53" t="s">
        <v>2909</v>
      </c>
      <c r="H20" s="53" t="s">
        <v>2899</v>
      </c>
      <c r="I20" s="53" t="s">
        <v>515</v>
      </c>
      <c r="J20" s="53"/>
      <c r="K20" s="53"/>
      <c r="L20" s="56"/>
      <c r="M20" s="56"/>
      <c r="N20" s="56"/>
    </row>
    <row r="21" spans="1:14" ht="114.75" customHeight="1">
      <c r="A21" s="53" t="s">
        <v>2953</v>
      </c>
      <c r="B21" s="54" t="s">
        <v>2954</v>
      </c>
      <c r="C21" s="55" t="s">
        <v>2955</v>
      </c>
      <c r="D21" s="53" t="s">
        <v>2899</v>
      </c>
      <c r="E21" s="53" t="s">
        <v>2899</v>
      </c>
      <c r="F21" s="53" t="s">
        <v>515</v>
      </c>
      <c r="G21" s="53" t="s">
        <v>2899</v>
      </c>
      <c r="H21" s="53" t="s">
        <v>515</v>
      </c>
      <c r="I21" s="53" t="s">
        <v>515</v>
      </c>
      <c r="J21" s="53"/>
      <c r="K21" s="53"/>
      <c r="L21" s="56"/>
      <c r="M21" s="56"/>
      <c r="N21" s="56"/>
    </row>
    <row r="22">
      <c r="A22" s="53" t="inlineStr">
        <is>
          <t xml:space="preserve">Q21</t>
        </is>
      </c>
      <c r="B22" s="54" t="inlineStr">
        <is>
          <t xml:space="preserve">Critics call preferential rights for the Ainu unfair to everyone else. Respond.</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Q22</t>
        </is>
      </c>
      <c r="B23" s="54" t="inlineStr">
        <is>
          <t xml:space="preserve">Why should the Ainu get protections that others do not?</t>
        </is>
      </c>
      <c r="C23" s="55" t="inlineStr">
        <is>
          <t xml:space="preserve">Ainu fairness</t>
        </is>
      </c>
      <c r="D23" s="53" t="inlineStr">
        <is>
          <t xml:space="preserve">S</t>
        </is>
      </c>
      <c r="E23" s="53" t="inlineStr">
        <is>
          <t xml:space="preserve">M</t>
        </is>
      </c>
      <c r="F23" s="53" t="inlineStr">
        <is>
          <t xml:space="preserve">W</t>
        </is>
      </c>
      <c r="G23" s="53" t="inlineStr">
        <is>
          <t xml:space="preserve">S</t>
        </is>
      </c>
      <c r="H23" s="53" t="inlineStr">
        <is>
          <t xml:space="preserve">M</t>
        </is>
      </c>
      <c r="I23" s="53" t="inlineStr">
        <is>
          <t xml:space="preserve">W</t>
        </is>
      </c>
    </row>
    <row r="24">
      <c r="A24" s="53" t="inlineStr">
        <is>
          <t xml:space="preserve">Q23</t>
        </is>
      </c>
      <c r="B24" s="54" t="inlineStr">
        <is>
          <t xml:space="preserve">Fishers say distant offices set rules that ignore the sea. Are they right?</t>
        </is>
      </c>
      <c r="C24" s="55" t="inlineStr">
        <is>
          <t xml:space="preserve">Fishing quotas</t>
        </is>
      </c>
      <c r="D24" s="53" t="inlineStr">
        <is>
          <t xml:space="preserve">S</t>
        </is>
      </c>
      <c r="E24" s="53" t="inlineStr">
        <is>
          <t xml:space="preserve">S</t>
        </is>
      </c>
      <c r="F24" s="53" t="inlineStr">
        <is>
          <t xml:space="preserve">M</t>
        </is>
      </c>
      <c r="G24" s="53" t="inlineStr">
        <is>
          <t xml:space="preserve">M</t>
        </is>
      </c>
      <c r="H24" s="53" t="inlineStr">
        <is>
          <t xml:space="preserve">W</t>
        </is>
      </c>
      <c r="I24" s="53" t="inlineStr">
        <is>
          <t xml:space="preserve">W</t>
        </is>
      </c>
    </row>
    <row r="25">
      <c r="A25" s="53" t="inlineStr">
        <is>
          <t xml:space="preserve">Q24</t>
        </is>
      </c>
      <c r="B25" s="54" t="inlineStr">
        <is>
          <t xml:space="preserve">Packed trains and late buses. Why has Parliament not acted?</t>
        </is>
      </c>
      <c r="C25" s="55" t="inlineStr">
        <is>
          <t xml:space="preserve">Rail timetables</t>
        </is>
      </c>
      <c r="D25" s="53" t="inlineStr">
        <is>
          <t xml:space="preserve">S</t>
        </is>
      </c>
      <c r="E25" s="53" t="inlineStr">
        <is>
          <t xml:space="preserve">S</t>
        </is>
      </c>
      <c r="F25" s="53" t="inlineStr">
        <is>
          <t xml:space="preserve">M</t>
        </is>
      </c>
      <c r="G25" s="53" t="inlineStr">
        <is>
          <t xml:space="preserve">M</t>
        </is>
      </c>
      <c r="H25" s="53" t="inlineStr">
        <is>
          <t xml:space="preserve">W</t>
        </is>
      </c>
      <c r="I25" s="53" t="inlineStr">
        <is>
          <t xml:space="preserve">M</t>
        </is>
      </c>
    </row>
    <row r="26">
      <c r="A26" s="53" t="inlineStr">
        <is>
          <t xml:space="preserve">Q25</t>
        </is>
      </c>
      <c r="B26" s="54" t="inlineStr">
        <is>
          <t xml:space="preserve">Young people leave Yezo for jobs elsewhere. What is your answer?</t>
        </is>
      </c>
      <c r="C26" s="55" t="inlineStr">
        <is>
          <t xml:space="preserve">Graduate jobs</t>
        </is>
      </c>
      <c r="D26" s="53" t="inlineStr">
        <is>
          <t xml:space="preserve">S</t>
        </is>
      </c>
      <c r="E26" s="53" t="inlineStr">
        <is>
          <t xml:space="preserve">S</t>
        </is>
      </c>
      <c r="F26" s="53" t="inlineStr">
        <is>
          <t xml:space="preserve">M</t>
        </is>
      </c>
      <c r="G26" s="53" t="inlineStr">
        <is>
          <t xml:space="preserve">M</t>
        </is>
      </c>
      <c r="H26" s="53" t="inlineStr">
        <is>
          <t xml:space="preserve">S</t>
        </is>
      </c>
      <c r="I26" s="53" t="inlineStr">
        <is>
          <t xml:space="preserve">W</t>
        </is>
      </c>
    </row>
    <row r="27">
      <c r="A27" s="53" t="inlineStr">
        <is>
          <t xml:space="preserve">Q26</t>
        </is>
      </c>
      <c r="B27" s="54" t="inlineStr">
        <is>
          <t xml:space="preserve">Is public land being used to favour religious groups?</t>
        </is>
      </c>
      <c r="C27" s="55" t="inlineStr">
        <is>
          <t xml:space="preserve">Shrine land</t>
        </is>
      </c>
      <c r="D27" s="53" t="inlineStr">
        <is>
          <t xml:space="preserve">S</t>
        </is>
      </c>
      <c r="E27" s="53" t="inlineStr">
        <is>
          <t xml:space="preserve">M</t>
        </is>
      </c>
      <c r="F27" s="53" t="inlineStr">
        <is>
          <t xml:space="preserve">M</t>
        </is>
      </c>
      <c r="G27" s="53" t="inlineStr">
        <is>
          <t xml:space="preserve">S</t>
        </is>
      </c>
      <c r="H27" s="53" t="inlineStr">
        <is>
          <t xml:space="preserve">S</t>
        </is>
      </c>
      <c r="I27" s="53" t="inlineStr">
        <is>
          <t xml:space="preserve">W</t>
        </is>
      </c>
    </row>
    <row r="28">
      <c r="A28" s="53" t="inlineStr">
        <is>
          <t xml:space="preserve">Q27</t>
        </is>
      </c>
      <c r="B28" s="54" t="inlineStr">
        <is>
          <t xml:space="preserve">Fake Yezo crafts are flooding the market. Why is nothing done?</t>
        </is>
      </c>
      <c r="C28" s="55" t="inlineStr">
        <is>
          <t xml:space="preserve">Craft certification</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Q28</t>
        </is>
      </c>
      <c r="B29" s="54" t="inlineStr">
        <is>
          <t xml:space="preserve">Do you owe more to your faction or to your voters?</t>
        </is>
      </c>
      <c r="C29" s="55" t="inlineStr">
        <is>
          <t xml:space="preserve">Faction loyalty</t>
        </is>
      </c>
      <c r="D29" s="53" t="inlineStr">
        <is>
          <t xml:space="preserve">S</t>
        </is>
      </c>
      <c r="E29" s="53" t="inlineStr">
        <is>
          <t xml:space="preserve">M</t>
        </is>
      </c>
      <c r="F29" s="53" t="inlineStr">
        <is>
          <t xml:space="preserve">S</t>
        </is>
      </c>
      <c r="G29" s="53" t="inlineStr">
        <is>
          <t xml:space="preserve">M</t>
        </is>
      </c>
      <c r="H29" s="53" t="inlineStr">
        <is>
          <t xml:space="preserve">S</t>
        </is>
      </c>
      <c r="I29" s="53" t="inlineStr">
        <is>
          <t xml:space="preserve">W</t>
        </is>
      </c>
    </row>
    <row r="30">
      <c r="A30" s="53" t="inlineStr">
        <is>
          <t xml:space="preserve">Q29</t>
        </is>
      </c>
      <c r="B30" s="54" t="inlineStr">
        <is>
          <t xml:space="preserve">How are committee seats shared out, and who decides?</t>
        </is>
      </c>
      <c r="C30" s="55" t="inlineStr">
        <is>
          <t xml:space="preserve">Committee seats</t>
        </is>
      </c>
      <c r="D30" s="53" t="inlineStr">
        <is>
          <t xml:space="preserve">S</t>
        </is>
      </c>
      <c r="E30" s="53" t="inlineStr">
        <is>
          <t xml:space="preserve">M</t>
        </is>
      </c>
      <c r="F30" s="53" t="inlineStr">
        <is>
          <t xml:space="preserve">M</t>
        </is>
      </c>
      <c r="G30" s="53" t="inlineStr">
        <is>
          <t xml:space="preserve">S</t>
        </is>
      </c>
      <c r="H30" s="53" t="inlineStr">
        <is>
          <t xml:space="preserve">S</t>
        </is>
      </c>
      <c r="I30" s="53" t="inlineStr">
        <is>
          <t xml:space="preserve">M</t>
        </is>
      </c>
    </row>
    <row r="31">
      <c r="A31" s="53" t="inlineStr">
        <is>
          <t xml:space="preserve">Q30</t>
        </is>
      </c>
      <c r="B31" s="54" t="inlineStr">
        <is>
          <t xml:space="preserve">What does your party really stand for?</t>
        </is>
      </c>
      <c r="C31" s="55" t="inlineStr">
        <is>
          <t xml:space="preserve">Party platform</t>
        </is>
      </c>
      <c r="D31" s="53" t="inlineStr">
        <is>
          <t xml:space="preserve">S</t>
        </is>
      </c>
      <c r="E31" s="53" t="inlineStr">
        <is>
          <t xml:space="preserve">M</t>
        </is>
      </c>
      <c r="F31" s="53" t="inlineStr">
        <is>
          <t xml:space="preserve">S</t>
        </is>
      </c>
      <c r="G31" s="53" t="inlineStr">
        <is>
          <t xml:space="preserve">M</t>
        </is>
      </c>
      <c r="H31" s="53" t="inlineStr">
        <is>
          <t xml:space="preserve">S</t>
        </is>
      </c>
      <c r="I31" s="53" t="inlineStr">
        <is>
          <t xml:space="preserve">M</t>
        </is>
      </c>
    </row>
    <row r="32">
      <c r="A32" s="53" t="inlineStr">
        <is>
          <t xml:space="preserve">Q31</t>
        </is>
      </c>
      <c r="B32" s="54" t="inlineStr">
        <is>
          <t xml:space="preserve">Parents say you are not protecting children online. Respond.</t>
        </is>
      </c>
      <c r="C32" s="55" t="inlineStr">
        <is>
          <t xml:space="preserve">Child safety</t>
        </is>
      </c>
      <c r="D32" s="53" t="inlineStr">
        <is>
          <t xml:space="preserve">S</t>
        </is>
      </c>
      <c r="E32" s="53" t="inlineStr">
        <is>
          <t xml:space="preserve">S</t>
        </is>
      </c>
      <c r="F32" s="53" t="inlineStr">
        <is>
          <t xml:space="preserve">M</t>
        </is>
      </c>
      <c r="G32" s="53" t="inlineStr">
        <is>
          <t xml:space="preserve">M</t>
        </is>
      </c>
      <c r="H32" s="53" t="inlineStr">
        <is>
          <t xml:space="preserve">W</t>
        </is>
      </c>
      <c r="I32" s="53" t="inlineStr">
        <is>
          <t xml:space="preserve">W</t>
        </is>
      </c>
    </row>
    <row r="33">
      <c r="A33" s="53" t="inlineStr">
        <is>
          <t xml:space="preserve">Q32</t>
        </is>
      </c>
      <c r="B33" s="54" t="inlineStr">
        <is>
          <t xml:space="preserve">Families are being forced to spend their savings. Why?</t>
        </is>
      </c>
      <c r="C33" s="55" t="inlineStr">
        <is>
          <t xml:space="preserve">Household savings</t>
        </is>
      </c>
      <c r="D33" s="53" t="inlineStr">
        <is>
          <t xml:space="preserve">S</t>
        </is>
      </c>
      <c r="E33" s="53" t="inlineStr">
        <is>
          <t xml:space="preserve">S</t>
        </is>
      </c>
      <c r="F33" s="53" t="inlineStr">
        <is>
          <t xml:space="preserve">M</t>
        </is>
      </c>
      <c r="G33" s="53" t="inlineStr">
        <is>
          <t xml:space="preserve">M</t>
        </is>
      </c>
      <c r="H33" s="53" t="inlineStr">
        <is>
          <t xml:space="preserve">W</t>
        </is>
      </c>
      <c r="I33" s="53" t="inlineStr">
        <is>
          <t xml:space="preserve">M</t>
        </is>
      </c>
    </row>
    <row r="34">
      <c r="A34" s="53" t="inlineStr">
        <is>
          <t xml:space="preserve">Q33</t>
        </is>
      </c>
      <c r="B34" s="54" t="inlineStr">
        <is>
          <t xml:space="preserve">Are you helping developers push families out of the city?</t>
        </is>
      </c>
      <c r="C34" s="55" t="inlineStr">
        <is>
          <t xml:space="preserve">Gentrification</t>
        </is>
      </c>
      <c r="D34" s="53" t="inlineStr">
        <is>
          <t xml:space="preserve">S</t>
        </is>
      </c>
      <c r="E34" s="53" t="inlineStr">
        <is>
          <t xml:space="preserve">S</t>
        </is>
      </c>
      <c r="F34" s="53" t="inlineStr">
        <is>
          <t xml:space="preserve">M</t>
        </is>
      </c>
      <c r="G34" s="53" t="inlineStr">
        <is>
          <t xml:space="preserve">M</t>
        </is>
      </c>
      <c r="H34" s="53" t="inlineStr">
        <is>
          <t xml:space="preserve">W</t>
        </is>
      </c>
      <c r="I34" s="53" t="inlineStr">
        <is>
          <t xml:space="preserve">M</t>
        </is>
      </c>
    </row>
    <row r="35">
      <c r="A35" s="53" t="inlineStr">
        <is>
          <t xml:space="preserve">Q34</t>
        </is>
      </c>
      <c r="B35" s="54" t="inlineStr">
        <is>
          <t xml:space="preserve">Is the answer more roads or fewer cars?</t>
        </is>
      </c>
      <c r="C35" s="55" t="inlineStr">
        <is>
          <t xml:space="preserve">Road congestion</t>
        </is>
      </c>
      <c r="D35" s="53" t="inlineStr">
        <is>
          <t xml:space="preserve">S</t>
        </is>
      </c>
      <c r="E35" s="53" t="inlineStr">
        <is>
          <t xml:space="preserve">W</t>
        </is>
      </c>
      <c r="F35" s="53" t="inlineStr">
        <is>
          <t xml:space="preserve">M</t>
        </is>
      </c>
      <c r="G35" s="53" t="inlineStr">
        <is>
          <t xml:space="preserve">S</t>
        </is>
      </c>
      <c r="H35" s="53" t="inlineStr">
        <is>
          <t xml:space="preserve">W</t>
        </is>
      </c>
      <c r="I35" s="53" t="inlineStr">
        <is>
          <t xml:space="preserve">M</t>
        </is>
      </c>
    </row>
    <row r="36" spans="1:14">
      <c r="C36" s="16" t="s">
        <v>2956</v>
      </c>
      <c r="D36" s="57">
        <f t="shared" ref="D22:I22" si="0">COUNTIF(D2:D35,"S")</f>
      </c>
      <c r="E36" s="57">
        <f t="shared" si="0"/>
      </c>
      <c r="F36" s="57">
        <f t="shared" si="0"/>
      </c>
      <c r="G36" s="57">
        <f t="shared" si="0"/>
      </c>
      <c r="H36" s="57">
        <f t="shared" si="0"/>
      </c>
      <c r="I36" s="57">
        <f t="shared" si="0"/>
      </c>
    </row>
    <row r="38" spans="1:14">
      <c r="B38" s="58" t="s">
        <v>2957</v>
      </c>
    </row>
    <row r="39" spans="1:14">
      <c r="B39" s="58" t="s">
        <v>2958</v>
      </c>
    </row>
    <row r="40" spans="1:14">
      <c r="B40" s="58" t="s">
        <v>2959</v>
      </c>
    </row>
    <row r="41" spans="1:14">
      <c r="B41" s="58" t="s">
        <v>2960</v>
      </c>
    </row>
  </sheetData>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N113"/>
  <sheetViews>
    <sheetView workbookViewId="0">
      <pane xSplit="2" ySplit="1" topLeftCell="D66" activePane="bottomRight" state="frozen"/>
      <selection pane="topRight"/>
      <selection pane="bottomLeft"/>
      <selection pane="bottomRight" activeCell="K75" sqref="K75"/>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thickBo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thickBot="1">
      <c r="A2" s="53" t="s">
        <v>2961</v>
      </c>
      <c r="B2" s="54" t="s">
        <v>2962</v>
      </c>
      <c r="C2" s="135" t="s">
        <v>2898</v>
      </c>
      <c r="D2" s="131" t="s">
        <v>2899</v>
      </c>
      <c r="E2" s="131" t="s">
        <v>2899</v>
      </c>
      <c r="F2" s="131" t="s">
        <v>2909</v>
      </c>
      <c r="G2" s="131" t="s">
        <v>515</v>
      </c>
      <c r="H2" s="131" t="s">
        <v>2909</v>
      </c>
      <c r="I2" s="132" t="s">
        <v>515</v>
      </c>
      <c r="J2" s="53"/>
      <c r="K2" s="53"/>
      <c r="M2" s="56"/>
      <c r="N2" s="56"/>
    </row>
    <row r="3" spans="1:14" ht="127.5" customHeight="1" thickBot="1">
      <c r="A3" s="53" t="s">
        <v>2963</v>
      </c>
      <c r="B3" s="54" t="s">
        <v>2964</v>
      </c>
      <c r="C3" s="135" t="s">
        <v>2946</v>
      </c>
      <c r="D3" s="131" t="s">
        <v>2909</v>
      </c>
      <c r="E3" s="131" t="s">
        <v>515</v>
      </c>
      <c r="F3" s="131" t="s">
        <v>2899</v>
      </c>
      <c r="G3" s="131" t="s">
        <v>2899</v>
      </c>
      <c r="H3" s="131" t="s">
        <v>515</v>
      </c>
      <c r="I3" s="132" t="s">
        <v>2909</v>
      </c>
      <c r="J3" s="53"/>
      <c r="K3" s="53"/>
      <c r="M3" s="56"/>
      <c r="N3" s="56"/>
    </row>
    <row r="4" spans="1:14" ht="127.5" customHeight="1" thickBot="1">
      <c r="A4" s="53" t="s">
        <v>2965</v>
      </c>
      <c r="B4" s="54" t="s">
        <v>2966</v>
      </c>
      <c r="C4" s="135" t="s">
        <v>2967</v>
      </c>
      <c r="D4" s="131" t="s">
        <v>515</v>
      </c>
      <c r="E4" s="131" t="s">
        <v>2909</v>
      </c>
      <c r="F4" s="131" t="s">
        <v>515</v>
      </c>
      <c r="G4" s="131" t="s">
        <v>2909</v>
      </c>
      <c r="H4" s="131" t="s">
        <v>2899</v>
      </c>
      <c r="I4" s="132" t="s">
        <v>2899</v>
      </c>
      <c r="J4" s="53"/>
      <c r="K4" s="53"/>
      <c r="M4" s="56"/>
      <c r="N4" s="56"/>
    </row>
    <row r="5" spans="1:14" ht="140.25" customHeight="1" thickBot="1">
      <c r="A5" s="53" t="s">
        <v>2968</v>
      </c>
      <c r="B5" s="54" t="s">
        <v>2969</v>
      </c>
      <c r="C5" s="135" t="s">
        <v>2918</v>
      </c>
      <c r="D5" s="131" t="s">
        <v>2899</v>
      </c>
      <c r="E5" s="131" t="s">
        <v>515</v>
      </c>
      <c r="F5" s="131" t="s">
        <v>2899</v>
      </c>
      <c r="G5" s="131" t="s">
        <v>2909</v>
      </c>
      <c r="H5" s="131" t="s">
        <v>2909</v>
      </c>
      <c r="I5" s="132" t="s">
        <v>515</v>
      </c>
      <c r="J5" s="53"/>
      <c r="K5" s="53"/>
      <c r="M5" s="56"/>
      <c r="N5" s="56"/>
    </row>
    <row r="6" spans="1:14" ht="127.5" customHeight="1" thickBot="1">
      <c r="A6" s="53" t="s">
        <v>2970</v>
      </c>
      <c r="B6" s="54" t="s">
        <v>2971</v>
      </c>
      <c r="C6" s="135" t="s">
        <v>2972</v>
      </c>
      <c r="D6" s="131" t="s">
        <v>515</v>
      </c>
      <c r="E6" s="131" t="s">
        <v>2899</v>
      </c>
      <c r="F6" s="131" t="s">
        <v>2909</v>
      </c>
      <c r="G6" s="131" t="s">
        <v>515</v>
      </c>
      <c r="H6" s="131" t="s">
        <v>2899</v>
      </c>
      <c r="I6" s="132" t="s">
        <v>2909</v>
      </c>
      <c r="J6" s="53"/>
      <c r="K6" s="53"/>
      <c r="M6" s="56"/>
      <c r="N6" s="56"/>
    </row>
    <row r="7" spans="1:14" ht="127.5" customHeight="1" thickBot="1">
      <c r="A7" s="53" t="s">
        <v>2973</v>
      </c>
      <c r="B7" s="54" t="s">
        <v>2974</v>
      </c>
      <c r="C7" s="135" t="s">
        <v>2975</v>
      </c>
      <c r="D7" s="131" t="s">
        <v>2909</v>
      </c>
      <c r="E7" s="131" t="s">
        <v>2909</v>
      </c>
      <c r="F7" s="131" t="s">
        <v>515</v>
      </c>
      <c r="G7" s="131" t="s">
        <v>2899</v>
      </c>
      <c r="H7" s="131" t="s">
        <v>515</v>
      </c>
      <c r="I7" s="132" t="s">
        <v>2899</v>
      </c>
      <c r="J7" s="53"/>
      <c r="K7" s="53"/>
      <c r="L7" s="56"/>
      <c r="M7" s="56"/>
      <c r="N7" s="56"/>
    </row>
    <row r="8" spans="1:14" ht="127.5" customHeight="1" thickBot="1">
      <c r="A8" s="53" t="s">
        <v>2976</v>
      </c>
      <c r="B8" s="54" t="s">
        <v>6443</v>
      </c>
      <c r="C8" s="135" t="s">
        <v>2977</v>
      </c>
      <c r="D8" s="131" t="s">
        <v>2899</v>
      </c>
      <c r="E8" s="131" t="s">
        <v>2909</v>
      </c>
      <c r="F8" s="131" t="s">
        <v>515</v>
      </c>
      <c r="G8" s="131" t="s">
        <v>2899</v>
      </c>
      <c r="H8" s="131" t="s">
        <v>2909</v>
      </c>
      <c r="I8" s="132" t="s">
        <v>515</v>
      </c>
      <c r="J8" s="53"/>
      <c r="K8" s="53"/>
      <c r="L8" s="56"/>
      <c r="M8" s="56"/>
      <c r="N8" s="56"/>
    </row>
    <row r="9" spans="1:14" ht="114.75" customHeight="1" thickBot="1">
      <c r="A9" s="53" t="s">
        <v>2978</v>
      </c>
      <c r="B9" s="54" t="s">
        <v>2979</v>
      </c>
      <c r="C9" s="135" t="s">
        <v>2972</v>
      </c>
      <c r="D9" s="131" t="s">
        <v>515</v>
      </c>
      <c r="E9" s="131" t="s">
        <v>2899</v>
      </c>
      <c r="F9" s="131" t="s">
        <v>2909</v>
      </c>
      <c r="G9" s="131" t="s">
        <v>2909</v>
      </c>
      <c r="H9" s="131" t="s">
        <v>515</v>
      </c>
      <c r="I9" s="132" t="s">
        <v>2899</v>
      </c>
      <c r="J9" s="53"/>
      <c r="K9" s="53"/>
      <c r="L9" s="56"/>
      <c r="M9" s="56"/>
      <c r="N9" s="56"/>
    </row>
    <row r="10" spans="1:14" ht="127.5" customHeight="1" thickBot="1">
      <c r="A10" s="53" t="s">
        <v>2980</v>
      </c>
      <c r="B10" s="54" t="s">
        <v>6441</v>
      </c>
      <c r="C10" s="135" t="s">
        <v>2981</v>
      </c>
      <c r="D10" s="131" t="s">
        <v>2909</v>
      </c>
      <c r="E10" s="131" t="s">
        <v>515</v>
      </c>
      <c r="F10" s="131" t="s">
        <v>2899</v>
      </c>
      <c r="G10" s="131" t="s">
        <v>515</v>
      </c>
      <c r="H10" s="131" t="s">
        <v>2899</v>
      </c>
      <c r="I10" s="132" t="s">
        <v>2909</v>
      </c>
      <c r="J10" s="53"/>
      <c r="K10" s="53"/>
      <c r="L10" s="56"/>
      <c r="M10" s="56"/>
      <c r="N10" s="56"/>
    </row>
    <row r="11" spans="1:14" ht="114.75" customHeight="1" thickBot="1">
      <c r="A11" s="53" t="s">
        <v>2982</v>
      </c>
      <c r="B11" s="54" t="s">
        <v>6442</v>
      </c>
      <c r="C11" s="135" t="s">
        <v>2927</v>
      </c>
      <c r="D11" s="131" t="s">
        <v>2899</v>
      </c>
      <c r="E11" s="131" t="s">
        <v>515</v>
      </c>
      <c r="F11" s="131" t="s">
        <v>515</v>
      </c>
      <c r="G11" s="131" t="s">
        <v>2909</v>
      </c>
      <c r="H11" s="131" t="s">
        <v>2899</v>
      </c>
      <c r="I11" s="132" t="s">
        <v>2909</v>
      </c>
      <c r="J11" s="53"/>
      <c r="K11" s="53"/>
      <c r="L11" s="56"/>
      <c r="M11" s="56"/>
      <c r="N11" s="56"/>
    </row>
    <row r="12" spans="1:14" ht="114.75" customHeight="1" thickBot="1">
      <c r="A12" s="53" t="s">
        <v>2983</v>
      </c>
      <c r="B12" s="54" t="s">
        <v>2984</v>
      </c>
      <c r="C12" s="135" t="s">
        <v>2985</v>
      </c>
      <c r="D12" s="131" t="s">
        <v>515</v>
      </c>
      <c r="E12" s="131" t="s">
        <v>2899</v>
      </c>
      <c r="F12" s="131" t="s">
        <v>2909</v>
      </c>
      <c r="G12" s="131" t="s">
        <v>2899</v>
      </c>
      <c r="H12" s="131" t="s">
        <v>2909</v>
      </c>
      <c r="I12" s="132" t="s">
        <v>515</v>
      </c>
      <c r="J12" s="53"/>
      <c r="K12" s="53"/>
      <c r="L12" s="56"/>
      <c r="M12" s="56"/>
      <c r="N12" s="56"/>
    </row>
    <row r="13" spans="1:14" ht="127.5" customHeight="1" thickBot="1">
      <c r="A13" s="53" t="s">
        <v>2986</v>
      </c>
      <c r="B13" s="54" t="s">
        <v>6433</v>
      </c>
      <c r="C13" s="135" t="s">
        <v>2946</v>
      </c>
      <c r="D13" s="131" t="s">
        <v>2909</v>
      </c>
      <c r="E13" s="131" t="s">
        <v>2909</v>
      </c>
      <c r="F13" s="131" t="s">
        <v>2899</v>
      </c>
      <c r="G13" s="131" t="s">
        <v>515</v>
      </c>
      <c r="H13" s="131" t="s">
        <v>515</v>
      </c>
      <c r="I13" s="132" t="s">
        <v>2899</v>
      </c>
      <c r="J13" s="53"/>
      <c r="K13" s="53"/>
      <c r="L13" s="56"/>
      <c r="M13" s="56"/>
      <c r="N13" s="56"/>
    </row>
    <row r="14" spans="1:14" ht="114.75" customHeight="1" thickBot="1">
      <c r="A14" s="53" t="s">
        <v>2987</v>
      </c>
      <c r="B14" s="54" t="s">
        <v>2988</v>
      </c>
      <c r="C14" s="135" t="s">
        <v>2989</v>
      </c>
      <c r="D14" s="131" t="s">
        <v>2899</v>
      </c>
      <c r="E14" s="131" t="s">
        <v>2909</v>
      </c>
      <c r="F14" s="131" t="s">
        <v>515</v>
      </c>
      <c r="G14" s="131" t="s">
        <v>515</v>
      </c>
      <c r="H14" s="131" t="s">
        <v>2909</v>
      </c>
      <c r="I14" s="132" t="s">
        <v>2899</v>
      </c>
      <c r="J14" s="53"/>
      <c r="K14" s="53"/>
      <c r="L14" s="56"/>
      <c r="M14" s="56"/>
      <c r="N14" s="56"/>
    </row>
    <row r="15" spans="1:14" ht="127.5" customHeight="1" thickBot="1">
      <c r="A15" s="53" t="s">
        <v>2990</v>
      </c>
      <c r="B15" s="54" t="s">
        <v>2991</v>
      </c>
      <c r="C15" s="135" t="s">
        <v>2967</v>
      </c>
      <c r="D15" s="131" t="s">
        <v>2909</v>
      </c>
      <c r="E15" s="131" t="s">
        <v>2899</v>
      </c>
      <c r="F15" s="131" t="s">
        <v>2899</v>
      </c>
      <c r="G15" s="131" t="s">
        <v>2909</v>
      </c>
      <c r="H15" s="131" t="s">
        <v>515</v>
      </c>
      <c r="I15" s="132" t="s">
        <v>515</v>
      </c>
      <c r="J15" s="53"/>
      <c r="K15" s="53"/>
      <c r="L15" s="56"/>
      <c r="M15" s="56"/>
      <c r="N15" s="56"/>
    </row>
    <row r="16" spans="1:14" ht="127.5" customHeight="1" thickBot="1">
      <c r="A16" s="53" t="s">
        <v>2992</v>
      </c>
      <c r="B16" s="54" t="s">
        <v>2993</v>
      </c>
      <c r="C16" s="135" t="s">
        <v>2994</v>
      </c>
      <c r="D16" s="131" t="s">
        <v>515</v>
      </c>
      <c r="E16" s="131" t="s">
        <v>515</v>
      </c>
      <c r="F16" s="131" t="s">
        <v>2909</v>
      </c>
      <c r="G16" s="131" t="s">
        <v>2899</v>
      </c>
      <c r="H16" s="131" t="s">
        <v>2899</v>
      </c>
      <c r="I16" s="132" t="s">
        <v>2909</v>
      </c>
      <c r="J16" s="53"/>
      <c r="K16" s="53"/>
      <c r="L16" s="56"/>
      <c r="M16" s="56"/>
      <c r="N16" s="56"/>
    </row>
    <row r="17" spans="1:14" ht="127.5" customHeight="1" thickBot="1">
      <c r="A17" s="53" t="s">
        <v>2995</v>
      </c>
      <c r="B17" s="54" t="s">
        <v>2996</v>
      </c>
      <c r="C17" s="135" t="s">
        <v>2946</v>
      </c>
      <c r="D17" s="131" t="s">
        <v>2899</v>
      </c>
      <c r="E17" s="131" t="s">
        <v>2899</v>
      </c>
      <c r="F17" s="131" t="s">
        <v>2909</v>
      </c>
      <c r="G17" s="131" t="s">
        <v>515</v>
      </c>
      <c r="H17" s="131" t="s">
        <v>2909</v>
      </c>
      <c r="I17" s="132" t="s">
        <v>515</v>
      </c>
      <c r="J17" s="53"/>
      <c r="K17" s="53"/>
      <c r="L17" s="56"/>
      <c r="M17" s="56"/>
      <c r="N17" s="56"/>
    </row>
    <row r="18" spans="1:14" ht="127.5" customHeight="1" thickBot="1">
      <c r="A18" s="53" t="s">
        <v>2997</v>
      </c>
      <c r="B18" s="54" t="s">
        <v>2998</v>
      </c>
      <c r="C18" s="135" t="s">
        <v>2938</v>
      </c>
      <c r="D18" s="131" t="s">
        <v>2909</v>
      </c>
      <c r="E18" s="131" t="s">
        <v>515</v>
      </c>
      <c r="F18" s="131" t="s">
        <v>2899</v>
      </c>
      <c r="G18" s="131" t="s">
        <v>2899</v>
      </c>
      <c r="H18" s="131" t="s">
        <v>515</v>
      </c>
      <c r="I18" s="132" t="s">
        <v>2909</v>
      </c>
      <c r="J18" s="53"/>
      <c r="K18" s="53"/>
      <c r="L18" s="56"/>
      <c r="M18" s="56"/>
      <c r="N18" s="56"/>
    </row>
    <row r="19" spans="1:14" ht="102" customHeight="1" thickBot="1">
      <c r="A19" s="53" t="s">
        <v>2999</v>
      </c>
      <c r="B19" s="54" t="s">
        <v>3000</v>
      </c>
      <c r="C19" s="135" t="s">
        <v>3001</v>
      </c>
      <c r="D19" s="131" t="s">
        <v>515</v>
      </c>
      <c r="E19" s="131" t="s">
        <v>2909</v>
      </c>
      <c r="F19" s="131" t="s">
        <v>515</v>
      </c>
      <c r="G19" s="131" t="s">
        <v>2909</v>
      </c>
      <c r="H19" s="131" t="s">
        <v>2899</v>
      </c>
      <c r="I19" s="132" t="s">
        <v>2899</v>
      </c>
      <c r="J19" s="53"/>
      <c r="K19" s="53"/>
      <c r="L19" s="56"/>
      <c r="M19" s="56"/>
      <c r="N19" s="56"/>
    </row>
    <row r="20" spans="1:14" ht="102" customHeight="1" thickBot="1">
      <c r="A20" s="53" t="s">
        <v>3002</v>
      </c>
      <c r="B20" s="54" t="s">
        <v>3003</v>
      </c>
      <c r="C20" s="135" t="s">
        <v>2924</v>
      </c>
      <c r="D20" s="131" t="s">
        <v>2899</v>
      </c>
      <c r="E20" s="131" t="s">
        <v>515</v>
      </c>
      <c r="F20" s="131" t="s">
        <v>2899</v>
      </c>
      <c r="G20" s="131" t="s">
        <v>2909</v>
      </c>
      <c r="H20" s="131" t="s">
        <v>2909</v>
      </c>
      <c r="I20" s="132" t="s">
        <v>515</v>
      </c>
      <c r="J20" s="53"/>
      <c r="K20" s="53"/>
      <c r="L20" s="56"/>
      <c r="M20" s="56"/>
      <c r="N20" s="56"/>
    </row>
    <row r="21" spans="1:14" ht="102" customHeight="1" thickBot="1">
      <c r="A21" s="53" t="s">
        <v>3004</v>
      </c>
      <c r="B21" s="54" t="s">
        <v>3005</v>
      </c>
      <c r="C21" s="135" t="s">
        <v>3006</v>
      </c>
      <c r="D21" s="131" t="s">
        <v>515</v>
      </c>
      <c r="E21" s="131" t="s">
        <v>2899</v>
      </c>
      <c r="F21" s="131" t="s">
        <v>2909</v>
      </c>
      <c r="G21" s="131" t="s">
        <v>515</v>
      </c>
      <c r="H21" s="131" t="s">
        <v>2899</v>
      </c>
      <c r="I21" s="132" t="s">
        <v>2909</v>
      </c>
      <c r="J21" s="53"/>
      <c r="K21" s="53"/>
      <c r="L21" s="56"/>
      <c r="M21" s="56"/>
      <c r="N21" s="56"/>
    </row>
    <row r="22" spans="1:14" ht="15.75" thickBot="1">
      <c r="A22" s="53" t="s">
        <v>6434</v>
      </c>
      <c r="B22" s="130" t="s">
        <v>6439</v>
      </c>
      <c r="C22" s="135" t="s">
        <v>6463</v>
      </c>
      <c r="D22" s="131" t="s">
        <v>2909</v>
      </c>
      <c r="E22" s="131" t="s">
        <v>2909</v>
      </c>
      <c r="F22" s="131" t="s">
        <v>515</v>
      </c>
      <c r="G22" s="131" t="s">
        <v>2899</v>
      </c>
      <c r="H22" s="131" t="s">
        <v>515</v>
      </c>
      <c r="I22" s="132" t="s">
        <v>2899</v>
      </c>
    </row>
    <row r="23" spans="1:14" ht="15.75" thickBot="1">
      <c r="A23" s="53" t="s">
        <v>6435</v>
      </c>
      <c r="B23" s="130" t="s">
        <v>6440</v>
      </c>
      <c r="C23" s="135" t="s">
        <v>6463</v>
      </c>
      <c r="D23" s="131" t="s">
        <v>2899</v>
      </c>
      <c r="E23" s="131" t="s">
        <v>2909</v>
      </c>
      <c r="F23" s="131" t="s">
        <v>515</v>
      </c>
      <c r="G23" s="131" t="s">
        <v>2899</v>
      </c>
      <c r="H23" s="131" t="s">
        <v>2909</v>
      </c>
      <c r="I23" s="132" t="s">
        <v>515</v>
      </c>
    </row>
    <row r="24" spans="1:14" ht="15.75" thickBot="1">
      <c r="A24" s="53" t="s">
        <v>6436</v>
      </c>
      <c r="B24" s="130" t="s">
        <v>6444</v>
      </c>
      <c r="C24" s="135" t="s">
        <v>3019</v>
      </c>
      <c r="D24" s="131" t="s">
        <v>515</v>
      </c>
      <c r="E24" s="131" t="s">
        <v>2899</v>
      </c>
      <c r="F24" s="131" t="s">
        <v>2909</v>
      </c>
      <c r="G24" s="131" t="s">
        <v>2909</v>
      </c>
      <c r="H24" s="131" t="s">
        <v>515</v>
      </c>
      <c r="I24" s="132" t="s">
        <v>2899</v>
      </c>
    </row>
    <row r="25" spans="1:14" ht="15.75" thickBot="1">
      <c r="A25" s="53" t="s">
        <v>6437</v>
      </c>
      <c r="B25" s="130" t="s">
        <v>6445</v>
      </c>
      <c r="C25" s="135" t="s">
        <v>6464</v>
      </c>
      <c r="D25" s="131" t="s">
        <v>2909</v>
      </c>
      <c r="E25" s="131" t="s">
        <v>515</v>
      </c>
      <c r="F25" s="131" t="s">
        <v>2899</v>
      </c>
      <c r="G25" s="131" t="s">
        <v>515</v>
      </c>
      <c r="H25" s="131" t="s">
        <v>2899</v>
      </c>
      <c r="I25" s="132" t="s">
        <v>2909</v>
      </c>
    </row>
    <row r="26" spans="1:14" ht="15.75" thickBot="1">
      <c r="A26" s="53" t="s">
        <v>6438</v>
      </c>
      <c r="B26" s="130" t="s">
        <v>6446</v>
      </c>
      <c r="C26" s="135" t="s">
        <v>6465</v>
      </c>
      <c r="D26" s="131" t="s">
        <v>2899</v>
      </c>
      <c r="E26" s="131" t="s">
        <v>515</v>
      </c>
      <c r="F26" s="131" t="s">
        <v>515</v>
      </c>
      <c r="G26" s="131" t="s">
        <v>2909</v>
      </c>
      <c r="H26" s="131" t="s">
        <v>2899</v>
      </c>
      <c r="I26" s="132" t="s">
        <v>2909</v>
      </c>
    </row>
    <row r="27" spans="1:14" ht="15.75" thickBot="1">
      <c r="A27" s="53" t="s">
        <v>6447</v>
      </c>
      <c r="B27" s="130" t="s">
        <v>6451</v>
      </c>
      <c r="C27" s="135" t="s">
        <v>6466</v>
      </c>
      <c r="D27" s="131" t="s">
        <v>515</v>
      </c>
      <c r="E27" s="131" t="s">
        <v>2899</v>
      </c>
      <c r="F27" s="131" t="s">
        <v>2909</v>
      </c>
      <c r="G27" s="131" t="s">
        <v>2899</v>
      </c>
      <c r="H27" s="131" t="s">
        <v>2909</v>
      </c>
      <c r="I27" s="132" t="s">
        <v>515</v>
      </c>
    </row>
    <row r="28" spans="1:14" ht="15.75" thickBot="1">
      <c r="A28" s="53" t="s">
        <v>6448</v>
      </c>
      <c r="B28" s="130" t="s">
        <v>6452</v>
      </c>
      <c r="C28" s="135" t="s">
        <v>2981</v>
      </c>
      <c r="D28" s="131" t="s">
        <v>2909</v>
      </c>
      <c r="E28" s="131" t="s">
        <v>2909</v>
      </c>
      <c r="F28" s="131" t="s">
        <v>2899</v>
      </c>
      <c r="G28" s="131" t="s">
        <v>515</v>
      </c>
      <c r="H28" s="131" t="s">
        <v>515</v>
      </c>
      <c r="I28" s="132" t="s">
        <v>2899</v>
      </c>
    </row>
    <row r="29" spans="1:14" ht="15.75" thickBot="1">
      <c r="A29" s="53" t="s">
        <v>6449</v>
      </c>
      <c r="B29" s="130" t="s">
        <v>6453</v>
      </c>
      <c r="C29" s="135" t="s">
        <v>6464</v>
      </c>
      <c r="D29" s="131" t="s">
        <v>2899</v>
      </c>
      <c r="E29" s="131" t="s">
        <v>2909</v>
      </c>
      <c r="F29" s="131" t="s">
        <v>515</v>
      </c>
      <c r="G29" s="131" t="s">
        <v>515</v>
      </c>
      <c r="H29" s="131" t="s">
        <v>2909</v>
      </c>
      <c r="I29" s="132" t="s">
        <v>2899</v>
      </c>
    </row>
    <row r="30" spans="1:14" ht="15.75" thickBot="1">
      <c r="A30" s="53" t="s">
        <v>6450</v>
      </c>
      <c r="B30" s="130" t="s">
        <v>6454</v>
      </c>
      <c r="C30" s="135" t="s">
        <v>3019</v>
      </c>
      <c r="D30" s="131" t="s">
        <v>2909</v>
      </c>
      <c r="E30" s="131" t="s">
        <v>2899</v>
      </c>
      <c r="F30" s="131" t="s">
        <v>2899</v>
      </c>
      <c r="G30" s="131" t="s">
        <v>2909</v>
      </c>
      <c r="H30" s="131" t="s">
        <v>515</v>
      </c>
      <c r="I30" s="132" t="s">
        <v>515</v>
      </c>
    </row>
    <row r="31" spans="1:14" ht="15.75" thickBot="1">
      <c r="A31" s="53" t="s">
        <v>6455</v>
      </c>
      <c r="B31" s="130" t="s">
        <v>6458</v>
      </c>
      <c r="C31" s="135" t="s">
        <v>2967</v>
      </c>
      <c r="D31" s="131" t="s">
        <v>515</v>
      </c>
      <c r="E31" s="131" t="s">
        <v>515</v>
      </c>
      <c r="F31" s="131" t="s">
        <v>2909</v>
      </c>
      <c r="G31" s="131" t="s">
        <v>2899</v>
      </c>
      <c r="H31" s="131" t="s">
        <v>2899</v>
      </c>
      <c r="I31" s="132" t="s">
        <v>2909</v>
      </c>
    </row>
    <row r="32" spans="1:14" ht="15.75" thickBot="1">
      <c r="A32" s="53" t="s">
        <v>6456</v>
      </c>
      <c r="B32" s="130" t="s">
        <v>6459</v>
      </c>
      <c r="C32" s="135" t="s">
        <v>6467</v>
      </c>
      <c r="D32" s="131" t="s">
        <v>2899</v>
      </c>
      <c r="E32" s="131" t="s">
        <v>2899</v>
      </c>
      <c r="F32" s="131" t="s">
        <v>2909</v>
      </c>
      <c r="G32" s="131" t="s">
        <v>515</v>
      </c>
      <c r="H32" s="131" t="s">
        <v>2909</v>
      </c>
      <c r="I32" s="132" t="s">
        <v>515</v>
      </c>
    </row>
    <row r="33" spans="1:10" ht="15.75" thickBot="1">
      <c r="A33" s="53" t="s">
        <v>6457</v>
      </c>
      <c r="B33" s="130" t="s">
        <v>6460</v>
      </c>
      <c r="C33" s="135" t="s">
        <v>3163</v>
      </c>
      <c r="D33" s="131" t="s">
        <v>2909</v>
      </c>
      <c r="E33" s="131" t="s">
        <v>515</v>
      </c>
      <c r="F33" s="131" t="s">
        <v>2899</v>
      </c>
      <c r="G33" s="131" t="s">
        <v>2899</v>
      </c>
      <c r="H33" s="131" t="s">
        <v>515</v>
      </c>
      <c r="I33" s="132" t="s">
        <v>2909</v>
      </c>
    </row>
    <row r="34" spans="1:10" ht="15.75" thickBot="1">
      <c r="A34" s="53" t="s">
        <v>6461</v>
      </c>
      <c r="B34" s="130" t="s">
        <v>6462</v>
      </c>
      <c r="C34" s="136" t="s">
        <v>6468</v>
      </c>
      <c r="D34" s="133" t="s">
        <v>515</v>
      </c>
      <c r="E34" s="133" t="s">
        <v>2909</v>
      </c>
      <c r="F34" s="133" t="s">
        <v>515</v>
      </c>
      <c r="G34" s="133" t="s">
        <v>2909</v>
      </c>
      <c r="H34" s="133" t="s">
        <v>2899</v>
      </c>
      <c r="I34" s="134" t="s">
        <v>2899</v>
      </c>
    </row>
    <row r="35" spans="1:10" ht="26.25" thickBot="1">
      <c r="A35" s="53" t="s">
        <v>6547</v>
      </c>
      <c r="B35" s="137" t="s">
        <v>6469</v>
      </c>
      <c r="C35" s="135" t="s">
        <v>6470</v>
      </c>
      <c r="D35" s="131" t="s">
        <v>2899</v>
      </c>
      <c r="E35" s="131" t="s">
        <v>2899</v>
      </c>
      <c r="F35" s="131" t="s">
        <v>2909</v>
      </c>
      <c r="G35" s="131" t="s">
        <v>515</v>
      </c>
      <c r="H35" s="131" t="s">
        <v>2909</v>
      </c>
      <c r="I35" s="132" t="s">
        <v>515</v>
      </c>
    </row>
    <row r="36" spans="1:10" ht="26.25" thickBot="1">
      <c r="A36" s="53" t="s">
        <v>6548</v>
      </c>
      <c r="B36" s="137" t="s">
        <v>6471</v>
      </c>
      <c r="C36" s="135" t="s">
        <v>6472</v>
      </c>
      <c r="D36" s="131" t="s">
        <v>2909</v>
      </c>
      <c r="E36" s="131" t="s">
        <v>515</v>
      </c>
      <c r="F36" s="131" t="s">
        <v>2899</v>
      </c>
      <c r="G36" s="131" t="s">
        <v>2899</v>
      </c>
      <c r="H36" s="131" t="s">
        <v>515</v>
      </c>
      <c r="I36" s="132" t="s">
        <v>2909</v>
      </c>
    </row>
    <row r="37" spans="1:10" ht="26.25" thickBot="1">
      <c r="A37" s="53" t="s">
        <v>6549</v>
      </c>
      <c r="B37" s="137" t="s">
        <v>6473</v>
      </c>
      <c r="C37" s="135" t="s">
        <v>6474</v>
      </c>
      <c r="D37" s="131" t="s">
        <v>515</v>
      </c>
      <c r="E37" s="131" t="s">
        <v>2909</v>
      </c>
      <c r="F37" s="131" t="s">
        <v>515</v>
      </c>
      <c r="G37" s="131" t="s">
        <v>2909</v>
      </c>
      <c r="H37" s="131" t="s">
        <v>2899</v>
      </c>
      <c r="I37" s="132" t="s">
        <v>2899</v>
      </c>
    </row>
    <row r="38" spans="1:10" ht="26.25" thickBot="1">
      <c r="A38" s="53" t="s">
        <v>6550</v>
      </c>
      <c r="B38" s="137" t="s">
        <v>6475</v>
      </c>
      <c r="C38" s="135" t="s">
        <v>6476</v>
      </c>
      <c r="D38" s="131" t="s">
        <v>2899</v>
      </c>
      <c r="E38" s="131" t="s">
        <v>515</v>
      </c>
      <c r="F38" s="131" t="s">
        <v>2899</v>
      </c>
      <c r="G38" s="131" t="s">
        <v>2909</v>
      </c>
      <c r="H38" s="131" t="s">
        <v>2909</v>
      </c>
      <c r="I38" s="132" t="s">
        <v>515</v>
      </c>
    </row>
    <row r="39" spans="1:10" ht="26.25" thickBot="1">
      <c r="A39" s="53" t="s">
        <v>6551</v>
      </c>
      <c r="B39" s="137" t="s">
        <v>6477</v>
      </c>
      <c r="C39" s="135" t="s">
        <v>6478</v>
      </c>
      <c r="D39" s="131" t="s">
        <v>515</v>
      </c>
      <c r="E39" s="131" t="s">
        <v>2899</v>
      </c>
      <c r="F39" s="131" t="s">
        <v>2909</v>
      </c>
      <c r="G39" s="131" t="s">
        <v>515</v>
      </c>
      <c r="H39" s="131" t="s">
        <v>2899</v>
      </c>
      <c r="I39" s="132" t="s">
        <v>2909</v>
      </c>
    </row>
    <row r="40" spans="1:10" ht="26.25" thickBot="1">
      <c r="A40" s="53" t="s">
        <v>6552</v>
      </c>
      <c r="B40" s="137" t="s">
        <v>6479</v>
      </c>
      <c r="C40" s="135" t="s">
        <v>6480</v>
      </c>
      <c r="D40" s="131" t="s">
        <v>2909</v>
      </c>
      <c r="E40" s="131" t="s">
        <v>2909</v>
      </c>
      <c r="F40" s="131" t="s">
        <v>515</v>
      </c>
      <c r="G40" s="131" t="s">
        <v>2899</v>
      </c>
      <c r="H40" s="131" t="s">
        <v>515</v>
      </c>
      <c r="I40" s="132" t="s">
        <v>2899</v>
      </c>
    </row>
    <row r="41" spans="1:10" ht="26.25" thickBot="1">
      <c r="A41" s="53" t="s">
        <v>6553</v>
      </c>
      <c r="B41" s="137" t="s">
        <v>6481</v>
      </c>
      <c r="C41" s="135" t="s">
        <v>6482</v>
      </c>
      <c r="D41" s="131" t="s">
        <v>2899</v>
      </c>
      <c r="E41" s="131" t="s">
        <v>2909</v>
      </c>
      <c r="F41" s="131" t="s">
        <v>515</v>
      </c>
      <c r="G41" s="131" t="s">
        <v>2899</v>
      </c>
      <c r="H41" s="131" t="s">
        <v>2909</v>
      </c>
      <c r="I41" s="132" t="s">
        <v>515</v>
      </c>
    </row>
    <row r="42" spans="1:10" ht="26.25" thickBot="1">
      <c r="A42" s="53" t="s">
        <v>6554</v>
      </c>
      <c r="B42" s="137" t="s">
        <v>6483</v>
      </c>
      <c r="C42" s="135" t="s">
        <v>6484</v>
      </c>
      <c r="D42" s="131" t="s">
        <v>515</v>
      </c>
      <c r="E42" s="131" t="s">
        <v>2899</v>
      </c>
      <c r="F42" s="131" t="s">
        <v>2909</v>
      </c>
      <c r="G42" s="131" t="s">
        <v>2909</v>
      </c>
      <c r="H42" s="131" t="s">
        <v>515</v>
      </c>
      <c r="I42" s="132" t="s">
        <v>2899</v>
      </c>
    </row>
    <row r="43" spans="1:10" ht="26.25" thickBot="1">
      <c r="A43" s="53" t="s">
        <v>6555</v>
      </c>
      <c r="B43" s="137" t="s">
        <v>6485</v>
      </c>
      <c r="C43" s="135" t="s">
        <v>6486</v>
      </c>
      <c r="D43" s="131" t="s">
        <v>2909</v>
      </c>
      <c r="E43" s="131" t="s">
        <v>515</v>
      </c>
      <c r="F43" s="131" t="s">
        <v>2899</v>
      </c>
      <c r="G43" s="131" t="s">
        <v>515</v>
      </c>
      <c r="H43" s="131" t="s">
        <v>2899</v>
      </c>
      <c r="I43" s="132" t="s">
        <v>2909</v>
      </c>
    </row>
    <row r="44" spans="1:10" ht="26.25" thickBot="1">
      <c r="A44" s="53" t="s">
        <v>6556</v>
      </c>
      <c r="B44" s="137" t="s">
        <v>6487</v>
      </c>
      <c r="C44" s="135" t="s">
        <v>6488</v>
      </c>
      <c r="D44" s="131" t="s">
        <v>2899</v>
      </c>
      <c r="E44" s="131" t="s">
        <v>515</v>
      </c>
      <c r="F44" s="131" t="s">
        <v>515</v>
      </c>
      <c r="G44" s="131" t="s">
        <v>2909</v>
      </c>
      <c r="H44" s="131" t="s">
        <v>2899</v>
      </c>
      <c r="I44" s="132" t="s">
        <v>2909</v>
      </c>
    </row>
    <row r="45" spans="1:10" ht="26.25" thickBot="1">
      <c r="A45" s="53" t="s">
        <v>6557</v>
      </c>
      <c r="B45" s="137" t="s">
        <v>6489</v>
      </c>
      <c r="C45" s="135" t="s">
        <v>6490</v>
      </c>
      <c r="D45" s="131" t="s">
        <v>515</v>
      </c>
      <c r="E45" s="131" t="s">
        <v>2899</v>
      </c>
      <c r="F45" s="131" t="s">
        <v>2909</v>
      </c>
      <c r="G45" s="131" t="s">
        <v>2899</v>
      </c>
      <c r="H45" s="131" t="s">
        <v>2909</v>
      </c>
      <c r="I45" s="132" t="s">
        <v>515</v>
      </c>
    </row>
    <row r="46" spans="1:10" ht="26.25" thickBot="1">
      <c r="A46" s="53" t="s">
        <v>6558</v>
      </c>
      <c r="B46" s="137" t="s">
        <v>6491</v>
      </c>
      <c r="C46" s="135" t="s">
        <v>6492</v>
      </c>
      <c r="D46" s="131" t="s">
        <v>2909</v>
      </c>
      <c r="E46" s="131" t="s">
        <v>2909</v>
      </c>
      <c r="F46" s="131" t="s">
        <v>2899</v>
      </c>
      <c r="G46" s="131" t="s">
        <v>515</v>
      </c>
      <c r="H46" s="131" t="s">
        <v>515</v>
      </c>
      <c r="I46" s="132" t="s">
        <v>2899</v>
      </c>
    </row>
    <row r="47" spans="1:10" ht="26.25" thickBot="1">
      <c r="A47" s="53" t="s">
        <v>6559</v>
      </c>
      <c r="B47" s="137" t="s">
        <v>6493</v>
      </c>
      <c r="C47" s="135" t="s">
        <v>6494</v>
      </c>
      <c r="D47" s="131" t="s">
        <v>2899</v>
      </c>
      <c r="E47" s="131" t="s">
        <v>2909</v>
      </c>
      <c r="F47" s="131" t="s">
        <v>515</v>
      </c>
      <c r="G47" s="131" t="s">
        <v>515</v>
      </c>
      <c r="H47" s="131" t="s">
        <v>2909</v>
      </c>
      <c r="I47" s="132" t="s">
        <v>2899</v>
      </c>
    </row>
    <row r="48" spans="1:10" ht="26.25" thickBot="1">
      <c r="A48" s="53" t="s">
        <v>6560</v>
      </c>
      <c r="B48" s="137" t="s">
        <v>6495</v>
      </c>
      <c r="C48" s="135" t="s">
        <v>6496</v>
      </c>
      <c r="D48" s="131" t="s">
        <v>2909</v>
      </c>
      <c r="E48" s="131" t="s">
        <v>2899</v>
      </c>
      <c r="F48" s="131" t="s">
        <v>2899</v>
      </c>
      <c r="G48" s="131" t="s">
        <v>2909</v>
      </c>
      <c r="H48" s="131" t="s">
        <v>515</v>
      </c>
      <c r="I48" s="132" t="s">
        <v>515</v>
      </c>
    </row>
    <row r="49" spans="1:10" ht="26.25" thickBot="1">
      <c r="A49" s="53" t="s">
        <v>6561</v>
      </c>
      <c r="B49" s="137" t="s">
        <v>6497</v>
      </c>
      <c r="C49" s="135" t="s">
        <v>6498</v>
      </c>
      <c r="D49" s="131" t="s">
        <v>515</v>
      </c>
      <c r="E49" s="131" t="s">
        <v>515</v>
      </c>
      <c r="F49" s="131" t="s">
        <v>2909</v>
      </c>
      <c r="G49" s="131" t="s">
        <v>2899</v>
      </c>
      <c r="H49" s="131" t="s">
        <v>2899</v>
      </c>
      <c r="I49" s="132" t="s">
        <v>2909</v>
      </c>
    </row>
    <row r="50" spans="1:10" ht="26.25" thickBot="1">
      <c r="A50" s="53" t="s">
        <v>6562</v>
      </c>
      <c r="B50" s="137" t="s">
        <v>6499</v>
      </c>
      <c r="C50" s="135" t="s">
        <v>6500</v>
      </c>
      <c r="D50" s="131" t="s">
        <v>2899</v>
      </c>
      <c r="E50" s="131" t="s">
        <v>2899</v>
      </c>
      <c r="F50" s="131" t="s">
        <v>2909</v>
      </c>
      <c r="G50" s="131" t="s">
        <v>515</v>
      </c>
      <c r="H50" s="131" t="s">
        <v>2909</v>
      </c>
      <c r="I50" s="132" t="s">
        <v>515</v>
      </c>
    </row>
    <row r="51" spans="1:10" ht="26.25" thickBot="1">
      <c r="A51" s="53" t="s">
        <v>6563</v>
      </c>
      <c r="B51" s="137" t="s">
        <v>6501</v>
      </c>
      <c r="C51" s="135" t="s">
        <v>6502</v>
      </c>
      <c r="D51" s="131" t="s">
        <v>2909</v>
      </c>
      <c r="E51" s="131" t="s">
        <v>515</v>
      </c>
      <c r="F51" s="131" t="s">
        <v>2899</v>
      </c>
      <c r="G51" s="131" t="s">
        <v>2899</v>
      </c>
      <c r="H51" s="131" t="s">
        <v>515</v>
      </c>
      <c r="I51" s="132" t="s">
        <v>2909</v>
      </c>
    </row>
    <row r="52" spans="1:10" ht="26.25" thickBot="1">
      <c r="A52" s="53" t="s">
        <v>6564</v>
      </c>
      <c r="B52" s="137" t="s">
        <v>6503</v>
      </c>
      <c r="C52" s="135" t="s">
        <v>6504</v>
      </c>
      <c r="D52" s="131" t="s">
        <v>515</v>
      </c>
      <c r="E52" s="131" t="s">
        <v>2909</v>
      </c>
      <c r="F52" s="131" t="s">
        <v>515</v>
      </c>
      <c r="G52" s="131" t="s">
        <v>2909</v>
      </c>
      <c r="H52" s="131" t="s">
        <v>2899</v>
      </c>
      <c r="I52" s="132" t="s">
        <v>2899</v>
      </c>
    </row>
    <row r="53" spans="1:10" ht="39" thickBot="1">
      <c r="A53" s="53" t="s">
        <v>6565</v>
      </c>
      <c r="B53" s="137" t="s">
        <v>6505</v>
      </c>
      <c r="C53" s="135" t="s">
        <v>6506</v>
      </c>
      <c r="D53" s="131" t="s">
        <v>2899</v>
      </c>
      <c r="E53" s="131" t="s">
        <v>515</v>
      </c>
      <c r="F53" s="131" t="s">
        <v>2899</v>
      </c>
      <c r="G53" s="131" t="s">
        <v>2909</v>
      </c>
      <c r="H53" s="131" t="s">
        <v>2909</v>
      </c>
      <c r="I53" s="132" t="s">
        <v>515</v>
      </c>
    </row>
    <row r="54" spans="1:10" ht="26.25" thickBot="1">
      <c r="A54" s="53" t="s">
        <v>6566</v>
      </c>
      <c r="B54" s="137" t="s">
        <v>6507</v>
      </c>
      <c r="C54" s="135" t="s">
        <v>6508</v>
      </c>
      <c r="D54" s="131" t="s">
        <v>515</v>
      </c>
      <c r="E54" s="131" t="s">
        <v>2899</v>
      </c>
      <c r="F54" s="131" t="s">
        <v>2909</v>
      </c>
      <c r="G54" s="131" t="s">
        <v>515</v>
      </c>
      <c r="H54" s="131" t="s">
        <v>2899</v>
      </c>
      <c r="I54" s="132" t="s">
        <v>2909</v>
      </c>
    </row>
    <row r="55" spans="1:10" ht="26.25" thickBot="1">
      <c r="A55" s="53" t="s">
        <v>6567</v>
      </c>
      <c r="B55" s="137" t="s">
        <v>6509</v>
      </c>
      <c r="C55" s="135" t="s">
        <v>2197</v>
      </c>
      <c r="D55" s="131" t="s">
        <v>2909</v>
      </c>
      <c r="E55" s="131" t="s">
        <v>2909</v>
      </c>
      <c r="F55" s="131" t="s">
        <v>515</v>
      </c>
      <c r="G55" s="131" t="s">
        <v>2899</v>
      </c>
      <c r="H55" s="131" t="s">
        <v>515</v>
      </c>
      <c r="I55" s="132" t="s">
        <v>2899</v>
      </c>
    </row>
    <row r="56" spans="1:10" ht="26.25" thickBot="1">
      <c r="A56" s="53" t="s">
        <v>6568</v>
      </c>
      <c r="B56" s="137" t="s">
        <v>6510</v>
      </c>
      <c r="C56" s="135" t="s">
        <v>6511</v>
      </c>
      <c r="D56" s="131" t="s">
        <v>2899</v>
      </c>
      <c r="E56" s="131" t="s">
        <v>2909</v>
      </c>
      <c r="F56" s="131" t="s">
        <v>515</v>
      </c>
      <c r="G56" s="131" t="s">
        <v>2899</v>
      </c>
      <c r="H56" s="131" t="s">
        <v>2909</v>
      </c>
      <c r="I56" s="132" t="s">
        <v>515</v>
      </c>
    </row>
    <row r="57" spans="1:10" ht="26.25" thickBot="1">
      <c r="A57" s="53" t="s">
        <v>6569</v>
      </c>
      <c r="B57" s="137" t="s">
        <v>6512</v>
      </c>
      <c r="C57" s="135" t="s">
        <v>6513</v>
      </c>
      <c r="D57" s="131" t="s">
        <v>515</v>
      </c>
      <c r="E57" s="131" t="s">
        <v>2899</v>
      </c>
      <c r="F57" s="131" t="s">
        <v>2909</v>
      </c>
      <c r="G57" s="131" t="s">
        <v>2909</v>
      </c>
      <c r="H57" s="131" t="s">
        <v>515</v>
      </c>
      <c r="I57" s="132" t="s">
        <v>2899</v>
      </c>
    </row>
    <row r="58" spans="1:10" ht="26.25" thickBot="1">
      <c r="A58" s="53" t="s">
        <v>6570</v>
      </c>
      <c r="B58" s="137" t="s">
        <v>6514</v>
      </c>
      <c r="C58" s="135" t="s">
        <v>6515</v>
      </c>
      <c r="D58" s="131" t="s">
        <v>2909</v>
      </c>
      <c r="E58" s="131" t="s">
        <v>515</v>
      </c>
      <c r="F58" s="131" t="s">
        <v>2899</v>
      </c>
      <c r="G58" s="131" t="s">
        <v>515</v>
      </c>
      <c r="H58" s="131" t="s">
        <v>2899</v>
      </c>
      <c r="I58" s="132" t="s">
        <v>2909</v>
      </c>
    </row>
    <row r="59" spans="1:10" ht="26.25" thickBot="1">
      <c r="A59" s="53" t="s">
        <v>6571</v>
      </c>
      <c r="B59" s="137" t="s">
        <v>6516</v>
      </c>
      <c r="C59" s="135" t="s">
        <v>6517</v>
      </c>
      <c r="D59" s="131" t="s">
        <v>2899</v>
      </c>
      <c r="E59" s="131" t="s">
        <v>515</v>
      </c>
      <c r="F59" s="131" t="s">
        <v>515</v>
      </c>
      <c r="G59" s="131" t="s">
        <v>2909</v>
      </c>
      <c r="H59" s="131" t="s">
        <v>2899</v>
      </c>
      <c r="I59" s="132" t="s">
        <v>2909</v>
      </c>
    </row>
    <row r="60" spans="1:10" ht="26.25" thickBot="1">
      <c r="A60" s="53" t="s">
        <v>6572</v>
      </c>
      <c r="B60" s="137" t="s">
        <v>6518</v>
      </c>
      <c r="C60" s="135" t="s">
        <v>2949</v>
      </c>
      <c r="D60" s="131" t="s">
        <v>515</v>
      </c>
      <c r="E60" s="131" t="s">
        <v>2899</v>
      </c>
      <c r="F60" s="131" t="s">
        <v>2909</v>
      </c>
      <c r="G60" s="131" t="s">
        <v>2899</v>
      </c>
      <c r="H60" s="131" t="s">
        <v>2909</v>
      </c>
      <c r="I60" s="132" t="s">
        <v>515</v>
      </c>
    </row>
    <row r="61" spans="1:10" ht="26.25" thickBot="1">
      <c r="A61" s="53" t="s">
        <v>6573</v>
      </c>
      <c r="B61" s="137" t="s">
        <v>6519</v>
      </c>
      <c r="C61" s="135" t="s">
        <v>6520</v>
      </c>
      <c r="D61" s="131" t="s">
        <v>2909</v>
      </c>
      <c r="E61" s="131" t="s">
        <v>2909</v>
      </c>
      <c r="F61" s="131" t="s">
        <v>2899</v>
      </c>
      <c r="G61" s="131" t="s">
        <v>515</v>
      </c>
      <c r="H61" s="131" t="s">
        <v>515</v>
      </c>
      <c r="I61" s="132" t="s">
        <v>2899</v>
      </c>
    </row>
    <row r="62" spans="1:10" ht="39" thickBot="1">
      <c r="A62" s="53" t="s">
        <v>6574</v>
      </c>
      <c r="B62" s="137" t="s">
        <v>6521</v>
      </c>
      <c r="C62" s="135" t="s">
        <v>6522</v>
      </c>
      <c r="D62" s="131" t="s">
        <v>2899</v>
      </c>
      <c r="E62" s="131" t="s">
        <v>2909</v>
      </c>
      <c r="F62" s="131" t="s">
        <v>515</v>
      </c>
      <c r="G62" s="131" t="s">
        <v>515</v>
      </c>
      <c r="H62" s="131" t="s">
        <v>2909</v>
      </c>
      <c r="I62" s="132" t="s">
        <v>2899</v>
      </c>
    </row>
    <row r="63" spans="1:10" ht="26.25" thickBot="1">
      <c r="A63" s="53" t="s">
        <v>6575</v>
      </c>
      <c r="B63" s="137" t="s">
        <v>6523</v>
      </c>
      <c r="C63" s="135" t="s">
        <v>6524</v>
      </c>
      <c r="D63" s="131" t="s">
        <v>2909</v>
      </c>
      <c r="E63" s="131" t="s">
        <v>2899</v>
      </c>
      <c r="F63" s="131" t="s">
        <v>2899</v>
      </c>
      <c r="G63" s="131" t="s">
        <v>2909</v>
      </c>
      <c r="H63" s="131" t="s">
        <v>515</v>
      </c>
      <c r="I63" s="132" t="s">
        <v>515</v>
      </c>
    </row>
    <row r="64" spans="1:10" ht="26.25" thickBot="1">
      <c r="A64" s="53" t="s">
        <v>6576</v>
      </c>
      <c r="B64" s="137" t="s">
        <v>6525</v>
      </c>
      <c r="C64" s="135" t="s">
        <v>6526</v>
      </c>
      <c r="D64" s="131" t="s">
        <v>515</v>
      </c>
      <c r="E64" s="131" t="s">
        <v>515</v>
      </c>
      <c r="F64" s="131" t="s">
        <v>2909</v>
      </c>
      <c r="G64" s="131" t="s">
        <v>2899</v>
      </c>
      <c r="H64" s="131" t="s">
        <v>2899</v>
      </c>
      <c r="I64" s="132" t="s">
        <v>2909</v>
      </c>
    </row>
    <row r="65" spans="1:10" ht="39" thickBot="1">
      <c r="A65" s="53" t="s">
        <v>6577</v>
      </c>
      <c r="B65" s="137" t="s">
        <v>6527</v>
      </c>
      <c r="C65" s="135" t="s">
        <v>6528</v>
      </c>
      <c r="D65" s="131" t="s">
        <v>2899</v>
      </c>
      <c r="E65" s="131" t="s">
        <v>2899</v>
      </c>
      <c r="F65" s="131" t="s">
        <v>2909</v>
      </c>
      <c r="G65" s="131" t="s">
        <v>515</v>
      </c>
      <c r="H65" s="131" t="s">
        <v>2909</v>
      </c>
      <c r="I65" s="132" t="s">
        <v>515</v>
      </c>
    </row>
    <row r="66" spans="1:10" ht="26.25" thickBot="1">
      <c r="A66" s="53" t="s">
        <v>6578</v>
      </c>
      <c r="B66" s="137" t="s">
        <v>6529</v>
      </c>
      <c r="C66" s="135" t="s">
        <v>6530</v>
      </c>
      <c r="D66" s="131" t="s">
        <v>2909</v>
      </c>
      <c r="E66" s="131" t="s">
        <v>515</v>
      </c>
      <c r="F66" s="131" t="s">
        <v>2899</v>
      </c>
      <c r="G66" s="131" t="s">
        <v>2899</v>
      </c>
      <c r="H66" s="131" t="s">
        <v>515</v>
      </c>
      <c r="I66" s="132" t="s">
        <v>2909</v>
      </c>
    </row>
    <row r="67" spans="1:10" ht="26.25" thickBot="1">
      <c r="A67" s="53" t="s">
        <v>6579</v>
      </c>
      <c r="B67" s="137" t="s">
        <v>6531</v>
      </c>
      <c r="C67" s="135" t="s">
        <v>6532</v>
      </c>
      <c r="D67" s="131" t="s">
        <v>515</v>
      </c>
      <c r="E67" s="131" t="s">
        <v>2909</v>
      </c>
      <c r="F67" s="131" t="s">
        <v>515</v>
      </c>
      <c r="G67" s="131" t="s">
        <v>2909</v>
      </c>
      <c r="H67" s="131" t="s">
        <v>2899</v>
      </c>
      <c r="I67" s="132" t="s">
        <v>2899</v>
      </c>
    </row>
    <row r="68" spans="1:10" ht="26.25" thickBot="1">
      <c r="A68" s="53" t="s">
        <v>6580</v>
      </c>
      <c r="B68" s="137" t="s">
        <v>6533</v>
      </c>
      <c r="C68" s="135" t="s">
        <v>6534</v>
      </c>
      <c r="D68" s="131" t="s">
        <v>2899</v>
      </c>
      <c r="E68" s="131" t="s">
        <v>515</v>
      </c>
      <c r="F68" s="131" t="s">
        <v>2899</v>
      </c>
      <c r="G68" s="131" t="s">
        <v>2909</v>
      </c>
      <c r="H68" s="131" t="s">
        <v>2909</v>
      </c>
      <c r="I68" s="132" t="s">
        <v>515</v>
      </c>
    </row>
    <row r="69" spans="1:10" ht="26.25" thickBot="1">
      <c r="A69" s="53" t="s">
        <v>6581</v>
      </c>
      <c r="B69" s="137" t="s">
        <v>6535</v>
      </c>
      <c r="C69" s="135" t="s">
        <v>6536</v>
      </c>
      <c r="D69" s="131" t="s">
        <v>515</v>
      </c>
      <c r="E69" s="131" t="s">
        <v>2899</v>
      </c>
      <c r="F69" s="131" t="s">
        <v>2909</v>
      </c>
      <c r="G69" s="131" t="s">
        <v>515</v>
      </c>
      <c r="H69" s="131" t="s">
        <v>2899</v>
      </c>
      <c r="I69" s="132" t="s">
        <v>2909</v>
      </c>
    </row>
    <row r="70" spans="1:10" ht="26.25" thickBot="1">
      <c r="A70" s="53" t="s">
        <v>6582</v>
      </c>
      <c r="B70" s="137" t="s">
        <v>6537</v>
      </c>
      <c r="C70" s="135" t="s">
        <v>6538</v>
      </c>
      <c r="D70" s="131" t="s">
        <v>2909</v>
      </c>
      <c r="E70" s="131" t="s">
        <v>2909</v>
      </c>
      <c r="F70" s="131" t="s">
        <v>515</v>
      </c>
      <c r="G70" s="131" t="s">
        <v>2899</v>
      </c>
      <c r="H70" s="131" t="s">
        <v>515</v>
      </c>
      <c r="I70" s="132" t="s">
        <v>2899</v>
      </c>
    </row>
    <row r="71" spans="1:10" ht="26.25" thickBot="1">
      <c r="A71" s="53" t="s">
        <v>6583</v>
      </c>
      <c r="B71" s="137" t="s">
        <v>6539</v>
      </c>
      <c r="C71" s="135" t="s">
        <v>6540</v>
      </c>
      <c r="D71" s="131" t="s">
        <v>2899</v>
      </c>
      <c r="E71" s="131" t="s">
        <v>2909</v>
      </c>
      <c r="F71" s="131" t="s">
        <v>515</v>
      </c>
      <c r="G71" s="131" t="s">
        <v>2899</v>
      </c>
      <c r="H71" s="131" t="s">
        <v>2909</v>
      </c>
      <c r="I71" s="132" t="s">
        <v>515</v>
      </c>
    </row>
    <row r="72" spans="1:10" ht="26.25" thickBot="1">
      <c r="A72" s="53" t="s">
        <v>6584</v>
      </c>
      <c r="B72" s="137" t="s">
        <v>6541</v>
      </c>
      <c r="C72" s="135" t="s">
        <v>6542</v>
      </c>
      <c r="D72" s="131" t="s">
        <v>515</v>
      </c>
      <c r="E72" s="131" t="s">
        <v>2899</v>
      </c>
      <c r="F72" s="131" t="s">
        <v>2909</v>
      </c>
      <c r="G72" s="131" t="s">
        <v>2909</v>
      </c>
      <c r="H72" s="131" t="s">
        <v>515</v>
      </c>
      <c r="I72" s="132" t="s">
        <v>2899</v>
      </c>
    </row>
    <row r="73" spans="1:10" ht="26.25" thickBot="1">
      <c r="A73" s="53" t="s">
        <v>6585</v>
      </c>
      <c r="B73" s="137" t="s">
        <v>6543</v>
      </c>
      <c r="C73" s="135" t="s">
        <v>6544</v>
      </c>
      <c r="D73" s="131" t="s">
        <v>2909</v>
      </c>
      <c r="E73" s="131" t="s">
        <v>515</v>
      </c>
      <c r="F73" s="131" t="s">
        <v>2899</v>
      </c>
      <c r="G73" s="131" t="s">
        <v>515</v>
      </c>
      <c r="H73" s="131" t="s">
        <v>2899</v>
      </c>
      <c r="I73" s="132" t="s">
        <v>2909</v>
      </c>
    </row>
    <row r="74" spans="1:10" ht="26.25" thickBot="1">
      <c r="A74" s="53" t="s">
        <v>6586</v>
      </c>
      <c r="B74" s="138" t="s">
        <v>6545</v>
      </c>
      <c r="C74" s="136" t="s">
        <v>6546</v>
      </c>
      <c r="D74" s="133" t="s">
        <v>2899</v>
      </c>
      <c r="E74" s="133" t="s">
        <v>2899</v>
      </c>
      <c r="F74" s="133" t="s">
        <v>515</v>
      </c>
      <c r="G74" s="133" t="s">
        <v>515</v>
      </c>
      <c r="H74" s="133" t="s">
        <v>2909</v>
      </c>
      <c r="I74" s="134" t="s">
        <v>2909</v>
      </c>
    </row>
    <row r="75">
      <c r="A75" s="53" t="inlineStr">
        <is>
          <t xml:space="preserve">T74</t>
        </is>
      </c>
      <c r="B75" s="138" t="inlineStr">
        <is>
          <t xml:space="preserve">Should Ainu communities get first claim on public programs meant for them?</t>
        </is>
      </c>
      <c r="C75" s="136" t="inlineStr">
        <is>
          <t xml:space="preserve">Ainu preferential rights</t>
        </is>
      </c>
      <c r="D75" s="133" t="inlineStr">
        <is>
          <t xml:space="preserve">S</t>
        </is>
      </c>
      <c r="E75" s="133" t="inlineStr">
        <is>
          <t xml:space="preserve">S</t>
        </is>
      </c>
      <c r="F75" s="133" t="inlineStr">
        <is>
          <t xml:space="preserve">M</t>
        </is>
      </c>
      <c r="G75" s="133" t="inlineStr">
        <is>
          <t xml:space="preserve">S</t>
        </is>
      </c>
      <c r="H75" s="133" t="inlineStr">
        <is>
          <t xml:space="preserve">W</t>
        </is>
      </c>
      <c r="I75" s="134" t="inlineStr">
        <is>
          <t xml:space="preserve">W</t>
        </is>
      </c>
    </row>
    <row r="76">
      <c r="A76" s="53" t="inlineStr">
        <is>
          <t xml:space="preserve">T75</t>
        </is>
      </c>
      <c r="B76" s="138" t="inlineStr">
        <is>
          <t xml:space="preserve">Why should one community have reserved seats on local boards?</t>
        </is>
      </c>
      <c r="C76" s="136" t="inlineStr">
        <is>
          <t xml:space="preserve">Ainu reserved seats</t>
        </is>
      </c>
      <c r="D76" s="133" t="inlineStr">
        <is>
          <t xml:space="preserve">M</t>
        </is>
      </c>
      <c r="E76" s="133" t="inlineStr">
        <is>
          <t xml:space="preserve">S</t>
        </is>
      </c>
      <c r="F76" s="133" t="inlineStr">
        <is>
          <t xml:space="preserve">W</t>
        </is>
      </c>
      <c r="G76" s="133" t="inlineStr">
        <is>
          <t xml:space="preserve">S</t>
        </is>
      </c>
      <c r="H76" s="133" t="inlineStr">
        <is>
          <t xml:space="preserve">M</t>
        </is>
      </c>
      <c r="I76" s="134" t="inlineStr">
        <is>
          <t xml:space="preserve">W</t>
        </is>
      </c>
    </row>
    <row r="77">
      <c r="A77" s="53" t="inlineStr">
        <is>
          <t xml:space="preserve">T76</t>
        </is>
      </c>
      <c r="B77" s="138" t="inlineStr">
        <is>
          <t xml:space="preserve">Is it fair for Ainu fishers to have special harvest rights?</t>
        </is>
      </c>
      <c r="C77" s="136" t="inlineStr">
        <is>
          <t xml:space="preserve">Ainu harvest rights</t>
        </is>
      </c>
      <c r="D77" s="133" t="inlineStr">
        <is>
          <t xml:space="preserve">S</t>
        </is>
      </c>
      <c r="E77" s="133" t="inlineStr">
        <is>
          <t xml:space="preserve">M</t>
        </is>
      </c>
      <c r="F77" s="133" t="inlineStr">
        <is>
          <t xml:space="preserve">M</t>
        </is>
      </c>
      <c r="G77" s="133" t="inlineStr">
        <is>
          <t xml:space="preserve">S</t>
        </is>
      </c>
      <c r="H77" s="133" t="inlineStr">
        <is>
          <t xml:space="preserve">W</t>
        </is>
      </c>
      <c r="I77" s="134" t="inlineStr">
        <is>
          <t xml:space="preserve">W</t>
        </is>
      </c>
    </row>
    <row r="78">
      <c r="A78" s="53" t="inlineStr">
        <is>
          <t xml:space="preserve">T77</t>
        </is>
      </c>
      <c r="B78" s="138" t="inlineStr">
        <is>
          <t xml:space="preserve">Will land that was taken ever be handed back to Ainu communities?</t>
        </is>
      </c>
      <c r="C78" s="136" t="inlineStr">
        <is>
          <t xml:space="preserve">Ainu land return</t>
        </is>
      </c>
      <c r="D78" s="133" t="inlineStr">
        <is>
          <t xml:space="preserve">S</t>
        </is>
      </c>
      <c r="E78" s="133" t="inlineStr">
        <is>
          <t xml:space="preserve">S</t>
        </is>
      </c>
      <c r="F78" s="133" t="inlineStr">
        <is>
          <t xml:space="preserve">M</t>
        </is>
      </c>
      <c r="G78" s="133" t="inlineStr">
        <is>
          <t xml:space="preserve">M</t>
        </is>
      </c>
      <c r="H78" s="133" t="inlineStr">
        <is>
          <t xml:space="preserve">W</t>
        </is>
      </c>
      <c r="I78" s="134" t="inlineStr">
        <is>
          <t xml:space="preserve">M</t>
        </is>
      </c>
    </row>
    <row r="79">
      <c r="A79" s="53" t="inlineStr">
        <is>
          <t xml:space="preserve">T78</t>
        </is>
      </c>
      <c r="B79" s="138" t="inlineStr">
        <is>
          <t xml:space="preserve">Does protecting the Ainu language mean less money for everyone else?</t>
        </is>
      </c>
      <c r="C79" s="136" t="inlineStr">
        <is>
          <t xml:space="preserve">Ainu language funding</t>
        </is>
      </c>
      <c r="D79" s="133" t="inlineStr">
        <is>
          <t xml:space="preserve">S</t>
        </is>
      </c>
      <c r="E79" s="133" t="inlineStr">
        <is>
          <t xml:space="preserve">M</t>
        </is>
      </c>
      <c r="F79" s="133" t="inlineStr">
        <is>
          <t xml:space="preserve">W</t>
        </is>
      </c>
      <c r="G79" s="133" t="inlineStr">
        <is>
          <t xml:space="preserve">S</t>
        </is>
      </c>
      <c r="H79" s="133" t="inlineStr">
        <is>
          <t xml:space="preserve">M</t>
        </is>
      </c>
      <c r="I79" s="134" t="inlineStr">
        <is>
          <t xml:space="preserve">W</t>
        </is>
      </c>
    </row>
    <row r="80">
      <c r="A80" s="53" t="inlineStr">
        <is>
          <t xml:space="preserve">T79</t>
        </is>
      </c>
      <c r="B80" s="138" t="inlineStr">
        <is>
          <t xml:space="preserve">Quotas keep shrinking. How do small boats survive?</t>
        </is>
      </c>
      <c r="C80" s="136" t="inlineStr">
        <is>
          <t xml:space="preserve">Fishing quotas</t>
        </is>
      </c>
      <c r="D80" s="133" t="inlineStr">
        <is>
          <t xml:space="preserve">S</t>
        </is>
      </c>
      <c r="E80" s="133" t="inlineStr">
        <is>
          <t xml:space="preserve">S</t>
        </is>
      </c>
      <c r="F80" s="133" t="inlineStr">
        <is>
          <t xml:space="preserve">M</t>
        </is>
      </c>
      <c r="G80" s="133" t="inlineStr">
        <is>
          <t xml:space="preserve">S</t>
        </is>
      </c>
      <c r="H80" s="133" t="inlineStr">
        <is>
          <t xml:space="preserve">W</t>
        </is>
      </c>
      <c r="I80" s="134" t="inlineStr">
        <is>
          <t xml:space="preserve">M</t>
        </is>
      </c>
    </row>
    <row r="81">
      <c r="A81" s="53" t="inlineStr">
        <is>
          <t xml:space="preserve">T80</t>
        </is>
      </c>
      <c r="B81" s="138" t="inlineStr">
        <is>
          <t xml:space="preserve">Who pays to keep our harbours in working order?</t>
        </is>
      </c>
      <c r="C81" s="136" t="inlineStr">
        <is>
          <t xml:space="preserve">Harbour upkeep</t>
        </is>
      </c>
      <c r="D81" s="133" t="inlineStr">
        <is>
          <t xml:space="preserve">S</t>
        </is>
      </c>
      <c r="E81" s="133" t="inlineStr">
        <is>
          <t xml:space="preserve">M</t>
        </is>
      </c>
      <c r="F81" s="133" t="inlineStr">
        <is>
          <t xml:space="preserve">M</t>
        </is>
      </c>
      <c r="G81" s="133" t="inlineStr">
        <is>
          <t xml:space="preserve">S</t>
        </is>
      </c>
      <c r="H81" s="133" t="inlineStr">
        <is>
          <t xml:space="preserve">W</t>
        </is>
      </c>
      <c r="I81" s="134" t="inlineStr">
        <is>
          <t xml:space="preserve">M</t>
        </is>
      </c>
    </row>
    <row r="82">
      <c r="A82" s="53" t="inlineStr">
        <is>
          <t xml:space="preserve">T81</t>
        </is>
      </c>
      <c r="B82" s="138" t="inlineStr">
        <is>
          <t xml:space="preserve">Prices at the market fall while fuel costs rise. What will you do?</t>
        </is>
      </c>
      <c r="C82" s="136" t="inlineStr">
        <is>
          <t xml:space="preserve">Catch prices</t>
        </is>
      </c>
      <c r="D82" s="133" t="inlineStr">
        <is>
          <t xml:space="preserve">S</t>
        </is>
      </c>
      <c r="E82" s="133" t="inlineStr">
        <is>
          <t xml:space="preserve">S</t>
        </is>
      </c>
      <c r="F82" s="133" t="inlineStr">
        <is>
          <t xml:space="preserve">W</t>
        </is>
      </c>
      <c r="G82" s="133" t="inlineStr">
        <is>
          <t xml:space="preserve">S</t>
        </is>
      </c>
      <c r="H82" s="133" t="inlineStr">
        <is>
          <t xml:space="preserve">M</t>
        </is>
      </c>
      <c r="I82" s="134" t="inlineStr">
        <is>
          <t xml:space="preserve">M</t>
        </is>
      </c>
    </row>
    <row r="83">
      <c r="A83" s="53" t="inlineStr">
        <is>
          <t xml:space="preserve">T82</t>
        </is>
      </c>
      <c r="B83" s="138" t="inlineStr">
        <is>
          <t xml:space="preserve">My commute costs more every year. What will you do?</t>
        </is>
      </c>
      <c r="C83" s="136" t="inlineStr">
        <is>
          <t xml:space="preserve">Commuter fares</t>
        </is>
      </c>
      <c r="D83" s="133" t="inlineStr">
        <is>
          <t xml:space="preserve">S</t>
        </is>
      </c>
      <c r="E83" s="133" t="inlineStr">
        <is>
          <t xml:space="preserve">S</t>
        </is>
      </c>
      <c r="F83" s="133" t="inlineStr">
        <is>
          <t xml:space="preserve">M</t>
        </is>
      </c>
      <c r="G83" s="133" t="inlineStr">
        <is>
          <t xml:space="preserve">S</t>
        </is>
      </c>
      <c r="H83" s="133" t="inlineStr">
        <is>
          <t xml:space="preserve">W</t>
        </is>
      </c>
      <c r="I83" s="134" t="inlineStr">
        <is>
          <t xml:space="preserve">M</t>
        </is>
      </c>
    </row>
    <row r="84">
      <c r="A84" s="53" t="inlineStr">
        <is>
          <t xml:space="preserve">T83</t>
        </is>
      </c>
      <c r="B84" s="138" t="inlineStr">
        <is>
          <t xml:space="preserve">Last trains stop too early for shift workers. Can that change?</t>
        </is>
      </c>
      <c r="C84" s="136" t="inlineStr">
        <is>
          <t xml:space="preserve">Rail timetables</t>
        </is>
      </c>
      <c r="D84" s="133" t="inlineStr">
        <is>
          <t xml:space="preserve">S</t>
        </is>
      </c>
      <c r="E84" s="133" t="inlineStr">
        <is>
          <t xml:space="preserve">S</t>
        </is>
      </c>
      <c r="F84" s="133" t="inlineStr">
        <is>
          <t xml:space="preserve">M</t>
        </is>
      </c>
      <c r="G84" s="133" t="inlineStr">
        <is>
          <t xml:space="preserve">M</t>
        </is>
      </c>
      <c r="H84" s="133" t="inlineStr">
        <is>
          <t xml:space="preserve">W</t>
        </is>
      </c>
      <c r="I84" s="134" t="inlineStr">
        <is>
          <t xml:space="preserve">M</t>
        </is>
      </c>
    </row>
    <row r="85">
      <c r="A85" s="53" t="inlineStr">
        <is>
          <t xml:space="preserve">T84</t>
        </is>
      </c>
      <c r="B85" s="138" t="inlineStr">
        <is>
          <t xml:space="preserve">Station stairs are impossible with a pram or a wheelchair. Who fixes that?</t>
        </is>
      </c>
      <c r="C85" s="136" t="inlineStr">
        <is>
          <t xml:space="preserve">Station access</t>
        </is>
      </c>
      <c r="D85" s="133" t="inlineStr">
        <is>
          <t xml:space="preserve">S</t>
        </is>
      </c>
      <c r="E85" s="133" t="inlineStr">
        <is>
          <t xml:space="preserve">S</t>
        </is>
      </c>
      <c r="F85" s="133" t="inlineStr">
        <is>
          <t xml:space="preserve">W</t>
        </is>
      </c>
      <c r="G85" s="133" t="inlineStr">
        <is>
          <t xml:space="preserve">S</t>
        </is>
      </c>
      <c r="H85" s="133" t="inlineStr">
        <is>
          <t xml:space="preserve">M</t>
        </is>
      </c>
      <c r="I85" s="134" t="inlineStr">
        <is>
          <t xml:space="preserve">W</t>
        </is>
      </c>
    </row>
    <row r="86">
      <c r="A86" s="53" t="inlineStr">
        <is>
          <t xml:space="preserve">T85</t>
        </is>
      </c>
      <c r="B86" s="138" t="inlineStr">
        <is>
          <t xml:space="preserve">Why should my taxes pay for research that may never work?</t>
        </is>
      </c>
      <c r="C86" s="136" t="inlineStr">
        <is>
          <t xml:space="preserve">Research funding</t>
        </is>
      </c>
      <c r="D86" s="133" t="inlineStr">
        <is>
          <t xml:space="preserve">M</t>
        </is>
      </c>
      <c r="E86" s="133" t="inlineStr">
        <is>
          <t xml:space="preserve">W</t>
        </is>
      </c>
      <c r="F86" s="133" t="inlineStr">
        <is>
          <t xml:space="preserve">M</t>
        </is>
      </c>
      <c r="G86" s="133" t="inlineStr">
        <is>
          <t xml:space="preserve">S</t>
        </is>
      </c>
      <c r="H86" s="133" t="inlineStr">
        <is>
          <t xml:space="preserve">S</t>
        </is>
      </c>
      <c r="I86" s="134" t="inlineStr">
        <is>
          <t xml:space="preserve">M</t>
        </is>
      </c>
    </row>
    <row r="87">
      <c r="A87" s="53" t="inlineStr">
        <is>
          <t xml:space="preserve">T86</t>
        </is>
      </c>
      <c r="B87" s="138" t="inlineStr">
        <is>
          <t xml:space="preserve">Great ideas come out of our university and then leave town. Why?</t>
        </is>
      </c>
      <c r="C87" s="136" t="inlineStr">
        <is>
          <t xml:space="preserve">Tech transfer</t>
        </is>
      </c>
      <c r="D87" s="133" t="inlineStr">
        <is>
          <t xml:space="preserve">S</t>
        </is>
      </c>
      <c r="E87" s="133" t="inlineStr">
        <is>
          <t xml:space="preserve">M</t>
        </is>
      </c>
      <c r="F87" s="133" t="inlineStr">
        <is>
          <t xml:space="preserve">M</t>
        </is>
      </c>
      <c r="G87" s="133" t="inlineStr">
        <is>
          <t xml:space="preserve">S</t>
        </is>
      </c>
      <c r="H87" s="133" t="inlineStr">
        <is>
          <t xml:space="preserve">S</t>
        </is>
      </c>
      <c r="I87" s="134" t="inlineStr">
        <is>
          <t xml:space="preserve">M</t>
        </is>
      </c>
    </row>
    <row r="88">
      <c r="A88" s="53" t="inlineStr">
        <is>
          <t xml:space="preserve">T87</t>
        </is>
      </c>
      <c r="B88" s="138" t="inlineStr">
        <is>
          <t xml:space="preserve">Graduates cannot find work here. Why should they stay in Yezo?</t>
        </is>
      </c>
      <c r="C88" s="136" t="inlineStr">
        <is>
          <t xml:space="preserve">Graduate jobs</t>
        </is>
      </c>
      <c r="D88" s="133" t="inlineStr">
        <is>
          <t xml:space="preserve">S</t>
        </is>
      </c>
      <c r="E88" s="133" t="inlineStr">
        <is>
          <t xml:space="preserve">S</t>
        </is>
      </c>
      <c r="F88" s="133" t="inlineStr">
        <is>
          <t xml:space="preserve">M</t>
        </is>
      </c>
      <c r="G88" s="133" t="inlineStr">
        <is>
          <t xml:space="preserve">S</t>
        </is>
      </c>
      <c r="H88" s="133" t="inlineStr">
        <is>
          <t xml:space="preserve">S</t>
        </is>
      </c>
      <c r="I88" s="134" t="inlineStr">
        <is>
          <t xml:space="preserve">M</t>
        </is>
      </c>
    </row>
    <row r="89">
      <c r="A89" s="53" t="inlineStr">
        <is>
          <t xml:space="preserve">T88</t>
        </is>
      </c>
      <c r="B89" s="138" t="inlineStr">
        <is>
          <t xml:space="preserve">Our festival may be cancelled for lack of funds. Will you help?</t>
        </is>
      </c>
      <c r="C89" s="136" t="inlineStr">
        <is>
          <t xml:space="preserve">Festival funding</t>
        </is>
      </c>
      <c r="D89" s="133" t="inlineStr">
        <is>
          <t xml:space="preserve">S</t>
        </is>
      </c>
      <c r="E89" s="133" t="inlineStr">
        <is>
          <t xml:space="preserve">S</t>
        </is>
      </c>
      <c r="F89" s="133" t="inlineStr">
        <is>
          <t xml:space="preserve">M</t>
        </is>
      </c>
      <c r="G89" s="133" t="inlineStr">
        <is>
          <t xml:space="preserve">M</t>
        </is>
      </c>
      <c r="H89" s="133" t="inlineStr">
        <is>
          <t xml:space="preserve">S</t>
        </is>
      </c>
      <c r="I89" s="134" t="inlineStr">
        <is>
          <t xml:space="preserve">W</t>
        </is>
      </c>
    </row>
    <row r="90">
      <c r="A90" s="53" t="inlineStr">
        <is>
          <t xml:space="preserve">T89</t>
        </is>
      </c>
      <c r="B90" s="138" t="inlineStr">
        <is>
          <t xml:space="preserve">Developers want the land around our shrine. Will you stop them?</t>
        </is>
      </c>
      <c r="C90" s="136" t="inlineStr">
        <is>
          <t xml:space="preserve">Shrine land</t>
        </is>
      </c>
      <c r="D90" s="133" t="inlineStr">
        <is>
          <t xml:space="preserve">S</t>
        </is>
      </c>
      <c r="E90" s="133" t="inlineStr">
        <is>
          <t xml:space="preserve">S</t>
        </is>
      </c>
      <c r="F90" s="133" t="inlineStr">
        <is>
          <t xml:space="preserve">M</t>
        </is>
      </c>
      <c r="G90" s="133" t="inlineStr">
        <is>
          <t xml:space="preserve">M</t>
        </is>
      </c>
      <c r="H90" s="133" t="inlineStr">
        <is>
          <t xml:space="preserve">S</t>
        </is>
      </c>
      <c r="I90" s="134" t="inlineStr">
        <is>
          <t xml:space="preserve">M</t>
        </is>
      </c>
    </row>
    <row r="91">
      <c r="A91" s="53" t="inlineStr">
        <is>
          <t xml:space="preserve">T90</t>
        </is>
      </c>
      <c r="B91" s="138" t="inlineStr">
        <is>
          <t xml:space="preserve">Farm festivals are dying out. Why does that matter to you?</t>
        </is>
      </c>
      <c r="C91" s="136" t="inlineStr">
        <is>
          <t xml:space="preserve">Seasonal rites</t>
        </is>
      </c>
      <c r="D91" s="133" t="inlineStr">
        <is>
          <t xml:space="preserve">S</t>
        </is>
      </c>
      <c r="E91" s="133" t="inlineStr">
        <is>
          <t xml:space="preserve">S</t>
        </is>
      </c>
      <c r="F91" s="133" t="inlineStr">
        <is>
          <t xml:space="preserve">M</t>
        </is>
      </c>
      <c r="G91" s="133" t="inlineStr">
        <is>
          <t xml:space="preserve">M</t>
        </is>
      </c>
      <c r="H91" s="133" t="inlineStr">
        <is>
          <t xml:space="preserve">W</t>
        </is>
      </c>
      <c r="I91" s="134" t="inlineStr">
        <is>
          <t xml:space="preserve">M</t>
        </is>
      </c>
    </row>
    <row r="92">
      <c r="A92" s="53" t="inlineStr">
        <is>
          <t xml:space="preserve">T91</t>
        </is>
      </c>
      <c r="B92" s="138" t="inlineStr">
        <is>
          <t xml:space="preserve">Why does the flag cause so much argument now?</t>
        </is>
      </c>
      <c r="C92" s="136" t="inlineStr">
        <is>
          <t xml:space="preserve">National symbols</t>
        </is>
      </c>
      <c r="D92" s="133" t="inlineStr">
        <is>
          <t xml:space="preserve">S</t>
        </is>
      </c>
      <c r="E92" s="133" t="inlineStr">
        <is>
          <t xml:space="preserve">M</t>
        </is>
      </c>
      <c r="F92" s="133" t="inlineStr">
        <is>
          <t xml:space="preserve">S</t>
        </is>
      </c>
      <c r="G92" s="133" t="inlineStr">
        <is>
          <t xml:space="preserve">M</t>
        </is>
      </c>
      <c r="H92" s="133" t="inlineStr">
        <is>
          <t xml:space="preserve">S</t>
        </is>
      </c>
      <c r="I92" s="134" t="inlineStr">
        <is>
          <t xml:space="preserve">W</t>
        </is>
      </c>
    </row>
    <row r="93">
      <c r="A93" s="53" t="inlineStr">
        <is>
          <t xml:space="preserve">T92</t>
        </is>
      </c>
      <c r="B93" s="138" t="inlineStr">
        <is>
          <t xml:space="preserve">My family has made this craft for six generations. Will it survive?</t>
        </is>
      </c>
      <c r="C93" s="136" t="inlineStr">
        <is>
          <t xml:space="preserve">Traditional crafts</t>
        </is>
      </c>
      <c r="D93" s="133" t="inlineStr">
        <is>
          <t xml:space="preserve">S</t>
        </is>
      </c>
      <c r="E93" s="133" t="inlineStr">
        <is>
          <t xml:space="preserve">S</t>
        </is>
      </c>
      <c r="F93" s="133" t="inlineStr">
        <is>
          <t xml:space="preserve">M</t>
        </is>
      </c>
      <c r="G93" s="133" t="inlineStr">
        <is>
          <t xml:space="preserve">M</t>
        </is>
      </c>
      <c r="H93" s="133" t="inlineStr">
        <is>
          <t xml:space="preserve">M</t>
        </is>
      </c>
      <c r="I93" s="134" t="inlineStr">
        <is>
          <t xml:space="preserve">M</t>
        </is>
      </c>
    </row>
    <row r="94">
      <c r="A94" s="53" t="inlineStr">
        <is>
          <t xml:space="preserve">T93</t>
        </is>
      </c>
      <c r="B94" s="138" t="inlineStr">
        <is>
          <t xml:space="preserve">My kids are on screens all day. Is that the government's job?</t>
        </is>
      </c>
      <c r="C94" s="136" t="inlineStr">
        <is>
          <t xml:space="preserve">Screen time</t>
        </is>
      </c>
      <c r="D94" s="133" t="inlineStr">
        <is>
          <t xml:space="preserve">S</t>
        </is>
      </c>
      <c r="E94" s="133" t="inlineStr">
        <is>
          <t xml:space="preserve">S</t>
        </is>
      </c>
      <c r="F94" s="133" t="inlineStr">
        <is>
          <t xml:space="preserve">M</t>
        </is>
      </c>
      <c r="G94" s="133" t="inlineStr">
        <is>
          <t xml:space="preserve">M</t>
        </is>
      </c>
      <c r="H94" s="133" t="inlineStr">
        <is>
          <t xml:space="preserve">W</t>
        </is>
      </c>
      <c r="I94" s="134" t="inlineStr">
        <is>
          <t xml:space="preserve">M</t>
        </is>
      </c>
    </row>
    <row r="95">
      <c r="A95" s="53" t="inlineStr">
        <is>
          <t xml:space="preserve">T94</t>
        </is>
      </c>
      <c r="B95" s="138" t="inlineStr">
        <is>
          <t xml:space="preserve">Support for my disabled son was cut. How do you justify that?</t>
        </is>
      </c>
      <c r="C95" s="136" t="inlineStr">
        <is>
          <t xml:space="preserve">Disability support</t>
        </is>
      </c>
      <c r="D95" s="133" t="inlineStr">
        <is>
          <t xml:space="preserve">S</t>
        </is>
      </c>
      <c r="E95" s="133" t="inlineStr">
        <is>
          <t xml:space="preserve">S</t>
        </is>
      </c>
      <c r="F95" s="133" t="inlineStr">
        <is>
          <t xml:space="preserve">M</t>
        </is>
      </c>
      <c r="G95" s="133" t="inlineStr">
        <is>
          <t xml:space="preserve">M</t>
        </is>
      </c>
      <c r="H95" s="133" t="inlineStr">
        <is>
          <t xml:space="preserve">W</t>
        </is>
      </c>
      <c r="I95" s="134" t="inlineStr">
        <is>
          <t xml:space="preserve">W</t>
        </is>
      </c>
    </row>
    <row r="96">
      <c r="A96" s="53" t="inlineStr">
        <is>
          <t xml:space="preserve">T95</t>
        </is>
      </c>
      <c r="B96" s="138" t="inlineStr">
        <is>
          <t xml:space="preserve">Savings earn nothing. How do ordinary people get ahead?</t>
        </is>
      </c>
      <c r="C96" s="136" t="inlineStr">
        <is>
          <t xml:space="preserve">Household savings</t>
        </is>
      </c>
      <c r="D96" s="133" t="inlineStr">
        <is>
          <t xml:space="preserve">S</t>
        </is>
      </c>
      <c r="E96" s="133" t="inlineStr">
        <is>
          <t xml:space="preserve">S</t>
        </is>
      </c>
      <c r="F96" s="133" t="inlineStr">
        <is>
          <t xml:space="preserve">M</t>
        </is>
      </c>
      <c r="G96" s="133" t="inlineStr">
        <is>
          <t xml:space="preserve">S</t>
        </is>
      </c>
      <c r="H96" s="133" t="inlineStr">
        <is>
          <t xml:space="preserve">W</t>
        </is>
      </c>
      <c r="I96" s="134" t="inlineStr">
        <is>
          <t xml:space="preserve">M</t>
        </is>
      </c>
    </row>
    <row r="97">
      <c r="A97" s="53" t="inlineStr">
        <is>
          <t xml:space="preserve">T96</t>
        </is>
      </c>
      <c r="B97" s="138" t="inlineStr">
        <is>
          <t xml:space="preserve">They are building towers next to my house. Who decided that?</t>
        </is>
      </c>
      <c r="C97" s="136" t="inlineStr">
        <is>
          <t xml:space="preserve">Zoning</t>
        </is>
      </c>
      <c r="D97" s="133" t="inlineStr">
        <is>
          <t xml:space="preserve">S</t>
        </is>
      </c>
      <c r="E97" s="133" t="inlineStr">
        <is>
          <t xml:space="preserve">S</t>
        </is>
      </c>
      <c r="F97" s="133" t="inlineStr">
        <is>
          <t xml:space="preserve">M</t>
        </is>
      </c>
      <c r="G97" s="133" t="inlineStr">
        <is>
          <t xml:space="preserve">S</t>
        </is>
      </c>
      <c r="H97" s="133" t="inlineStr">
        <is>
          <t xml:space="preserve">S</t>
        </is>
      </c>
      <c r="I97" s="134" t="inlineStr">
        <is>
          <t xml:space="preserve">M</t>
        </is>
      </c>
    </row>
    <row r="98">
      <c r="A98" s="53" t="inlineStr">
        <is>
          <t xml:space="preserve">T97</t>
        </is>
      </c>
      <c r="B98" s="138" t="inlineStr">
        <is>
          <t xml:space="preserve">Fuel prices are killing our boats. Will you help?</t>
        </is>
      </c>
      <c r="C98" s="136" t="inlineStr">
        <is>
          <t xml:space="preserve">Fuel subsidy</t>
        </is>
      </c>
      <c r="D98" s="133" t="inlineStr">
        <is>
          <t xml:space="preserve">S</t>
        </is>
      </c>
      <c r="E98" s="133" t="inlineStr">
        <is>
          <t xml:space="preserve">S</t>
        </is>
      </c>
      <c r="F98" s="133" t="inlineStr">
        <is>
          <t xml:space="preserve">M</t>
        </is>
      </c>
      <c r="G98" s="133" t="inlineStr">
        <is>
          <t xml:space="preserve">M</t>
        </is>
      </c>
      <c r="H98" s="133" t="inlineStr">
        <is>
          <t xml:space="preserve">W</t>
        </is>
      </c>
      <c r="I98" s="134" t="inlineStr">
        <is>
          <t xml:space="preserve">M</t>
        </is>
      </c>
    </row>
    <row r="99">
      <c r="A99" s="53" t="inlineStr">
        <is>
          <t xml:space="preserve">T98</t>
        </is>
      </c>
      <c r="B99" s="138" t="inlineStr">
        <is>
          <t xml:space="preserve">Plastic keeps washing up on our shore. Who cleans it?</t>
        </is>
      </c>
      <c r="C99" s="136" t="inlineStr">
        <is>
          <t xml:space="preserve">Marine pollution</t>
        </is>
      </c>
      <c r="D99" s="133" t="inlineStr">
        <is>
          <t xml:space="preserve">S</t>
        </is>
      </c>
      <c r="E99" s="133" t="inlineStr">
        <is>
          <t xml:space="preserve">S</t>
        </is>
      </c>
      <c r="F99" s="133" t="inlineStr">
        <is>
          <t xml:space="preserve">M</t>
        </is>
      </c>
      <c r="G99" s="133" t="inlineStr">
        <is>
          <t xml:space="preserve">M</t>
        </is>
      </c>
      <c r="H99" s="133" t="inlineStr">
        <is>
          <t xml:space="preserve">W</t>
        </is>
      </c>
      <c r="I99" s="134" t="inlineStr">
        <is>
          <t xml:space="preserve">M</t>
        </is>
      </c>
    </row>
    <row r="100">
      <c r="A100" s="53" t="inlineStr">
        <is>
          <t xml:space="preserve">T99</t>
        </is>
      </c>
      <c r="B100" s="138" t="inlineStr">
        <is>
          <t xml:space="preserve">I wrote to your office and heard nothing. Why?</t>
        </is>
      </c>
      <c r="C100" s="136" t="inlineStr">
        <is>
          <t xml:space="preserve">Constituent service</t>
        </is>
      </c>
      <c r="D100" s="133" t="inlineStr">
        <is>
          <t xml:space="preserve">S</t>
        </is>
      </c>
      <c r="E100" s="133" t="inlineStr">
        <is>
          <t xml:space="preserve">S</t>
        </is>
      </c>
      <c r="F100" s="133" t="inlineStr">
        <is>
          <t xml:space="preserve">M</t>
        </is>
      </c>
      <c r="G100" s="133" t="inlineStr">
        <is>
          <t xml:space="preserve">M</t>
        </is>
      </c>
      <c r="H100" s="133" t="inlineStr">
        <is>
          <t xml:space="preserve">W</t>
        </is>
      </c>
      <c r="I100" s="134" t="inlineStr">
        <is>
          <t xml:space="preserve">W</t>
        </is>
      </c>
    </row>
    <row r="101">
      <c r="A101" s="53" t="inlineStr">
        <is>
          <t xml:space="preserve">T100</t>
        </is>
      </c>
      <c r="B101" s="138" t="inlineStr">
        <is>
          <t xml:space="preserve">Our station has no lift. How long do we wait?</t>
        </is>
      </c>
      <c r="C101" s="136" t="inlineStr">
        <is>
          <t xml:space="preserve">Station access</t>
        </is>
      </c>
      <c r="D101" s="133" t="inlineStr">
        <is>
          <t xml:space="preserve">S</t>
        </is>
      </c>
      <c r="E101" s="133" t="inlineStr">
        <is>
          <t xml:space="preserve">S</t>
        </is>
      </c>
      <c r="F101" s="133" t="inlineStr">
        <is>
          <t xml:space="preserve">M</t>
        </is>
      </c>
      <c r="G101" s="133" t="inlineStr">
        <is>
          <t xml:space="preserve">S</t>
        </is>
      </c>
      <c r="H101" s="133" t="inlineStr">
        <is>
          <t xml:space="preserve">W</t>
        </is>
      </c>
      <c r="I101" s="134" t="inlineStr">
        <is>
          <t xml:space="preserve">M</t>
        </is>
      </c>
    </row>
    <row r="102">
      <c r="A102" s="53" t="inlineStr">
        <is>
          <t xml:space="preserve">T101</t>
        </is>
      </c>
      <c r="B102" s="138" t="inlineStr">
        <is>
          <t xml:space="preserve">The road into town is jammed every morning. What is the fix?</t>
        </is>
      </c>
      <c r="C102" s="136" t="inlineStr">
        <is>
          <t xml:space="preserve">Road congestion</t>
        </is>
      </c>
      <c r="D102" s="133" t="inlineStr">
        <is>
          <t xml:space="preserve">S</t>
        </is>
      </c>
      <c r="E102" s="133" t="inlineStr">
        <is>
          <t xml:space="preserve">M</t>
        </is>
      </c>
      <c r="F102" s="133" t="inlineStr">
        <is>
          <t xml:space="preserve">M</t>
        </is>
      </c>
      <c r="G102" s="133" t="inlineStr">
        <is>
          <t xml:space="preserve">S</t>
        </is>
      </c>
      <c r="H102" s="133" t="inlineStr">
        <is>
          <t xml:space="preserve">W</t>
        </is>
      </c>
      <c r="I102" s="134" t="inlineStr">
        <is>
          <t xml:space="preserve">M</t>
        </is>
      </c>
    </row>
    <row r="103">
      <c r="A103" s="53" t="inlineStr">
        <is>
          <t xml:space="preserve">T102</t>
        </is>
      </c>
      <c r="B103" s="138" t="inlineStr">
        <is>
          <t xml:space="preserve">Buses and trains do not connect. Who is planning this?</t>
        </is>
      </c>
      <c r="C103" s="136" t="inlineStr">
        <is>
          <t xml:space="preserve">Transit</t>
        </is>
      </c>
      <c r="D103" s="133" t="inlineStr">
        <is>
          <t xml:space="preserve">S</t>
        </is>
      </c>
      <c r="E103" s="133" t="inlineStr">
        <is>
          <t xml:space="preserve">M</t>
        </is>
      </c>
      <c r="F103" s="133" t="inlineStr">
        <is>
          <t xml:space="preserve">M</t>
        </is>
      </c>
      <c r="G103" s="133" t="inlineStr">
        <is>
          <t xml:space="preserve">S</t>
        </is>
      </c>
      <c r="H103" s="133" t="inlineStr">
        <is>
          <t xml:space="preserve">W</t>
        </is>
      </c>
      <c r="I103" s="134" t="inlineStr">
        <is>
          <t xml:space="preserve">M</t>
        </is>
      </c>
    </row>
    <row r="104">
      <c r="A104" s="53" t="inlineStr">
        <is>
          <t xml:space="preserve">T103</t>
        </is>
      </c>
      <c r="B104" s="138" t="inlineStr">
        <is>
          <t xml:space="preserve">Why should older voters get to decide the future that we will have to live in?</t>
        </is>
      </c>
      <c r="C104" s="136" t="inlineStr">
        <is>
          <t xml:space="preserve">Generational divide</t>
        </is>
      </c>
      <c r="D104" s="133" t="inlineStr">
        <is>
          <t xml:space="preserve">M</t>
        </is>
      </c>
      <c r="E104" s="133" t="inlineStr">
        <is>
          <t xml:space="preserve">S</t>
        </is>
      </c>
      <c r="F104" s="133" t="inlineStr">
        <is>
          <t xml:space="preserve">M</t>
        </is>
      </c>
      <c r="G104" s="133" t="inlineStr">
        <is>
          <t xml:space="preserve">W</t>
        </is>
      </c>
      <c r="H104" s="133" t="inlineStr">
        <is>
          <t xml:space="preserve">S</t>
        </is>
      </c>
      <c r="I104" s="134" t="inlineStr">
        <is>
          <t xml:space="preserve">M</t>
        </is>
      </c>
    </row>
    <row r="105">
      <c r="A105" s="53" t="inlineStr">
        <is>
          <t xml:space="preserve">T104</t>
        </is>
      </c>
      <c r="B105" s="138" t="inlineStr">
        <is>
          <t xml:space="preserve">Should people who do not honour our customs have any say in how we keep them?</t>
        </is>
      </c>
      <c r="C105" s="136" t="inlineStr">
        <is>
          <t xml:space="preserve">Customs and belonging</t>
        </is>
      </c>
      <c r="D105" s="133" t="inlineStr">
        <is>
          <t xml:space="preserve">S</t>
        </is>
      </c>
      <c r="E105" s="133" t="inlineStr">
        <is>
          <t xml:space="preserve">M</t>
        </is>
      </c>
      <c r="F105" s="133" t="inlineStr">
        <is>
          <t xml:space="preserve">M</t>
        </is>
      </c>
      <c r="G105" s="133" t="inlineStr">
        <is>
          <t xml:space="preserve">W</t>
        </is>
      </c>
      <c r="H105" s="133" t="inlineStr">
        <is>
          <t xml:space="preserve">S</t>
        </is>
      </c>
      <c r="I105" s="134" t="inlineStr">
        <is>
          <t xml:space="preserve">W</t>
        </is>
      </c>
    </row>
    <row r="110" spans="1:10">
      <c r="B110" s="58" t="s">
        <v>3007</v>
      </c>
    </row>
    <row r="111" spans="1:10">
      <c r="B111" s="58" t="s">
        <v>2957</v>
      </c>
    </row>
    <row r="112" spans="2:10">
      <c r="B112" s="58" t="s">
        <v>3008</v>
      </c>
    </row>
    <row r="113" spans="2:10">
      <c r="B113" s="58" t="s">
        <v>2960</v>
      </c>
    </row>
  </sheetData>
  <phoneticPr fontId="20" type="noConversion"/>
  <pageMargins left="0.75" right="0.75" top="1" bottom="1" header="0.5" footer="0.5"/>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N84"/>
  <sheetViews>
    <sheetView workbookViewId="0">
      <pane xSplit="2" ySplit="1" topLeftCell="C47" activePane="bottomRight" state="frozen"/>
      <selection pane="topRight"/>
      <selection pane="bottomLeft"/>
      <selection pane="bottomRight" activeCell="K56" sqref="K56"/>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3009</v>
      </c>
      <c r="B2" s="54" t="s">
        <v>3010</v>
      </c>
      <c r="C2" s="55" t="s">
        <v>662</v>
      </c>
      <c r="D2" s="53" t="s">
        <v>515</v>
      </c>
      <c r="E2" s="53" t="s">
        <v>515</v>
      </c>
      <c r="F2" s="53" t="s">
        <v>2899</v>
      </c>
      <c r="G2" s="53" t="s">
        <v>515</v>
      </c>
      <c r="H2" s="53" t="s">
        <v>515</v>
      </c>
      <c r="I2" s="53" t="s">
        <v>2899</v>
      </c>
      <c r="J2" s="53"/>
      <c r="K2" s="53"/>
      <c r="L2" s="56"/>
      <c r="M2" s="56"/>
      <c r="N2" s="56"/>
    </row>
    <row r="3" spans="1:14" ht="114.75" customHeight="1">
      <c r="A3" s="53" t="s">
        <v>3011</v>
      </c>
      <c r="B3" s="54" t="s">
        <v>3012</v>
      </c>
      <c r="C3" s="55" t="s">
        <v>3013</v>
      </c>
      <c r="D3" s="53" t="s">
        <v>2899</v>
      </c>
      <c r="E3" s="53" t="s">
        <v>2909</v>
      </c>
      <c r="F3" s="53" t="s">
        <v>2899</v>
      </c>
      <c r="G3" s="53" t="s">
        <v>515</v>
      </c>
      <c r="H3" s="53" t="s">
        <v>515</v>
      </c>
      <c r="I3" s="53" t="s">
        <v>2899</v>
      </c>
      <c r="J3" s="53"/>
      <c r="K3" s="53"/>
      <c r="L3" s="56"/>
      <c r="M3" s="56"/>
      <c r="N3" s="56"/>
    </row>
    <row r="4" spans="1:14" ht="140.25" customHeight="1">
      <c r="A4" s="53" t="s">
        <v>3014</v>
      </c>
      <c r="B4" s="54" t="s">
        <v>3015</v>
      </c>
      <c r="C4" s="55" t="s">
        <v>3016</v>
      </c>
      <c r="D4" s="53" t="s">
        <v>515</v>
      </c>
      <c r="E4" s="53" t="s">
        <v>2909</v>
      </c>
      <c r="F4" s="53" t="s">
        <v>2899</v>
      </c>
      <c r="G4" s="53" t="s">
        <v>2899</v>
      </c>
      <c r="H4" s="53" t="s">
        <v>2909</v>
      </c>
      <c r="I4" s="53" t="s">
        <v>2899</v>
      </c>
      <c r="J4" s="53"/>
      <c r="K4" s="53"/>
      <c r="L4" s="56"/>
      <c r="M4" s="56"/>
      <c r="N4" s="56"/>
    </row>
    <row r="5" spans="1:14" ht="127.5" customHeight="1">
      <c r="A5" s="53" t="s">
        <v>3017</v>
      </c>
      <c r="B5" s="54" t="s">
        <v>3018</v>
      </c>
      <c r="C5" s="55" t="s">
        <v>3019</v>
      </c>
      <c r="D5" s="53" t="s">
        <v>2899</v>
      </c>
      <c r="E5" s="53" t="s">
        <v>2909</v>
      </c>
      <c r="F5" s="53" t="s">
        <v>2899</v>
      </c>
      <c r="G5" s="53" t="s">
        <v>515</v>
      </c>
      <c r="H5" s="53" t="s">
        <v>515</v>
      </c>
      <c r="I5" s="53" t="s">
        <v>2899</v>
      </c>
      <c r="J5" s="53"/>
      <c r="K5" s="53"/>
      <c r="L5" s="56"/>
      <c r="M5" s="56"/>
      <c r="N5" s="56"/>
    </row>
    <row r="6" spans="1:14" ht="114.75" customHeight="1">
      <c r="A6" s="53" t="s">
        <v>3020</v>
      </c>
      <c r="B6" s="54" t="s">
        <v>3021</v>
      </c>
      <c r="C6" s="55" t="s">
        <v>3022</v>
      </c>
      <c r="D6" s="53" t="s">
        <v>2899</v>
      </c>
      <c r="E6" s="53" t="s">
        <v>2909</v>
      </c>
      <c r="F6" s="53" t="s">
        <v>2899</v>
      </c>
      <c r="G6" s="53" t="s">
        <v>2909</v>
      </c>
      <c r="H6" s="53" t="s">
        <v>515</v>
      </c>
      <c r="I6" s="53" t="s">
        <v>2899</v>
      </c>
      <c r="J6" s="53"/>
      <c r="K6" s="53"/>
      <c r="L6" s="56"/>
      <c r="M6" s="56"/>
      <c r="N6" s="56"/>
    </row>
    <row r="7" spans="1:14" ht="127.5" customHeight="1">
      <c r="A7" s="53" t="s">
        <v>3023</v>
      </c>
      <c r="B7" s="54" t="s">
        <v>3024</v>
      </c>
      <c r="C7" s="55" t="s">
        <v>3025</v>
      </c>
      <c r="D7" s="53" t="s">
        <v>2899</v>
      </c>
      <c r="E7" s="53" t="s">
        <v>2909</v>
      </c>
      <c r="F7" s="53" t="s">
        <v>515</v>
      </c>
      <c r="G7" s="53" t="s">
        <v>515</v>
      </c>
      <c r="H7" s="53" t="s">
        <v>515</v>
      </c>
      <c r="I7" s="53" t="s">
        <v>2899</v>
      </c>
      <c r="J7" s="53"/>
      <c r="K7" s="53"/>
      <c r="L7" s="56"/>
      <c r="M7" s="56"/>
      <c r="N7" s="56"/>
    </row>
    <row r="8" spans="1:14" ht="114.75" customHeight="1">
      <c r="A8" s="53" t="s">
        <v>3026</v>
      </c>
      <c r="B8" s="54" t="s">
        <v>3027</v>
      </c>
      <c r="C8" s="55" t="s">
        <v>3028</v>
      </c>
      <c r="D8" s="53" t="s">
        <v>515</v>
      </c>
      <c r="E8" s="53" t="s">
        <v>515</v>
      </c>
      <c r="F8" s="53" t="s">
        <v>2899</v>
      </c>
      <c r="G8" s="53" t="s">
        <v>2909</v>
      </c>
      <c r="H8" s="53" t="s">
        <v>515</v>
      </c>
      <c r="I8" s="53" t="s">
        <v>2899</v>
      </c>
      <c r="J8" s="53"/>
      <c r="K8" s="53"/>
      <c r="L8" s="56"/>
      <c r="M8" s="56"/>
      <c r="N8" s="56"/>
    </row>
    <row r="9" spans="1:14" ht="102" customHeight="1">
      <c r="A9" s="53" t="s">
        <v>3029</v>
      </c>
      <c r="B9" s="54" t="s">
        <v>3030</v>
      </c>
      <c r="C9" s="55" t="s">
        <v>3031</v>
      </c>
      <c r="D9" s="53" t="s">
        <v>2899</v>
      </c>
      <c r="E9" s="53" t="s">
        <v>2899</v>
      </c>
      <c r="F9" s="53" t="s">
        <v>2899</v>
      </c>
      <c r="G9" s="53" t="s">
        <v>2909</v>
      </c>
      <c r="H9" s="53" t="s">
        <v>2899</v>
      </c>
      <c r="I9" s="53" t="s">
        <v>515</v>
      </c>
      <c r="J9" s="53"/>
      <c r="K9" s="53"/>
      <c r="L9" s="56"/>
      <c r="M9" s="56"/>
      <c r="N9" s="56"/>
    </row>
    <row r="10" spans="1:14" ht="114.75" customHeight="1">
      <c r="A10" s="53" t="s">
        <v>3032</v>
      </c>
      <c r="B10" s="54" t="s">
        <v>3033</v>
      </c>
      <c r="C10" s="55" t="s">
        <v>3034</v>
      </c>
      <c r="D10" s="53" t="s">
        <v>515</v>
      </c>
      <c r="E10" s="53" t="s">
        <v>2909</v>
      </c>
      <c r="F10" s="53" t="s">
        <v>515</v>
      </c>
      <c r="G10" s="53" t="s">
        <v>2899</v>
      </c>
      <c r="H10" s="53" t="s">
        <v>2909</v>
      </c>
      <c r="I10" s="53" t="s">
        <v>2899</v>
      </c>
      <c r="J10" s="53"/>
      <c r="K10" s="53"/>
      <c r="L10" s="56"/>
      <c r="M10" s="56"/>
      <c r="N10" s="56"/>
    </row>
    <row r="11" spans="1:14" ht="102" customHeight="1">
      <c r="A11" s="53" t="s">
        <v>3035</v>
      </c>
      <c r="B11" s="54" t="s">
        <v>3036</v>
      </c>
      <c r="C11" s="55" t="s">
        <v>3037</v>
      </c>
      <c r="D11" s="53" t="s">
        <v>515</v>
      </c>
      <c r="E11" s="53" t="s">
        <v>515</v>
      </c>
      <c r="F11" s="53" t="s">
        <v>2899</v>
      </c>
      <c r="G11" s="53" t="s">
        <v>2909</v>
      </c>
      <c r="H11" s="53" t="s">
        <v>2899</v>
      </c>
      <c r="I11" s="53" t="s">
        <v>2899</v>
      </c>
      <c r="J11" s="53"/>
      <c r="K11" s="53"/>
      <c r="L11" s="56"/>
      <c r="M11" s="56"/>
      <c r="N11" s="56"/>
    </row>
    <row r="12" spans="1:14" ht="89.25" customHeight="1">
      <c r="A12" s="53" t="s">
        <v>3038</v>
      </c>
      <c r="B12" s="54" t="s">
        <v>3039</v>
      </c>
      <c r="C12" s="55" t="s">
        <v>3040</v>
      </c>
      <c r="D12" s="53" t="s">
        <v>2899</v>
      </c>
      <c r="E12" s="53" t="s">
        <v>2899</v>
      </c>
      <c r="F12" s="53" t="s">
        <v>515</v>
      </c>
      <c r="G12" s="53" t="s">
        <v>515</v>
      </c>
      <c r="H12" s="53" t="s">
        <v>2899</v>
      </c>
      <c r="I12" s="53" t="s">
        <v>515</v>
      </c>
      <c r="J12" s="53"/>
      <c r="K12" s="53"/>
      <c r="L12" s="56"/>
      <c r="M12" s="56"/>
      <c r="N12" s="56"/>
    </row>
    <row r="13" spans="1:14" ht="114.75" customHeight="1">
      <c r="A13" s="53" t="s">
        <v>3041</v>
      </c>
      <c r="B13" s="54" t="s">
        <v>3042</v>
      </c>
      <c r="C13" s="55" t="s">
        <v>3016</v>
      </c>
      <c r="D13" s="53" t="s">
        <v>515</v>
      </c>
      <c r="E13" s="53" t="s">
        <v>2909</v>
      </c>
      <c r="F13" s="53" t="s">
        <v>2899</v>
      </c>
      <c r="G13" s="53" t="s">
        <v>515</v>
      </c>
      <c r="H13" s="53" t="s">
        <v>2909</v>
      </c>
      <c r="I13" s="53" t="s">
        <v>2899</v>
      </c>
      <c r="J13" s="53"/>
      <c r="K13" s="53"/>
      <c r="L13" s="56"/>
      <c r="M13" s="56"/>
      <c r="N13" s="56"/>
    </row>
    <row r="14" spans="1:14" ht="114.75" customHeight="1">
      <c r="A14" s="53" t="s">
        <v>3043</v>
      </c>
      <c r="B14" s="54" t="s">
        <v>3044</v>
      </c>
      <c r="C14" s="55" t="s">
        <v>3045</v>
      </c>
      <c r="D14" s="53" t="s">
        <v>2899</v>
      </c>
      <c r="E14" s="53" t="s">
        <v>2899</v>
      </c>
      <c r="F14" s="53" t="s">
        <v>515</v>
      </c>
      <c r="G14" s="53" t="s">
        <v>2909</v>
      </c>
      <c r="H14" s="53" t="s">
        <v>2899</v>
      </c>
      <c r="I14" s="53" t="s">
        <v>2899</v>
      </c>
      <c r="J14" s="53"/>
      <c r="K14" s="53"/>
      <c r="L14" s="56"/>
      <c r="M14" s="56"/>
      <c r="N14" s="56"/>
    </row>
    <row r="15" spans="1:14" ht="127.5" customHeight="1">
      <c r="A15" s="53" t="s">
        <v>3046</v>
      </c>
      <c r="B15" s="54" t="s">
        <v>3047</v>
      </c>
      <c r="C15" s="55" t="s">
        <v>2938</v>
      </c>
      <c r="D15" s="53" t="s">
        <v>515</v>
      </c>
      <c r="E15" s="53" t="s">
        <v>2909</v>
      </c>
      <c r="F15" s="53" t="s">
        <v>515</v>
      </c>
      <c r="G15" s="53" t="s">
        <v>2899</v>
      </c>
      <c r="H15" s="53" t="s">
        <v>515</v>
      </c>
      <c r="I15" s="53" t="s">
        <v>2899</v>
      </c>
      <c r="J15" s="53"/>
      <c r="K15" s="53"/>
      <c r="L15" s="56"/>
      <c r="M15" s="56"/>
      <c r="N15" s="56"/>
    </row>
    <row r="16" spans="1:14" ht="114.75" customHeight="1">
      <c r="A16" s="53" t="s">
        <v>3048</v>
      </c>
      <c r="B16" s="54" t="s">
        <v>3049</v>
      </c>
      <c r="C16" s="55" t="s">
        <v>3045</v>
      </c>
      <c r="D16" s="53" t="s">
        <v>2899</v>
      </c>
      <c r="E16" s="53" t="s">
        <v>2909</v>
      </c>
      <c r="F16" s="53" t="s">
        <v>2899</v>
      </c>
      <c r="G16" s="53" t="s">
        <v>2909</v>
      </c>
      <c r="H16" s="53" t="s">
        <v>515</v>
      </c>
      <c r="I16" s="53" t="s">
        <v>2899</v>
      </c>
      <c r="J16" s="53"/>
      <c r="K16" s="53"/>
      <c r="L16" s="56"/>
      <c r="M16" s="56"/>
      <c r="N16" s="56"/>
    </row>
    <row r="17" spans="1:14" ht="102" customHeight="1">
      <c r="A17" s="53" t="s">
        <v>3050</v>
      </c>
      <c r="B17" s="54" t="s">
        <v>3051</v>
      </c>
      <c r="C17" s="55" t="s">
        <v>2975</v>
      </c>
      <c r="D17" s="53" t="s">
        <v>2899</v>
      </c>
      <c r="E17" s="53" t="s">
        <v>2899</v>
      </c>
      <c r="F17" s="53" t="s">
        <v>515</v>
      </c>
      <c r="G17" s="53" t="s">
        <v>515</v>
      </c>
      <c r="H17" s="53" t="s">
        <v>515</v>
      </c>
      <c r="I17" s="53" t="s">
        <v>2899</v>
      </c>
      <c r="J17" s="53"/>
      <c r="K17" s="53"/>
      <c r="L17" s="56"/>
      <c r="M17" s="56"/>
      <c r="N17" s="56"/>
    </row>
    <row r="18" spans="1:14" ht="127.5" customHeight="1">
      <c r="A18" s="53" t="s">
        <v>3052</v>
      </c>
      <c r="B18" s="54" t="s">
        <v>3053</v>
      </c>
      <c r="C18" s="55" t="s">
        <v>3054</v>
      </c>
      <c r="D18" s="53" t="s">
        <v>2899</v>
      </c>
      <c r="E18" s="53" t="s">
        <v>515</v>
      </c>
      <c r="F18" s="53" t="s">
        <v>2899</v>
      </c>
      <c r="G18" s="53" t="s">
        <v>515</v>
      </c>
      <c r="H18" s="53" t="s">
        <v>515</v>
      </c>
      <c r="I18" s="53" t="s">
        <v>2899</v>
      </c>
      <c r="J18" s="53"/>
      <c r="K18" s="53"/>
      <c r="L18" s="56"/>
      <c r="M18" s="56"/>
      <c r="N18" s="56"/>
    </row>
    <row r="19" spans="1:14" ht="127.5" customHeight="1">
      <c r="A19" s="53" t="s">
        <v>3055</v>
      </c>
      <c r="B19" s="54" t="s">
        <v>3056</v>
      </c>
      <c r="C19" s="55" t="s">
        <v>2898</v>
      </c>
      <c r="D19" s="53" t="s">
        <v>515</v>
      </c>
      <c r="E19" s="53" t="s">
        <v>515</v>
      </c>
      <c r="F19" s="53" t="s">
        <v>515</v>
      </c>
      <c r="G19" s="53" t="s">
        <v>2899</v>
      </c>
      <c r="H19" s="53" t="s">
        <v>2899</v>
      </c>
      <c r="I19" s="53" t="s">
        <v>2899</v>
      </c>
      <c r="J19" s="53"/>
      <c r="K19" s="53"/>
      <c r="L19" s="56"/>
      <c r="M19" s="56"/>
      <c r="N19" s="56"/>
    </row>
    <row r="20" spans="1:14" ht="114.75" customHeight="1">
      <c r="A20" s="53" t="s">
        <v>3057</v>
      </c>
      <c r="B20" s="54" t="s">
        <v>3058</v>
      </c>
      <c r="C20" s="55" t="s">
        <v>3022</v>
      </c>
      <c r="D20" s="53" t="s">
        <v>2899</v>
      </c>
      <c r="E20" s="53" t="s">
        <v>2909</v>
      </c>
      <c r="F20" s="53" t="s">
        <v>2899</v>
      </c>
      <c r="G20" s="53" t="s">
        <v>2909</v>
      </c>
      <c r="H20" s="53" t="s">
        <v>515</v>
      </c>
      <c r="I20" s="53" t="s">
        <v>2899</v>
      </c>
      <c r="J20" s="53"/>
      <c r="K20" s="53"/>
      <c r="L20" s="56"/>
      <c r="M20" s="56"/>
      <c r="N20" s="56"/>
    </row>
    <row r="21" spans="1:14" ht="89.25" customHeight="1">
      <c r="A21" s="53" t="s">
        <v>3059</v>
      </c>
      <c r="B21" s="54" t="s">
        <v>3060</v>
      </c>
      <c r="C21" s="55" t="s">
        <v>3061</v>
      </c>
      <c r="D21" s="53" t="s">
        <v>2899</v>
      </c>
      <c r="E21" s="53" t="s">
        <v>515</v>
      </c>
      <c r="F21" s="53" t="s">
        <v>2899</v>
      </c>
      <c r="G21" s="53" t="s">
        <v>515</v>
      </c>
      <c r="H21" s="53" t="s">
        <v>2899</v>
      </c>
      <c r="I21" s="53" t="s">
        <v>515</v>
      </c>
      <c r="J21" s="53"/>
      <c r="K21" s="53"/>
      <c r="L21" s="56"/>
      <c r="M21" s="56"/>
      <c r="N21" s="56"/>
    </row>
    <row r="22" spans="1:14" ht="30">
      <c r="A22" s="61" t="s">
        <v>6587</v>
      </c>
      <c r="B22" s="61" t="s">
        <v>6588</v>
      </c>
      <c r="C22" s="61" t="s">
        <v>2994</v>
      </c>
      <c r="D22" s="61" t="s">
        <v>2899</v>
      </c>
      <c r="E22" s="61" t="s">
        <v>2899</v>
      </c>
      <c r="F22" s="61" t="s">
        <v>515</v>
      </c>
      <c r="G22" s="61" t="s">
        <v>2909</v>
      </c>
      <c r="H22" s="61" t="s">
        <v>2909</v>
      </c>
      <c r="I22" s="61" t="s">
        <v>515</v>
      </c>
    </row>
    <row r="23" spans="1:14" ht="30">
      <c r="A23" s="61" t="s">
        <v>6589</v>
      </c>
      <c r="B23" s="61" t="s">
        <v>6590</v>
      </c>
      <c r="C23" s="61" t="s">
        <v>6591</v>
      </c>
      <c r="D23" s="61" t="s">
        <v>2909</v>
      </c>
      <c r="E23" s="61" t="s">
        <v>515</v>
      </c>
      <c r="F23" s="61" t="s">
        <v>2909</v>
      </c>
      <c r="G23" s="61" t="s">
        <v>2899</v>
      </c>
      <c r="H23" s="61" t="s">
        <v>515</v>
      </c>
      <c r="I23" s="61" t="s">
        <v>2899</v>
      </c>
    </row>
    <row r="24" spans="1:14" ht="30">
      <c r="A24" s="61" t="s">
        <v>6592</v>
      </c>
      <c r="B24" s="61" t="s">
        <v>6593</v>
      </c>
      <c r="C24" s="61" t="s">
        <v>6594</v>
      </c>
      <c r="D24" s="61" t="s">
        <v>515</v>
      </c>
      <c r="E24" s="61" t="s">
        <v>2899</v>
      </c>
      <c r="F24" s="61" t="s">
        <v>2909</v>
      </c>
      <c r="G24" s="61" t="s">
        <v>2899</v>
      </c>
      <c r="H24" s="61" t="s">
        <v>515</v>
      </c>
      <c r="I24" s="61" t="s">
        <v>2909</v>
      </c>
    </row>
    <row r="25" spans="1:14">
      <c r="A25" s="61" t="s">
        <v>6595</v>
      </c>
      <c r="B25" s="61" t="s">
        <v>6596</v>
      </c>
      <c r="C25" s="61" t="s">
        <v>6476</v>
      </c>
      <c r="D25" s="61" t="s">
        <v>2909</v>
      </c>
      <c r="E25" s="61" t="s">
        <v>2899</v>
      </c>
      <c r="F25" s="61" t="s">
        <v>515</v>
      </c>
      <c r="G25" s="61" t="s">
        <v>2899</v>
      </c>
      <c r="H25" s="61" t="s">
        <v>2909</v>
      </c>
      <c r="I25" s="61" t="s">
        <v>515</v>
      </c>
    </row>
    <row r="26" spans="1:14" ht="30">
      <c r="A26" s="61" t="s">
        <v>6597</v>
      </c>
      <c r="B26" s="61" t="s">
        <v>6598</v>
      </c>
      <c r="C26" s="61" t="s">
        <v>6599</v>
      </c>
      <c r="D26" s="61" t="s">
        <v>515</v>
      </c>
      <c r="E26" s="61" t="s">
        <v>2909</v>
      </c>
      <c r="F26" s="61" t="s">
        <v>2899</v>
      </c>
      <c r="G26" s="61" t="s">
        <v>2899</v>
      </c>
      <c r="H26" s="61" t="s">
        <v>2909</v>
      </c>
      <c r="I26" s="61" t="s">
        <v>515</v>
      </c>
    </row>
    <row r="27" spans="1:14" ht="30">
      <c r="A27" s="61" t="s">
        <v>6600</v>
      </c>
      <c r="B27" s="61" t="s">
        <v>6601</v>
      </c>
      <c r="C27" s="61" t="s">
        <v>2952</v>
      </c>
      <c r="D27" s="61" t="s">
        <v>2899</v>
      </c>
      <c r="E27" s="61" t="s">
        <v>2909</v>
      </c>
      <c r="F27" s="61" t="s">
        <v>2909</v>
      </c>
      <c r="G27" s="61" t="s">
        <v>2899</v>
      </c>
      <c r="H27" s="61" t="s">
        <v>515</v>
      </c>
      <c r="I27" s="61" t="s">
        <v>515</v>
      </c>
    </row>
    <row r="28" spans="1:14" ht="30">
      <c r="A28" s="61" t="s">
        <v>6602</v>
      </c>
      <c r="B28" s="61" t="s">
        <v>6696</v>
      </c>
      <c r="C28" s="61" t="s">
        <v>6603</v>
      </c>
      <c r="D28" s="61" t="s">
        <v>2909</v>
      </c>
      <c r="E28" s="61" t="s">
        <v>515</v>
      </c>
      <c r="F28" s="61" t="s">
        <v>2899</v>
      </c>
      <c r="G28" s="61" t="s">
        <v>515</v>
      </c>
      <c r="H28" s="61" t="s">
        <v>2899</v>
      </c>
      <c r="I28" s="61" t="s">
        <v>2909</v>
      </c>
    </row>
    <row r="29" spans="1:14" ht="30">
      <c r="A29" s="61" t="s">
        <v>6604</v>
      </c>
      <c r="B29" s="61" t="s">
        <v>6605</v>
      </c>
      <c r="C29" s="61" t="s">
        <v>6606</v>
      </c>
      <c r="D29" s="61" t="s">
        <v>2909</v>
      </c>
      <c r="E29" s="61" t="s">
        <v>515</v>
      </c>
      <c r="F29" s="61" t="s">
        <v>2909</v>
      </c>
      <c r="G29" s="61" t="s">
        <v>2899</v>
      </c>
      <c r="H29" s="61" t="s">
        <v>2899</v>
      </c>
      <c r="I29" s="61" t="s">
        <v>515</v>
      </c>
    </row>
    <row r="30" spans="1:14" ht="30">
      <c r="A30" s="61" t="s">
        <v>6607</v>
      </c>
      <c r="B30" s="61" t="s">
        <v>6608</v>
      </c>
      <c r="C30" s="61" t="s">
        <v>6609</v>
      </c>
      <c r="D30" s="61" t="s">
        <v>515</v>
      </c>
      <c r="E30" s="61" t="s">
        <v>2909</v>
      </c>
      <c r="F30" s="61" t="s">
        <v>2899</v>
      </c>
      <c r="G30" s="61" t="s">
        <v>515</v>
      </c>
      <c r="H30" s="61" t="s">
        <v>2909</v>
      </c>
      <c r="I30" s="61" t="s">
        <v>2899</v>
      </c>
    </row>
    <row r="31" spans="1:14" ht="30">
      <c r="A31" s="61" t="s">
        <v>6610</v>
      </c>
      <c r="B31" s="61" t="s">
        <v>6694</v>
      </c>
      <c r="C31" s="61" t="s">
        <v>6611</v>
      </c>
      <c r="D31" s="61" t="s">
        <v>2909</v>
      </c>
      <c r="E31" s="61" t="s">
        <v>2909</v>
      </c>
      <c r="F31" s="61" t="s">
        <v>2899</v>
      </c>
      <c r="G31" s="61" t="s">
        <v>515</v>
      </c>
      <c r="H31" s="61" t="s">
        <v>515</v>
      </c>
      <c r="I31" s="61" t="s">
        <v>2899</v>
      </c>
    </row>
    <row r="32" spans="1:14" ht="30">
      <c r="A32" s="61" t="s">
        <v>6612</v>
      </c>
      <c r="B32" s="61" t="s">
        <v>6695</v>
      </c>
      <c r="C32" s="61" t="inlineStr">
        <is>
          <t xml:space="preserve">Ainu reserved seats</t>
        </is>
      </c>
      <c r="D32" s="61" t="s">
        <v>515</v>
      </c>
      <c r="E32" s="61" t="s">
        <v>2909</v>
      </c>
      <c r="F32" s="61" t="s">
        <v>2899</v>
      </c>
      <c r="G32" s="61" t="s">
        <v>2909</v>
      </c>
      <c r="H32" s="61" t="s">
        <v>2899</v>
      </c>
      <c r="I32" s="61" t="s">
        <v>515</v>
      </c>
    </row>
    <row r="33" spans="1:10" ht="45">
      <c r="A33" s="61" t="s">
        <v>6613</v>
      </c>
      <c r="B33" s="61" t="s">
        <v>6614</v>
      </c>
      <c r="C33" s="61" t="s">
        <v>6615</v>
      </c>
      <c r="D33" s="61" t="s">
        <v>515</v>
      </c>
      <c r="E33" s="61" t="s">
        <v>2899</v>
      </c>
      <c r="F33" s="61" t="s">
        <v>515</v>
      </c>
      <c r="G33" s="61" t="s">
        <v>2909</v>
      </c>
      <c r="H33" s="61" t="s">
        <v>2899</v>
      </c>
      <c r="I33" s="61" t="s">
        <v>2909</v>
      </c>
    </row>
    <row r="34" spans="1:10" ht="30">
      <c r="A34" s="61" t="s">
        <v>6616</v>
      </c>
      <c r="B34" s="61" t="s">
        <v>6693</v>
      </c>
      <c r="C34" s="61" t="s">
        <v>6617</v>
      </c>
      <c r="D34" s="61" t="s">
        <v>2899</v>
      </c>
      <c r="E34" s="61" t="s">
        <v>2899</v>
      </c>
      <c r="F34" s="61" t="s">
        <v>515</v>
      </c>
      <c r="G34" s="61" t="s">
        <v>2909</v>
      </c>
      <c r="H34" s="61" t="s">
        <v>515</v>
      </c>
      <c r="I34" s="61" t="s">
        <v>2909</v>
      </c>
    </row>
    <row r="35" spans="1:10" ht="30">
      <c r="A35" s="61" t="s">
        <v>6618</v>
      </c>
      <c r="B35" s="61" t="s">
        <v>6619</v>
      </c>
      <c r="C35" s="61" t="s">
        <v>6620</v>
      </c>
      <c r="D35" s="61" t="s">
        <v>2909</v>
      </c>
      <c r="E35" s="61" t="s">
        <v>2909</v>
      </c>
      <c r="F35" s="61" t="s">
        <v>515</v>
      </c>
      <c r="G35" s="61" t="s">
        <v>2899</v>
      </c>
      <c r="H35" s="61" t="s">
        <v>2899</v>
      </c>
      <c r="I35" s="61" t="s">
        <v>515</v>
      </c>
    </row>
    <row r="36" spans="1:10" ht="30">
      <c r="A36" s="61" t="s">
        <v>6621</v>
      </c>
      <c r="B36" s="61" t="s">
        <v>6622</v>
      </c>
      <c r="C36" s="61" t="s">
        <v>6623</v>
      </c>
      <c r="D36" s="61" t="s">
        <v>2899</v>
      </c>
      <c r="E36" s="61" t="s">
        <v>515</v>
      </c>
      <c r="F36" s="61" t="s">
        <v>2899</v>
      </c>
      <c r="G36" s="61" t="s">
        <v>515</v>
      </c>
      <c r="H36" s="61" t="s">
        <v>2909</v>
      </c>
      <c r="I36" s="61" t="s">
        <v>2909</v>
      </c>
    </row>
    <row r="37" spans="1:10">
      <c r="A37" s="61" t="s">
        <v>6624</v>
      </c>
      <c r="B37" s="61" t="s">
        <v>6625</v>
      </c>
      <c r="C37" s="61" t="s">
        <v>6498</v>
      </c>
      <c r="D37" s="61" t="s">
        <v>2909</v>
      </c>
      <c r="E37" s="61" t="s">
        <v>2899</v>
      </c>
      <c r="F37" s="61" t="s">
        <v>515</v>
      </c>
      <c r="G37" s="61" t="s">
        <v>515</v>
      </c>
      <c r="H37" s="61" t="s">
        <v>2899</v>
      </c>
      <c r="I37" s="61" t="s">
        <v>2909</v>
      </c>
    </row>
    <row r="38" spans="1:10" ht="30">
      <c r="A38" s="61" t="s">
        <v>6626</v>
      </c>
      <c r="B38" s="61" t="s">
        <v>6627</v>
      </c>
      <c r="C38" s="61" t="s">
        <v>6628</v>
      </c>
      <c r="D38" s="61" t="s">
        <v>2899</v>
      </c>
      <c r="E38" s="61" t="s">
        <v>2899</v>
      </c>
      <c r="F38" s="61" t="s">
        <v>515</v>
      </c>
      <c r="G38" s="61" t="s">
        <v>515</v>
      </c>
      <c r="H38" s="61" t="s">
        <v>2909</v>
      </c>
      <c r="I38" s="61" t="s">
        <v>2909</v>
      </c>
    </row>
    <row r="39" spans="1:10" ht="30">
      <c r="A39" s="61" t="s">
        <v>6629</v>
      </c>
      <c r="B39" s="61" t="s">
        <v>6630</v>
      </c>
      <c r="C39" s="61" t="s">
        <v>6504</v>
      </c>
      <c r="D39" s="61" t="s">
        <v>515</v>
      </c>
      <c r="E39" s="61" t="s">
        <v>2909</v>
      </c>
      <c r="F39" s="61" t="s">
        <v>2909</v>
      </c>
      <c r="G39" s="61" t="s">
        <v>515</v>
      </c>
      <c r="H39" s="61" t="s">
        <v>2899</v>
      </c>
      <c r="I39" s="61" t="s">
        <v>2899</v>
      </c>
    </row>
    <row r="40" spans="1:10" ht="30">
      <c r="A40" s="61" t="s">
        <v>6631</v>
      </c>
      <c r="B40" s="61" t="s">
        <v>6632</v>
      </c>
      <c r="C40" s="61" t="s">
        <v>6633</v>
      </c>
      <c r="D40" s="61" t="s">
        <v>2899</v>
      </c>
      <c r="E40" s="61" t="s">
        <v>515</v>
      </c>
      <c r="F40" s="61" t="s">
        <v>2909</v>
      </c>
      <c r="G40" s="61" t="s">
        <v>2899</v>
      </c>
      <c r="H40" s="61" t="s">
        <v>2909</v>
      </c>
      <c r="I40" s="61" t="s">
        <v>515</v>
      </c>
    </row>
    <row r="41" spans="1:10" ht="30">
      <c r="A41" s="61" t="s">
        <v>6634</v>
      </c>
      <c r="B41" s="61" t="s">
        <v>6692</v>
      </c>
      <c r="C41" s="61" t="s">
        <v>6635</v>
      </c>
      <c r="D41" s="61" t="s">
        <v>2899</v>
      </c>
      <c r="E41" s="61" t="s">
        <v>2909</v>
      </c>
      <c r="F41" s="61" t="s">
        <v>2909</v>
      </c>
      <c r="G41" s="61" t="s">
        <v>2899</v>
      </c>
      <c r="H41" s="61" t="s">
        <v>515</v>
      </c>
      <c r="I41" s="61" t="s">
        <v>515</v>
      </c>
    </row>
    <row r="42" spans="1:10" ht="30">
      <c r="A42" s="61" t="s">
        <v>6636</v>
      </c>
      <c r="B42" s="61" t="s">
        <v>6637</v>
      </c>
      <c r="C42" s="61" t="s">
        <v>6638</v>
      </c>
      <c r="D42" s="61" t="s">
        <v>2909</v>
      </c>
      <c r="E42" s="61" t="s">
        <v>2899</v>
      </c>
      <c r="F42" s="61" t="s">
        <v>515</v>
      </c>
      <c r="G42" s="61" t="s">
        <v>515</v>
      </c>
      <c r="H42" s="61" t="s">
        <v>2909</v>
      </c>
      <c r="I42" s="61" t="s">
        <v>2899</v>
      </c>
    </row>
    <row r="43" spans="1:10" ht="45">
      <c r="A43" s="61" t="s">
        <v>6639</v>
      </c>
      <c r="B43" s="61" t="s">
        <v>6698</v>
      </c>
      <c r="C43" s="61" t="s">
        <v>6640</v>
      </c>
      <c r="D43" s="61" t="s">
        <v>515</v>
      </c>
      <c r="E43" s="61" t="s">
        <v>2899</v>
      </c>
      <c r="F43" s="61" t="s">
        <v>2899</v>
      </c>
      <c r="G43" s="61" t="s">
        <v>515</v>
      </c>
      <c r="H43" s="61" t="s">
        <v>2909</v>
      </c>
      <c r="I43" s="61" t="s">
        <v>2909</v>
      </c>
    </row>
    <row r="44" spans="1:10" ht="30">
      <c r="A44" s="61" t="s">
        <v>6641</v>
      </c>
      <c r="B44" s="61" t="s">
        <v>6642</v>
      </c>
      <c r="C44" s="61" t="s">
        <v>6643</v>
      </c>
      <c r="D44" s="61" t="s">
        <v>2909</v>
      </c>
      <c r="E44" s="61" t="s">
        <v>2909</v>
      </c>
      <c r="F44" s="61" t="s">
        <v>2899</v>
      </c>
      <c r="G44" s="61" t="s">
        <v>515</v>
      </c>
      <c r="H44" s="61" t="s">
        <v>515</v>
      </c>
      <c r="I44" s="61" t="s">
        <v>2899</v>
      </c>
    </row>
    <row r="45" spans="1:10" ht="30">
      <c r="A45" s="61" t="s">
        <v>6644</v>
      </c>
      <c r="B45" s="61" t="s">
        <v>6645</v>
      </c>
      <c r="C45" s="61" t="s">
        <v>6646</v>
      </c>
      <c r="D45" s="61" t="s">
        <v>515</v>
      </c>
      <c r="E45" s="61" t="s">
        <v>2909</v>
      </c>
      <c r="F45" s="61" t="s">
        <v>2909</v>
      </c>
      <c r="G45" s="61" t="s">
        <v>2899</v>
      </c>
      <c r="H45" s="61" t="s">
        <v>515</v>
      </c>
      <c r="I45" s="61" t="s">
        <v>2899</v>
      </c>
    </row>
    <row r="46" spans="1:10" ht="30">
      <c r="A46" s="61" t="s">
        <v>6647</v>
      </c>
      <c r="B46" s="61" t="s">
        <v>6648</v>
      </c>
      <c r="C46" s="61" t="s">
        <v>6649</v>
      </c>
      <c r="D46" s="61" t="s">
        <v>2899</v>
      </c>
      <c r="E46" s="61" t="s">
        <v>515</v>
      </c>
      <c r="F46" s="61" t="s">
        <v>515</v>
      </c>
      <c r="G46" s="61" t="s">
        <v>2909</v>
      </c>
      <c r="H46" s="61" t="s">
        <v>2899</v>
      </c>
      <c r="I46" s="61" t="s">
        <v>2909</v>
      </c>
    </row>
    <row r="47" spans="1:10" ht="30">
      <c r="A47" s="61" t="s">
        <v>6650</v>
      </c>
      <c r="B47" s="61" t="s">
        <v>6651</v>
      </c>
      <c r="C47" s="61" t="s">
        <v>2949</v>
      </c>
      <c r="D47" s="61" t="s">
        <v>2899</v>
      </c>
      <c r="E47" s="61" t="s">
        <v>2909</v>
      </c>
      <c r="F47" s="61" t="s">
        <v>515</v>
      </c>
      <c r="G47" s="61" t="s">
        <v>515</v>
      </c>
      <c r="H47" s="61" t="s">
        <v>2909</v>
      </c>
      <c r="I47" s="61" t="s">
        <v>2899</v>
      </c>
    </row>
    <row r="48" spans="1:10" ht="30">
      <c r="A48" s="61" t="s">
        <v>6652</v>
      </c>
      <c r="B48" s="61" t="s">
        <v>6653</v>
      </c>
      <c r="C48" s="61" t="s">
        <v>6654</v>
      </c>
      <c r="D48" s="61" t="s">
        <v>515</v>
      </c>
      <c r="E48" s="61" t="s">
        <v>2899</v>
      </c>
      <c r="F48" s="61" t="s">
        <v>2899</v>
      </c>
      <c r="G48" s="61" t="s">
        <v>2909</v>
      </c>
      <c r="H48" s="61" t="s">
        <v>515</v>
      </c>
      <c r="I48" s="61" t="s">
        <v>2909</v>
      </c>
    </row>
    <row r="49" spans="1:10" ht="30">
      <c r="A49" s="61" t="s">
        <v>6655</v>
      </c>
      <c r="B49" s="61" t="s">
        <v>6656</v>
      </c>
      <c r="C49" s="61" t="s">
        <v>6657</v>
      </c>
      <c r="D49" s="61" t="s">
        <v>2909</v>
      </c>
      <c r="E49" s="61" t="s">
        <v>515</v>
      </c>
      <c r="F49" s="61" t="s">
        <v>2899</v>
      </c>
      <c r="G49" s="61" t="s">
        <v>2909</v>
      </c>
      <c r="H49" s="61" t="s">
        <v>2899</v>
      </c>
      <c r="I49" s="61" t="s">
        <v>515</v>
      </c>
    </row>
    <row r="50" spans="1:10" ht="30">
      <c r="A50" s="61" t="s">
        <v>6658</v>
      </c>
      <c r="B50" s="61" t="s">
        <v>6659</v>
      </c>
      <c r="C50" s="61" t="s">
        <v>6660</v>
      </c>
      <c r="D50" s="61" t="s">
        <v>2899</v>
      </c>
      <c r="E50" s="61" t="s">
        <v>2899</v>
      </c>
      <c r="F50" s="61" t="s">
        <v>515</v>
      </c>
      <c r="G50" s="61" t="s">
        <v>2909</v>
      </c>
      <c r="H50" s="61" t="s">
        <v>515</v>
      </c>
      <c r="I50" s="61" t="s">
        <v>2909</v>
      </c>
    </row>
    <row r="51" spans="1:10" ht="30">
      <c r="A51" s="61" t="s">
        <v>6661</v>
      </c>
      <c r="B51" s="61" t="s">
        <v>6662</v>
      </c>
      <c r="C51" s="61" t="s">
        <v>6663</v>
      </c>
      <c r="D51" s="61" t="s">
        <v>515</v>
      </c>
      <c r="E51" s="61" t="s">
        <v>515</v>
      </c>
      <c r="F51" s="61" t="s">
        <v>2909</v>
      </c>
      <c r="G51" s="61" t="s">
        <v>2899</v>
      </c>
      <c r="H51" s="61" t="s">
        <v>2899</v>
      </c>
      <c r="I51" s="61" t="s">
        <v>2909</v>
      </c>
    </row>
    <row r="52" spans="1:10" ht="30">
      <c r="A52" s="61" t="s">
        <v>6664</v>
      </c>
      <c r="B52" s="61" t="s">
        <v>6665</v>
      </c>
      <c r="C52" s="61" t="s">
        <v>6666</v>
      </c>
      <c r="D52" s="61" t="s">
        <v>2909</v>
      </c>
      <c r="E52" s="61" t="s">
        <v>515</v>
      </c>
      <c r="F52" s="61" t="s">
        <v>2899</v>
      </c>
      <c r="G52" s="61" t="s">
        <v>2899</v>
      </c>
      <c r="H52" s="61" t="s">
        <v>2909</v>
      </c>
      <c r="I52" s="61" t="s">
        <v>515</v>
      </c>
    </row>
    <row r="53" spans="1:10" ht="30">
      <c r="A53" s="61" t="s">
        <v>6667</v>
      </c>
      <c r="B53" s="61" t="s">
        <v>6668</v>
      </c>
      <c r="C53" s="61" t="s">
        <v>6669</v>
      </c>
      <c r="D53" s="61" t="s">
        <v>2909</v>
      </c>
      <c r="E53" s="61" t="s">
        <v>515</v>
      </c>
      <c r="F53" s="61" t="s">
        <v>2899</v>
      </c>
      <c r="G53" s="61" t="s">
        <v>515</v>
      </c>
      <c r="H53" s="61" t="s">
        <v>2899</v>
      </c>
      <c r="I53" s="61" t="s">
        <v>2909</v>
      </c>
    </row>
    <row r="54" spans="1:10" ht="30">
      <c r="A54" s="61" t="s">
        <v>6670</v>
      </c>
      <c r="B54" s="61" t="s">
        <v>6671</v>
      </c>
      <c r="C54" s="61" t="s">
        <v>6672</v>
      </c>
      <c r="D54" s="61" t="s">
        <v>2899</v>
      </c>
      <c r="E54" s="61" t="s">
        <v>2899</v>
      </c>
      <c r="F54" s="61" t="s">
        <v>515</v>
      </c>
      <c r="G54" s="61" t="s">
        <v>515</v>
      </c>
      <c r="H54" s="61" t="s">
        <v>2909</v>
      </c>
      <c r="I54" s="61" t="s">
        <v>2909</v>
      </c>
    </row>
    <row r="55" spans="1:10" ht="30">
      <c r="A55" s="61" t="s">
        <v>6673</v>
      </c>
      <c r="B55" s="61" t="s">
        <v>6674</v>
      </c>
      <c r="C55" s="61" t="s">
        <v>6675</v>
      </c>
      <c r="D55" s="61" t="s">
        <v>515</v>
      </c>
      <c r="E55" s="61" t="s">
        <v>2909</v>
      </c>
      <c r="F55" s="61" t="s">
        <v>2909</v>
      </c>
      <c r="G55" s="61" t="s">
        <v>2899</v>
      </c>
      <c r="H55" s="61" t="s">
        <v>515</v>
      </c>
      <c r="I55" s="61" t="s">
        <v>2899</v>
      </c>
    </row>
    <row r="56" spans="1:10" ht="45">
      <c r="A56" s="61" t="s">
        <v>6676</v>
      </c>
      <c r="B56" s="61" t="s">
        <v>6697</v>
      </c>
      <c r="C56" s="61" t="s">
        <v>6677</v>
      </c>
      <c r="D56" s="61" t="s">
        <v>515</v>
      </c>
      <c r="E56" s="61" t="s">
        <v>515</v>
      </c>
      <c r="F56" s="61" t="s">
        <v>2909</v>
      </c>
      <c r="G56" s="61" t="s">
        <v>2899</v>
      </c>
      <c r="H56" s="61" t="s">
        <v>2909</v>
      </c>
      <c r="I56" s="61" t="s">
        <v>2899</v>
      </c>
    </row>
    <row r="57" spans="1:10" ht="30">
      <c r="A57" s="61" t="s">
        <v>6678</v>
      </c>
      <c r="B57" s="61" t="s">
        <v>6679</v>
      </c>
      <c r="C57" s="61" t="s">
        <v>6680</v>
      </c>
      <c r="D57" s="61" t="s">
        <v>2899</v>
      </c>
      <c r="E57" s="61" t="s">
        <v>2909</v>
      </c>
      <c r="F57" s="61" t="s">
        <v>2909</v>
      </c>
      <c r="G57" s="61" t="s">
        <v>515</v>
      </c>
      <c r="H57" s="61" t="s">
        <v>2899</v>
      </c>
      <c r="I57" s="61" t="s">
        <v>515</v>
      </c>
    </row>
    <row r="58" spans="1:10" ht="30">
      <c r="A58" s="61" t="s">
        <v>6681</v>
      </c>
      <c r="B58" s="61" t="s">
        <v>6682</v>
      </c>
      <c r="C58" s="61" t="s">
        <v>6683</v>
      </c>
      <c r="D58" s="61" t="s">
        <v>515</v>
      </c>
      <c r="E58" s="61" t="s">
        <v>2899</v>
      </c>
      <c r="F58" s="61" t="s">
        <v>2899</v>
      </c>
      <c r="G58" s="61" t="s">
        <v>2909</v>
      </c>
      <c r="H58" s="61" t="s">
        <v>2909</v>
      </c>
      <c r="I58" s="61" t="s">
        <v>515</v>
      </c>
    </row>
    <row r="59" spans="1:10" ht="30">
      <c r="A59" s="61" t="s">
        <v>6684</v>
      </c>
      <c r="B59" s="61" t="s">
        <v>6685</v>
      </c>
      <c r="C59" s="61" t="s">
        <v>6686</v>
      </c>
      <c r="D59" s="61" t="s">
        <v>2909</v>
      </c>
      <c r="E59" s="61" t="s">
        <v>515</v>
      </c>
      <c r="F59" s="61" t="s">
        <v>2899</v>
      </c>
      <c r="G59" s="61" t="s">
        <v>2909</v>
      </c>
      <c r="H59" s="61" t="s">
        <v>2899</v>
      </c>
      <c r="I59" s="61" t="s">
        <v>515</v>
      </c>
    </row>
    <row r="60" spans="1:10" ht="30">
      <c r="A60" s="61" t="s">
        <v>6687</v>
      </c>
      <c r="B60" s="61" t="s">
        <v>6688</v>
      </c>
      <c r="C60" s="61" t="s">
        <v>6689</v>
      </c>
      <c r="D60" s="61" t="s">
        <v>515</v>
      </c>
      <c r="E60" s="61" t="s">
        <v>2909</v>
      </c>
      <c r="F60" s="61" t="s">
        <v>2899</v>
      </c>
      <c r="G60" s="61" t="s">
        <v>515</v>
      </c>
      <c r="H60" s="61" t="s">
        <v>2909</v>
      </c>
      <c r="I60" s="61" t="s">
        <v>2899</v>
      </c>
    </row>
    <row r="61" spans="1:10" ht="30">
      <c r="A61" s="61" t="s">
        <v>6690</v>
      </c>
      <c r="B61" s="61" t="s">
        <v>6691</v>
      </c>
      <c r="C61" s="61" t="s">
        <v>6544</v>
      </c>
      <c r="D61" s="61" t="s">
        <v>2899</v>
      </c>
      <c r="E61" s="61" t="s">
        <v>2909</v>
      </c>
      <c r="F61" s="61" t="s">
        <v>515</v>
      </c>
      <c r="G61" s="61" t="s">
        <v>2899</v>
      </c>
      <c r="H61" s="61" t="s">
        <v>515</v>
      </c>
      <c r="I61" s="61" t="s">
        <v>2909</v>
      </c>
    </row>
    <row r="62">
      <c r="A62" s="61" t="inlineStr">
        <is>
          <t xml:space="preserve">L61</t>
        </is>
      </c>
      <c r="B62" s="61" t="inlineStr">
        <is>
          <t xml:space="preserve">Will you back a law that makes Ainu rights preferential, not just equal?</t>
        </is>
      </c>
      <c r="C62" s="61" t="inlineStr">
        <is>
          <t xml:space="preserve">Ainu preferential cost</t>
        </is>
      </c>
      <c r="D62" s="61" t="inlineStr">
        <is>
          <t xml:space="preserve">S</t>
        </is>
      </c>
      <c r="E62" s="61" t="inlineStr">
        <is>
          <t xml:space="preserve">M</t>
        </is>
      </c>
      <c r="F62" s="61" t="inlineStr">
        <is>
          <t xml:space="preserve">M</t>
        </is>
      </c>
      <c r="G62" s="61" t="inlineStr">
        <is>
          <t xml:space="preserve">S</t>
        </is>
      </c>
      <c r="H62" s="61" t="inlineStr">
        <is>
          <t xml:space="preserve">W</t>
        </is>
      </c>
      <c r="I62" s="61" t="inlineStr">
        <is>
          <t xml:space="preserve">W</t>
        </is>
      </c>
    </row>
    <row r="63">
      <c r="A63" s="61" t="inlineStr">
        <is>
          <t xml:space="preserve">L62</t>
        </is>
      </c>
      <c r="B63" s="61" t="inlineStr">
        <is>
          <t xml:space="preserve">Our members worry preferential rights will come out of their budgets. Will they?</t>
        </is>
      </c>
      <c r="C63" s="61" t="inlineStr">
        <is>
          <t xml:space="preserve">Ainu preferential cost</t>
        </is>
      </c>
      <c r="D63" s="61" t="inlineStr">
        <is>
          <t xml:space="preserve">S</t>
        </is>
      </c>
      <c r="E63" s="61" t="inlineStr">
        <is>
          <t xml:space="preserve">M</t>
        </is>
      </c>
      <c r="F63" s="61" t="inlineStr">
        <is>
          <t xml:space="preserve">M</t>
        </is>
      </c>
      <c r="G63" s="61" t="inlineStr">
        <is>
          <t xml:space="preserve">S</t>
        </is>
      </c>
      <c r="H63" s="61" t="inlineStr">
        <is>
          <t xml:space="preserve">W</t>
        </is>
      </c>
      <c r="I63" s="61" t="inlineStr">
        <is>
          <t xml:space="preserve">M</t>
        </is>
      </c>
    </row>
    <row r="64">
      <c r="A64" s="61" t="inlineStr">
        <is>
          <t xml:space="preserve">L64</t>
        </is>
      </c>
      <c r="B64" s="61" t="inlineStr">
        <is>
          <t xml:space="preserve">Our members need clear quota rules. Can you deliver them?</t>
        </is>
      </c>
      <c r="C64" s="61" t="inlineStr">
        <is>
          <t xml:space="preserve">Fishing quotas</t>
        </is>
      </c>
      <c r="D64" s="61" t="inlineStr">
        <is>
          <t xml:space="preserve">S</t>
        </is>
      </c>
      <c r="E64" s="61" t="inlineStr">
        <is>
          <t xml:space="preserve">M</t>
        </is>
      </c>
      <c r="F64" s="61" t="inlineStr">
        <is>
          <t xml:space="preserve">M</t>
        </is>
      </c>
      <c r="G64" s="61" t="inlineStr">
        <is>
          <t xml:space="preserve">S</t>
        </is>
      </c>
      <c r="H64" s="61" t="inlineStr">
        <is>
          <t xml:space="preserve">W</t>
        </is>
      </c>
      <c r="I64" s="61" t="inlineStr">
        <is>
          <t xml:space="preserve">M</t>
        </is>
      </c>
    </row>
    <row r="65">
      <c r="A65" s="61" t="inlineStr">
        <is>
          <t xml:space="preserve">L65</t>
        </is>
      </c>
      <c r="B65" s="61" t="inlineStr">
        <is>
          <t xml:space="preserve">Commuter groups want fares that stay predictable. Will you back that?</t>
        </is>
      </c>
      <c r="C65" s="61" t="inlineStr">
        <is>
          <t xml:space="preserve">Commuter fares</t>
        </is>
      </c>
      <c r="D65" s="61" t="inlineStr">
        <is>
          <t xml:space="preserve">S</t>
        </is>
      </c>
      <c r="E65" s="61" t="inlineStr">
        <is>
          <t xml:space="preserve">M</t>
        </is>
      </c>
      <c r="F65" s="61" t="inlineStr">
        <is>
          <t xml:space="preserve">S</t>
        </is>
      </c>
      <c r="G65" s="61" t="inlineStr">
        <is>
          <t xml:space="preserve">M</t>
        </is>
      </c>
      <c r="H65" s="61" t="inlineStr">
        <is>
          <t xml:space="preserve">W</t>
        </is>
      </c>
      <c r="I65" s="61" t="inlineStr">
        <is>
          <t xml:space="preserve">M</t>
        </is>
      </c>
    </row>
    <row r="66">
      <c r="A66" s="61" t="inlineStr">
        <is>
          <t xml:space="preserve">L66</t>
        </is>
      </c>
      <c r="B66" s="61" t="inlineStr">
        <is>
          <t xml:space="preserve">Our labs are losing researchers abroad. What will you do to keep them?</t>
        </is>
      </c>
      <c r="C66" s="61" t="inlineStr">
        <is>
          <t xml:space="preserve">Research funding</t>
        </is>
      </c>
      <c r="D66" s="61" t="inlineStr">
        <is>
          <t xml:space="preserve">M</t>
        </is>
      </c>
      <c r="E66" s="61" t="inlineStr">
        <is>
          <t xml:space="preserve">W</t>
        </is>
      </c>
      <c r="F66" s="61" t="inlineStr">
        <is>
          <t xml:space="preserve">M</t>
        </is>
      </c>
      <c r="G66" s="61" t="inlineStr">
        <is>
          <t xml:space="preserve">S</t>
        </is>
      </c>
      <c r="H66" s="61" t="inlineStr">
        <is>
          <t xml:space="preserve">S</t>
        </is>
      </c>
      <c r="I66" s="61" t="inlineStr">
        <is>
          <t xml:space="preserve">M</t>
        </is>
      </c>
    </row>
    <row r="67">
      <c r="A67" s="61" t="inlineStr">
        <is>
          <t xml:space="preserve">L67</t>
        </is>
      </c>
      <c r="B67" s="61" t="inlineStr">
        <is>
          <t xml:space="preserve">Our platform moves money faster than banks can. Will you let it?</t>
        </is>
      </c>
      <c r="C67" s="61" t="inlineStr">
        <is>
          <t xml:space="preserve">Fintech rules</t>
        </is>
      </c>
      <c r="D67" s="61" t="inlineStr">
        <is>
          <t xml:space="preserve">M</t>
        </is>
      </c>
      <c r="E67" s="61" t="inlineStr">
        <is>
          <t xml:space="preserve">W</t>
        </is>
      </c>
      <c r="F67" s="61" t="inlineStr">
        <is>
          <t xml:space="preserve">M</t>
        </is>
      </c>
      <c r="G67" s="61" t="inlineStr">
        <is>
          <t xml:space="preserve">S</t>
        </is>
      </c>
      <c r="H67" s="61" t="inlineStr">
        <is>
          <t xml:space="preserve">M</t>
        </is>
      </c>
      <c r="I67" s="61" t="inlineStr">
        <is>
          <t xml:space="preserve">S</t>
        </is>
      </c>
    </row>
    <row r="68">
      <c r="A68" s="61" t="inlineStr">
        <is>
          <t xml:space="preserve">L68</t>
        </is>
      </c>
      <c r="B68" s="61" t="inlineStr">
        <is>
          <t xml:space="preserve">Students need affordable housing near campus. Will you build it?</t>
        </is>
      </c>
      <c r="C68" s="61" t="inlineStr">
        <is>
          <t xml:space="preserve">Campus housing</t>
        </is>
      </c>
      <c r="D68" s="61" t="inlineStr">
        <is>
          <t xml:space="preserve">S</t>
        </is>
      </c>
      <c r="E68" s="61" t="inlineStr">
        <is>
          <t xml:space="preserve">M</t>
        </is>
      </c>
      <c r="F68" s="61" t="inlineStr">
        <is>
          <t xml:space="preserve">M</t>
        </is>
      </c>
      <c r="G68" s="61" t="inlineStr">
        <is>
          <t xml:space="preserve">S</t>
        </is>
      </c>
      <c r="H68" s="61" t="inlineStr">
        <is>
          <t xml:space="preserve">S</t>
        </is>
      </c>
      <c r="I68" s="61" t="inlineStr">
        <is>
          <t xml:space="preserve">M</t>
        </is>
      </c>
    </row>
    <row r="69">
      <c r="A69" s="61" t="inlineStr">
        <is>
          <t xml:space="preserve">L69</t>
        </is>
      </c>
      <c r="B69" s="61" t="inlineStr">
        <is>
          <t xml:space="preserve">Festival costs rise every year. Will public money cover any of it?</t>
        </is>
      </c>
      <c r="C69" s="61" t="inlineStr">
        <is>
          <t xml:space="preserve">Festival funding</t>
        </is>
      </c>
      <c r="D69" s="61" t="inlineStr">
        <is>
          <t xml:space="preserve">S</t>
        </is>
      </c>
      <c r="E69" s="61" t="inlineStr">
        <is>
          <t xml:space="preserve">M</t>
        </is>
      </c>
      <c r="F69" s="61" t="inlineStr">
        <is>
          <t xml:space="preserve">S</t>
        </is>
      </c>
      <c r="G69" s="61" t="inlineStr">
        <is>
          <t xml:space="preserve">M</t>
        </is>
      </c>
      <c r="H69" s="61" t="inlineStr">
        <is>
          <t xml:space="preserve">S</t>
        </is>
      </c>
      <c r="I69" s="61" t="inlineStr">
        <is>
          <t xml:space="preserve">M</t>
        </is>
      </c>
    </row>
    <row r="70">
      <c r="A70" s="61" t="inlineStr">
        <is>
          <t xml:space="preserve">L70</t>
        </is>
      </c>
      <c r="B70" s="61" t="inlineStr">
        <is>
          <t xml:space="preserve">Our traditions are fading. Will you protect them?</t>
        </is>
      </c>
      <c r="C70" s="61" t="inlineStr">
        <is>
          <t xml:space="preserve">Local customs</t>
        </is>
      </c>
      <c r="D70" s="61" t="inlineStr">
        <is>
          <t xml:space="preserve">M</t>
        </is>
      </c>
      <c r="E70" s="61" t="inlineStr">
        <is>
          <t xml:space="preserve">S</t>
        </is>
      </c>
      <c r="F70" s="61" t="inlineStr">
        <is>
          <t xml:space="preserve">M</t>
        </is>
      </c>
      <c r="G70" s="61" t="inlineStr">
        <is>
          <t xml:space="preserve">M</t>
        </is>
      </c>
      <c r="H70" s="61" t="inlineStr">
        <is>
          <t xml:space="preserve">S</t>
        </is>
      </c>
      <c r="I70" s="61" t="inlineStr">
        <is>
          <t xml:space="preserve">W</t>
        </is>
      </c>
    </row>
    <row r="71">
      <c r="A71" s="61" t="inlineStr">
        <is>
          <t xml:space="preserve">L71</t>
        </is>
      </c>
      <c r="B71" s="61" t="inlineStr">
        <is>
          <t xml:space="preserve">Our harvest rites need space and support. Can you give it?</t>
        </is>
      </c>
      <c r="C71" s="61" t="inlineStr">
        <is>
          <t xml:space="preserve">Seasonal rites</t>
        </is>
      </c>
      <c r="D71" s="61" t="inlineStr">
        <is>
          <t xml:space="preserve">S</t>
        </is>
      </c>
      <c r="E71" s="61" t="inlineStr">
        <is>
          <t xml:space="preserve">M</t>
        </is>
      </c>
      <c r="F71" s="61" t="inlineStr">
        <is>
          <t xml:space="preserve">S</t>
        </is>
      </c>
      <c r="G71" s="61" t="inlineStr">
        <is>
          <t xml:space="preserve">M</t>
        </is>
      </c>
      <c r="H71" s="61" t="inlineStr">
        <is>
          <t xml:space="preserve">W</t>
        </is>
      </c>
      <c r="I71" s="61" t="inlineStr">
        <is>
          <t xml:space="preserve">M</t>
        </is>
      </c>
    </row>
    <row r="72">
      <c r="A72" s="61" t="inlineStr">
        <is>
          <t xml:space="preserve">L72</t>
        </is>
      </c>
      <c r="B72" s="61" t="inlineStr">
        <is>
          <t xml:space="preserve">Cheap imports are undercutting real craftwork. What will you do?</t>
        </is>
      </c>
      <c r="C72" s="61" t="inlineStr">
        <is>
          <t xml:space="preserve">Traditional crafts</t>
        </is>
      </c>
      <c r="D72" s="61" t="inlineStr">
        <is>
          <t xml:space="preserve">S</t>
        </is>
      </c>
      <c r="E72" s="61" t="inlineStr">
        <is>
          <t xml:space="preserve">M</t>
        </is>
      </c>
      <c r="F72" s="61" t="inlineStr">
        <is>
          <t xml:space="preserve">S</t>
        </is>
      </c>
      <c r="G72" s="61" t="inlineStr">
        <is>
          <t xml:space="preserve">M</t>
        </is>
      </c>
      <c r="H72" s="61" t="inlineStr">
        <is>
          <t xml:space="preserve">W</t>
        </is>
      </c>
      <c r="I72" s="61" t="inlineStr">
        <is>
          <t xml:space="preserve">M</t>
        </is>
      </c>
    </row>
    <row r="73">
      <c r="A73" s="61" t="inlineStr">
        <is>
          <t xml:space="preserve">L73</t>
        </is>
      </c>
      <c r="B73" s="61" t="inlineStr">
        <is>
          <t xml:space="preserve">Export paperwork is crushing small workshops. Can you simplify it?</t>
        </is>
      </c>
      <c r="C73" s="61" t="inlineStr">
        <is>
          <t xml:space="preserve">Craft exports</t>
        </is>
      </c>
      <c r="D73" s="61" t="inlineStr">
        <is>
          <t xml:space="preserve">M</t>
        </is>
      </c>
      <c r="E73" s="61" t="inlineStr">
        <is>
          <t xml:space="preserve">W</t>
        </is>
      </c>
      <c r="F73" s="61" t="inlineStr">
        <is>
          <t xml:space="preserve">S</t>
        </is>
      </c>
      <c r="G73" s="61" t="inlineStr">
        <is>
          <t xml:space="preserve">S</t>
        </is>
      </c>
      <c r="H73" s="61" t="inlineStr">
        <is>
          <t xml:space="preserve">M</t>
        </is>
      </c>
      <c r="I73" s="61" t="inlineStr">
        <is>
          <t xml:space="preserve">M</t>
        </is>
      </c>
    </row>
    <row r="74">
      <c r="A74" s="61" t="inlineStr">
        <is>
          <t xml:space="preserve">L74</t>
        </is>
      </c>
      <c r="B74" s="61" t="inlineStr">
        <is>
          <t xml:space="preserve">Our materials are shipped away before we can buy them. Fix that?</t>
        </is>
      </c>
      <c r="C74" s="61" t="inlineStr">
        <is>
          <t xml:space="preserve">Raw materials</t>
        </is>
      </c>
      <c r="D74" s="61" t="inlineStr">
        <is>
          <t xml:space="preserve">S</t>
        </is>
      </c>
      <c r="E74" s="61" t="inlineStr">
        <is>
          <t xml:space="preserve">M</t>
        </is>
      </c>
      <c r="F74" s="61" t="inlineStr">
        <is>
          <t xml:space="preserve">S</t>
        </is>
      </c>
      <c r="G74" s="61" t="inlineStr">
        <is>
          <t xml:space="preserve">M</t>
        </is>
      </c>
      <c r="H74" s="61" t="inlineStr">
        <is>
          <t xml:space="preserve">W</t>
        </is>
      </c>
      <c r="I74" s="61" t="inlineStr">
        <is>
          <t xml:space="preserve">M</t>
        </is>
      </c>
    </row>
    <row r="75">
      <c r="A75" s="61" t="inlineStr">
        <is>
          <t xml:space="preserve">L75</t>
        </is>
      </c>
      <c r="B75" s="61" t="inlineStr">
        <is>
          <t xml:space="preserve">Premiums are soaring. Will you regulate them?</t>
        </is>
      </c>
      <c r="C75" s="61" t="inlineStr">
        <is>
          <t xml:space="preserve">Insurance reform</t>
        </is>
      </c>
      <c r="D75" s="61" t="inlineStr">
        <is>
          <t xml:space="preserve">S</t>
        </is>
      </c>
      <c r="E75" s="61" t="inlineStr">
        <is>
          <t xml:space="preserve">W</t>
        </is>
      </c>
      <c r="F75" s="61" t="inlineStr">
        <is>
          <t xml:space="preserve">M</t>
        </is>
      </c>
      <c r="G75" s="61" t="inlineStr">
        <is>
          <t xml:space="preserve">S</t>
        </is>
      </c>
      <c r="H75" s="61" t="inlineStr">
        <is>
          <t xml:space="preserve">W</t>
        </is>
      </c>
      <c r="I75" s="61" t="inlineStr">
        <is>
          <t xml:space="preserve">M</t>
        </is>
      </c>
    </row>
    <row r="76">
      <c r="A76" s="61" t="inlineStr">
        <is>
          <t xml:space="preserve">L76</t>
        </is>
      </c>
      <c r="B76" s="61" t="inlineStr">
        <is>
          <t xml:space="preserve">Fishers and farmers both need fuel relief. Can you deliver?</t>
        </is>
      </c>
      <c r="C76" s="61" t="inlineStr">
        <is>
          <t xml:space="preserve">Fuel subsidy</t>
        </is>
      </c>
      <c r="D76" s="61" t="inlineStr">
        <is>
          <t xml:space="preserve">S</t>
        </is>
      </c>
      <c r="E76" s="61" t="inlineStr">
        <is>
          <t xml:space="preserve">M</t>
        </is>
      </c>
      <c r="F76" s="61" t="inlineStr">
        <is>
          <t xml:space="preserve">S</t>
        </is>
      </c>
      <c r="G76" s="61" t="inlineStr">
        <is>
          <t xml:space="preserve">M</t>
        </is>
      </c>
      <c r="H76" s="61" t="inlineStr">
        <is>
          <t xml:space="preserve">W</t>
        </is>
      </c>
      <c r="I76" s="61" t="inlineStr">
        <is>
          <t xml:space="preserve">M</t>
        </is>
      </c>
    </row>
    <row r="77">
      <c r="A77" s="61" t="inlineStr">
        <is>
          <t xml:space="preserve">L77</t>
        </is>
      </c>
      <c r="B77" s="61" t="inlineStr">
        <is>
          <t xml:space="preserve">Station accessibility upgrades are years behind. Can you speed them up?</t>
        </is>
      </c>
      <c r="C77" s="61" t="inlineStr">
        <is>
          <t xml:space="preserve">Station access</t>
        </is>
      </c>
      <c r="D77" s="61" t="inlineStr">
        <is>
          <t xml:space="preserve">S</t>
        </is>
      </c>
      <c r="E77" s="61" t="inlineStr">
        <is>
          <t xml:space="preserve">M</t>
        </is>
      </c>
      <c r="F77" s="61" t="inlineStr">
        <is>
          <t xml:space="preserve">M</t>
        </is>
      </c>
      <c r="G77" s="61" t="inlineStr">
        <is>
          <t xml:space="preserve">S</t>
        </is>
      </c>
      <c r="H77" s="61" t="inlineStr">
        <is>
          <t xml:space="preserve">W</t>
        </is>
      </c>
      <c r="I77" s="61" t="inlineStr">
        <is>
          <t xml:space="preserve">M</t>
        </is>
      </c>
    </row>
    <row r="78">
      <c r="A78" s="61" t="inlineStr">
        <is>
          <t xml:space="preserve">L78</t>
        </is>
      </c>
      <c r="B78" s="61" t="inlineStr">
        <is>
          <t xml:space="preserve">Anyone who breaks with the faction is on the other side now. Are you with us or not?</t>
        </is>
      </c>
      <c r="C78" s="61" t="inlineStr">
        <is>
          <t xml:space="preserve">Faction discipline</t>
        </is>
      </c>
      <c r="D78" s="61" t="inlineStr">
        <is>
          <t xml:space="preserve">M</t>
        </is>
      </c>
      <c r="E78" s="61" t="inlineStr">
        <is>
          <t xml:space="preserve">M</t>
        </is>
      </c>
      <c r="F78" s="61" t="inlineStr">
        <is>
          <t xml:space="preserve">S</t>
        </is>
      </c>
      <c r="G78" s="61" t="inlineStr">
        <is>
          <t xml:space="preserve">W</t>
        </is>
      </c>
      <c r="H78" s="61" t="inlineStr">
        <is>
          <t xml:space="preserve">S</t>
        </is>
      </c>
      <c r="I78" s="61" t="inlineStr">
        <is>
          <t xml:space="preserve">M</t>
        </is>
      </c>
    </row>
    <row r="81" spans="1:10">
      <c r="B81" s="58" t="s">
        <v>3062</v>
      </c>
    </row>
    <row r="82" spans="2:10">
      <c r="B82" s="58" t="s">
        <v>2957</v>
      </c>
    </row>
    <row r="83" spans="2:10">
      <c r="B83" s="58" t="s">
        <v>3008</v>
      </c>
    </row>
    <row r="84" spans="2:10">
      <c r="B84" s="58" t="s">
        <v>2960</v>
      </c>
    </row>
  </sheetData>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N37"/>
  <sheetViews>
    <sheetView workbookViewId="0">
      <pane xSplit="2" ySplit="1" topLeftCell="C18" activePane="bottomRight" state="frozen"/>
      <selection pane="topRight"/>
      <selection pane="bottomLeft"/>
      <selection pane="bottomRight" activeCell="K23" sqref="K23"/>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s>
  <sheetData>
    <row r="1" spans="1:14" ht="25.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27.5" customHeight="1">
      <c r="A2" s="53" t="s">
        <v>3063</v>
      </c>
      <c r="B2" s="54" t="s">
        <v>3064</v>
      </c>
      <c r="C2" s="55" t="s">
        <v>3065</v>
      </c>
      <c r="D2" s="53" t="s">
        <v>515</v>
      </c>
      <c r="E2" s="53" t="s">
        <v>2909</v>
      </c>
      <c r="F2" s="53" t="s">
        <v>515</v>
      </c>
      <c r="G2" s="53" t="s">
        <v>2899</v>
      </c>
      <c r="H2" s="53" t="s">
        <v>2909</v>
      </c>
      <c r="I2" s="53" t="s">
        <v>2899</v>
      </c>
      <c r="J2" s="53"/>
      <c r="K2" s="53"/>
      <c r="L2" s="56"/>
      <c r="M2" s="56"/>
      <c r="N2" s="56"/>
    </row>
    <row r="3" spans="1:14" ht="127.5" customHeight="1">
      <c r="A3" s="53" t="s">
        <v>3066</v>
      </c>
      <c r="B3" s="54" t="s">
        <v>3067</v>
      </c>
      <c r="C3" s="55" t="s">
        <v>394</v>
      </c>
      <c r="D3" s="53" t="s">
        <v>2899</v>
      </c>
      <c r="E3" s="53" t="s">
        <v>515</v>
      </c>
      <c r="F3" s="53" t="s">
        <v>515</v>
      </c>
      <c r="G3" s="53" t="s">
        <v>2899</v>
      </c>
      <c r="H3" s="53" t="s">
        <v>2909</v>
      </c>
      <c r="I3" s="53" t="s">
        <v>515</v>
      </c>
      <c r="J3" s="53"/>
      <c r="K3" s="53"/>
      <c r="L3" s="56"/>
      <c r="M3" s="56"/>
      <c r="N3" s="56"/>
    </row>
    <row r="4" spans="1:14" ht="127.5" customHeight="1">
      <c r="A4" s="53" t="s">
        <v>3068</v>
      </c>
      <c r="B4" s="54" t="s">
        <v>3069</v>
      </c>
      <c r="C4" s="55" t="s">
        <v>3070</v>
      </c>
      <c r="D4" s="53" t="s">
        <v>515</v>
      </c>
      <c r="E4" s="53" t="s">
        <v>2909</v>
      </c>
      <c r="F4" s="53" t="s">
        <v>515</v>
      </c>
      <c r="G4" s="53" t="s">
        <v>2899</v>
      </c>
      <c r="H4" s="53" t="s">
        <v>2909</v>
      </c>
      <c r="I4" s="53" t="s">
        <v>2899</v>
      </c>
      <c r="J4" s="53"/>
      <c r="K4" s="53"/>
      <c r="L4" s="56"/>
      <c r="M4" s="56"/>
      <c r="N4" s="56"/>
    </row>
    <row r="5" spans="1:14" ht="140.25" customHeight="1">
      <c r="A5" s="53" t="s">
        <v>3071</v>
      </c>
      <c r="B5" s="54" t="s">
        <v>3072</v>
      </c>
      <c r="C5" s="55" t="s">
        <v>2918</v>
      </c>
      <c r="D5" s="53" t="s">
        <v>515</v>
      </c>
      <c r="E5" s="53" t="s">
        <v>2909</v>
      </c>
      <c r="F5" s="53" t="s">
        <v>2909</v>
      </c>
      <c r="G5" s="53" t="s">
        <v>2899</v>
      </c>
      <c r="H5" s="53" t="s">
        <v>515</v>
      </c>
      <c r="I5" s="53" t="s">
        <v>2899</v>
      </c>
      <c r="J5" s="53"/>
      <c r="K5" s="53"/>
      <c r="L5" s="56"/>
      <c r="M5" s="56"/>
      <c r="N5" s="56"/>
    </row>
    <row r="6" spans="1:14" ht="127.5" customHeight="1">
      <c r="A6" s="53" t="s">
        <v>3073</v>
      </c>
      <c r="B6" s="54" t="s">
        <v>3074</v>
      </c>
      <c r="C6" s="55" t="s">
        <v>3075</v>
      </c>
      <c r="D6" s="53" t="s">
        <v>515</v>
      </c>
      <c r="E6" s="53" t="s">
        <v>2909</v>
      </c>
      <c r="F6" s="53" t="s">
        <v>515</v>
      </c>
      <c r="G6" s="53" t="s">
        <v>2899</v>
      </c>
      <c r="H6" s="53" t="s">
        <v>2909</v>
      </c>
      <c r="I6" s="53" t="s">
        <v>2899</v>
      </c>
      <c r="J6" s="53"/>
      <c r="K6" s="53"/>
      <c r="L6" s="56"/>
      <c r="M6" s="56"/>
      <c r="N6" s="56"/>
    </row>
    <row r="7" spans="1:14" ht="140.25" customHeight="1">
      <c r="A7" s="53" t="s">
        <v>3076</v>
      </c>
      <c r="B7" s="54" t="s">
        <v>3077</v>
      </c>
      <c r="C7" s="55" t="s">
        <v>2921</v>
      </c>
      <c r="D7" s="53" t="s">
        <v>515</v>
      </c>
      <c r="E7" s="53" t="s">
        <v>515</v>
      </c>
      <c r="F7" s="53" t="s">
        <v>2909</v>
      </c>
      <c r="G7" s="53" t="s">
        <v>2899</v>
      </c>
      <c r="H7" s="53" t="s">
        <v>2909</v>
      </c>
      <c r="I7" s="53" t="s">
        <v>2899</v>
      </c>
      <c r="J7" s="53"/>
      <c r="K7" s="53"/>
      <c r="L7" s="56"/>
      <c r="M7" s="56"/>
      <c r="N7" s="56"/>
    </row>
    <row r="8" spans="1:14" ht="114.75" customHeight="1">
      <c r="A8" s="53" t="s">
        <v>3078</v>
      </c>
      <c r="B8" s="54" t="s">
        <v>3079</v>
      </c>
      <c r="C8" s="55" t="s">
        <v>3080</v>
      </c>
      <c r="D8" s="53" t="s">
        <v>2899</v>
      </c>
      <c r="E8" s="53" t="s">
        <v>515</v>
      </c>
      <c r="F8" s="53" t="s">
        <v>515</v>
      </c>
      <c r="G8" s="53" t="s">
        <v>2899</v>
      </c>
      <c r="H8" s="53" t="s">
        <v>2909</v>
      </c>
      <c r="I8" s="53" t="s">
        <v>2899</v>
      </c>
      <c r="J8" s="53"/>
      <c r="K8" s="53"/>
      <c r="L8" s="56"/>
      <c r="M8" s="56"/>
      <c r="N8" s="56"/>
    </row>
    <row r="9" spans="1:14" ht="102" customHeight="1">
      <c r="A9" s="53" t="s">
        <v>3081</v>
      </c>
      <c r="B9" s="54" t="s">
        <v>3082</v>
      </c>
      <c r="C9" s="55" t="s">
        <v>3083</v>
      </c>
      <c r="D9" s="53" t="s">
        <v>2899</v>
      </c>
      <c r="E9" s="53" t="s">
        <v>515</v>
      </c>
      <c r="F9" s="53" t="s">
        <v>515</v>
      </c>
      <c r="G9" s="53" t="s">
        <v>2899</v>
      </c>
      <c r="H9" s="53" t="s">
        <v>2909</v>
      </c>
      <c r="I9" s="53" t="s">
        <v>2899</v>
      </c>
      <c r="J9" s="53"/>
      <c r="K9" s="53"/>
      <c r="L9" s="56"/>
      <c r="M9" s="56"/>
      <c r="N9" s="56"/>
    </row>
    <row r="10" spans="1:14" ht="140.25" customHeight="1">
      <c r="A10" s="53" t="s">
        <v>3084</v>
      </c>
      <c r="B10" s="54" t="s">
        <v>3085</v>
      </c>
      <c r="C10" s="55" t="s">
        <v>3086</v>
      </c>
      <c r="D10" s="53" t="s">
        <v>515</v>
      </c>
      <c r="E10" s="53" t="s">
        <v>2909</v>
      </c>
      <c r="F10" s="53" t="s">
        <v>515</v>
      </c>
      <c r="G10" s="53" t="s">
        <v>2899</v>
      </c>
      <c r="H10" s="53" t="s">
        <v>515</v>
      </c>
      <c r="I10" s="53" t="s">
        <v>2899</v>
      </c>
      <c r="J10" s="53"/>
      <c r="K10" s="53"/>
      <c r="L10" s="56"/>
      <c r="M10" s="56"/>
      <c r="N10" s="56"/>
    </row>
    <row r="11" spans="1:14" ht="102" customHeight="1">
      <c r="A11" s="53" t="s">
        <v>3087</v>
      </c>
      <c r="B11" s="54" t="s">
        <v>3088</v>
      </c>
      <c r="C11" s="55" t="s">
        <v>2898</v>
      </c>
      <c r="D11" s="53" t="s">
        <v>2899</v>
      </c>
      <c r="E11" s="53" t="s">
        <v>2899</v>
      </c>
      <c r="F11" s="53" t="s">
        <v>2899</v>
      </c>
      <c r="G11" s="53" t="s">
        <v>515</v>
      </c>
      <c r="H11" s="53" t="s">
        <v>515</v>
      </c>
      <c r="I11" s="53" t="s">
        <v>515</v>
      </c>
      <c r="J11" s="53"/>
      <c r="K11" s="53"/>
      <c r="L11" s="56"/>
      <c r="M11" s="56"/>
      <c r="N11" s="56"/>
    </row>
    <row r="12" spans="1:14" ht="114.75" customHeight="1">
      <c r="A12" s="53" t="s">
        <v>3089</v>
      </c>
      <c r="B12" s="54" t="s">
        <v>3090</v>
      </c>
      <c r="C12" s="55" t="s">
        <v>3091</v>
      </c>
      <c r="D12" s="53" t="s">
        <v>2899</v>
      </c>
      <c r="E12" s="53" t="s">
        <v>515</v>
      </c>
      <c r="F12" s="53" t="s">
        <v>2899</v>
      </c>
      <c r="G12" s="53" t="s">
        <v>2909</v>
      </c>
      <c r="H12" s="53" t="s">
        <v>515</v>
      </c>
      <c r="I12" s="53" t="s">
        <v>2899</v>
      </c>
      <c r="J12" s="53"/>
      <c r="K12" s="53"/>
      <c r="L12" s="56"/>
      <c r="M12" s="56"/>
      <c r="N12" s="56"/>
    </row>
    <row r="13" spans="1:14" ht="127.5" customHeight="1">
      <c r="A13" s="53" t="s">
        <v>3092</v>
      </c>
      <c r="B13" s="54" t="s">
        <v>3093</v>
      </c>
      <c r="C13" s="55" t="s">
        <v>3094</v>
      </c>
      <c r="D13" s="53" t="s">
        <v>515</v>
      </c>
      <c r="E13" s="53" t="s">
        <v>2909</v>
      </c>
      <c r="F13" s="53" t="s">
        <v>515</v>
      </c>
      <c r="G13" s="53" t="s">
        <v>2899</v>
      </c>
      <c r="H13" s="53" t="s">
        <v>2909</v>
      </c>
      <c r="I13" s="53" t="s">
        <v>2899</v>
      </c>
      <c r="J13" s="53"/>
      <c r="K13" s="53"/>
      <c r="L13" s="56"/>
      <c r="M13" s="56"/>
      <c r="N13" s="56"/>
    </row>
    <row r="14" spans="1:14" ht="140.25" customHeight="1">
      <c r="A14" s="53" t="s">
        <v>3095</v>
      </c>
      <c r="B14" s="54" t="s">
        <v>3096</v>
      </c>
      <c r="C14" s="55" t="s">
        <v>3097</v>
      </c>
      <c r="D14" s="53" t="s">
        <v>2899</v>
      </c>
      <c r="E14" s="53" t="s">
        <v>2909</v>
      </c>
      <c r="F14" s="53" t="s">
        <v>515</v>
      </c>
      <c r="G14" s="53" t="s">
        <v>2899</v>
      </c>
      <c r="H14" s="53" t="s">
        <v>2909</v>
      </c>
      <c r="I14" s="53" t="s">
        <v>2899</v>
      </c>
      <c r="J14" s="53"/>
      <c r="K14" s="53"/>
      <c r="L14" s="56"/>
      <c r="M14" s="56"/>
      <c r="N14" s="56"/>
    </row>
    <row r="15" spans="1:14" ht="140.25" customHeight="1">
      <c r="A15" s="53" t="s">
        <v>3098</v>
      </c>
      <c r="B15" s="54" t="s">
        <v>3099</v>
      </c>
      <c r="C15" s="55" t="s">
        <v>3100</v>
      </c>
      <c r="D15" s="53" t="s">
        <v>515</v>
      </c>
      <c r="E15" s="53" t="s">
        <v>2909</v>
      </c>
      <c r="F15" s="53" t="s">
        <v>2899</v>
      </c>
      <c r="G15" s="53" t="s">
        <v>515</v>
      </c>
      <c r="H15" s="53" t="s">
        <v>2909</v>
      </c>
      <c r="I15" s="53" t="s">
        <v>2899</v>
      </c>
      <c r="J15" s="53"/>
      <c r="K15" s="53"/>
      <c r="L15" s="56"/>
      <c r="M15" s="56"/>
      <c r="N15" s="56"/>
    </row>
    <row r="16" spans="1:14" ht="114.75" customHeight="1">
      <c r="A16" s="53" t="s">
        <v>3101</v>
      </c>
      <c r="B16" s="54" t="s">
        <v>3102</v>
      </c>
      <c r="C16" s="55" t="s">
        <v>2943</v>
      </c>
      <c r="D16" s="53" t="s">
        <v>2899</v>
      </c>
      <c r="E16" s="53" t="s">
        <v>515</v>
      </c>
      <c r="F16" s="53" t="s">
        <v>515</v>
      </c>
      <c r="G16" s="53" t="s">
        <v>2899</v>
      </c>
      <c r="H16" s="53" t="s">
        <v>2909</v>
      </c>
      <c r="I16" s="53" t="s">
        <v>2899</v>
      </c>
      <c r="J16" s="53"/>
      <c r="K16" s="53"/>
      <c r="L16" s="56"/>
      <c r="M16" s="56"/>
      <c r="N16" s="56"/>
    </row>
    <row r="17" spans="1:14" ht="127.5" customHeight="1">
      <c r="A17" s="53" t="s">
        <v>3103</v>
      </c>
      <c r="B17" s="54" t="s">
        <v>3104</v>
      </c>
      <c r="C17" s="55" t="s">
        <v>3105</v>
      </c>
      <c r="D17" s="53" t="s">
        <v>2899</v>
      </c>
      <c r="E17" s="53" t="s">
        <v>515</v>
      </c>
      <c r="F17" s="53" t="s">
        <v>515</v>
      </c>
      <c r="G17" s="53" t="s">
        <v>2899</v>
      </c>
      <c r="H17" s="53" t="s">
        <v>2909</v>
      </c>
      <c r="I17" s="53" t="s">
        <v>2899</v>
      </c>
      <c r="J17" s="53"/>
      <c r="K17" s="53"/>
      <c r="L17" s="56"/>
      <c r="M17" s="56"/>
      <c r="N17" s="56"/>
    </row>
    <row r="18" spans="1:14" ht="114.75" customHeight="1">
      <c r="A18" s="53" t="s">
        <v>3106</v>
      </c>
      <c r="B18" s="54" t="s">
        <v>3107</v>
      </c>
      <c r="C18" s="55" t="s">
        <v>3037</v>
      </c>
      <c r="D18" s="53" t="s">
        <v>515</v>
      </c>
      <c r="E18" s="53" t="s">
        <v>2909</v>
      </c>
      <c r="F18" s="53" t="s">
        <v>2899</v>
      </c>
      <c r="G18" s="53" t="s">
        <v>515</v>
      </c>
      <c r="H18" s="53" t="s">
        <v>2909</v>
      </c>
      <c r="I18" s="53" t="s">
        <v>2899</v>
      </c>
      <c r="J18" s="53"/>
      <c r="K18" s="53"/>
      <c r="L18" s="56"/>
      <c r="M18" s="56"/>
      <c r="N18" s="56"/>
    </row>
    <row r="19" spans="1:14" ht="127.5" customHeight="1">
      <c r="A19" s="53" t="s">
        <v>3108</v>
      </c>
      <c r="B19" s="54" t="s">
        <v>3109</v>
      </c>
      <c r="C19" s="55" t="s">
        <v>3110</v>
      </c>
      <c r="D19" s="53" t="s">
        <v>515</v>
      </c>
      <c r="E19" s="53" t="s">
        <v>515</v>
      </c>
      <c r="F19" s="53" t="s">
        <v>515</v>
      </c>
      <c r="G19" s="53" t="s">
        <v>2899</v>
      </c>
      <c r="H19" s="53" t="s">
        <v>515</v>
      </c>
      <c r="I19" s="53" t="s">
        <v>2899</v>
      </c>
      <c r="J19" s="53"/>
      <c r="K19" s="53"/>
      <c r="L19" s="56"/>
      <c r="M19" s="56"/>
      <c r="N19" s="56"/>
    </row>
    <row r="20" spans="1:14" ht="89.25" customHeight="1">
      <c r="A20" s="53" t="s">
        <v>3111</v>
      </c>
      <c r="B20" s="54" t="s">
        <v>3112</v>
      </c>
      <c r="C20" s="55" t="s">
        <v>3113</v>
      </c>
      <c r="D20" s="53" t="s">
        <v>515</v>
      </c>
      <c r="E20" s="53" t="s">
        <v>2909</v>
      </c>
      <c r="F20" s="53" t="s">
        <v>2909</v>
      </c>
      <c r="G20" s="53" t="s">
        <v>2899</v>
      </c>
      <c r="H20" s="53" t="s">
        <v>515</v>
      </c>
      <c r="I20" s="53" t="s">
        <v>2899</v>
      </c>
      <c r="J20" s="53"/>
      <c r="K20" s="53"/>
      <c r="L20" s="56"/>
      <c r="M20" s="56"/>
      <c r="N20" s="56"/>
    </row>
    <row r="21" spans="1:14" ht="114.75" customHeight="1">
      <c r="A21" s="53" t="s">
        <v>3114</v>
      </c>
      <c r="B21" s="54" t="s">
        <v>3115</v>
      </c>
      <c r="C21" s="55" t="s">
        <v>662</v>
      </c>
      <c r="D21" s="53" t="s">
        <v>515</v>
      </c>
      <c r="E21" s="53" t="s">
        <v>515</v>
      </c>
      <c r="F21" s="53" t="s">
        <v>2899</v>
      </c>
      <c r="G21" s="53" t="s">
        <v>515</v>
      </c>
      <c r="H21" s="53" t="s">
        <v>2899</v>
      </c>
      <c r="I21" s="53" t="s">
        <v>2899</v>
      </c>
      <c r="J21" s="53"/>
      <c r="K21" s="53"/>
      <c r="L21" s="56"/>
      <c r="M21" s="56"/>
      <c r="N21" s="56"/>
    </row>
    <row r="22">
      <c r="A22" s="53" t="inlineStr">
        <is>
          <t xml:space="preserve">B21</t>
        </is>
      </c>
      <c r="B22" s="54" t="inlineStr">
        <is>
          <t xml:space="preserve">What would a preferential rights framework for the Ainu actually cost?</t>
        </is>
      </c>
      <c r="C22" s="55" t="inlineStr">
        <is>
          <t xml:space="preserve">Ainu preferential cost</t>
        </is>
      </c>
      <c r="D22" s="53" t="inlineStr">
        <is>
          <t xml:space="preserve">S</t>
        </is>
      </c>
      <c r="E22" s="53" t="inlineStr">
        <is>
          <t xml:space="preserve">W</t>
        </is>
      </c>
      <c r="F22" s="53" t="inlineStr">
        <is>
          <t xml:space="preserve">M</t>
        </is>
      </c>
      <c r="G22" s="53" t="inlineStr">
        <is>
          <t xml:space="preserve">S</t>
        </is>
      </c>
      <c r="H22" s="53" t="inlineStr">
        <is>
          <t xml:space="preserve">W</t>
        </is>
      </c>
      <c r="I22" s="53" t="inlineStr">
        <is>
          <t xml:space="preserve">M</t>
        </is>
      </c>
    </row>
    <row r="23">
      <c r="A23" s="53" t="inlineStr">
        <is>
          <t xml:space="preserve">B22</t>
        </is>
      </c>
      <c r="B23" s="54" t="inlineStr">
        <is>
          <t xml:space="preserve">Should imported seafood face tougher labelling rules?</t>
        </is>
      </c>
      <c r="C23" s="55" t="inlineStr">
        <is>
          <t xml:space="preserve">Seafood labelling</t>
        </is>
      </c>
      <c r="D23" s="53" t="inlineStr">
        <is>
          <t xml:space="preserve">S</t>
        </is>
      </c>
      <c r="E23" s="53" t="inlineStr">
        <is>
          <t xml:space="preserve">W</t>
        </is>
      </c>
      <c r="F23" s="53" t="inlineStr">
        <is>
          <t xml:space="preserve">M</t>
        </is>
      </c>
      <c r="G23" s="53" t="inlineStr">
        <is>
          <t xml:space="preserve">S</t>
        </is>
      </c>
      <c r="H23" s="53" t="inlineStr">
        <is>
          <t xml:space="preserve">M</t>
        </is>
      </c>
      <c r="I23" s="53" t="inlineStr">
        <is>
          <t xml:space="preserve">W</t>
        </is>
      </c>
    </row>
    <row r="24">
      <c r="A24" s="53" t="inlineStr">
        <is>
          <t xml:space="preserve">B23</t>
        </is>
      </c>
      <c r="B24" s="54" t="inlineStr">
        <is>
          <t xml:space="preserve">Should congestion charges pay for better buses?</t>
        </is>
      </c>
      <c r="C24" s="55" t="inlineStr">
        <is>
          <t xml:space="preserve">Road congestion</t>
        </is>
      </c>
      <c r="D24" s="53" t="inlineStr">
        <is>
          <t xml:space="preserve">M</t>
        </is>
      </c>
      <c r="E24" s="53" t="inlineStr">
        <is>
          <t xml:space="preserve">W</t>
        </is>
      </c>
      <c r="F24" s="53" t="inlineStr">
        <is>
          <t xml:space="preserve">S</t>
        </is>
      </c>
      <c r="G24" s="53" t="inlineStr">
        <is>
          <t xml:space="preserve">S</t>
        </is>
      </c>
      <c r="H24" s="53" t="inlineStr">
        <is>
          <t xml:space="preserve">M</t>
        </is>
      </c>
      <c r="I24" s="53" t="inlineStr">
        <is>
          <t xml:space="preserve">W</t>
        </is>
      </c>
    </row>
    <row r="25">
      <c r="A25" s="53" t="inlineStr">
        <is>
          <t xml:space="preserve">B24</t>
        </is>
      </c>
      <c r="B25" s="54" t="inlineStr">
        <is>
          <t xml:space="preserve">How do we get university discoveries into real companies faster?</t>
        </is>
      </c>
      <c r="C25" s="55" t="inlineStr">
        <is>
          <t xml:space="preserve">Tech transfer</t>
        </is>
      </c>
      <c r="D25" s="53" t="inlineStr">
        <is>
          <t xml:space="preserve">M</t>
        </is>
      </c>
      <c r="E25" s="53" t="inlineStr">
        <is>
          <t xml:space="preserve">W</t>
        </is>
      </c>
      <c r="F25" s="53" t="inlineStr">
        <is>
          <t xml:space="preserve">M</t>
        </is>
      </c>
      <c r="G25" s="53" t="inlineStr">
        <is>
          <t xml:space="preserve">S</t>
        </is>
      </c>
      <c r="H25" s="53" t="inlineStr">
        <is>
          <t xml:space="preserve">S</t>
        </is>
      </c>
      <c r="I25" s="53" t="inlineStr">
        <is>
          <t xml:space="preserve">M</t>
        </is>
      </c>
    </row>
    <row r="26">
      <c r="A26" s="53" t="inlineStr">
        <is>
          <t xml:space="preserve">B25</t>
        </is>
      </c>
      <c r="B26" s="54" t="inlineStr">
        <is>
          <t xml:space="preserve">Should new payment apps face the same rules as banks?</t>
        </is>
      </c>
      <c r="C26" s="55" t="inlineStr">
        <is>
          <t xml:space="preserve">Fintech rules</t>
        </is>
      </c>
      <c r="D26" s="53" t="inlineStr">
        <is>
          <t xml:space="preserve">S</t>
        </is>
      </c>
      <c r="E26" s="53" t="inlineStr">
        <is>
          <t xml:space="preserve">W</t>
        </is>
      </c>
      <c r="F26" s="53" t="inlineStr">
        <is>
          <t xml:space="preserve">M</t>
        </is>
      </c>
      <c r="G26" s="53" t="inlineStr">
        <is>
          <t xml:space="preserve">S</t>
        </is>
      </c>
      <c r="H26" s="53" t="inlineStr">
        <is>
          <t xml:space="preserve">W</t>
        </is>
      </c>
      <c r="I26" s="53" t="inlineStr">
        <is>
          <t xml:space="preserve">M</t>
        </is>
      </c>
    </row>
    <row r="27">
      <c r="A27" s="53" t="inlineStr">
        <is>
          <t xml:space="preserve">B26</t>
        </is>
      </c>
      <c r="B27" s="54" t="inlineStr">
        <is>
          <t xml:space="preserve">Which parts of the platform survive contact with the budget?</t>
        </is>
      </c>
      <c r="C27" s="55" t="inlineStr">
        <is>
          <t xml:space="preserve">Party platform</t>
        </is>
      </c>
      <c r="D27" s="53" t="inlineStr">
        <is>
          <t xml:space="preserve">M</t>
        </is>
      </c>
      <c r="E27" s="53" t="inlineStr">
        <is>
          <t xml:space="preserve">W</t>
        </is>
      </c>
      <c r="F27" s="53" t="inlineStr">
        <is>
          <t xml:space="preserve">M</t>
        </is>
      </c>
      <c r="G27" s="53" t="inlineStr">
        <is>
          <t xml:space="preserve">S</t>
        </is>
      </c>
      <c r="H27" s="53" t="inlineStr">
        <is>
          <t xml:space="preserve">S</t>
        </is>
      </c>
      <c r="I27" s="53" t="inlineStr">
        <is>
          <t xml:space="preserve">M</t>
        </is>
      </c>
    </row>
    <row r="28">
      <c r="A28" s="53" t="inlineStr">
        <is>
          <t xml:space="preserve">B27</t>
        </is>
      </c>
      <c r="B28" s="54" t="inlineStr">
        <is>
          <t xml:space="preserve">What do accessibility upgrades actually cost per person helped?</t>
        </is>
      </c>
      <c r="C28" s="55" t="inlineStr">
        <is>
          <t xml:space="preserve">Disability support</t>
        </is>
      </c>
      <c r="D28" s="53" t="inlineStr">
        <is>
          <t xml:space="preserve">M</t>
        </is>
      </c>
      <c r="E28" s="53" t="inlineStr">
        <is>
          <t xml:space="preserve">S</t>
        </is>
      </c>
      <c r="F28" s="53" t="inlineStr">
        <is>
          <t xml:space="preserve">M</t>
        </is>
      </c>
      <c r="G28" s="53" t="inlineStr">
        <is>
          <t xml:space="preserve">S</t>
        </is>
      </c>
      <c r="H28" s="53" t="inlineStr">
        <is>
          <t xml:space="preserve">W</t>
        </is>
      </c>
      <c r="I28" s="53" t="inlineStr">
        <is>
          <t xml:space="preserve">M</t>
        </is>
      </c>
    </row>
    <row r="29">
      <c r="A29" s="53" t="inlineStr">
        <is>
          <t xml:space="preserve">B28</t>
        </is>
      </c>
      <c r="B29" s="54" t="inlineStr">
        <is>
          <t xml:space="preserve">What would looser zoning do to rents and traffic?</t>
        </is>
      </c>
      <c r="C29" s="55" t="inlineStr">
        <is>
          <t xml:space="preserve">Zoning</t>
        </is>
      </c>
      <c r="D29" s="53" t="inlineStr">
        <is>
          <t xml:space="preserve">M</t>
        </is>
      </c>
      <c r="E29" s="53" t="inlineStr">
        <is>
          <t xml:space="preserve">W</t>
        </is>
      </c>
      <c r="F29" s="53" t="inlineStr">
        <is>
          <t xml:space="preserve">M</t>
        </is>
      </c>
      <c r="G29" s="53" t="inlineStr">
        <is>
          <t xml:space="preserve">S</t>
        </is>
      </c>
      <c r="H29" s="53" t="inlineStr">
        <is>
          <t xml:space="preserve">S</t>
        </is>
      </c>
      <c r="I29" s="53" t="inlineStr">
        <is>
          <t xml:space="preserve">M</t>
        </is>
      </c>
    </row>
    <row r="30">
      <c r="A30" s="53" t="inlineStr">
        <is>
          <t xml:space="preserve">B29</t>
        </is>
      </c>
      <c r="B30" s="54" t="inlineStr">
        <is>
          <t xml:space="preserve">How many jobs would a modernised port create or cost?</t>
        </is>
      </c>
      <c r="C30" s="55" t="inlineStr">
        <is>
          <t xml:space="preserve">Port jobs</t>
        </is>
      </c>
      <c r="D30" s="53" t="inlineStr">
        <is>
          <t xml:space="preserve">M</t>
        </is>
      </c>
      <c r="E30" s="53" t="inlineStr">
        <is>
          <t xml:space="preserve">S</t>
        </is>
      </c>
      <c r="F30" s="53" t="inlineStr">
        <is>
          <t xml:space="preserve">M</t>
        </is>
      </c>
      <c r="G30" s="53" t="inlineStr">
        <is>
          <t xml:space="preserve">S</t>
        </is>
      </c>
      <c r="H30" s="53" t="inlineStr">
        <is>
          <t xml:space="preserve">W</t>
        </is>
      </c>
      <c r="I30" s="53" t="inlineStr">
        <is>
          <t xml:space="preserve">M</t>
        </is>
      </c>
    </row>
    <row r="31">
      <c r="A31" s="53" t="inlineStr">
        <is>
          <t xml:space="preserve">B30</t>
        </is>
      </c>
      <c r="B31" s="54" t="inlineStr">
        <is>
          <t xml:space="preserve">What would more frequent trains cost, and who would use them?</t>
        </is>
      </c>
      <c r="C31" s="55" t="inlineStr">
        <is>
          <t xml:space="preserve">Rail timetables</t>
        </is>
      </c>
      <c r="D31" s="53" t="inlineStr">
        <is>
          <t xml:space="preserve">S</t>
        </is>
      </c>
      <c r="E31" s="53" t="inlineStr">
        <is>
          <t xml:space="preserve">W</t>
        </is>
      </c>
      <c r="F31" s="53" t="inlineStr">
        <is>
          <t xml:space="preserve">M</t>
        </is>
      </c>
      <c r="G31" s="53" t="inlineStr">
        <is>
          <t xml:space="preserve">S</t>
        </is>
      </c>
      <c r="H31" s="53" t="inlineStr">
        <is>
          <t xml:space="preserve">W</t>
        </is>
      </c>
      <c r="I31" s="53" t="inlineStr">
        <is>
          <t xml:space="preserve">M</t>
        </is>
      </c>
    </row>
    <row r="32" spans="1:14">
      <c r="C32" s="16" t="s">
        <v>2956</v>
      </c>
      <c r="D32" s="57">
        <f t="shared" ref="D22:I22" si="0">COUNTIF(D2:D31,"S")</f>
      </c>
      <c r="E32" s="57">
        <f t="shared" si="0"/>
      </c>
      <c r="F32" s="57">
        <f t="shared" si="0"/>
      </c>
      <c r="G32" s="57">
        <f t="shared" si="0"/>
      </c>
      <c r="H32" s="57">
        <f t="shared" si="0"/>
      </c>
      <c r="I32" s="57">
        <f t="shared" si="0"/>
      </c>
    </row>
    <row r="34" spans="1:14">
      <c r="B34" s="58" t="s">
        <v>3116</v>
      </c>
    </row>
    <row r="35" spans="1:14">
      <c r="B35" s="58" t="s">
        <v>2957</v>
      </c>
    </row>
    <row r="36" spans="1:14">
      <c r="B36" s="58" t="s">
        <v>3008</v>
      </c>
    </row>
    <row r="37" spans="1:14">
      <c r="B37" s="58" t="s">
        <v>2960</v>
      </c>
    </row>
  </sheetData>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N34"/>
  <sheetViews>
    <sheetView workbookViewId="0">
      <pane xSplit="2" ySplit="1" topLeftCell="C11" activePane="bottomRight" state="frozen"/>
      <selection pane="topRight"/>
      <selection pane="bottomLeft"/>
      <selection pane="bottomRight" activeCell="L9" sqref="L9"/>
    </sheetView>
  </sheetViews>
  <sheetFormatPr defaultRowHeight="15"/>
  <cols>
    <col min="1" max="1" width="6" customWidth="1"/>
    <col min="2" max="2" width="42" customWidth="1"/>
    <col min="3" max="3" width="14" customWidth="1"/>
    <col min="4" max="4" width="9" customWidth="1"/>
    <col min="5" max="5" width="10" customWidth="1"/>
    <col min="6" max="6" width="9" customWidth="1"/>
    <col min="7" max="7" width="10" customWidth="1"/>
    <col min="8" max="8" width="9" customWidth="1"/>
    <col min="9" max="9" width="11" customWidth="1"/>
    <col min="10" max="10" width="8" customWidth="1"/>
    <col min="11" max="11" width="7" customWidth="1"/>
    <col min="12" max="12" width="44" customWidth="1"/>
    <col min="13" max="13" width="9" customWidth="1"/>
  </cols>
  <sheetData>
    <row r="1" spans="1:14" ht="38.25" customHeight="1">
      <c r="A1" s="14" t="s">
        <v>2893</v>
      </c>
      <c r="B1" s="14" t="s">
        <v>2894</v>
      </c>
      <c r="C1" s="14" t="s">
        <v>2895</v>
      </c>
      <c r="D1" s="14" t="s">
        <v>16</v>
      </c>
      <c r="E1" s="14" t="s">
        <v>80</v>
      </c>
      <c r="F1" s="14" t="s">
        <v>144</v>
      </c>
      <c r="G1" s="14" t="s">
        <v>205</v>
      </c>
      <c r="H1" s="14" t="s">
        <v>269</v>
      </c>
      <c r="I1" s="14" t="s">
        <v>333</v>
      </c>
      <c r="J1" s="15"/>
      <c r="K1" s="15"/>
      <c r="L1" s="14"/>
      <c r="M1" s="14"/>
      <c r="N1" s="14"/>
      <c r="J1" s="14" t="inlineStr">
        <is>
          <t xml:space="preserve">Asked By Party</t>
        </is>
      </c>
    </row>
    <row r="2" spans="1:14" ht="114.75" customHeight="1">
      <c r="A2" s="53" t="s">
        <v>3117</v>
      </c>
      <c r="B2" s="54" t="s">
        <v>3118</v>
      </c>
      <c r="C2" s="55" t="s">
        <v>3022</v>
      </c>
      <c r="D2" s="53" t="s">
        <v>2899</v>
      </c>
      <c r="E2" s="53" t="s">
        <v>515</v>
      </c>
      <c r="F2" s="53" t="s">
        <v>2909</v>
      </c>
      <c r="G2" s="53" t="s">
        <v>515</v>
      </c>
      <c r="H2" s="53" t="s">
        <v>2899</v>
      </c>
      <c r="I2" s="53" t="s">
        <v>2899</v>
      </c>
      <c r="J2" s="53"/>
      <c r="K2" s="53"/>
      <c r="L2" s="56"/>
      <c r="M2" s="56"/>
      <c r="N2" s="56"/>
    </row>
    <row r="3" spans="1:14" ht="102" customHeight="1">
      <c r="A3" s="53" t="s">
        <v>3119</v>
      </c>
      <c r="B3" s="54" t="s">
        <v>3120</v>
      </c>
      <c r="C3" s="55" t="s">
        <v>2938</v>
      </c>
      <c r="D3" s="53" t="s">
        <v>2899</v>
      </c>
      <c r="E3" s="53" t="s">
        <v>2899</v>
      </c>
      <c r="F3" s="53" t="s">
        <v>515</v>
      </c>
      <c r="G3" s="53" t="s">
        <v>515</v>
      </c>
      <c r="H3" s="53" t="s">
        <v>2899</v>
      </c>
      <c r="I3" s="53" t="s">
        <v>2899</v>
      </c>
      <c r="J3" s="53"/>
      <c r="K3" s="53"/>
      <c r="L3" s="56"/>
      <c r="M3" s="56"/>
      <c r="N3" s="56"/>
    </row>
    <row r="4" spans="1:14" ht="127.5" customHeight="1">
      <c r="A4" s="53" t="s">
        <v>3121</v>
      </c>
      <c r="B4" s="54" t="s">
        <v>3122</v>
      </c>
      <c r="C4" s="55" t="s">
        <v>3123</v>
      </c>
      <c r="D4" s="53" t="s">
        <v>515</v>
      </c>
      <c r="E4" s="53" t="s">
        <v>2899</v>
      </c>
      <c r="F4" s="53" t="s">
        <v>515</v>
      </c>
      <c r="G4" s="53" t="s">
        <v>2899</v>
      </c>
      <c r="H4" s="53" t="s">
        <v>2899</v>
      </c>
      <c r="I4" s="53" t="s">
        <v>2899</v>
      </c>
      <c r="J4" s="53"/>
      <c r="K4" s="53"/>
      <c r="L4" s="56"/>
      <c r="M4" s="56"/>
      <c r="N4" s="56"/>
    </row>
    <row r="5" spans="1:14" ht="127.5" customHeight="1">
      <c r="A5" s="53" t="s">
        <v>3124</v>
      </c>
      <c r="B5" s="54" t="s">
        <v>3125</v>
      </c>
      <c r="C5" s="55" t="s">
        <v>3126</v>
      </c>
      <c r="D5" s="53" t="s">
        <v>2899</v>
      </c>
      <c r="E5" s="53" t="s">
        <v>515</v>
      </c>
      <c r="F5" s="53" t="s">
        <v>2909</v>
      </c>
      <c r="G5" s="53" t="s">
        <v>515</v>
      </c>
      <c r="H5" s="53" t="s">
        <v>2899</v>
      </c>
      <c r="I5" s="53" t="s">
        <v>2899</v>
      </c>
      <c r="J5" s="53"/>
      <c r="K5" s="53"/>
      <c r="L5" s="56"/>
      <c r="M5" s="56"/>
      <c r="N5" s="56"/>
    </row>
    <row r="6" spans="1:14" ht="102" customHeight="1">
      <c r="A6" s="53" t="s">
        <v>3127</v>
      </c>
      <c r="B6" s="54" t="s">
        <v>3128</v>
      </c>
      <c r="C6" s="55" t="s">
        <v>3129</v>
      </c>
      <c r="D6" s="53" t="s">
        <v>2899</v>
      </c>
      <c r="E6" s="53" t="s">
        <v>2899</v>
      </c>
      <c r="F6" s="53" t="s">
        <v>515</v>
      </c>
      <c r="G6" s="53" t="s">
        <v>515</v>
      </c>
      <c r="H6" s="53" t="s">
        <v>2899</v>
      </c>
      <c r="I6" s="53" t="s">
        <v>2899</v>
      </c>
      <c r="J6" s="53"/>
      <c r="K6" s="53"/>
      <c r="L6" s="56"/>
      <c r="M6" s="56"/>
      <c r="N6" s="56"/>
    </row>
    <row r="7" spans="1:14" ht="114.75" customHeight="1">
      <c r="A7" s="53" t="s">
        <v>3130</v>
      </c>
      <c r="B7" s="54" t="s">
        <v>3131</v>
      </c>
      <c r="C7" s="55" t="s">
        <v>3132</v>
      </c>
      <c r="D7" s="53" t="s">
        <v>2899</v>
      </c>
      <c r="E7" s="53" t="s">
        <v>2899</v>
      </c>
      <c r="F7" s="53" t="s">
        <v>2909</v>
      </c>
      <c r="G7" s="53" t="s">
        <v>515</v>
      </c>
      <c r="H7" s="53" t="s">
        <v>515</v>
      </c>
      <c r="I7" s="53" t="s">
        <v>2899</v>
      </c>
      <c r="J7" s="53"/>
      <c r="K7" s="53"/>
      <c r="L7" s="56"/>
      <c r="M7" s="56"/>
      <c r="N7" s="56"/>
    </row>
    <row r="8" spans="1:14" ht="127.5" customHeight="1">
      <c r="A8" s="53" t="s">
        <v>3133</v>
      </c>
      <c r="B8" s="54" t="s">
        <v>3134</v>
      </c>
      <c r="C8" s="55" t="s">
        <v>3132</v>
      </c>
      <c r="D8" s="53" t="s">
        <v>515</v>
      </c>
      <c r="E8" s="53" t="s">
        <v>515</v>
      </c>
      <c r="F8" s="53" t="s">
        <v>2909</v>
      </c>
      <c r="G8" s="53" t="s">
        <v>2899</v>
      </c>
      <c r="H8" s="53" t="s">
        <v>515</v>
      </c>
      <c r="I8" s="53" t="s">
        <v>2899</v>
      </c>
      <c r="J8" s="53"/>
      <c r="K8" s="53"/>
      <c r="L8" s="56"/>
      <c r="M8" s="56"/>
      <c r="N8" s="56"/>
    </row>
    <row r="9" spans="1:14" ht="114.75" customHeight="1">
      <c r="A9" s="53" t="s">
        <v>3135</v>
      </c>
      <c r="B9" s="54" t="s">
        <v>3136</v>
      </c>
      <c r="C9" s="55" t="s">
        <v>3137</v>
      </c>
      <c r="D9" s="53" t="s">
        <v>515</v>
      </c>
      <c r="E9" s="53" t="s">
        <v>2899</v>
      </c>
      <c r="F9" s="53" t="s">
        <v>2899</v>
      </c>
      <c r="G9" s="53" t="s">
        <v>2909</v>
      </c>
      <c r="H9" s="53" t="s">
        <v>2899</v>
      </c>
      <c r="I9" s="53" t="s">
        <v>515</v>
      </c>
      <c r="J9" s="53"/>
      <c r="K9" s="53"/>
      <c r="L9" s="56"/>
      <c r="M9" s="56"/>
      <c r="N9" s="56"/>
    </row>
    <row r="10" spans="1:14" ht="102" customHeight="1">
      <c r="A10" s="53" t="s">
        <v>3138</v>
      </c>
      <c r="B10" s="54" t="s">
        <v>3139</v>
      </c>
      <c r="C10" s="55" t="s">
        <v>3140</v>
      </c>
      <c r="D10" s="53" t="s">
        <v>2899</v>
      </c>
      <c r="E10" s="53" t="s">
        <v>2899</v>
      </c>
      <c r="F10" s="53" t="s">
        <v>515</v>
      </c>
      <c r="G10" s="53" t="s">
        <v>2909</v>
      </c>
      <c r="H10" s="53" t="s">
        <v>515</v>
      </c>
      <c r="I10" s="53" t="s">
        <v>2899</v>
      </c>
      <c r="J10" s="53"/>
      <c r="K10" s="53"/>
      <c r="L10" s="56"/>
      <c r="M10" s="56"/>
      <c r="N10" s="56"/>
    </row>
    <row r="11" spans="1:14" ht="127.5" customHeight="1">
      <c r="A11" s="53" t="s">
        <v>3141</v>
      </c>
      <c r="B11" s="54" t="s">
        <v>3142</v>
      </c>
      <c r="C11" s="55" t="s">
        <v>3143</v>
      </c>
      <c r="D11" s="53" t="s">
        <v>2899</v>
      </c>
      <c r="E11" s="53" t="s">
        <v>515</v>
      </c>
      <c r="F11" s="53" t="s">
        <v>2909</v>
      </c>
      <c r="G11" s="53" t="s">
        <v>2899</v>
      </c>
      <c r="H11" s="53" t="s">
        <v>2899</v>
      </c>
      <c r="I11" s="53" t="s">
        <v>2899</v>
      </c>
      <c r="J11" s="53"/>
      <c r="K11" s="53"/>
      <c r="L11" s="56"/>
      <c r="M11" s="56"/>
      <c r="N11" s="56"/>
    </row>
    <row r="12" spans="1:14" ht="127.5" customHeight="1">
      <c r="A12" s="53" t="s">
        <v>3144</v>
      </c>
      <c r="B12" s="54" t="s">
        <v>3145</v>
      </c>
      <c r="C12" s="55" t="s">
        <v>3146</v>
      </c>
      <c r="D12" s="53" t="s">
        <v>2899</v>
      </c>
      <c r="E12" s="53" t="s">
        <v>2899</v>
      </c>
      <c r="F12" s="53" t="s">
        <v>515</v>
      </c>
      <c r="G12" s="53" t="s">
        <v>515</v>
      </c>
      <c r="H12" s="53" t="s">
        <v>2899</v>
      </c>
      <c r="I12" s="53" t="s">
        <v>515</v>
      </c>
      <c r="J12" s="53"/>
      <c r="K12" s="53"/>
      <c r="L12" s="56"/>
      <c r="M12" s="56"/>
      <c r="N12" s="56"/>
    </row>
    <row r="13" spans="1:14" ht="114.75" customHeight="1">
      <c r="A13" s="53" t="s">
        <v>3147</v>
      </c>
      <c r="B13" s="54" t="s">
        <v>3148</v>
      </c>
      <c r="C13" s="55" t="s">
        <v>3123</v>
      </c>
      <c r="D13" s="53" t="s">
        <v>515</v>
      </c>
      <c r="E13" s="53" t="s">
        <v>2899</v>
      </c>
      <c r="F13" s="53" t="s">
        <v>515</v>
      </c>
      <c r="G13" s="53" t="s">
        <v>2899</v>
      </c>
      <c r="H13" s="53" t="s">
        <v>2899</v>
      </c>
      <c r="I13" s="53" t="s">
        <v>515</v>
      </c>
      <c r="J13" s="53"/>
      <c r="K13" s="53"/>
      <c r="L13" s="56"/>
      <c r="M13" s="56"/>
      <c r="N13" s="56"/>
    </row>
    <row r="14" spans="1:14" ht="114.75" customHeight="1">
      <c r="A14" s="53" t="s">
        <v>3149</v>
      </c>
      <c r="B14" s="54" t="s">
        <v>3150</v>
      </c>
      <c r="C14" s="55" t="s">
        <v>3151</v>
      </c>
      <c r="D14" s="53" t="s">
        <v>2899</v>
      </c>
      <c r="E14" s="53" t="s">
        <v>2899</v>
      </c>
      <c r="F14" s="53" t="s">
        <v>2909</v>
      </c>
      <c r="G14" s="53" t="s">
        <v>515</v>
      </c>
      <c r="H14" s="53" t="s">
        <v>2899</v>
      </c>
      <c r="I14" s="53" t="s">
        <v>2899</v>
      </c>
      <c r="J14" s="53"/>
      <c r="K14" s="53"/>
      <c r="L14" s="56"/>
      <c r="M14" s="56"/>
      <c r="N14" s="56"/>
    </row>
    <row r="15" spans="1:14" ht="102" customHeight="1">
      <c r="A15" s="53" t="s">
        <v>3152</v>
      </c>
      <c r="B15" s="54" t="s">
        <v>3153</v>
      </c>
      <c r="C15" s="55" t="s">
        <v>3137</v>
      </c>
      <c r="D15" s="53" t="s">
        <v>515</v>
      </c>
      <c r="E15" s="53" t="s">
        <v>2899</v>
      </c>
      <c r="F15" s="53" t="s">
        <v>2899</v>
      </c>
      <c r="G15" s="53" t="s">
        <v>2909</v>
      </c>
      <c r="H15" s="53" t="s">
        <v>2899</v>
      </c>
      <c r="I15" s="53" t="s">
        <v>515</v>
      </c>
      <c r="J15" s="53"/>
      <c r="K15" s="53"/>
      <c r="L15" s="56"/>
      <c r="M15" s="56"/>
      <c r="N15" s="56"/>
    </row>
    <row r="16" spans="1:14" ht="127.5" customHeight="1">
      <c r="A16" s="53" t="s">
        <v>3154</v>
      </c>
      <c r="B16" s="54" t="s">
        <v>3155</v>
      </c>
      <c r="C16" s="55" t="s">
        <v>2927</v>
      </c>
      <c r="D16" s="53" t="s">
        <v>2899</v>
      </c>
      <c r="E16" s="53" t="s">
        <v>2899</v>
      </c>
      <c r="F16" s="53" t="s">
        <v>515</v>
      </c>
      <c r="G16" s="53" t="s">
        <v>515</v>
      </c>
      <c r="H16" s="53" t="s">
        <v>2899</v>
      </c>
      <c r="I16" s="53" t="s">
        <v>515</v>
      </c>
      <c r="J16" s="53"/>
      <c r="K16" s="53"/>
      <c r="L16" s="56"/>
      <c r="M16" s="56"/>
      <c r="N16" s="56"/>
    </row>
    <row r="17" spans="1:14" ht="102" customHeight="1">
      <c r="A17" s="53" t="s">
        <v>3156</v>
      </c>
      <c r="B17" s="54" t="s">
        <v>3157</v>
      </c>
      <c r="C17" s="55" t="s">
        <v>2943</v>
      </c>
      <c r="D17" s="53" t="s">
        <v>2899</v>
      </c>
      <c r="E17" s="53" t="s">
        <v>2899</v>
      </c>
      <c r="F17" s="53" t="s">
        <v>515</v>
      </c>
      <c r="G17" s="53" t="s">
        <v>515</v>
      </c>
      <c r="H17" s="53" t="s">
        <v>2909</v>
      </c>
      <c r="I17" s="53" t="s">
        <v>2899</v>
      </c>
      <c r="J17" s="53"/>
      <c r="K17" s="53"/>
      <c r="L17" s="56"/>
      <c r="M17" s="56"/>
      <c r="N17" s="56"/>
    </row>
    <row r="18" spans="1:14" ht="102" customHeight="1">
      <c r="A18" s="53" t="s">
        <v>3158</v>
      </c>
      <c r="B18" s="54" t="s">
        <v>3159</v>
      </c>
      <c r="C18" s="55" t="s">
        <v>3160</v>
      </c>
      <c r="D18" s="53" t="s">
        <v>515</v>
      </c>
      <c r="E18" s="53" t="s">
        <v>2899</v>
      </c>
      <c r="F18" s="53" t="s">
        <v>515</v>
      </c>
      <c r="G18" s="53" t="s">
        <v>2899</v>
      </c>
      <c r="H18" s="53" t="s">
        <v>2899</v>
      </c>
      <c r="I18" s="53" t="s">
        <v>2899</v>
      </c>
      <c r="J18" s="53"/>
      <c r="K18" s="53"/>
      <c r="L18" s="56"/>
      <c r="M18" s="56"/>
      <c r="N18" s="56"/>
    </row>
    <row r="19" spans="1:14" ht="102" customHeight="1">
      <c r="A19" s="53" t="s">
        <v>3161</v>
      </c>
      <c r="B19" s="54" t="s">
        <v>3162</v>
      </c>
      <c r="C19" s="55" t="s">
        <v>3163</v>
      </c>
      <c r="D19" s="53" t="s">
        <v>2899</v>
      </c>
      <c r="E19" s="53" t="s">
        <v>2899</v>
      </c>
      <c r="F19" s="53" t="s">
        <v>515</v>
      </c>
      <c r="G19" s="53" t="s">
        <v>2909</v>
      </c>
      <c r="H19" s="53" t="s">
        <v>2899</v>
      </c>
      <c r="I19" s="53" t="s">
        <v>2899</v>
      </c>
      <c r="J19" s="53"/>
      <c r="K19" s="53"/>
      <c r="L19" s="56"/>
      <c r="M19" s="56"/>
      <c r="N19" s="56"/>
    </row>
    <row r="20" spans="1:14" ht="102" customHeight="1">
      <c r="A20" s="53" t="s">
        <v>3164</v>
      </c>
      <c r="B20" s="54" t="s">
        <v>3165</v>
      </c>
      <c r="C20" s="55" t="s">
        <v>3166</v>
      </c>
      <c r="D20" s="53" t="s">
        <v>2899</v>
      </c>
      <c r="E20" s="53" t="s">
        <v>2899</v>
      </c>
      <c r="F20" s="53" t="s">
        <v>515</v>
      </c>
      <c r="G20" s="53" t="s">
        <v>2899</v>
      </c>
      <c r="H20" s="53" t="s">
        <v>515</v>
      </c>
      <c r="I20" s="53" t="s">
        <v>515</v>
      </c>
      <c r="J20" s="53"/>
      <c r="K20" s="53"/>
      <c r="L20" s="56"/>
      <c r="M20" s="56"/>
      <c r="N20" s="56"/>
    </row>
    <row r="21" spans="1:14" ht="89.25" customHeight="1">
      <c r="A21" s="53" t="s">
        <v>3167</v>
      </c>
      <c r="B21" s="54" t="s">
        <v>3168</v>
      </c>
      <c r="C21" s="55" t="s">
        <v>3129</v>
      </c>
      <c r="D21" s="53" t="s">
        <v>2899</v>
      </c>
      <c r="E21" s="53" t="s">
        <v>2899</v>
      </c>
      <c r="F21" s="53" t="s">
        <v>515</v>
      </c>
      <c r="G21" s="53" t="s">
        <v>515</v>
      </c>
      <c r="H21" s="53" t="s">
        <v>2899</v>
      </c>
      <c r="I21" s="53" t="s">
        <v>2899</v>
      </c>
      <c r="J21" s="53"/>
      <c r="K21" s="53"/>
      <c r="L21" s="56"/>
      <c r="M21" s="56"/>
      <c r="N21" s="56"/>
    </row>
    <row r="22">
      <c r="A22" s="53" t="inlineStr">
        <is>
          <t xml:space="preserve">A21</t>
        </is>
      </c>
      <c r="B22" s="54" t="inlineStr">
        <is>
          <t xml:space="preserve">Are you putting one community ahead of the rest of Yezo?</t>
        </is>
      </c>
      <c r="C22" s="55" t="inlineStr">
        <is>
          <t xml:space="preserve">Ainu fairness</t>
        </is>
      </c>
      <c r="D22" s="53" t="inlineStr">
        <is>
          <t xml:space="preserve">S</t>
        </is>
      </c>
      <c r="E22" s="53" t="inlineStr">
        <is>
          <t xml:space="preserve">S</t>
        </is>
      </c>
      <c r="F22" s="53" t="inlineStr">
        <is>
          <t xml:space="preserve">M</t>
        </is>
      </c>
      <c r="G22" s="53" t="inlineStr">
        <is>
          <t xml:space="preserve">M</t>
        </is>
      </c>
      <c r="H22" s="53" t="inlineStr">
        <is>
          <t xml:space="preserve">W</t>
        </is>
      </c>
      <c r="I22" s="53" t="inlineStr">
        <is>
          <t xml:space="preserve">W</t>
        </is>
      </c>
    </row>
    <row r="23">
      <c r="A23" s="53" t="inlineStr">
        <is>
          <t xml:space="preserve">A22</t>
        </is>
      </c>
      <c r="B23" s="54" t="inlineStr">
        <is>
          <t xml:space="preserve">Commuters are stuck on platforms every morning. Who is to blame?</t>
        </is>
      </c>
      <c r="C23" s="55" t="inlineStr">
        <is>
          <t xml:space="preserve">Rail timetables</t>
        </is>
      </c>
      <c r="D23" s="53" t="inlineStr">
        <is>
          <t xml:space="preserve">M</t>
        </is>
      </c>
      <c r="E23" s="53" t="inlineStr">
        <is>
          <t xml:space="preserve">S</t>
        </is>
      </c>
      <c r="F23" s="53" t="inlineStr">
        <is>
          <t xml:space="preserve">M</t>
        </is>
      </c>
      <c r="G23" s="53" t="inlineStr">
        <is>
          <t xml:space="preserve">M</t>
        </is>
      </c>
      <c r="H23" s="53" t="inlineStr">
        <is>
          <t xml:space="preserve">S</t>
        </is>
      </c>
      <c r="I23" s="53" t="inlineStr">
        <is>
          <t xml:space="preserve">W</t>
        </is>
      </c>
    </row>
    <row r="24">
      <c r="A24" s="53" t="inlineStr">
        <is>
          <t xml:space="preserve">A23</t>
        </is>
      </c>
      <c r="B24" s="54" t="inlineStr">
        <is>
          <t xml:space="preserve">Your party's app collected phone data. Why?</t>
        </is>
      </c>
      <c r="C24" s="55" t="inlineStr">
        <is>
          <t xml:space="preserve">Data privacy</t>
        </is>
      </c>
      <c r="D24" s="53" t="inlineStr">
        <is>
          <t xml:space="preserve">S</t>
        </is>
      </c>
      <c r="E24" s="53" t="inlineStr">
        <is>
          <t xml:space="preserve">M</t>
        </is>
      </c>
      <c r="F24" s="53" t="inlineStr">
        <is>
          <t xml:space="preserve">W</t>
        </is>
      </c>
      <c r="G24" s="53" t="inlineStr">
        <is>
          <t xml:space="preserve">M</t>
        </is>
      </c>
      <c r="H24" s="53" t="inlineStr">
        <is>
          <t xml:space="preserve">W</t>
        </is>
      </c>
      <c r="I24" s="53" t="inlineStr">
        <is>
          <t xml:space="preserve">S</t>
        </is>
      </c>
    </row>
    <row r="25">
      <c r="A25" s="53" t="inlineStr">
        <is>
          <t xml:space="preserve">A24</t>
        </is>
      </c>
      <c r="B25" s="54" t="inlineStr">
        <is>
          <t xml:space="preserve">You skipped the national ceremony. Are you disrespecting Yezo?</t>
        </is>
      </c>
      <c r="C25" s="55" t="inlineStr">
        <is>
          <t xml:space="preserve">National symbols</t>
        </is>
      </c>
      <c r="D25" s="53" t="inlineStr">
        <is>
          <t xml:space="preserve">S</t>
        </is>
      </c>
      <c r="E25" s="53" t="inlineStr">
        <is>
          <t xml:space="preserve">S</t>
        </is>
      </c>
      <c r="F25" s="53" t="inlineStr">
        <is>
          <t xml:space="preserve">M</t>
        </is>
      </c>
      <c r="G25" s="53" t="inlineStr">
        <is>
          <t xml:space="preserve">M</t>
        </is>
      </c>
      <c r="H25" s="53" t="inlineStr">
        <is>
          <t xml:space="preserve">S</t>
        </is>
      </c>
      <c r="I25" s="53" t="inlineStr">
        <is>
          <t xml:space="preserve">W</t>
        </is>
      </c>
    </row>
    <row r="26">
      <c r="A26" s="53" t="inlineStr">
        <is>
          <t xml:space="preserve">A25</t>
        </is>
      </c>
      <c r="B26" s="54" t="inlineStr">
        <is>
          <t xml:space="preserve">Your faction ordered the vote. Do you ever think for yourself?</t>
        </is>
      </c>
      <c r="C26" s="55" t="inlineStr">
        <is>
          <t xml:space="preserve">Faction loyalty</t>
        </is>
      </c>
      <c r="D26" s="53" t="inlineStr">
        <is>
          <t xml:space="preserve">S</t>
        </is>
      </c>
      <c r="E26" s="53" t="inlineStr">
        <is>
          <t xml:space="preserve">M</t>
        </is>
      </c>
      <c r="F26" s="53" t="inlineStr">
        <is>
          <t xml:space="preserve">S</t>
        </is>
      </c>
      <c r="G26" s="53" t="inlineStr">
        <is>
          <t xml:space="preserve">M</t>
        </is>
      </c>
      <c r="H26" s="53" t="inlineStr">
        <is>
          <t xml:space="preserve">S</t>
        </is>
      </c>
      <c r="I26" s="53" t="inlineStr">
        <is>
          <t xml:space="preserve">W</t>
        </is>
      </c>
    </row>
    <row r="27">
      <c r="A27" s="53" t="inlineStr">
        <is>
          <t xml:space="preserve">A26</t>
        </is>
      </c>
      <c r="B27" s="54" t="inlineStr">
        <is>
          <t xml:space="preserve">Your faction got the committee chairs again. Is that fair?</t>
        </is>
      </c>
      <c r="C27" s="55" t="inlineStr">
        <is>
          <t xml:space="preserve">Committee seats</t>
        </is>
      </c>
      <c r="D27" s="53" t="inlineStr">
        <is>
          <t xml:space="preserve">S</t>
        </is>
      </c>
      <c r="E27" s="53" t="inlineStr">
        <is>
          <t xml:space="preserve">M</t>
        </is>
      </c>
      <c r="F27" s="53" t="inlineStr">
        <is>
          <t xml:space="preserve">S</t>
        </is>
      </c>
      <c r="G27" s="53" t="inlineStr">
        <is>
          <t xml:space="preserve">M</t>
        </is>
      </c>
      <c r="H27" s="53" t="inlineStr">
        <is>
          <t xml:space="preserve">S</t>
        </is>
      </c>
      <c r="I27" s="53" t="inlineStr">
        <is>
          <t xml:space="preserve">W</t>
        </is>
      </c>
    </row>
    <row r="28">
      <c r="A28" s="53" t="inlineStr">
        <is>
          <t xml:space="preserve">A27</t>
        </is>
      </c>
      <c r="B28" s="54" t="inlineStr">
        <is>
          <t xml:space="preserve">Members are overloaded and skip hearings. Why?</t>
        </is>
      </c>
      <c r="C28" s="55" t="inlineStr">
        <is>
          <t xml:space="preserve">Committee workload</t>
        </is>
      </c>
      <c r="D28" s="53" t="inlineStr">
        <is>
          <t xml:space="preserve">S</t>
        </is>
      </c>
      <c r="E28" s="53" t="inlineStr">
        <is>
          <t xml:space="preserve">M</t>
        </is>
      </c>
      <c r="F28" s="53" t="inlineStr">
        <is>
          <t xml:space="preserve">M</t>
        </is>
      </c>
      <c r="G28" s="53" t="inlineStr">
        <is>
          <t xml:space="preserve">S</t>
        </is>
      </c>
      <c r="H28" s="53" t="inlineStr">
        <is>
          <t xml:space="preserve">W</t>
        </is>
      </c>
      <c r="I28" s="53" t="inlineStr">
        <is>
          <t xml:space="preserve">M</t>
        </is>
      </c>
    </row>
    <row r="29">
      <c r="A29" s="53" t="inlineStr">
        <is>
          <t xml:space="preserve">A28</t>
        </is>
      </c>
      <c r="B29" s="54" t="inlineStr">
        <is>
          <t xml:space="preserve">Is it true you have been avoiding the press?</t>
        </is>
      </c>
      <c r="C29" s="16" t="inlineStr">
        <is>
          <t xml:space="preserve">Evasion</t>
        </is>
      </c>
      <c r="D29" s="57" t="inlineStr">
        <is>
          <t xml:space="preserve">S</t>
        </is>
      </c>
      <c r="E29" s="57" t="inlineStr">
        <is>
          <t xml:space="preserve">M</t>
        </is>
      </c>
      <c r="F29" s="57" t="inlineStr">
        <is>
          <t xml:space="preserve">M</t>
        </is>
      </c>
      <c r="G29" s="57" t="inlineStr">
        <is>
          <t xml:space="preserve">W</t>
        </is>
      </c>
      <c r="H29" s="57" t="inlineStr">
        <is>
          <t xml:space="preserve">S</t>
        </is>
      </c>
      <c r="I29" s="57" t="inlineStr">
        <is>
          <t xml:space="preserve">S</t>
        </is>
      </c>
    </row>
    <row r="30">
      <c r="A30" s="53" t="inlineStr">
        <is>
          <t xml:space="preserve">A29</t>
        </is>
      </c>
      <c r="B30" s="54" t="inlineStr">
        <is>
          <t xml:space="preserve">Why won't you answer a simple question?</t>
        </is>
      </c>
      <c r="C30" s="16" t="inlineStr">
        <is>
          <t xml:space="preserve">Evasion</t>
        </is>
      </c>
      <c r="D30" s="57" t="inlineStr">
        <is>
          <t xml:space="preserve">S</t>
        </is>
      </c>
      <c r="E30" s="57" t="inlineStr">
        <is>
          <t xml:space="preserve">W</t>
        </is>
      </c>
      <c r="F30" s="57" t="inlineStr">
        <is>
          <t xml:space="preserve">M</t>
        </is>
      </c>
      <c r="G30" s="57" t="inlineStr">
        <is>
          <t xml:space="preserve">S</t>
        </is>
      </c>
      <c r="H30" s="57" t="inlineStr">
        <is>
          <t xml:space="preserve">S</t>
        </is>
      </c>
      <c r="I30" s="57" t="inlineStr">
        <is>
          <t xml:space="preserve">W</t>
        </is>
      </c>
    </row>
    <row r="31">
      <c r="A31" s="53" t="inlineStr">
        <is>
          <t xml:space="preserve">A30</t>
        </is>
      </c>
      <c r="B31" s="58" t="inlineStr">
        <is>
          <t xml:space="preserve">Who paid for that trip?</t>
        </is>
      </c>
      <c r="C31" s="16" t="inlineStr">
        <is>
          <t xml:space="preserve">Cronyism</t>
        </is>
      </c>
      <c r="D31" s="57" t="inlineStr">
        <is>
          <t xml:space="preserve">S</t>
        </is>
      </c>
      <c r="E31" s="57" t="inlineStr">
        <is>
          <t xml:space="preserve">M</t>
        </is>
      </c>
      <c r="F31" s="57" t="inlineStr">
        <is>
          <t xml:space="preserve">W</t>
        </is>
      </c>
      <c r="G31" s="57" t="inlineStr">
        <is>
          <t xml:space="preserve">S</t>
        </is>
      </c>
      <c r="H31" s="57" t="inlineStr">
        <is>
          <t xml:space="preserve">S</t>
        </is>
      </c>
      <c r="I31" s="57" t="inlineStr">
        <is>
          <t xml:space="preserve">M</t>
        </is>
      </c>
    </row>
    <row r="32">
      <c r="A32" s="53" t="inlineStr">
        <is>
          <t xml:space="preserve">A31</t>
        </is>
      </c>
      <c r="B32" s="58" t="inlineStr">
        <is>
          <t xml:space="preserve">Are you out of touch with ordinary people?</t>
        </is>
      </c>
      <c r="C32" s="16" t="inlineStr">
        <is>
          <t xml:space="preserve">Disconnect</t>
        </is>
      </c>
      <c r="D32" s="57" t="inlineStr">
        <is>
          <t xml:space="preserve">S</t>
        </is>
      </c>
      <c r="E32" s="57" t="inlineStr">
        <is>
          <t xml:space="preserve">S</t>
        </is>
      </c>
      <c r="F32" s="57" t="inlineStr">
        <is>
          <t xml:space="preserve">M</t>
        </is>
      </c>
      <c r="G32" s="57" t="inlineStr">
        <is>
          <t xml:space="preserve">W</t>
        </is>
      </c>
      <c r="H32" s="57" t="inlineStr">
        <is>
          <t xml:space="preserve">S</t>
        </is>
      </c>
      <c r="I32" s="57" t="inlineStr">
        <is>
          <t xml:space="preserve">M</t>
        </is>
      </c>
    </row>
    <row r="33">
      <c r="A33" s="53" t="inlineStr">
        <is>
          <t xml:space="preserve">A32</t>
        </is>
      </c>
      <c r="B33" s="58" t="inlineStr">
        <is>
          <t xml:space="preserve">Did you read the bill before you voted?</t>
        </is>
      </c>
      <c r="C33" s="16" t="inlineStr">
        <is>
          <t xml:space="preserve">Competence</t>
        </is>
      </c>
      <c r="D33" s="57" t="inlineStr">
        <is>
          <t xml:space="preserve">S</t>
        </is>
      </c>
      <c r="E33" s="57" t="inlineStr">
        <is>
          <t xml:space="preserve">W</t>
        </is>
      </c>
      <c r="F33" s="57" t="inlineStr">
        <is>
          <t xml:space="preserve">M</t>
        </is>
      </c>
      <c r="G33" s="57" t="inlineStr">
        <is>
          <t xml:space="preserve">S</t>
        </is>
      </c>
      <c r="H33" s="57" t="inlineStr">
        <is>
          <t xml:space="preserve">M</t>
        </is>
      </c>
      <c r="I33" s="57" t="inlineStr">
        <is>
          <t xml:space="preserve">S</t>
        </is>
      </c>
    </row>
    <row r="34">
      <c r="A34" s="53" t="inlineStr">
        <is>
          <t xml:space="preserve">A33</t>
        </is>
      </c>
      <c r="B34" s="58" t="inlineStr">
        <is>
          <t xml:space="preserve">Will you resign if this goes wrong?</t>
        </is>
      </c>
      <c r="C34" s="16" t="inlineStr">
        <is>
          <t xml:space="preserve">Accountability</t>
        </is>
      </c>
      <c r="D34" s="57" t="inlineStr">
        <is>
          <t xml:space="preserve">S</t>
        </is>
      </c>
      <c r="E34" s="57" t="inlineStr">
        <is>
          <t xml:space="preserve">S</t>
        </is>
      </c>
      <c r="F34" s="57" t="inlineStr">
        <is>
          <t xml:space="preserve">W</t>
        </is>
      </c>
      <c r="G34" s="57" t="inlineStr">
        <is>
          <t xml:space="preserve">M</t>
        </is>
      </c>
      <c r="H34" s="57" t="inlineStr">
        <is>
          <t xml:space="preserve">S</t>
        </is>
      </c>
      <c r="I34" s="57" t="inlineStr">
        <is>
          <t xml:space="preserve">M</t>
        </is>
      </c>
    </row>
  </sheetData>
  <pageMargins left="0.75" right="0.75" top="1" bottom="1" header="0.5" footer="0.5"/>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73"/>
  <sheetViews>
    <sheetView workbookViewId="0"/>
  </sheetViews>
  <sheetFormatPr defaultRowHeight="15"/>
  <sheetData>
    <row r="1" spans="1:4">
      <c r="A1" t="s">
        <v>2895</v>
      </c>
      <c r="B1" t="s">
        <v>6719</v>
      </c>
      <c r="C1" t="s">
        <v>6720</v>
      </c>
      <c r="D1" t="inlineStr">
        <is>
          <t xml:space="preserve">Annoys</t>
        </is>
      </c>
    </row>
    <row r="2" spans="1:3">
      <c r="A2" t="s">
        <v>3019</v>
      </c>
      <c r="B2" t="inlineStr">
        <is>
          <t xml:space="preserve">BO07; BO28; BO30</t>
        </is>
      </c>
      <c r="C2" t="inlineStr">
        <is>
          <t xml:space="preserve">Fisheries Cooperative cares who gets access to grounds, quotas, and markets. Rebalanced 2026-10-10 (draft): also pleases Ainu Community Council, Rural Revitalization Council.</t>
        </is>
      </c>
    </row>
    <row r="3" spans="1:3">
      <c r="A3" t="s">
        <v>2943</v>
      </c>
      <c r="B3" t="inlineStr">
        <is>
          <t xml:space="preserve">BO08; BO23</t>
        </is>
      </c>
      <c r="C3" t="inlineStr">
        <is>
          <t xml:space="preserve">National Media's whole job is holding officials accountable. Rebalanced 2026-10-10 (draft): also pleases Taxpayers' Alliance.</t>
        </is>
      </c>
    </row>
    <row r="4" spans="1:3">
      <c r="A4" t="s">
        <v>6506</v>
      </c>
      <c r="B4" t="inlineStr">
        <is>
          <t xml:space="preserve">BO21; BO12; BO19</t>
        </is>
      </c>
      <c r="C4" t="inlineStr">
        <is>
          <t xml:space="preserve">Family Network tracks how an aging population strains families directly. Rebalanced 2026-10-10 (draft): also pleases Care and Welfare Council, Buddhist Temples Association.</t>
        </is>
      </c>
    </row>
    <row r="5" spans="1:3">
      <c r="A5" t="s">
        <v>6609</v>
      </c>
      <c r="B5" t="s">
        <v>1411</v>
      </c>
      <c r="C5" t="s">
        <v>6724</v>
      </c>
    </row>
    <row r="6" spans="1:3">
      <c r="A6" t="s">
        <v>6611</v>
      </c>
      <c r="B6" t="inlineStr">
        <is>
          <t xml:space="preserve">BO05; BO22</t>
        </is>
      </c>
      <c r="C6" t="inlineStr">
        <is>
          <t xml:space="preserve">Chamber of Commerce represents the defense-industry members affected. Rebalanced 2026-10-10 (draft): also pleases Veterans' Association.</t>
        </is>
      </c>
    </row>
    <row r="7" spans="1:3">
      <c r="A7" t="s">
        <v>3028</v>
      </c>
      <c r="B7" t="inlineStr">
        <is>
          <t xml:space="preserve">BO06; BO21</t>
        </is>
      </c>
      <c r="C7" t="inlineStr">
        <is>
          <t xml:space="preserve">Neighborhood Associations are the ones asking for help for residents. Rebalanced 2026-10-10 (draft): also pleases Care and Welfare Council.</t>
        </is>
      </c>
    </row>
    <row r="8" spans="1:3">
      <c r="A8" t="s">
        <v>6660</v>
      </c>
      <c r="B8" t="inlineStr">
        <is>
          <t xml:space="preserve">BO04; BO22</t>
        </is>
      </c>
      <c r="C8" t="inlineStr">
        <is>
          <t xml:space="preserve">Mayors' Network governs the municipalities that host the bases. Rebalanced 2026-10-10 (draft): also pleases Veterans' Association.</t>
        </is>
      </c>
    </row>
    <row r="9" spans="1:3">
      <c r="A9" t="s">
        <v>6524</v>
      </c>
      <c r="B9" t="inlineStr">
        <is>
          <t xml:space="preserve">BO04; BO22</t>
        </is>
      </c>
      <c r="C9" t="inlineStr">
        <is>
          <t xml:space="preserve">Mayors' Network governs the municipalities that host the bases. Rebalanced 2026-10-10 (draft): also pleases Veterans' Association.</t>
        </is>
      </c>
    </row>
    <row r="10" spans="1:3">
      <c r="A10" t="s">
        <v>2912</v>
      </c>
      <c r="B10" t="inlineStr">
        <is>
          <t xml:space="preserve">BO06; BO21</t>
        </is>
      </c>
      <c r="C10" t="inlineStr">
        <is>
          <t xml:space="preserve">Neighborhood Associations track who actually benefits from a program. Rebalanced 2026-10-10 (draft): also pleases Care and Welfare Council.</t>
        </is>
      </c>
    </row>
    <row r="11" spans="1:3">
      <c r="A11" t="s">
        <v>3110</v>
      </c>
      <c r="B11" t="s">
        <v>1265</v>
      </c>
      <c r="C11" t="s">
        <v>6729</v>
      </c>
    </row>
    <row r="12" spans="1:3">
      <c r="A12" t="s">
        <v>6606</v>
      </c>
      <c r="B12" t="inlineStr">
        <is>
          <t xml:space="preserve">BO22; BO05</t>
        </is>
      </c>
      <c r="C12" t="inlineStr">
        <is>
          <t xml:space="preserve">Chamber of Commerce speaks for the manufacturers who'd supply them. Rebalanced 2026-10-10 (draft): also pleases Veterans' Association.</t>
        </is>
      </c>
    </row>
    <row r="13" spans="1:3">
      <c r="A13" t="s">
        <v>6467</v>
      </c>
      <c r="B13" t="inlineStr">
        <is>
          <t xml:space="preserve">BO21; BO12</t>
        </is>
      </c>
      <c r="C13" t="inlineStr">
        <is>
          <t xml:space="preserve">Family Network represents the families carrying the care burden. Rebalanced 2026-10-10 (draft): also pleases Care and Welfare Council.</t>
        </is>
      </c>
    </row>
    <row r="14" spans="1:3">
      <c r="A14" t="s">
        <v>6508</v>
      </c>
      <c r="B14" t="inlineStr">
        <is>
          <t xml:space="preserve">BO21; BO12</t>
        </is>
      </c>
      <c r="C14" t="inlineStr">
        <is>
          <t xml:space="preserve">Family Network represents the families carrying the care burden. Rebalanced 2026-10-10 (draft): also pleases Care and Welfare Council.</t>
        </is>
      </c>
    </row>
    <row r="15" spans="1:3">
      <c r="A15" t="s">
        <v>6628</v>
      </c>
      <c r="B15" t="inlineStr">
        <is>
          <t xml:space="preserve">BO12; BO21</t>
        </is>
      </c>
      <c r="C15" t="inlineStr">
        <is>
          <t xml:space="preserve">Family Network is built around exactly this: affording to raise kids. Rebalanced 2026-10-10 (draft): also pleases Care and Welfare Council.</t>
        </is>
      </c>
    </row>
    <row r="16" spans="1:3">
      <c r="A16" t="s">
        <v>2977</v>
      </c>
      <c r="B16" t="inlineStr">
        <is>
          <t xml:space="preserve">BO06; BO26</t>
        </is>
      </c>
      <c r="C16" t="inlineStr">
        <is>
          <t xml:space="preserve">Neighborhood Associations need plain answers to explain to residents. Rebalanced 2026-10-10 (draft): also pleases Consumer Advocacy Network.</t>
        </is>
      </c>
    </row>
    <row r="17" spans="1:3">
      <c r="A17" t="s">
        <v>2924</v>
      </c>
      <c r="B17" t="inlineStr">
        <is>
          <t xml:space="preserve">BO01; BO22</t>
        </is>
      </c>
      <c r="C17" t="inlineStr">
        <is>
          <t xml:space="preserve">Party Headquarters cares whether you keep your commitments to the line. Rebalanced 2026-10-10 (draft): also pleases Veterans' Association.</t>
        </is>
      </c>
    </row>
    <row r="18" spans="1:3">
      <c r="A18" t="s">
        <v>6466</v>
      </c>
      <c r="B18" t="inlineStr">
        <is>
          <t xml:space="preserve">BO06; BO27; BO19; BO12</t>
        </is>
      </c>
      <c r="C18" t="inlineStr">
        <is>
          <t xml:space="preserve">Neighborhood Associations are the first to report strain on local services. Rebalanced 2026-10-10 (draft): also pleases Urban Neighbourhood Alliance, Buddhist Temples Association, Family Network.</t>
        </is>
      </c>
    </row>
    <row r="19" spans="1:3">
      <c r="A19" t="s">
        <v>3132</v>
      </c>
      <c r="B19" t="s">
        <v>1226</v>
      </c>
      <c r="C19" t="s">
        <v>6736</v>
      </c>
    </row>
    <row r="20" spans="1:3">
      <c r="A20" t="s">
        <v>3025</v>
      </c>
      <c r="B20" t="inlineStr">
        <is>
          <t xml:space="preserve">BO05; BO25; BO13</t>
        </is>
      </c>
      <c r="C20" t="inlineStr">
        <is>
          <t xml:space="preserve">Chamber of Commerce cares about a level competitive field for members. Rebalanced 2026-10-10 (draft): also pleases Small Business Owners' Association, Yezo Artisans Guild.</t>
        </is>
      </c>
    </row>
    <row r="21" spans="1:3">
      <c r="A21" t="s">
        <v>3054</v>
      </c>
      <c r="B21" t="s">
        <v>1233</v>
      </c>
      <c r="C21" t="s">
        <v>6738</v>
      </c>
    </row>
    <row r="22" spans="1:3">
      <c r="A22" t="s">
        <v>6542</v>
      </c>
      <c r="B22" t="inlineStr">
        <is>
          <t xml:space="preserve">BO06; BO28</t>
        </is>
      </c>
      <c r="C22" t="inlineStr">
        <is>
          <t xml:space="preserve">Neighborhood Associations are who local consent actually represents. Rebalanced 2026-10-10 (draft): also pleases Ainu Community Council.</t>
        </is>
      </c>
    </row>
    <row r="23" spans="1:3">
      <c r="A23" t="s">
        <v>6540</v>
      </c>
      <c r="B23" t="inlineStr">
        <is>
          <t xml:space="preserve">BO06; BO20; BO29</t>
        </is>
      </c>
      <c r="C23" t="inlineStr">
        <is>
          <t xml:space="preserve">Neighborhood Associations raise the local environmental objection. Rebalanced 2026-10-10 (draft): also pleases Shrine Association, Ainu Language and Culture Foundation.</t>
        </is>
      </c>
    </row>
    <row r="24" spans="1:3">
      <c r="A24" t="s">
        <v>975</v>
      </c>
      <c r="B24" t="s">
        <v>1292</v>
      </c>
      <c r="C24" t="s">
        <v>6741</v>
      </c>
    </row>
    <row r="25" spans="1:3">
      <c r="A25" t="s">
        <v>6490</v>
      </c>
      <c r="B25" t="inlineStr">
        <is>
          <t xml:space="preserve">BO17; BO20</t>
        </is>
      </c>
      <c r="C25" t="inlineStr">
        <is>
          <t xml:space="preserve">Members of Parliament are the ones who would actually amend it. Rebalanced 2026-10-10 (draft): also pleases Shrine Association.</t>
        </is>
      </c>
    </row>
    <row r="26" spans="1:3">
      <c r="A26" t="s">
        <v>3091</v>
      </c>
      <c r="B26" t="inlineStr">
        <is>
          <t xml:space="preserve">BO04; BO06</t>
        </is>
      </c>
      <c r="C26" t="inlineStr">
        <is>
          <t xml:space="preserve">Mayors' Network expects to be consulted before a policy lands on them. Rebalanced 2026-10-10 (draft): also pleases Neighborhood Associations.</t>
        </is>
      </c>
    </row>
    <row r="27" spans="1:3">
      <c r="A27" t="s">
        <v>3166</v>
      </c>
      <c r="B27" t="inlineStr">
        <is>
          <t xml:space="preserve">BO03; BO19</t>
        </is>
      </c>
      <c r="C27" t="inlineStr">
        <is>
          <t xml:space="preserve">Local Kōenkai wants to see you actually believe what you're voting. Rebalanced 2026-10-10 (draft): also pleases Buddhist Temples Association.</t>
        </is>
      </c>
    </row>
    <row r="28" spans="1:3">
      <c r="A28" t="s">
        <v>2935</v>
      </c>
      <c r="B28" t="s">
        <v>1233</v>
      </c>
      <c r="C28" t="s">
        <v>6745</v>
      </c>
    </row>
    <row r="29" spans="1:3">
      <c r="A29" t="s">
        <v>3100</v>
      </c>
      <c r="B29" t="s">
        <v>1265</v>
      </c>
      <c r="C29" t="s">
        <v>6746</v>
      </c>
    </row>
    <row r="30" spans="1:3">
      <c r="A30" t="s">
        <v>2918</v>
      </c>
      <c r="B30" t="inlineStr">
        <is>
          <t xml:space="preserve">BO26; BO23</t>
        </is>
      </c>
      <c r="C30" t="inlineStr">
        <is>
          <t xml:space="preserve">Consumer Advocacy Network and Taxpayers' Alliance track the cost side of every policy. Rationale refreshed 2026-10-12 (draft): the Chamber of Commerce was moved off this theme in the 2026-10-10 rebalance.</t>
        </is>
      </c>
    </row>
    <row r="31" spans="1:3">
      <c r="A31" t="s">
        <v>6470</v>
      </c>
      <c r="B31" t="inlineStr">
        <is>
          <t xml:space="preserve">BO18; BO26; BO11</t>
        </is>
      </c>
      <c r="C31" t="inlineStr">
        <is>
          <t xml:space="preserve">Constituency Voters are living the cost-of-living squeeze. Rebalanced 2026-10-10 (draft): also pleases Consumer Advocacy Network, Students United.</t>
        </is>
      </c>
    </row>
    <row r="32" spans="1:3">
      <c r="A32" t="s">
        <v>3129</v>
      </c>
      <c r="B32" t="s">
        <v>1226</v>
      </c>
      <c r="C32" t="s">
        <v>6749</v>
      </c>
    </row>
    <row r="33" spans="1:3">
      <c r="A33" t="s">
        <v>2905</v>
      </c>
      <c r="B33" t="s">
        <v>1226</v>
      </c>
      <c r="C33" t="s">
        <v>6750</v>
      </c>
    </row>
    <row r="34" spans="1:3">
      <c r="A34" t="s">
        <v>3126</v>
      </c>
      <c r="B34" t="inlineStr">
        <is>
          <t xml:space="preserve">BO08; BO26</t>
        </is>
      </c>
      <c r="C34" t="inlineStr">
        <is>
          <t xml:space="preserve">National Media chases cronyism stories hardest. Rebalanced 2026-10-10 (draft): also pleases Consumer Advocacy Network.</t>
        </is>
      </c>
    </row>
    <row r="35" spans="1:3">
      <c r="A35" t="s">
        <v>6603</v>
      </c>
      <c r="B35" t="inlineStr">
        <is>
          <t xml:space="preserve">BO22; BO23</t>
        </is>
      </c>
      <c r="C35" t="inlineStr">
        <is>
          <t xml:space="preserve">Veterans' Association and Taxpayers' Alliance follow what defence costs and buys. Rationale refreshed 2026-10-12 (draft): the Chamber of Commerce was moved off this theme in the 2026-10-10 rebalance.</t>
        </is>
      </c>
    </row>
    <row r="36" spans="1:3">
      <c r="A36" t="s">
        <v>6482</v>
      </c>
      <c r="B36" t="inlineStr">
        <is>
          <t xml:space="preserve">BO22; BO23</t>
        </is>
      </c>
      <c r="C36" t="inlineStr">
        <is>
          <t xml:space="preserve">Veterans' Association and Taxpayers' Alliance follow what defence costs and buys. Rationale refreshed 2026-10-12 (draft): the Chamber of Commerce was moved off this theme in the 2026-10-10 rebalance.</t>
        </is>
      </c>
    </row>
    <row r="37" spans="1:3">
      <c r="A37" t="s">
        <v>6484</v>
      </c>
      <c r="B37" t="inlineStr">
        <is>
          <t xml:space="preserve">BO16; BO22</t>
        </is>
      </c>
      <c r="C37" t="inlineStr">
        <is>
          <t xml:space="preserve">Innovation Society follows where defense R&amp;D money goes. Rebalanced 2026-10-10 (draft): also pleases Veterans' Association.</t>
        </is>
      </c>
    </row>
    <row r="38" spans="1:3">
      <c r="A38" t="s">
        <v>3075</v>
      </c>
      <c r="B38" t="inlineStr">
        <is>
          <t xml:space="preserve">BO09; BO26</t>
        </is>
      </c>
      <c r="C38" t="inlineStr">
        <is>
          <t xml:space="preserve">Labor Federation lives or dies on how a regulation's terms are defined. Rebalanced 2026-10-10 (draft): also pleases Consumer Advocacy Network.</t>
        </is>
      </c>
    </row>
    <row r="39" spans="1:3">
      <c r="A39" t="s">
        <v>6620</v>
      </c>
      <c r="B39" t="inlineStr">
        <is>
          <t xml:space="preserve">BO17; BO22</t>
        </is>
      </c>
      <c r="C39" t="inlineStr">
        <is>
          <t xml:space="preserve">Members of Parliament own the constitutional question of deterrence posture. Rebalanced 2026-10-10 (draft): also pleases Veterans' Association.</t>
        </is>
      </c>
    </row>
    <row r="40" spans="1:3">
      <c r="A40" t="s">
        <v>6536</v>
      </c>
      <c r="B40" t="inlineStr">
        <is>
          <t xml:space="preserve">BO04; BO30</t>
        </is>
      </c>
      <c r="C40" t="inlineStr">
        <is>
          <t xml:space="preserve">Mayors' Network runs municipal disaster planning. Rebalanced 2026-10-10 (draft): also pleases Rural Revitalization Council.</t>
        </is>
      </c>
    </row>
    <row r="41" spans="1:3">
      <c r="A41" t="s">
        <v>2952</v>
      </c>
      <c r="B41" t="s">
        <v>1245</v>
      </c>
      <c r="C41" t="s">
        <v>6757</v>
      </c>
    </row>
    <row r="42" spans="1:3">
      <c r="A42" t="s">
        <v>6465</v>
      </c>
      <c r="B42" t="inlineStr">
        <is>
          <t xml:space="preserve">BO03; BO28</t>
        </is>
      </c>
      <c r="C42" t="inlineStr">
        <is>
          <t xml:space="preserve">Local Kōenkai is the first to feel a constituency feeling unheard. Rebalanced 2026-10-10 (draft): also pleases Ainu Community Council.</t>
        </is>
      </c>
    </row>
    <row r="43" spans="1:3">
      <c r="A43" t="s">
        <v>3016</v>
      </c>
      <c r="B43" t="s">
        <v>1220</v>
      </c>
      <c r="C43" t="s">
        <v>6759</v>
      </c>
    </row>
    <row r="44" spans="1:3">
      <c r="A44" t="s">
        <v>6513</v>
      </c>
      <c r="B44" t="inlineStr">
        <is>
          <t xml:space="preserve">BO05; BO24</t>
        </is>
      </c>
      <c r="C44" t="inlineStr">
        <is>
          <t xml:space="preserve">Chamber of Commerce tracks supply security as a business risk. Rebalanced 2026-10-10 (draft): also pleases Financial Industry Association.</t>
        </is>
      </c>
    </row>
    <row r="45" spans="1:3">
      <c r="A45" t="s">
        <v>6635</v>
      </c>
      <c r="B45" t="inlineStr">
        <is>
          <t xml:space="preserve">BO21; BO12; BO19</t>
        </is>
      </c>
      <c r="C45" t="inlineStr">
        <is>
          <t xml:space="preserve">Family Network represents families caring for aging relatives. Rebalanced 2026-10-10 (draft): also pleases Care and Welfare Council, Buddhist Temples Association.</t>
        </is>
      </c>
    </row>
    <row r="46" spans="1:3">
      <c r="A46" t="s">
        <v>6615</v>
      </c>
      <c r="B46" t="s">
        <v>1411</v>
      </c>
      <c r="C46" t="s">
        <v>6762</v>
      </c>
    </row>
    <row r="47" spans="1:3">
      <c r="A47" t="s">
        <v>6492</v>
      </c>
      <c r="B47" t="s">
        <v>1411</v>
      </c>
      <c r="C47" t="s">
        <v>6762</v>
      </c>
    </row>
    <row r="48" spans="1:3">
      <c r="A48" t="s">
        <v>2197</v>
      </c>
      <c r="B48" t="inlineStr">
        <is>
          <t xml:space="preserve">BO16; BO26</t>
        </is>
      </c>
      <c r="C48" t="inlineStr">
        <is>
          <t xml:space="preserve">Innovation Society follows energy policy as its core beat. Rebalanced 2026-10-10 (draft): also pleases Consumer Advocacy Network.</t>
        </is>
      </c>
    </row>
    <row r="49" spans="1:3">
      <c r="A49" t="s">
        <v>6511</v>
      </c>
      <c r="B49" t="inlineStr">
        <is>
          <t xml:space="preserve">BO16; BO11</t>
        </is>
      </c>
      <c r="C49" t="inlineStr">
        <is>
          <t xml:space="preserve">Innovation Society follows energy policy as its core beat. Rebalanced 2026-10-10 (draft): also pleases Students United.</t>
        </is>
      </c>
    </row>
    <row r="50" spans="1:3">
      <c r="A50" t="s">
        <v>3070</v>
      </c>
      <c r="B50" t="inlineStr">
        <is>
          <t xml:space="preserve">BO09; BO26</t>
        </is>
      </c>
      <c r="C50" t="inlineStr">
        <is>
          <t xml:space="preserve">Labor Federation wants to know if a rule is actually enforced. Rebalanced 2026-10-10 (draft): also pleases Consumer Advocacy Network.</t>
        </is>
      </c>
    </row>
    <row r="51" spans="1:3">
      <c r="A51" t="s">
        <v>6522</v>
      </c>
      <c r="B51" t="inlineStr">
        <is>
          <t xml:space="preserve">BO11; BO28</t>
        </is>
      </c>
      <c r="C51" t="inlineStr">
        <is>
          <t xml:space="preserve">Students United and Ainu Community Council press for equal treatment. Rationale refreshed 2026-10-12 (draft): Our Traditional Society was moved off this theme in the 2026-10-10 rebalance.</t>
        </is>
      </c>
    </row>
    <row r="52" spans="1:3">
      <c r="A52" t="s">
        <v>3140</v>
      </c>
      <c r="B52" t="s">
        <v>1226</v>
      </c>
      <c r="C52" t="s">
        <v>6766</v>
      </c>
    </row>
    <row r="53" spans="1:3">
      <c r="A53" t="s">
        <v>2921</v>
      </c>
      <c r="B53" t="s">
        <v>1220</v>
      </c>
      <c r="C53" t="s">
        <v>6767</v>
      </c>
    </row>
    <row r="54" spans="1:3">
      <c r="A54" t="s">
        <v>6654</v>
      </c>
      <c r="B54" t="inlineStr">
        <is>
          <t xml:space="preserve">BO12; BO19</t>
        </is>
      </c>
      <c r="C54" t="inlineStr">
        <is>
          <t xml:space="preserve">Family Network has a direct stake in how family law is written. Rebalanced 2026-10-10 (draft): also pleases Buddhist Temples Association.</t>
        </is>
      </c>
    </row>
    <row r="55" spans="1:3">
      <c r="A55" t="s">
        <v>6520</v>
      </c>
      <c r="B55" t="inlineStr">
        <is>
          <t xml:space="preserve">BO12; BO19</t>
        </is>
      </c>
      <c r="C55" t="inlineStr">
        <is>
          <t xml:space="preserve">Family Network has a direct stake in how family law is written. Rebalanced 2026-10-10 (draft): also pleases Buddhist Temples Association.</t>
        </is>
      </c>
    </row>
    <row r="56" spans="1:3">
      <c r="A56" t="s">
        <v>6502</v>
      </c>
      <c r="B56" t="inlineStr">
        <is>
          <t xml:space="preserve">BO12; BO19; BO21</t>
        </is>
      </c>
      <c r="C56" t="inlineStr">
        <is>
          <t xml:space="preserve">Family Network is the natural audience for family-support policy. Rebalanced 2026-10-10 (draft): also pleases Buddhist Temples Association, Care and Welfare Council.</t>
        </is>
      </c>
    </row>
    <row r="57" spans="1:3">
      <c r="A57" t="s">
        <v>3163</v>
      </c>
      <c r="B57" t="s">
        <v>1226</v>
      </c>
      <c r="C57" t="s">
        <v>6770</v>
      </c>
    </row>
    <row r="58" spans="1:3">
      <c r="A58" t="s">
        <v>3113</v>
      </c>
      <c r="B58" t="inlineStr">
        <is>
          <t xml:space="preserve">BO04; BO25</t>
        </is>
      </c>
      <c r="C58" t="inlineStr">
        <is>
          <t xml:space="preserve">Mayors' Network has to actually deliver whatever gets promised. Rebalanced 2026-10-10 (draft): also pleases Small Business Owners' Association.</t>
        </is>
      </c>
    </row>
    <row r="59" spans="1:3">
      <c r="A59" t="s">
        <v>6480</v>
      </c>
      <c r="B59" t="inlineStr">
        <is>
          <t xml:space="preserve">BO23; BO05</t>
        </is>
      </c>
      <c r="C59" t="inlineStr">
        <is>
          <t xml:space="preserve">Chamber of Commerce wants sound public finances for a stable market. Rebalanced 2026-10-10 (draft): also pleases Taxpayers' Alliance.</t>
        </is>
      </c>
    </row>
    <row r="60" spans="1:3">
      <c r="A60" t="s">
        <v>3037</v>
      </c>
      <c r="B60" t="inlineStr">
        <is>
          <t xml:space="preserve">BO25; BO05</t>
        </is>
      </c>
      <c r="C60" t="inlineStr">
        <is>
          <t xml:space="preserve">Chamber of Commerce wants flexibility built into how rules apply to business. Rebalanced 2026-10-10 (draft): also pleases Small Business Owners' Association.</t>
        </is>
      </c>
    </row>
    <row r="61" spans="1:3">
      <c r="A61" t="s">
        <v>6474</v>
      </c>
      <c r="B61" t="inlineStr">
        <is>
          <t xml:space="preserve">BO18; BO26; BO10</t>
        </is>
      </c>
      <c r="C61" t="inlineStr">
        <is>
          <t xml:space="preserve">Constituency Voters feel a tax change at the checkout first. Rebalanced 2026-10-10 (draft): also pleases Consumer Advocacy Network, Agricultural Cooperatives.</t>
        </is>
      </c>
    </row>
    <row r="62" spans="1:3">
      <c r="A62" t="s">
        <v>6476</v>
      </c>
      <c r="B62" t="inlineStr">
        <is>
          <t xml:space="preserve">BO24; BO18</t>
        </is>
      </c>
      <c r="C62" t="inlineStr">
        <is>
          <t xml:space="preserve">Constituency Voters want to know who actually pays. Rebalanced 2026-10-10 (draft): also pleases Financial Industry Association.</t>
        </is>
      </c>
    </row>
    <row r="63" spans="1:3">
      <c r="A63" t="s">
        <v>6649</v>
      </c>
      <c r="B63" t="inlineStr">
        <is>
          <t xml:space="preserve">BO01; BO23</t>
        </is>
      </c>
      <c r="C63" t="inlineStr">
        <is>
          <t xml:space="preserve">Party Headquarters owns the party's own finance rules. Rebalanced 2026-10-10 (draft): also pleases Taxpayers' Alliance.</t>
        </is>
      </c>
    </row>
    <row r="64" spans="1:3">
      <c r="A64" t="s">
        <v>2994</v>
      </c>
      <c r="B64" t="inlineStr">
        <is>
          <t xml:space="preserve">BO06; BO21; BO19</t>
        </is>
      </c>
      <c r="C64" t="inlineStr">
        <is>
          <t xml:space="preserve">Neighborhood Associations see hardship first, at the household level. Rebalanced 2026-10-10 (draft): also pleases Care and Welfare Council, Buddhist Temples Association.</t>
        </is>
      </c>
    </row>
    <row r="65" spans="1:3">
      <c r="A65" t="s">
        <v>3151</v>
      </c>
      <c r="B65" t="inlineStr">
        <is>
          <t xml:space="preserve">BO08; BO26</t>
        </is>
      </c>
      <c r="C65" t="inlineStr">
        <is>
          <t xml:space="preserve">National Media's beat is whether an answer is honest. Rebalanced 2026-10-10 (draft): also pleases Consumer Advocacy Network.</t>
        </is>
      </c>
    </row>
    <row r="66" spans="1:3">
      <c r="A66" t="s">
        <v>6544</v>
      </c>
      <c r="B66" t="inlineStr">
        <is>
          <t xml:space="preserve">BO27; BO18; BO11</t>
        </is>
      </c>
      <c r="C66" t="inlineStr">
        <is>
          <t xml:space="preserve">Constituency Voters feel housing cost and availability directly. Rebalanced 2026-10-10 (draft): also pleases Urban Neighbourhood Alliance, Students United.</t>
        </is>
      </c>
    </row>
    <row r="67" spans="1:3">
      <c r="A67" t="s">
        <v>6530</v>
      </c>
      <c r="B67" t="inlineStr">
        <is>
          <t xml:space="preserve">BO27; BO18</t>
        </is>
      </c>
      <c r="C67" t="inlineStr">
        <is>
          <t xml:space="preserve">Constituency Voters are the ones being priced out. Rebalanced 2026-10-10 (draft): also pleases Urban Neighbourhood Alliance.</t>
        </is>
      </c>
    </row>
    <row r="68" spans="1:3">
      <c r="A68" t="s">
        <v>3146</v>
      </c>
      <c r="B68" t="s">
        <v>1226</v>
      </c>
      <c r="C68" t="s">
        <v>6781</v>
      </c>
    </row>
    <row r="69" spans="1:3">
      <c r="A69" t="s">
        <v>6464</v>
      </c>
      <c r="B69" t="inlineStr">
        <is>
          <t xml:space="preserve">BO28; BO29; BO15; BO20</t>
        </is>
      </c>
      <c r="C69" t="inlineStr">
        <is>
          <t xml:space="preserve">Our Traditional Society exists to speak for cultural continuity. Rebalanced 2026-10-10 (draft): also pleases Ainu Community Council, Ainu Language and Culture Foundation, Shrine Association.</t>
        </is>
      </c>
    </row>
    <row r="70" spans="1:3">
      <c r="A70" t="s">
        <v>6498</v>
      </c>
      <c r="B70" t="s">
        <v>1356</v>
      </c>
      <c r="C70" t="s">
        <v>6783</v>
      </c>
    </row>
    <row r="71" spans="1:3">
      <c r="A71" t="s">
        <v>2898</v>
      </c>
      <c r="B71" t="s">
        <v>1308</v>
      </c>
      <c r="C71" t="s">
        <v>6784</v>
      </c>
    </row>
    <row r="72" spans="1:3">
      <c r="A72" t="s">
        <v>3065</v>
      </c>
      <c r="B72" t="inlineStr">
        <is>
          <t xml:space="preserve">BO04; BO25</t>
        </is>
      </c>
      <c r="C72" t="inlineStr">
        <is>
          <t xml:space="preserve">Mayors' Network is who actually implements a policy on the ground. Rebalanced 2026-10-10 (draft): also pleases Small Business Owners' Association.</t>
        </is>
      </c>
    </row>
    <row r="73" spans="1:3">
      <c r="A73" t="s">
        <v>3045</v>
      </c>
      <c r="B73" t="inlineStr">
        <is>
          <t xml:space="preserve">BO10; BO30</t>
        </is>
      </c>
      <c r="C73" t="inlineStr">
        <is>
          <t xml:space="preserve">Agricultural Cooperatives respond to whatever inducement is on offer. Rebalanced 2026-10-10 (draft): also pleases Rural Revitalization Council.</t>
        </is>
      </c>
    </row>
    <row r="74" spans="1:3">
      <c r="A74" t="s">
        <v>2938</v>
      </c>
      <c r="B74" t="s">
        <v>1226</v>
      </c>
      <c r="C74" t="s">
        <v>6787</v>
      </c>
    </row>
    <row r="75" spans="1:3">
      <c r="A75" t="s">
        <v>6538</v>
      </c>
      <c r="B75" t="inlineStr">
        <is>
          <t xml:space="preserve">BO04; BO14; BO30</t>
        </is>
      </c>
      <c r="C75" t="inlineStr">
        <is>
          <t xml:space="preserve">Mayors' Network owns the roads, bridges, and flood defenses in question. Rebalanced 2026-10-10 (draft): also pleases Commuter Committee, Rural Revitalization Council.</t>
        </is>
      </c>
    </row>
    <row r="76" spans="1:3">
      <c r="A76" t="s">
        <v>6500</v>
      </c>
      <c r="B76" t="inlineStr">
        <is>
          <t xml:space="preserve">BO15; BO29</t>
        </is>
      </c>
      <c r="C76" t="inlineStr">
        <is>
          <t xml:space="preserve">Our Traditional Society weighs in on how newcomers are integrated. Rebalanced 2026-10-10 (draft): also pleases Ainu Language and Culture Foundation.</t>
        </is>
      </c>
    </row>
    <row r="77" spans="1:3">
      <c r="A77" t="s">
        <v>3137</v>
      </c>
      <c r="B77" t="s">
        <v>1233</v>
      </c>
      <c r="C77" t="s">
        <v>6790</v>
      </c>
    </row>
    <row r="78" spans="1:3">
      <c r="A78" t="s">
        <v>6623</v>
      </c>
      <c r="B78" t="s">
        <v>1220</v>
      </c>
      <c r="C78" t="s">
        <v>6791</v>
      </c>
    </row>
    <row r="79" spans="1:3">
      <c r="A79" t="s">
        <v>3086</v>
      </c>
      <c r="B79" t="s">
        <v>1220</v>
      </c>
      <c r="C79" t="s">
        <v>6792</v>
      </c>
    </row>
    <row r="80" spans="1:3">
      <c r="A80" t="s">
        <v>3031</v>
      </c>
      <c r="B80" t="inlineStr">
        <is>
          <t xml:space="preserve">BO10; BO24</t>
        </is>
      </c>
      <c r="C80" t="inlineStr">
        <is>
          <t xml:space="preserve">Agricultural Cooperatives weigh what leverage a deal actually gives them. Rebalanced 2026-10-10 (draft): also pleases Financial Industry Association.</t>
        </is>
      </c>
    </row>
    <row r="81" spans="1:3">
      <c r="A81" t="s">
        <v>3040</v>
      </c>
      <c r="B81" t="s">
        <v>1302</v>
      </c>
      <c r="C81" t="s">
        <v>6794</v>
      </c>
    </row>
    <row r="82" spans="1:3">
      <c r="A82" t="s">
        <v>2981</v>
      </c>
      <c r="B82" t="inlineStr">
        <is>
          <t xml:space="preserve">BO07; BO10; BO13; BO30</t>
        </is>
      </c>
      <c r="C82" t="inlineStr">
        <is>
          <t xml:space="preserve">Fisheries Cooperative's whole stake is livelihood. Rebalanced 2026-10-10 (draft): also pleases Agricultural Cooperatives, Yezo Artisans Guild, Rural Revitalization Council.</t>
        </is>
      </c>
    </row>
    <row r="83" spans="1:3">
      <c r="A83" t="s">
        <v>6526</v>
      </c>
      <c r="B83" t="inlineStr">
        <is>
          <t xml:space="preserve">BO04; BO30</t>
        </is>
      </c>
      <c r="C83" t="inlineStr">
        <is>
          <t xml:space="preserve">Mayors' Network is the body whose autonomy is actually in question. Rebalanced 2026-10-10 (draft): also pleases Rural Revitalization Council.</t>
        </is>
      </c>
    </row>
    <row r="84" spans="1:3">
      <c r="A84" t="s">
        <v>6686</v>
      </c>
      <c r="B84" t="inlineStr">
        <is>
          <t xml:space="preserve">BO06; BO28</t>
        </is>
      </c>
      <c r="C84" t="inlineStr">
        <is>
          <t xml:space="preserve">Neighborhood Associations are who local consent actually represents. Rebalanced 2026-10-10 (draft): also pleases Ainu Community Council.</t>
        </is>
      </c>
    </row>
    <row r="85" spans="1:3">
      <c r="A85" t="s">
        <v>2967</v>
      </c>
      <c r="B85" t="inlineStr">
        <is>
          <t xml:space="preserve">BO01; BO22</t>
        </is>
      </c>
      <c r="C85" t="inlineStr">
        <is>
          <t xml:space="preserve">Party Headquarters is the one keeping score on loyalty. Rebalanced 2026-10-10 (draft): also pleases Veterans' Association.</t>
        </is>
      </c>
    </row>
    <row r="86" spans="1:3">
      <c r="A86" t="s">
        <v>3083</v>
      </c>
      <c r="B86" t="s">
        <v>1220</v>
      </c>
      <c r="C86" t="s">
        <v>6798</v>
      </c>
    </row>
    <row r="87" spans="1:3">
      <c r="A87" t="s">
        <v>3123</v>
      </c>
      <c r="B87" t="inlineStr">
        <is>
          <t xml:space="preserve">BO24; BO05</t>
        </is>
      </c>
      <c r="C87" t="inlineStr">
        <is>
          <t xml:space="preserve">Chamber of Commerce follows the money in any policy. Rebalanced 2026-10-10 (draft): also pleases Financial Industry Association.</t>
        </is>
      </c>
    </row>
    <row r="88" spans="1:3">
      <c r="A88" t="s">
        <v>2927</v>
      </c>
      <c r="B88" t="s">
        <v>1226</v>
      </c>
      <c r="C88" t="s">
        <v>6800</v>
      </c>
    </row>
    <row r="89" spans="1:3">
      <c r="A89" t="s">
        <v>2972</v>
      </c>
      <c r="B89" t="inlineStr">
        <is>
          <t xml:space="preserve">BO03; BO30; BO28; BO19</t>
        </is>
      </c>
      <c r="C89" t="inlineStr">
        <is>
          <t xml:space="preserve">Local Kōenkai is quickest to feel a constituency being neglected. Rebalanced 2026-10-10 (draft): also pleases Rural Revitalization Council, Ainu Community Council, Buddhist Temples Association.</t>
        </is>
      </c>
    </row>
    <row r="90" spans="1:3">
      <c r="A90" t="s">
        <v>6496</v>
      </c>
      <c r="B90" t="inlineStr">
        <is>
          <t xml:space="preserve">BO17; BO22</t>
        </is>
      </c>
      <c r="C90" t="inlineStr">
        <is>
          <t xml:space="preserve">Members of Parliament own the constitutional question of nuclear posture. Rebalanced 2026-10-10 (draft): also pleases Veterans' Association.</t>
        </is>
      </c>
    </row>
    <row r="91" spans="1:3">
      <c r="A91" t="s">
        <v>6638</v>
      </c>
      <c r="B91" t="s">
        <v>1362</v>
      </c>
      <c r="C91" t="s">
        <v>6803</v>
      </c>
    </row>
    <row r="92" spans="1:3">
      <c r="A92" t="s">
        <v>6494</v>
      </c>
      <c r="B92" t="inlineStr">
        <is>
          <t xml:space="preserve">BO17; BO22</t>
        </is>
      </c>
      <c r="C92" t="inlineStr">
        <is>
          <t xml:space="preserve">Members of Parliament own the constitutional question of nuclear posture. Rebalanced 2026-10-10 (draft): also pleases Veterans' Association.</t>
        </is>
      </c>
    </row>
    <row r="93" spans="1:3">
      <c r="A93" t="s">
        <v>2989</v>
      </c>
      <c r="B93" t="s">
        <v>1226</v>
      </c>
      <c r="C93" t="s">
        <v>6804</v>
      </c>
    </row>
    <row r="94" spans="1:3">
      <c r="A94" t="s">
        <v>3097</v>
      </c>
      <c r="B94" t="inlineStr">
        <is>
          <t xml:space="preserve">BO08; BO26</t>
        </is>
      </c>
      <c r="C94" t="inlineStr">
        <is>
          <t xml:space="preserve">National Media is a standing check on official oversight. Rebalanced 2026-10-10 (draft): also pleases Consumer Advocacy Network.</t>
        </is>
      </c>
    </row>
    <row r="95" spans="1:3">
      <c r="A95" t="s">
        <v>6528</v>
      </c>
      <c r="B95" t="inlineStr">
        <is>
          <t xml:space="preserve">BO27; BO18; BO20; BO13</t>
        </is>
      </c>
      <c r="C95" t="inlineStr">
        <is>
          <t xml:space="preserve">Constituency Voters live with the crowding and rent pressure. Rebalanced 2026-10-10 (draft): also pleases Urban Neighbourhood Alliance, Shrine Association, Yezo Artisans Guild.</t>
        </is>
      </c>
    </row>
    <row r="96" spans="1:3">
      <c r="A96" t="s">
        <v>3001</v>
      </c>
      <c r="B96" t="inlineStr">
        <is>
          <t xml:space="preserve">BO03; BO11; BO28; BO29</t>
        </is>
      </c>
      <c r="C96" t="inlineStr">
        <is>
          <t xml:space="preserve">Local Kōenkai measures how much constituents actually get to participate. Rebalanced 2026-10-10 (draft): also pleases Students United, Ainu Community Council, Ainu Language and Culture Foundation.</t>
        </is>
      </c>
    </row>
    <row r="97" spans="1:3">
      <c r="A97" t="s">
        <v>6633</v>
      </c>
      <c r="B97" t="inlineStr">
        <is>
          <t xml:space="preserve">BO09; BO21; BO24</t>
        </is>
      </c>
      <c r="C97" t="inlineStr">
        <is>
          <t xml:space="preserve">Labor Federation represents the workers whose pensions are at stake. Rebalanced 2026-10-10 (draft): also pleases Care and Welfare Council, Financial Industry Association.</t>
        </is>
      </c>
    </row>
    <row r="98" spans="1:3">
      <c r="A98" t="s">
        <v>3034</v>
      </c>
      <c r="B98" t="s">
        <v>1233</v>
      </c>
      <c r="C98" t="s">
        <v>6809</v>
      </c>
    </row>
    <row r="99" spans="1:3">
      <c r="A99" t="s">
        <v>6517</v>
      </c>
      <c r="B99" t="inlineStr">
        <is>
          <t xml:space="preserve">BO01; BO23</t>
        </is>
      </c>
      <c r="C99" t="inlineStr">
        <is>
          <t xml:space="preserve">Party Headquarters owns the party's own finance rules. Rebalanced 2026-10-10 (draft): also pleases Taxpayers' Alliance.</t>
        </is>
      </c>
    </row>
    <row r="100" spans="1:3">
      <c r="A100" t="s">
        <v>2902</v>
      </c>
      <c r="B100" t="s">
        <v>1245</v>
      </c>
      <c r="C100" t="s">
        <v>6810</v>
      </c>
    </row>
    <row r="101" spans="1:3">
      <c r="A101" t="s">
        <v>6640</v>
      </c>
      <c r="B101" t="inlineStr">
        <is>
          <t xml:space="preserve">BO26; BO05</t>
        </is>
      </c>
      <c r="C101" t="inlineStr">
        <is>
          <t xml:space="preserve">Chamber of Commerce represents the members paying the power bill. Rebalanced 2026-10-10 (draft): also pleases Consumer Advocacy Network.</t>
        </is>
      </c>
    </row>
    <row r="102" spans="1:3">
      <c r="A102" t="s">
        <v>6677</v>
      </c>
      <c r="B102" t="inlineStr">
        <is>
          <t xml:space="preserve">BO04; BO22</t>
        </is>
      </c>
      <c r="C102" t="inlineStr">
        <is>
          <t xml:space="preserve">Mayors' Network runs municipal disaster planning. Rebalanced 2026-10-10 (draft): also pleases Veterans' Association.</t>
        </is>
      </c>
    </row>
    <row r="103" spans="1:3">
      <c r="A103" t="s">
        <v>3013</v>
      </c>
      <c r="B103" t="inlineStr">
        <is>
          <t xml:space="preserve">BO26; BO05</t>
        </is>
      </c>
      <c r="C103" t="inlineStr">
        <is>
          <t xml:space="preserve">Chamber of Commerce tracks price effects on members directly. Rebalanced 2026-10-10 (draft): also pleases Consumer Advocacy Network.</t>
        </is>
      </c>
    </row>
    <row r="104" spans="1:3">
      <c r="A104" t="s">
        <v>6617</v>
      </c>
      <c r="B104" t="inlineStr">
        <is>
          <t xml:space="preserve">BO17; BO19</t>
        </is>
      </c>
      <c r="C104" t="inlineStr">
        <is>
          <t xml:space="preserve">Members of Parliament are custodians of the Three Non-Nuclear Principles. Rebalanced 2026-10-10 (draft): also pleases Buddhist Temples Association.</t>
        </is>
      </c>
    </row>
    <row r="105" spans="1:3">
      <c r="A105" t="s">
        <v>2955</v>
      </c>
      <c r="B105" t="s">
        <v>1292</v>
      </c>
      <c r="C105" t="s">
        <v>6814</v>
      </c>
    </row>
    <row r="106" spans="1:3">
      <c r="A106" t="s">
        <v>6478</v>
      </c>
      <c r="B106" t="inlineStr">
        <is>
          <t xml:space="preserve">BO23; BO24</t>
        </is>
      </c>
      <c r="C106" t="inlineStr">
        <is>
          <t xml:space="preserve">Taxpayers' Alliance and Financial Industry Association want sound public finances. Rationale refreshed 2026-10-12 (draft): the Chamber of Commerce was moved off this theme in the 2026-10-10 rebalance.</t>
        </is>
      </c>
    </row>
    <row r="107" spans="1:3">
      <c r="A107" t="s">
        <v>394</v>
      </c>
      <c r="B107" t="s">
        <v>1220</v>
      </c>
      <c r="C107" t="s">
        <v>6815</v>
      </c>
    </row>
    <row r="108" spans="1:3">
      <c r="A108" t="s">
        <v>6680</v>
      </c>
      <c r="B108" t="inlineStr">
        <is>
          <t xml:space="preserve">BO04; BO30</t>
        </is>
      </c>
      <c r="C108" t="inlineStr">
        <is>
          <t xml:space="preserve">Mayors' Network leads disaster reconstruction on the ground. Rebalanced 2026-10-10 (draft): also pleases Rural Revitalization Council.</t>
        </is>
      </c>
    </row>
    <row r="109" spans="1:3">
      <c r="A109" t="s">
        <v>6689</v>
      </c>
      <c r="B109" t="inlineStr">
        <is>
          <t xml:space="preserve">BO27; BO04</t>
        </is>
      </c>
      <c r="C109" t="inlineStr">
        <is>
          <t xml:space="preserve">Mayors' Network approves and plans local redevelopment. Rebalanced 2026-10-10 (draft): also pleases Urban Neighbourhood Alliance.</t>
        </is>
      </c>
    </row>
    <row r="110" spans="1:3">
      <c r="A110" t="s">
        <v>6488</v>
      </c>
      <c r="B110" t="inlineStr">
        <is>
          <t xml:space="preserve">BO17; BO22</t>
        </is>
      </c>
      <c r="C110" t="inlineStr">
        <is>
          <t xml:space="preserve">Members of Parliament weigh regional security as a chamber-level question. Rebalanced 2026-10-10 (draft): also pleases Veterans' Association.</t>
        </is>
      </c>
    </row>
    <row r="111" spans="1:3">
      <c r="A111" t="s">
        <v>6663</v>
      </c>
      <c r="B111" t="inlineStr">
        <is>
          <t xml:space="preserve">BO04; BO30</t>
        </is>
      </c>
      <c r="C111" t="inlineStr">
        <is>
          <t xml:space="preserve">Mayors' Network is party to any base relocation decision. Rebalanced 2026-10-10 (draft): also pleases Rural Revitalization Council.</t>
        </is>
      </c>
    </row>
    <row r="112" spans="1:3">
      <c r="A112" t="s">
        <v>6463</v>
      </c>
      <c r="B112" t="inlineStr">
        <is>
          <t xml:space="preserve">BO03; BO28; BO29</t>
        </is>
      </c>
      <c r="C112" t="inlineStr">
        <is>
          <t xml:space="preserve">Local Kōenkai exists specifically to carry constituents' voice up the chain. Rebalanced 2026-10-10 (draft): also pleases Ainu Community Council, Ainu Language and Culture Foundation.</t>
        </is>
      </c>
    </row>
    <row r="113" spans="1:3">
      <c r="A113" t="s">
        <v>2975</v>
      </c>
      <c r="B113" t="s">
        <v>1233</v>
      </c>
      <c r="C113" t="s">
        <v>6821</v>
      </c>
    </row>
    <row r="114" spans="1:3">
      <c r="A114" t="s">
        <v>3094</v>
      </c>
      <c r="B114" t="inlineStr">
        <is>
          <t xml:space="preserve">BO04; BO30; BO28</t>
        </is>
      </c>
      <c r="C114" t="inlineStr">
        <is>
          <t xml:space="preserve">Mayors' Network needs the resources to match any new mandate. Rebalanced 2026-10-10 (draft): also pleases Rural Revitalization Council, Ainu Community Council.</t>
        </is>
      </c>
    </row>
    <row r="115" spans="1:3">
      <c r="A115" t="s">
        <v>3080</v>
      </c>
      <c r="B115" t="inlineStr">
        <is>
          <t xml:space="preserve">BO09; BO24</t>
        </is>
      </c>
      <c r="C115" t="inlineStr">
        <is>
          <t xml:space="preserve">Labor Federation weighs the risk a rule shifts onto workers. Rebalanced 2026-10-10 (draft): also pleases Financial Industry Association.</t>
        </is>
      </c>
    </row>
    <row r="116" spans="1:3">
      <c r="A116" t="s">
        <v>6534</v>
      </c>
      <c r="B116" t="inlineStr">
        <is>
          <t xml:space="preserve">BO30; BO04</t>
        </is>
      </c>
      <c r="C116" t="inlineStr">
        <is>
          <t xml:space="preserve">Mayors' Network administers the rural municipalities in decline. Rebalanced 2026-10-10 (draft): also pleases Rural Revitalization Council.</t>
        </is>
      </c>
    </row>
    <row r="117" spans="1:3">
      <c r="A117" t="s">
        <v>6672</v>
      </c>
      <c r="B117" t="inlineStr">
        <is>
          <t xml:space="preserve">BO30; BO04; BO10</t>
        </is>
      </c>
      <c r="C117" t="inlineStr">
        <is>
          <t xml:space="preserve">Mayors' Network runs the clinics, schools, and routes at risk. Rebalanced 2026-10-10 (draft): also pleases Rural Revitalization Council, Agricultural Cooperatives.</t>
        </is>
      </c>
    </row>
    <row r="118" spans="1:3">
      <c r="A118" t="s">
        <v>6532</v>
      </c>
      <c r="B118" t="inlineStr">
        <is>
          <t xml:space="preserve">BO30; BO04; BO10</t>
        </is>
      </c>
      <c r="C118" t="inlineStr">
        <is>
          <t xml:space="preserve">Mayors' Network runs the clinics, schools, and routes at risk. Rebalanced 2026-10-10 (draft): also pleases Rural Revitalization Council, Agricultural Cooperatives.</t>
        </is>
      </c>
    </row>
    <row r="119" spans="1:3">
      <c r="A119" t="s">
        <v>3143</v>
      </c>
      <c r="B119" t="s">
        <v>1226</v>
      </c>
      <c r="C119" t="s">
        <v>6826</v>
      </c>
    </row>
    <row r="120" spans="1:3">
      <c r="A120" t="s">
        <v>2930</v>
      </c>
      <c r="B120" t="s">
        <v>1220</v>
      </c>
      <c r="C120" t="s">
        <v>6827</v>
      </c>
    </row>
    <row r="121" spans="1:3">
      <c r="A121" t="s">
        <v>3022</v>
      </c>
      <c r="B121" t="s">
        <v>1226</v>
      </c>
      <c r="C121" t="s">
        <v>6828</v>
      </c>
    </row>
    <row r="122" spans="1:3">
      <c r="A122" t="s">
        <v>6486</v>
      </c>
      <c r="B122" t="inlineStr">
        <is>
          <t xml:space="preserve">BO17; BO22</t>
        </is>
      </c>
      <c r="C122" t="inlineStr">
        <is>
          <t xml:space="preserve">Members of Parliament set security strategy through the chamber. Rebalanced 2026-10-10 (draft): also pleases Veterans' Association.</t>
        </is>
      </c>
    </row>
    <row r="123" spans="1:3">
      <c r="A123" t="s">
        <v>6468</v>
      </c>
      <c r="B123" t="inlineStr">
        <is>
          <t xml:space="preserve">BO06; BO27; BO20</t>
        </is>
      </c>
      <c r="C123" t="inlineStr">
        <is>
          <t xml:space="preserve">Neighborhood Associations mediate exactly these local-space disputes. Rebalanced 2026-10-10 (draft): also pleases Urban Neighbourhood Alliance, Shrine Association.</t>
        </is>
      </c>
    </row>
    <row r="124" spans="1:3">
      <c r="A124" t="s">
        <v>6669</v>
      </c>
      <c r="B124" t="inlineStr">
        <is>
          <t xml:space="preserve">BO27; BO18; BO25</t>
        </is>
      </c>
      <c r="C124" t="inlineStr">
        <is>
          <t xml:space="preserve">Constituency Voters are the ones losing housing stock to it. Rebalanced 2026-10-10 (draft): also pleases Urban Neighbourhood Alliance, Small Business Owners' Association.</t>
        </is>
      </c>
    </row>
    <row r="125" spans="1:3">
      <c r="A125" t="s">
        <v>3061</v>
      </c>
      <c r="B125" t="s">
        <v>1233</v>
      </c>
      <c r="C125" t="s">
        <v>6832</v>
      </c>
    </row>
    <row r="126" spans="1:3">
      <c r="A126" t="s">
        <v>3105</v>
      </c>
      <c r="B126" t="inlineStr">
        <is>
          <t xml:space="preserve">BO25; BO05</t>
        </is>
      </c>
      <c r="C126" t="inlineStr">
        <is>
          <t xml:space="preserve">Chamber of Commerce wants a rule simple enough to actually comply with. Rebalanced 2026-10-10 (draft): also pleases Small Business Owners' Association.</t>
        </is>
      </c>
    </row>
    <row r="127" spans="1:3">
      <c r="A127" t="s">
        <v>6683</v>
      </c>
      <c r="B127" t="inlineStr">
        <is>
          <t xml:space="preserve">BO16; BO30</t>
        </is>
      </c>
      <c r="C127" t="inlineStr">
        <is>
          <t xml:space="preserve">Innovation Society represents the renewable-energy developers. Rebalanced 2026-10-10 (draft): also pleases Rural Revitalization Council.</t>
        </is>
      </c>
    </row>
    <row r="128" spans="1:3">
      <c r="A128" t="s">
        <v>3006</v>
      </c>
      <c r="B128" t="s">
        <v>1308</v>
      </c>
      <c r="C128" t="s">
        <v>6835</v>
      </c>
    </row>
    <row r="129" spans="1:3">
      <c r="A129" t="s">
        <v>6599</v>
      </c>
      <c r="B129" t="inlineStr">
        <is>
          <t xml:space="preserve">BO24; BO25</t>
        </is>
      </c>
      <c r="C129" t="inlineStr">
        <is>
          <t xml:space="preserve">Financial Industry Association and Small Business Owners' Association react to what stimulus spends and who it reaches. Rationale refreshed 2026-10-12 (draft): the Chamber of Commerce was moved off this theme in the 2026-10-10 rebalance.</t>
        </is>
      </c>
    </row>
    <row r="130" spans="1:3">
      <c r="A130" t="s">
        <v>6643</v>
      </c>
      <c r="B130" t="inlineStr">
        <is>
          <t xml:space="preserve">BO10; BO05</t>
        </is>
      </c>
      <c r="C130" t="inlineStr">
        <is>
          <t xml:space="preserve">Chamber of Commerce represents the industries a subsidy would reach. Rebalanced 2026-10-10 (draft): also pleases Agricultural Cooperatives.</t>
        </is>
      </c>
    </row>
    <row r="131" spans="1:3">
      <c r="A131" t="s">
        <v>6657</v>
      </c>
      <c r="B131" t="inlineStr">
        <is>
          <t xml:space="preserve">BO15; BO13; BO19; BO20; BO29</t>
        </is>
      </c>
      <c r="C131" t="inlineStr">
        <is>
          <t xml:space="preserve">Our Traditional Society holds a direct interest in imperial succession rules. Rebalanced 2026-10-10 (draft): also pleases Yezo Artisans Guild, Buddhist Temples Association, Shrine Association, Ainu Language and Culture Foundation.</t>
        </is>
      </c>
    </row>
    <row r="132" spans="1:3">
      <c r="A132" t="s">
        <v>6646</v>
      </c>
      <c r="B132" t="inlineStr">
        <is>
          <t xml:space="preserve">BO05; BO25; BO13</t>
        </is>
      </c>
      <c r="C132" t="inlineStr">
        <is>
          <t xml:space="preserve">Chamber of Commerce tracks supply-chain exposure directly. Rebalanced 2026-10-10 (draft): also pleases Small Business Owners' Association, Yezo Artisans Guild.</t>
        </is>
      </c>
    </row>
    <row r="133" spans="1:3">
      <c r="A133" t="s">
        <v>6515</v>
      </c>
      <c r="B133" t="inlineStr">
        <is>
          <t xml:space="preserve">BO05; BO25; BO13</t>
        </is>
      </c>
      <c r="C133" t="inlineStr">
        <is>
          <t xml:space="preserve">Chamber of Commerce tracks supply-chain exposure directly. Rebalanced 2026-10-10 (draft): also pleases Small Business Owners' Association, Yezo Artisans Guild.</t>
        </is>
      </c>
    </row>
    <row r="134" spans="1:3">
      <c r="A134" t="s">
        <v>662</v>
      </c>
      <c r="B134" t="inlineStr">
        <is>
          <t xml:space="preserve">BO10; BO30</t>
        </is>
      </c>
      <c r="C134" t="inlineStr">
        <is>
          <t xml:space="preserve">Agricultural Cooperatives measure a policy by the support it offers them. Rebalanced 2026-10-10 (draft): also pleases Rural Revitalization Council.</t>
        </is>
      </c>
    </row>
    <row r="135" spans="1:3">
      <c r="A135" t="s">
        <v>6594</v>
      </c>
      <c r="B135" t="inlineStr">
        <is>
          <t xml:space="preserve">BO18; BO23; BO25</t>
        </is>
      </c>
      <c r="C135" t="inlineStr">
        <is>
          <t xml:space="preserve">Constituency Voters feel a tax change at the checkout first. Rebalanced 2026-10-10 (draft): also pleases Taxpayers' Alliance, Small Business Owners' Association.</t>
        </is>
      </c>
    </row>
    <row r="136" spans="1:3">
      <c r="A136" t="s">
        <v>6472</v>
      </c>
      <c r="B136" t="inlineStr">
        <is>
          <t xml:space="preserve">BO18; BO23; BO25</t>
        </is>
      </c>
      <c r="C136" t="inlineStr">
        <is>
          <t xml:space="preserve">Constituency Voters feel a tax change at the checkout first. Rebalanced 2026-10-10 (draft): also pleases Taxpayers' Alliance, Small Business Owners' Association.</t>
        </is>
      </c>
    </row>
    <row r="137" spans="1:3">
      <c r="A137" t="s">
        <v>6666</v>
      </c>
      <c r="B137" t="inlineStr">
        <is>
          <t xml:space="preserve">BO18; BO25; BO13</t>
        </is>
      </c>
      <c r="C137" t="inlineStr">
        <is>
          <t xml:space="preserve">Constituency Voters weigh a tourist tax against their own cost of living. Rebalanced 2026-10-10 (draft): also pleases Small Business Owners' Association, Yezo Artisans Guild.</t>
        </is>
      </c>
    </row>
    <row r="138" spans="1:3">
      <c r="A138" t="s">
        <v>6675</v>
      </c>
      <c r="B138" t="inlineStr">
        <is>
          <t xml:space="preserve">BO14; BO27</t>
        </is>
      </c>
      <c r="C138" t="inlineStr">
        <is>
          <t xml:space="preserve">Commuter Committee exists specifically for transit questions. Rebalanced 2026-10-10 (draft): also pleases Urban Neighbourhood Alliance.</t>
        </is>
      </c>
    </row>
    <row r="139" spans="1:3">
      <c r="A139" t="s">
        <v>2949</v>
      </c>
      <c r="B139" t="inlineStr">
        <is>
          <t xml:space="preserve">BO08; BO23</t>
        </is>
      </c>
      <c r="C139" t="inlineStr">
        <is>
          <t xml:space="preserve">National Media's core demand is transparency. Rebalanced 2026-10-10 (draft): also pleases Taxpayers' Alliance.</t>
        </is>
      </c>
    </row>
    <row r="140" spans="1:3">
      <c r="A140" t="s">
        <v>2946</v>
      </c>
      <c r="B140" t="inlineStr">
        <is>
          <t xml:space="preserve">BO03; BO28; BO19</t>
        </is>
      </c>
      <c r="C140" t="inlineStr">
        <is>
          <t xml:space="preserve">Local Kōenkai is built entirely on constituent trust. Rebalanced 2026-10-10 (draft): also pleases Ainu Community Council, Buddhist Temples Association.</t>
        </is>
      </c>
    </row>
    <row r="141" spans="1:3">
      <c r="A141" t="s">
        <v>2915</v>
      </c>
      <c r="B141" t="s">
        <v>1245</v>
      </c>
      <c r="C141" t="s">
        <v>6845</v>
      </c>
    </row>
    <row r="142" spans="1:3">
      <c r="A142" t="s">
        <v>6546</v>
      </c>
      <c r="B142" t="inlineStr">
        <is>
          <t xml:space="preserve">BO27; BO18</t>
        </is>
      </c>
      <c r="C142" t="inlineStr">
        <is>
          <t xml:space="preserve">Constituency Voters want empty homes addressed before new building. Rebalanced 2026-10-10 (draft): also pleases Urban Neighbourhood Alliance.</t>
        </is>
      </c>
    </row>
    <row r="143" spans="1:3">
      <c r="A143" t="s">
        <v>3160</v>
      </c>
      <c r="B143" t="s">
        <v>1226</v>
      </c>
      <c r="C143" t="s">
        <v>6847</v>
      </c>
    </row>
    <row r="144" spans="1:3">
      <c r="A144" t="s">
        <v>2908</v>
      </c>
      <c r="B144" t="s">
        <v>1245</v>
      </c>
      <c r="C144" t="s">
        <v>6848</v>
      </c>
    </row>
    <row r="145" spans="1:3">
      <c r="A145" t="s">
        <v>2985</v>
      </c>
      <c r="B145" t="inlineStr">
        <is>
          <t xml:space="preserve">BO06; BO21; BO19</t>
        </is>
      </c>
      <c r="C145" t="inlineStr">
        <is>
          <t xml:space="preserve">Neighborhood Associations speak for the most vulnerable residents. Rebalanced 2026-10-10 (draft): also pleases Care and Welfare Council, Buddhist Temples Association.</t>
        </is>
      </c>
    </row>
    <row r="146" spans="1:3">
      <c r="A146" t="s">
        <v>6591</v>
      </c>
      <c r="B146" t="inlineStr">
        <is>
          <t xml:space="preserve">BO09; BO25; BO11</t>
        </is>
      </c>
      <c r="C146" t="inlineStr">
        <is>
          <t xml:space="preserve">Labor Federation represents the workers whose wages are at stake. Rebalanced 2026-10-10 (draft): also pleases Small Business Owners' Association, Students United.</t>
        </is>
      </c>
    </row>
    <row r="147" spans="1:3">
      <c r="A147" t="s">
        <v>6504</v>
      </c>
      <c r="B147" t="inlineStr">
        <is>
          <t xml:space="preserve">BO09; BO25</t>
        </is>
      </c>
      <c r="C147" t="inlineStr">
        <is>
          <t xml:space="preserve">Labor Federation represents the workforce directly. Rebalanced 2026-10-10 (draft): also pleases Small Business Owners' Association.</t>
        </is>
      </c>
    </row>
    <row r="148">
      <c r="A148" t="inlineStr">
        <is>
          <t xml:space="preserve">Ainu preferential rights</t>
        </is>
      </c>
      <c r="B148" t="inlineStr">
        <is>
          <t xml:space="preserve">BO28; BO29</t>
        </is>
      </c>
      <c r="C148" t="inlineStr">
        <is>
          <t xml:space="preserve">Ainu Community Council and the Language and Culture Foundation want Ainu communities to come first in programs meant for them.</t>
        </is>
      </c>
      <c r="D148" t="inlineStr">
        <is>
          <t xml:space="preserve">BO15; BO27; BO05</t>
        </is>
      </c>
    </row>
    <row r="149">
      <c r="A149" t="inlineStr">
        <is>
          <t xml:space="preserve">Ainu reserved seats</t>
        </is>
      </c>
      <c r="B149" t="inlineStr">
        <is>
          <t xml:space="preserve">BO28; BO29</t>
        </is>
      </c>
      <c r="C149" t="inlineStr">
        <is>
          <t xml:space="preserve">Reserved seats are an Ainu community priority.</t>
        </is>
      </c>
      <c r="D149" t="inlineStr">
        <is>
          <t xml:space="preserve">BO22; BO26; BO23</t>
        </is>
      </c>
    </row>
    <row r="150">
      <c r="A150" t="inlineStr">
        <is>
          <t xml:space="preserve">Ainu harvest rights</t>
        </is>
      </c>
      <c r="B150" t="inlineStr">
        <is>
          <t xml:space="preserve">BO28; BO29</t>
        </is>
      </c>
      <c r="C150" t="inlineStr">
        <is>
          <t xml:space="preserve">Special harvest rights are an Ainu community priority.</t>
        </is>
      </c>
      <c r="D150" t="inlineStr">
        <is>
          <t xml:space="preserve">BO20; BO27; BO05</t>
        </is>
      </c>
    </row>
    <row r="151">
      <c r="A151" t="inlineStr">
        <is>
          <t xml:space="preserve">Ainu land return</t>
        </is>
      </c>
      <c r="B151" t="inlineStr">
        <is>
          <t xml:space="preserve">BO28; BO29</t>
        </is>
      </c>
      <c r="C151" t="inlineStr">
        <is>
          <t xml:space="preserve">Land return is central to Ainu community claims.</t>
        </is>
      </c>
      <c r="D151" t="inlineStr">
        <is>
          <t xml:space="preserve">BO15; BO26; BO23</t>
        </is>
      </c>
    </row>
    <row r="152">
      <c r="A152" t="inlineStr">
        <is>
          <t xml:space="preserve">Ainu language funding</t>
        </is>
      </c>
      <c r="B152" t="inlineStr">
        <is>
          <t xml:space="preserve">BO29; BO28</t>
        </is>
      </c>
      <c r="C152" t="inlineStr">
        <is>
          <t xml:space="preserve">The Language and Culture Foundation lives on this funding.</t>
        </is>
      </c>
      <c r="D152" t="inlineStr">
        <is>
          <t xml:space="preserve">BO22; BO27; BO23</t>
        </is>
      </c>
    </row>
    <row r="153">
      <c r="A153" t="inlineStr">
        <is>
          <t xml:space="preserve">Ainu preferential cost</t>
        </is>
      </c>
      <c r="B153" t="inlineStr">
        <is>
          <t xml:space="preserve">BO28; BO29</t>
        </is>
      </c>
      <c r="C153" t="inlineStr">
        <is>
          <t xml:space="preserve">Cost framing of preferential rights, asked of Ainu groups.</t>
        </is>
      </c>
      <c r="D153" t="inlineStr">
        <is>
          <t xml:space="preserve">BO22; BO26; BO24</t>
        </is>
      </c>
    </row>
    <row r="154">
      <c r="A154" t="inlineStr">
        <is>
          <t xml:space="preserve">Ainu fairness</t>
        </is>
      </c>
      <c r="B154" t="inlineStr">
        <is>
          <t xml:space="preserve">BO28; BO29</t>
        </is>
      </c>
      <c r="C154" t="inlineStr">
        <is>
          <t xml:space="preserve">The fairness challenge to preferential rights, answered for the Ainu groups.</t>
        </is>
      </c>
      <c r="D154" t="inlineStr">
        <is>
          <t xml:space="preserve">BO15; BO27; BO05</t>
        </is>
      </c>
    </row>
    <row r="155">
      <c r="A155" t="inlineStr">
        <is>
          <t xml:space="preserve">Fishing quotas</t>
        </is>
      </c>
      <c r="B155" t="inlineStr">
        <is>
          <t xml:space="preserve">BO07</t>
        </is>
      </c>
      <c r="C155" t="inlineStr">
        <is>
          <t xml:space="preserve">Fisheries Cooperative cares about quota rules.</t>
        </is>
      </c>
    </row>
    <row r="156">
      <c r="A156" t="inlineStr">
        <is>
          <t xml:space="preserve">Harbour upkeep</t>
        </is>
      </c>
      <c r="B156" t="inlineStr">
        <is>
          <t xml:space="preserve">BO07</t>
        </is>
      </c>
      <c r="C156" t="inlineStr">
        <is>
          <t xml:space="preserve">Fisheries Cooperative depends on working harbours.</t>
        </is>
      </c>
    </row>
    <row r="157">
      <c r="A157" t="inlineStr">
        <is>
          <t xml:space="preserve">Catch prices</t>
        </is>
      </c>
      <c r="B157" t="inlineStr">
        <is>
          <t xml:space="preserve">BO07</t>
        </is>
      </c>
      <c r="C157" t="inlineStr">
        <is>
          <t xml:space="preserve">Fisheries Cooperative members live on market prices.</t>
        </is>
      </c>
    </row>
    <row r="158">
      <c r="A158" t="inlineStr">
        <is>
          <t xml:space="preserve">Seafood labelling</t>
        </is>
      </c>
      <c r="B158" t="inlineStr">
        <is>
          <t xml:space="preserve">BO07</t>
        </is>
      </c>
      <c r="C158" t="inlineStr">
        <is>
          <t xml:space="preserve">Fisheries Cooperative wants domestic catch told apart from imports.</t>
        </is>
      </c>
    </row>
    <row r="159">
      <c r="A159" t="inlineStr">
        <is>
          <t xml:space="preserve">Commuter fares</t>
        </is>
      </c>
      <c r="B159" t="inlineStr">
        <is>
          <t xml:space="preserve">BO14</t>
        </is>
      </c>
      <c r="C159" t="inlineStr">
        <is>
          <t xml:space="preserve">Commuter Committee speaks for people paying fares.</t>
        </is>
      </c>
    </row>
    <row r="160">
      <c r="A160" t="inlineStr">
        <is>
          <t xml:space="preserve">Rail timetables</t>
        </is>
      </c>
      <c r="B160" t="inlineStr">
        <is>
          <t xml:space="preserve">BO14</t>
        </is>
      </c>
      <c r="C160" t="inlineStr">
        <is>
          <t xml:space="preserve">Commuter Committee cares about train service.</t>
        </is>
      </c>
    </row>
    <row r="161">
      <c r="A161" t="inlineStr">
        <is>
          <t xml:space="preserve">Station access</t>
        </is>
      </c>
      <c r="B161" t="inlineStr">
        <is>
          <t xml:space="preserve">BO14</t>
        </is>
      </c>
      <c r="C161" t="inlineStr">
        <is>
          <t xml:space="preserve">Commuter Committee cares about getting in and out of stations.</t>
        </is>
      </c>
    </row>
    <row r="162">
      <c r="A162" t="inlineStr">
        <is>
          <t xml:space="preserve">Road congestion</t>
        </is>
      </c>
      <c r="B162" t="inlineStr">
        <is>
          <t xml:space="preserve">BO14</t>
        </is>
      </c>
      <c r="C162" t="inlineStr">
        <is>
          <t xml:space="preserve">Commuter Committee cares about buses and road travel.</t>
        </is>
      </c>
    </row>
    <row r="163">
      <c r="A163" t="inlineStr">
        <is>
          <t xml:space="preserve">Research funding</t>
        </is>
      </c>
      <c r="B163" t="inlineStr">
        <is>
          <t xml:space="preserve">BO16; BO11</t>
        </is>
      </c>
      <c r="C163" t="inlineStr">
        <is>
          <t xml:space="preserve">Draft 2026-10-12: Innovation Society and Students United both live on public research money.</t>
        </is>
      </c>
    </row>
    <row r="164">
      <c r="A164" t="inlineStr">
        <is>
          <t xml:space="preserve">Tech transfer</t>
        </is>
      </c>
      <c r="B164" t="inlineStr">
        <is>
          <t xml:space="preserve">BO16; BO11</t>
        </is>
      </c>
      <c r="C164" t="inlineStr">
        <is>
          <t xml:space="preserve">Draft 2026-10-12: Getting university work into industry: Innovation Society and Students United.</t>
        </is>
      </c>
    </row>
    <row r="165">
      <c r="A165" t="inlineStr">
        <is>
          <t xml:space="preserve">Data privacy</t>
        </is>
      </c>
      <c r="B165" t="inlineStr">
        <is>
          <t xml:space="preserve">BO16; BO26</t>
        </is>
      </c>
      <c r="C165" t="inlineStr">
        <is>
          <t xml:space="preserve">Draft 2026-10-12: Innovation Society and Consumer Advocacy Network on personal data.</t>
        </is>
      </c>
    </row>
    <row r="166">
      <c r="A166" t="inlineStr">
        <is>
          <t xml:space="preserve">Fintech rules</t>
        </is>
      </c>
      <c r="B166" t="inlineStr">
        <is>
          <t xml:space="preserve">BO16; BO24</t>
        </is>
      </c>
      <c r="C166" t="inlineStr">
        <is>
          <t xml:space="preserve">Draft 2026-10-12: Innovation Society and the Financial Industry Association on new payment tech.</t>
        </is>
      </c>
    </row>
    <row r="167">
      <c r="A167" t="inlineStr">
        <is>
          <t xml:space="preserve">Graduate jobs</t>
        </is>
      </c>
      <c r="B167" t="inlineStr">
        <is>
          <t xml:space="preserve">BO11; BO16</t>
        </is>
      </c>
      <c r="C167" t="inlineStr">
        <is>
          <t xml:space="preserve">Draft 2026-10-12: Students United and Innovation Society on where graduates end up.</t>
        </is>
      </c>
    </row>
    <row r="168">
      <c r="A168" t="inlineStr">
        <is>
          <t xml:space="preserve">Campus housing</t>
        </is>
      </c>
      <c r="B168" t="inlineStr">
        <is>
          <t xml:space="preserve">BO11; BO27</t>
        </is>
      </c>
      <c r="C168" t="inlineStr">
        <is>
          <t xml:space="preserve">Draft 2026-10-12: Students United and the Urban Neighbourhood Alliance on student housing.</t>
        </is>
      </c>
    </row>
    <row r="169">
      <c r="A169" t="inlineStr">
        <is>
          <t xml:space="preserve">Festival funding</t>
        </is>
      </c>
      <c r="B169" t="inlineStr">
        <is>
          <t xml:space="preserve">BO20; BO15; BO13</t>
        </is>
      </c>
      <c r="C169" t="inlineStr">
        <is>
          <t xml:space="preserve">Draft 2026-10-12: Shrine Association, Our Traditional Society and the Artisans Guild on festival money.</t>
        </is>
      </c>
    </row>
    <row r="170">
      <c r="A170" t="inlineStr">
        <is>
          <t xml:space="preserve">Local customs</t>
        </is>
      </c>
      <c r="B170" t="inlineStr">
        <is>
          <t xml:space="preserve">BO15; BO20; BO03</t>
        </is>
      </c>
      <c r="C170" t="inlineStr">
        <is>
          <t xml:space="preserve">Draft 2026-10-12: Local customs and how they are kept: traditionalists, shrines, Koenkai.</t>
        </is>
      </c>
    </row>
    <row r="171">
      <c r="A171" t="inlineStr">
        <is>
          <t xml:space="preserve">Shrine land</t>
        </is>
      </c>
      <c r="B171" t="inlineStr">
        <is>
          <t xml:space="preserve">BO20; BO15</t>
        </is>
      </c>
      <c r="C171" t="inlineStr">
        <is>
          <t xml:space="preserve">Draft 2026-10-12: Shrine grounds and the land around them.</t>
        </is>
      </c>
    </row>
    <row r="172">
      <c r="A172" t="inlineStr">
        <is>
          <t xml:space="preserve">Seasonal rites</t>
        </is>
      </c>
      <c r="B172" t="inlineStr">
        <is>
          <t xml:space="preserve">BO20; BO10</t>
        </is>
      </c>
      <c r="C172" t="inlineStr">
        <is>
          <t xml:space="preserve">Draft 2026-10-12: Harvest and seasonal rites tied to farming communities.</t>
        </is>
      </c>
    </row>
    <row r="173">
      <c r="A173" t="inlineStr">
        <is>
          <t xml:space="preserve">Traditional crafts</t>
        </is>
      </c>
      <c r="B173" t="inlineStr">
        <is>
          <t xml:space="preserve">BO13; BO15</t>
        </is>
      </c>
      <c r="C173" t="inlineStr">
        <is>
          <t xml:space="preserve">Draft 2026-10-12: Craft traditions: Artisans Guild and Our Traditional Society.</t>
        </is>
      </c>
    </row>
    <row r="174">
      <c r="A174" t="inlineStr">
        <is>
          <t xml:space="preserve">National symbols</t>
        </is>
      </c>
      <c r="B174" t="inlineStr">
        <is>
          <t xml:space="preserve">BO15; BO17</t>
        </is>
      </c>
      <c r="C174" t="inlineStr">
        <is>
          <t xml:space="preserve">Draft 2026-10-12: Flags, anthems and ceremony: traditionalists and the Diet.</t>
        </is>
      </c>
    </row>
    <row r="175">
      <c r="A175" t="inlineStr">
        <is>
          <t xml:space="preserve">Craft exports</t>
        </is>
      </c>
      <c r="B175" t="inlineStr">
        <is>
          <t xml:space="preserve">BO13; BO05</t>
        </is>
      </c>
      <c r="C175" t="inlineStr">
        <is>
          <t xml:space="preserve">Draft 2026-10-12: Selling Yezo crafts abroad: Artisans Guild and the Chamber of Commerce.</t>
        </is>
      </c>
    </row>
    <row r="176">
      <c r="A176" t="inlineStr">
        <is>
          <t xml:space="preserve">Raw materials</t>
        </is>
      </c>
      <c r="B176" t="inlineStr">
        <is>
          <t xml:space="preserve">BO13; BO10</t>
        </is>
      </c>
      <c r="C176" t="inlineStr">
        <is>
          <t xml:space="preserve">Draft 2026-10-12: Materials craftspeople depend on: Artisans Guild and farm cooperatives.</t>
        </is>
      </c>
    </row>
    <row r="177">
      <c r="A177" t="inlineStr">
        <is>
          <t xml:space="preserve">Craft certification</t>
        </is>
      </c>
      <c r="B177" t="inlineStr">
        <is>
          <t xml:space="preserve">BO13; BO26</t>
        </is>
      </c>
      <c r="C177" t="inlineStr">
        <is>
          <t xml:space="preserve">Draft 2026-10-12: Marks of authenticity: Artisans Guild and Consumer Advocacy Network.</t>
        </is>
      </c>
    </row>
    <row r="178">
      <c r="A178" t="inlineStr">
        <is>
          <t xml:space="preserve">Faction loyalty</t>
        </is>
      </c>
      <c r="B178" t="inlineStr">
        <is>
          <t xml:space="preserve">BO02; BO01</t>
        </is>
      </c>
      <c r="C178" t="inlineStr">
        <is>
          <t xml:space="preserve">Draft 2026-10-12: What members owe their faction.</t>
        </is>
      </c>
    </row>
    <row r="179">
      <c r="A179" t="inlineStr">
        <is>
          <t xml:space="preserve">Committee seats</t>
        </is>
      </c>
      <c r="B179" t="inlineStr">
        <is>
          <t xml:space="preserve">BO02; BO17</t>
        </is>
      </c>
      <c r="C179" t="inlineStr">
        <is>
          <t xml:space="preserve">Draft 2026-10-12: Faction claims on committee seats.</t>
        </is>
      </c>
    </row>
    <row r="180">
      <c r="A180" t="inlineStr">
        <is>
          <t xml:space="preserve">Child safety</t>
        </is>
      </c>
      <c r="B180" t="inlineStr">
        <is>
          <t xml:space="preserve">BO12; BO21</t>
        </is>
      </c>
      <c r="C180" t="inlineStr">
        <is>
          <t xml:space="preserve">Draft 2026-10-12: Keeping children safe.</t>
        </is>
      </c>
    </row>
    <row r="181">
      <c r="A181" t="inlineStr">
        <is>
          <t xml:space="preserve">Screen time</t>
        </is>
      </c>
      <c r="B181" t="inlineStr">
        <is>
          <t xml:space="preserve">BO12; BO16</t>
        </is>
      </c>
      <c r="C181" t="inlineStr">
        <is>
          <t xml:space="preserve">Draft 2026-10-12: Children and screens: Family Network and Innovation Society.</t>
        </is>
      </c>
    </row>
    <row r="182">
      <c r="A182" t="inlineStr">
        <is>
          <t xml:space="preserve">Insurance reform</t>
        </is>
      </c>
      <c r="B182" t="inlineStr">
        <is>
          <t xml:space="preserve">BO24; BO21</t>
        </is>
      </c>
      <c r="C182" t="inlineStr">
        <is>
          <t xml:space="preserve">Draft 2026-10-12: Insurance rules: financiers and the welfare council.</t>
        </is>
      </c>
    </row>
    <row r="183">
      <c r="A183" t="inlineStr">
        <is>
          <t xml:space="preserve">Household savings</t>
        </is>
      </c>
      <c r="B183" t="inlineStr">
        <is>
          <t xml:space="preserve">BO24; BO12</t>
        </is>
      </c>
      <c r="C183" t="inlineStr">
        <is>
          <t xml:space="preserve">Draft 2026-10-12: How families save.</t>
        </is>
      </c>
    </row>
    <row r="184">
      <c r="A184" t="inlineStr">
        <is>
          <t xml:space="preserve">Zoning</t>
        </is>
      </c>
      <c r="B184" t="inlineStr">
        <is>
          <t xml:space="preserve">BO27; BO11</t>
        </is>
      </c>
      <c r="C184" t="inlineStr">
        <is>
          <t xml:space="preserve">Draft 2026-10-12: Zoning in cities: Urban Alliance and Students United.</t>
        </is>
      </c>
    </row>
    <row r="185">
      <c r="A185" t="inlineStr">
        <is>
          <t xml:space="preserve">Gentrification</t>
        </is>
      </c>
      <c r="B185" t="inlineStr">
        <is>
          <t xml:space="preserve">BO27; BO18</t>
        </is>
      </c>
      <c r="C185" t="inlineStr">
        <is>
          <t xml:space="preserve">Draft 2026-10-12: Rising rents in changing neighbourhoods.</t>
        </is>
      </c>
    </row>
    <row r="186">
      <c r="A186" t="inlineStr">
        <is>
          <t xml:space="preserve">Port jobs</t>
        </is>
      </c>
      <c r="B186" t="inlineStr">
        <is>
          <t xml:space="preserve">BO07; BO09</t>
        </is>
      </c>
      <c r="C186" t="inlineStr">
        <is>
          <t xml:space="preserve">Draft 2026-10-12: Work at the harbour: Fisheries Cooperative and Labor Federation.</t>
        </is>
      </c>
    </row>
    <row r="187">
      <c r="A187" t="inlineStr">
        <is>
          <t xml:space="preserve">Fuel subsidy</t>
        </is>
      </c>
      <c r="B187" t="inlineStr">
        <is>
          <t xml:space="preserve">BO07; BO10</t>
        </is>
      </c>
      <c r="C187" t="inlineStr">
        <is>
          <t xml:space="preserve">Draft 2026-10-12: Fuel costs for boats and tractors.</t>
        </is>
      </c>
    </row>
    <row r="188">
      <c r="A188" t="inlineStr">
        <is>
          <t xml:space="preserve">Marine pollution</t>
        </is>
      </c>
      <c r="B188" t="inlineStr">
        <is>
          <t xml:space="preserve">BO07; BO26</t>
        </is>
      </c>
      <c r="C188" t="inlineStr">
        <is>
          <t xml:space="preserve">Draft 2026-10-12: Cleaner seas: fishers and consumers.</t>
        </is>
      </c>
    </row>
    <row r="189">
      <c r="A189" t="inlineStr">
        <is>
          <t xml:space="preserve">Committee workload</t>
        </is>
      </c>
      <c r="B189" t="inlineStr">
        <is>
          <t xml:space="preserve">BO17; BO02</t>
        </is>
      </c>
      <c r="C189" t="inlineStr">
        <is>
          <t xml:space="preserve">Draft 2026-10-12: The load on members.</t>
        </is>
      </c>
    </row>
    <row r="190">
      <c r="A190" t="inlineStr">
        <is>
          <t xml:space="preserve">Party platform</t>
        </is>
      </c>
      <c r="B190" t="inlineStr">
        <is>
          <t xml:space="preserve">BO01; BO02</t>
        </is>
      </c>
      <c r="C190" t="inlineStr">
        <is>
          <t xml:space="preserve">Draft 2026-10-12: What the party stands for.</t>
        </is>
      </c>
    </row>
    <row r="191">
      <c r="A191" t="inlineStr">
        <is>
          <t xml:space="preserve">Disability support</t>
        </is>
      </c>
      <c r="B191" t="inlineStr">
        <is>
          <t xml:space="preserve">BO21; BO12</t>
        </is>
      </c>
      <c r="C191" t="inlineStr">
        <is>
          <t xml:space="preserve">Draft 2026-10-12: Support for people with disabilities.</t>
        </is>
      </c>
    </row>
    <row r="192">
      <c r="A192" t="inlineStr">
        <is>
          <t xml:space="preserve">Constituent service</t>
        </is>
      </c>
      <c r="B192" t="inlineStr">
        <is>
          <t xml:space="preserve">BO18; BO03</t>
        </is>
      </c>
      <c r="C192" t="inlineStr">
        <is>
          <t xml:space="preserve">Draft 2026-10-12: Helping individual constituents.</t>
        </is>
      </c>
    </row>
    <row r="193">
      <c r="A193" t="inlineStr">
        <is>
          <t xml:space="preserve">Generational divide</t>
        </is>
      </c>
      <c r="B193" t="inlineStr">
        <is>
          <t xml:space="preserve">BO11</t>
        </is>
      </c>
      <c r="C193" t="inlineStr">
        <is>
          <t xml:space="preserve">Draft 2026-10-12: Students United draws a hard line between young and old voters (Divisive in-group/out-group).</t>
        </is>
      </c>
    </row>
    <row r="194">
      <c r="A194" t="inlineStr">
        <is>
          <t xml:space="preserve">Customs and belonging</t>
        </is>
      </c>
      <c r="B194" t="inlineStr">
        <is>
          <t xml:space="preserve">BO15</t>
        </is>
      </c>
      <c r="C194" t="inlineStr">
        <is>
          <t xml:space="preserve">Draft 2026-10-12: Our Traditional Society on who counts as part of the tradition and who stands outside it.</t>
        </is>
      </c>
    </row>
    <row r="195">
      <c r="A195" t="inlineStr">
        <is>
          <t xml:space="preserve">Faction discipline</t>
        </is>
      </c>
      <c r="B195" t="inlineStr">
        <is>
          <t xml:space="preserve">BO02</t>
        </is>
      </c>
      <c r="C195" t="inlineStr">
        <is>
          <t xml:space="preserve">Draft 2026-10-12: Party Faction on loyalty: who is with the faction and who is against it.</t>
        </is>
      </c>
    </row>
    <row r="196">
      <c r="A196" t="inlineStr">
        <is>
          <t xml:space="preserve">Ethics rules</t>
        </is>
      </c>
      <c r="B196" t="inlineStr">
        <is>
          <t xml:space="preserve">BO17; BO08</t>
        </is>
      </c>
      <c r="C196" t="inlineStr">
        <is>
          <t xml:space="preserve">Draft 2026-10-12: conduct rules for members, watched by the press (committee question).</t>
        </is>
      </c>
    </row>
    <row r="197">
      <c r="A197" t="inlineStr">
        <is>
          <t xml:space="preserve">Member pay</t>
        </is>
      </c>
      <c r="B197" t="inlineStr">
        <is>
          <t xml:space="preserve">BO17; BO23</t>
        </is>
      </c>
      <c r="C197" t="inlineStr">
        <is>
          <t xml:space="preserve">Draft 2026-10-12: what members are paid; Members of Parliament and Taxpayers' Alliance.</t>
        </is>
      </c>
    </row>
    <row r="198">
      <c r="A198" t="inlineStr">
        <is>
          <t xml:space="preserve">Parliamentary procedure</t>
        </is>
      </c>
      <c r="B198" t="inlineStr">
        <is>
          <t xml:space="preserve">BO17</t>
        </is>
      </c>
      <c r="C198" t="inlineStr">
        <is>
          <t xml:space="preserve">Draft 2026-10-12: how the Assembly runs its business.</t>
        </is>
      </c>
    </row>
    <row r="199">
      <c r="A199" t="inlineStr">
        <is>
          <t xml:space="preserve">Rice policy</t>
        </is>
      </c>
      <c r="B199" t="inlineStr">
        <is>
          <t xml:space="preserve">BO10; BO26</t>
        </is>
      </c>
      <c r="C199" t="inlineStr">
        <is>
          <t xml:space="preserve">Draft 2026-10-12: rice prices and production; farm cooperatives and consumers.</t>
        </is>
      </c>
    </row>
    <row r="200">
      <c r="A200" t="inlineStr">
        <is>
          <t xml:space="preserve">Crop insurance</t>
        </is>
      </c>
      <c r="B200" t="inlineStr">
        <is>
          <t xml:space="preserve">BO10; BO24</t>
        </is>
      </c>
      <c r="C200" t="inlineStr">
        <is>
          <t xml:space="preserve">Draft 2026-10-12: protecting farms against bad harvests.</t>
        </is>
      </c>
    </row>
    <row r="201">
      <c r="A201" t="inlineStr">
        <is>
          <t xml:space="preserve">Farm succession</t>
        </is>
      </c>
      <c r="B201" t="inlineStr">
        <is>
          <t xml:space="preserve">BO10; BO30</t>
        </is>
      </c>
      <c r="C201" t="inlineStr">
        <is>
          <t xml:space="preserve">Draft 2026-10-12: who takes over the farm.</t>
        </is>
      </c>
    </row>
    <row r="202">
      <c r="A202" t="inlineStr">
        <is>
          <t xml:space="preserve">Digital government</t>
        </is>
      </c>
      <c r="B202" t="inlineStr">
        <is>
          <t xml:space="preserve">BO16; BO26</t>
        </is>
      </c>
      <c r="C202" t="inlineStr">
        <is>
          <t xml:space="preserve">Draft 2026-10-12: Innovation Society wants it; Consumer Advocacy Network wants it to work.</t>
        </is>
      </c>
    </row>
    <row r="203">
      <c r="A203" t="inlineStr">
        <is>
          <t xml:space="preserve">Rail safety</t>
        </is>
      </c>
      <c r="B203" t="inlineStr">
        <is>
          <t xml:space="preserve">BO14; BO26</t>
        </is>
      </c>
      <c r="C203" t="inlineStr">
        <is>
          <t xml:space="preserve">Draft 2026-10-13: Commuter Committee and Consumer Advocacy Network follow whether trains and stations are safe.</t>
        </is>
      </c>
    </row>
    <row r="204">
      <c r="A204" t="inlineStr">
        <is>
          <t xml:space="preserve">Rural rail service</t>
        </is>
      </c>
      <c r="B204" t="inlineStr">
        <is>
          <t xml:space="preserve">BO30; BO04; BO14</t>
        </is>
      </c>
      <c r="C204" t="inlineStr">
        <is>
          <t xml:space="preserve">Draft 2026-10-13: Rural Revitalization Council and Mayors' Network want branch lines kept; Commuter Committee follows service.</t>
        </is>
      </c>
    </row>
    <row r="205">
      <c r="A205" t="inlineStr">
        <is>
          <t xml:space="preserve">Rail funding</t>
        </is>
      </c>
      <c r="B205" t="inlineStr">
        <is>
          <t xml:space="preserve">BO23; BO14</t>
        </is>
      </c>
      <c r="C205" t="inlineStr">
        <is>
          <t xml:space="preserve">Draft 2026-10-13: Taxpayers' Alliance asks who pays; Commuter Committee asks what riders get.</t>
        </is>
      </c>
    </row>
    <row r="206">
      <c r="A206" t="inlineStr">
        <is>
          <t xml:space="preserve">Fare relief</t>
        </is>
      </c>
      <c r="B206" t="inlineStr">
        <is>
          <t xml:space="preserve">BO14; BO11; BO21</t>
        </is>
      </c>
      <c r="C206" t="inlineStr">
        <is>
          <t xml:space="preserve">Draft 2026-10-13: Commuter Committee, Students United and Care and Welfare Council follow fare caps for students and seniors.</t>
        </is>
      </c>
    </row>
    <row r="207">
      <c r="A207" t="inlineStr">
        <is>
          <t xml:space="preserve">Rail operator costs</t>
        </is>
      </c>
      <c r="B207" t="inlineStr">
        <is>
          <t xml:space="preserve">BO05; BO23</t>
        </is>
      </c>
      <c r="C207" t="inlineStr">
        <is>
          <t xml:space="preserve">Draft 2026-10-13: Chamber of Commerce and Taxpayers' Alliance weigh operator costs against fares.</t>
        </is>
      </c>
    </row>
    <row r="208">
      <c r="A208" t="inlineStr">
        <is>
          <t xml:space="preserve">Station staffing</t>
        </is>
      </c>
      <c r="B208" t="inlineStr">
        <is>
          <t xml:space="preserve">BO09; BO14</t>
        </is>
      </c>
      <c r="C208" t="inlineStr">
        <is>
          <t xml:space="preserve">Draft 2026-10-13: Labor Federation follows station jobs; Commuter Committee follows service at stations.</t>
        </is>
      </c>
    </row>
    <row r="209">
      <c r="A209" t="inlineStr">
        <is>
          <t xml:space="preserve">Fishing livelihoods</t>
        </is>
      </c>
      <c r="B209" t="inlineStr">
        <is>
          <t xml:space="preserve">BO07; BO30; BO12</t>
        </is>
      </c>
      <c r="C209" t="inlineStr">
        <is>
          <t xml:space="preserve">Draft 2026-10-13: Fisheries Cooperative, Rural Revitalization Council and Family Network follow whether fishing families can stay.</t>
        </is>
      </c>
    </row>
    <row r="210">
      <c r="A210" t="inlineStr">
        <is>
          <t xml:space="preserve">Ocean changes</t>
        </is>
      </c>
      <c r="B210" t="inlineStr">
        <is>
          <t xml:space="preserve">BO07; BO16</t>
        </is>
      </c>
      <c r="C210" t="inlineStr">
        <is>
          <t xml:space="preserve">Draft 2026-10-13: Fisheries Cooperative and Innovation Society follow warming seas and shrinking catches.</t>
        </is>
      </c>
    </row>
    <row r="211">
      <c r="A211" t="inlineStr">
        <is>
          <t xml:space="preserve">Label accuracy</t>
        </is>
      </c>
      <c r="B211" t="inlineStr">
        <is>
          <t xml:space="preserve">BO26; BO07</t>
        </is>
      </c>
      <c r="C211" t="inlineStr">
        <is>
          <t xml:space="preserve">Draft 2026-10-13: Consumer Advocacy Network wants honest labels; Fisheries Cooperative wants domestic catch told apart.</t>
        </is>
      </c>
    </row>
    <row r="212">
      <c r="A212" t="inlineStr">
        <is>
          <t xml:space="preserve">Catch reporting</t>
        </is>
      </c>
      <c r="B212" t="inlineStr">
        <is>
          <t xml:space="preserve">BO07; BO26</t>
        </is>
      </c>
      <c r="C212" t="inlineStr">
        <is>
          <t xml:space="preserve">Draft 2026-10-13: Fisheries Cooperative and Consumer Advocacy Network follow whether catch reports can be trusted.</t>
        </is>
      </c>
    </row>
    <row r="213">
      <c r="A213" t="inlineStr">
        <is>
          <t xml:space="preserve">Illegal fishing</t>
        </is>
      </c>
      <c r="B213" t="inlineStr">
        <is>
          <t xml:space="preserve">BO07; BO22</t>
        </is>
      </c>
      <c r="C213" t="inlineStr">
        <is>
          <t xml:space="preserve">Draft 2026-10-13: Fisheries Cooperative and Veterans' Association (coastal security) follow patrols against illegal fishing.</t>
        </is>
      </c>
    </row>
    <row r="214">
      <c r="A214" t="inlineStr">
        <is>
          <t xml:space="preserve">Wilderness protection</t>
        </is>
      </c>
      <c r="B214" t="inlineStr">
        <is>
          <t xml:space="preserve">BO28; BO20</t>
        </is>
      </c>
      <c r="C214" t="inlineStr">
        <is>
          <t xml:space="preserve">Draft 2026-10-13: Ainu Community Council, Shrine Association follow wilderness protection.</t>
        </is>
      </c>
    </row>
    <row r="215">
      <c r="A215" t="inlineStr">
        <is>
          <t xml:space="preserve">Logging jobs</t>
        </is>
      </c>
      <c r="B215" t="inlineStr">
        <is>
          <t xml:space="preserve">BO05; BO30</t>
        </is>
      </c>
      <c r="C215" t="inlineStr">
        <is>
          <t xml:space="preserve">Draft 2026-10-13: Chamber of Commerce, Rural Revitalization Council follow logging jobs.</t>
        </is>
      </c>
    </row>
    <row r="216">
      <c r="A216" t="inlineStr">
        <is>
          <t xml:space="preserve">Public access to nature</t>
        </is>
      </c>
      <c r="B216" t="inlineStr">
        <is>
          <t xml:space="preserve">BO20</t>
        </is>
      </c>
      <c r="C216" t="inlineStr">
        <is>
          <t xml:space="preserve">Draft 2026-10-13: Shrine Association follow public access to nature.</t>
        </is>
      </c>
      <c r="D216" t="inlineStr">
        <is>
          <t xml:space="preserve">BO05</t>
        </is>
      </c>
    </row>
    <row r="217">
      <c r="A217" t="inlineStr">
        <is>
          <t xml:space="preserve">Rural health care</t>
        </is>
      </c>
      <c r="B217" t="inlineStr">
        <is>
          <t xml:space="preserve">BO30; BO21; BO04</t>
        </is>
      </c>
      <c r="C217" t="inlineStr">
        <is>
          <t xml:space="preserve">Draft 2026-10-13: Rural Revitalization Council, Care and Welfare Council, Mayors' Network follow rural health care.</t>
        </is>
      </c>
    </row>
    <row r="218">
      <c r="A218" t="inlineStr">
        <is>
          <t xml:space="preserve">Hospital funding</t>
        </is>
      </c>
      <c r="B218" t="inlineStr">
        <is>
          <t xml:space="preserve">BO23</t>
        </is>
      </c>
      <c r="C218" t="inlineStr">
        <is>
          <t xml:space="preserve">Draft 2026-10-13: Taxpayers' Alliance follow hospital funding.</t>
        </is>
      </c>
    </row>
    <row r="219">
      <c r="A219" t="inlineStr">
        <is>
          <t xml:space="preserve">City and country fairness</t>
        </is>
      </c>
      <c r="B219" t="inlineStr">
        <is>
          <t xml:space="preserve">BO21; BO04</t>
        </is>
      </c>
      <c r="C219" t="inlineStr">
        <is>
          <t xml:space="preserve">Draft 2026-10-13: Care and Welfare Council, Mayors' Network follow city and country fairness.</t>
        </is>
      </c>
      <c r="D219" t="inlineStr">
        <is>
          <t xml:space="preserve">BO23</t>
        </is>
      </c>
    </row>
    <row r="220">
      <c r="A220" t="inlineStr">
        <is>
          <t xml:space="preserve">Digital convenience</t>
        </is>
      </c>
      <c r="B220" t="inlineStr">
        <is>
          <t xml:space="preserve">BO16; BO24</t>
        </is>
      </c>
      <c r="C220" t="inlineStr">
        <is>
          <t xml:space="preserve">Draft 2026-10-13: Innovation Society, Financial Industry Association follow digital convenience.</t>
        </is>
      </c>
    </row>
    <row r="221">
      <c r="A221" t="inlineStr">
        <is>
          <t xml:space="preserve">Data security</t>
        </is>
      </c>
      <c r="B221" t="inlineStr">
        <is>
          <t xml:space="preserve">BO08; BO26</t>
        </is>
      </c>
      <c r="C221" t="inlineStr">
        <is>
          <t xml:space="preserve">Draft 2026-10-13: National Media, Consumer Advocacy Network follow data security.</t>
        </is>
      </c>
    </row>
    <row r="222">
      <c r="A222" t="inlineStr">
        <is>
          <t xml:space="preserve">Personal privacy</t>
        </is>
      </c>
      <c r="B222" t="inlineStr">
        <is>
          <t xml:space="preserve">BO24</t>
        </is>
      </c>
      <c r="C222" t="inlineStr">
        <is>
          <t xml:space="preserve">Draft 2026-10-13: Financial Industry Association follow personal privacy.</t>
        </is>
      </c>
      <c r="D222" t="inlineStr">
        <is>
          <t xml:space="preserve">BO08</t>
        </is>
      </c>
    </row>
    <row r="223">
      <c r="A223" t="inlineStr">
        <is>
          <t xml:space="preserve">Press independence</t>
        </is>
      </c>
      <c r="B223" t="inlineStr">
        <is>
          <t xml:space="preserve">BO08</t>
        </is>
      </c>
      <c r="C223" t="inlineStr">
        <is>
          <t xml:space="preserve">Draft 2026-10-13: National Media follow press independence.</t>
        </is>
      </c>
    </row>
    <row r="224">
      <c r="A224" t="inlineStr">
        <is>
          <t xml:space="preserve">Broadcaster funding</t>
        </is>
      </c>
      <c r="B224" t="inlineStr">
        <is>
          <t xml:space="preserve">BO23</t>
        </is>
      </c>
      <c r="C224" t="inlineStr">
        <is>
          <t xml:space="preserve">Draft 2026-10-13: Taxpayers' Alliance follow broadcaster funding.</t>
        </is>
      </c>
    </row>
    <row r="225">
      <c r="A225" t="inlineStr">
        <is>
          <t xml:space="preserve">Regional coverage</t>
        </is>
      </c>
      <c r="B225" t="inlineStr">
        <is>
          <t xml:space="preserve">BO08</t>
        </is>
      </c>
      <c r="C225" t="inlineStr">
        <is>
          <t xml:space="preserve">Draft 2026-10-13: National Media follow regional coverage.</t>
        </is>
      </c>
    </row>
    <row r="226">
      <c r="A226" t="inlineStr">
        <is>
          <t xml:space="preserve">Campaign finance</t>
        </is>
      </c>
      <c r="B226" t="inlineStr">
        <is>
          <t xml:space="preserve">BO26; BO23; BO08</t>
        </is>
      </c>
      <c r="C226" t="inlineStr">
        <is>
          <t xml:space="preserve">Draft 2026-10-13: Consumer Advocacy Network, Taxpayers' Alliance, National Media follow campaign finance.</t>
        </is>
      </c>
    </row>
    <row r="227">
      <c r="A227" t="inlineStr">
        <is>
          <t xml:space="preserve">Donor privacy</t>
        </is>
      </c>
      <c r="B227" t="inlineStr">
        <is>
          <t xml:space="preserve">BO05; BO17</t>
        </is>
      </c>
      <c r="C227" t="inlineStr">
        <is>
          <t xml:space="preserve">Draft 2026-10-13: Chamber of Commerce, Members of Parliament follow donor privacy.</t>
        </is>
      </c>
    </row>
    <row r="228">
      <c r="A228" t="inlineStr">
        <is>
          <t xml:space="preserve">Member fundraising</t>
        </is>
      </c>
      <c r="B228" t="inlineStr">
        <is>
          <t xml:space="preserve">BO23; BO08</t>
        </is>
      </c>
      <c r="C228" t="inlineStr">
        <is>
          <t xml:space="preserve">Draft 2026-10-13: Taxpayers' Alliance, National Media follow member fundraising.</t>
        </is>
      </c>
      <c r="D228" t="inlineStr">
        <is>
          <t xml:space="preserve">BO05</t>
        </is>
      </c>
    </row>
    <row r="229">
      <c r="A229" t="inlineStr">
        <is>
          <t xml:space="preserve">Business investment</t>
        </is>
      </c>
      <c r="B229" t="inlineStr">
        <is>
          <t xml:space="preserve">BO23; BO05; BO25</t>
        </is>
      </c>
      <c r="C229" t="inlineStr">
        <is>
          <t xml:space="preserve">Draft 2026-10-13: Taxpayers' Alliance, Chamber of Commerce, Small Business Owners' Association follow business investment.</t>
        </is>
      </c>
    </row>
    <row r="230">
      <c r="A230" t="inlineStr">
        <is>
          <t xml:space="preserve">Public revenue</t>
        </is>
      </c>
      <c r="B230" t="inlineStr">
        <is>
          <t xml:space="preserve">BO04; BO11; BO24</t>
        </is>
      </c>
      <c r="C230" t="inlineStr">
        <is>
          <t xml:space="preserve">Draft 2026-10-13: Mayors' Network, Students United, Financial Industry Association follow public revenue.</t>
        </is>
      </c>
    </row>
    <row r="231">
      <c r="A231" t="inlineStr">
        <is>
          <t xml:space="preserve">Small shop fairness</t>
        </is>
      </c>
      <c r="B231" t="inlineStr">
        <is>
          <t xml:space="preserve">BO05; BO25</t>
        </is>
      </c>
      <c r="C231" t="inlineStr">
        <is>
          <t xml:space="preserve">Draft 2026-10-13: Chamber of Commerce, Small Business Owners' Association follow small shop fairness.</t>
        </is>
      </c>
      <c r="D231" t="inlineStr">
        <is>
          <t xml:space="preserve">BO04</t>
        </is>
      </c>
    </row>
    <row r="232">
      <c r="A232" t="inlineStr">
        <is>
          <t xml:space="preserve">Clean air</t>
        </is>
      </c>
      <c r="B232" t="inlineStr">
        <is>
          <t xml:space="preserve">BO16; BO27; BO11</t>
        </is>
      </c>
      <c r="C232" t="inlineStr">
        <is>
          <t xml:space="preserve">Draft 2026-10-13: Innovation Society, Urban Neighbourhood Alliance, Students United follow clean air.</t>
        </is>
      </c>
    </row>
    <row r="233">
      <c r="A233" t="inlineStr">
        <is>
          <t xml:space="preserve">Household energy costs</t>
        </is>
      </c>
      <c r="B233" t="inlineStr">
        <is>
          <t xml:space="preserve">BO05; BO07</t>
        </is>
      </c>
      <c r="C233" t="inlineStr">
        <is>
          <t xml:space="preserve">Draft 2026-10-13: Chamber of Commerce, Fisheries Cooperative follow household energy costs.</t>
        </is>
      </c>
    </row>
    <row r="234">
      <c r="A234" t="inlineStr">
        <is>
          <t xml:space="preserve">Fuel for farms and boats</t>
        </is>
      </c>
      <c r="B234" t="inlineStr">
        <is>
          <t xml:space="preserve">BO27; BO11</t>
        </is>
      </c>
      <c r="C234" t="inlineStr">
        <is>
          <t xml:space="preserve">Draft 2026-10-13: Urban Neighbourhood Alliance, Students United follow fuel for farms and boats.</t>
        </is>
      </c>
      <c r="D234" t="inlineStr">
        <is>
          <t xml:space="preserve">BO05</t>
        </is>
      </c>
    </row>
    <row r="235">
      <c r="A235" t="inlineStr">
        <is>
          <t xml:space="preserve">Quota trading</t>
        </is>
      </c>
      <c r="B235" t="inlineStr">
        <is>
          <t xml:space="preserve">BO07; BO26</t>
        </is>
      </c>
      <c r="C235" t="inlineStr">
        <is>
          <t xml:space="preserve">Draft 2026-10-13: Fisheries Cooperative, Consumer Advocacy Network follow quota trading.</t>
        </is>
      </c>
    </row>
    <row r="236">
      <c r="A236" t="inlineStr">
        <is>
          <t xml:space="preserve">Catch monitoring</t>
        </is>
      </c>
      <c r="B236" t="inlineStr">
        <is>
          <t xml:space="preserve">BO25</t>
        </is>
      </c>
      <c r="C236" t="inlineStr">
        <is>
          <t xml:space="preserve">Draft 2026-10-13: Small Business Owners' Association follow catch monitoring.</t>
        </is>
      </c>
    </row>
    <row r="237">
      <c r="A237" t="inlineStr">
        <is>
          <t xml:space="preserve">Family boats</t>
        </is>
      </c>
      <c r="B237" t="inlineStr">
        <is>
          <t xml:space="preserve">BO26</t>
        </is>
      </c>
      <c r="C237" t="inlineStr">
        <is>
          <t xml:space="preserve">Draft 2026-10-13: Consumer Advocacy Network follow family boats.</t>
        </is>
      </c>
      <c r="D237" t="inlineStr">
        <is>
          <t xml:space="preserve">BO25</t>
        </is>
      </c>
    </row>
    <row r="238">
      <c r="A238" t="inlineStr">
        <is>
          <t xml:space="preserve">Shipyard jobs</t>
        </is>
      </c>
      <c r="B238" t="inlineStr">
        <is>
          <t xml:space="preserve">BO22; BO15; BO09</t>
        </is>
      </c>
      <c r="C238" t="inlineStr">
        <is>
          <t xml:space="preserve">Draft 2026-10-13: Veterans' Association, Our Traditional Society, Labor Federation follow shipyard jobs.</t>
        </is>
      </c>
    </row>
    <row r="239">
      <c r="A239" t="inlineStr">
        <is>
          <t xml:space="preserve">Shipbuilding subsidies</t>
        </is>
      </c>
      <c r="B239" t="inlineStr">
        <is>
          <t xml:space="preserve">BO11; BO21; BO05</t>
        </is>
      </c>
      <c r="C239" t="inlineStr">
        <is>
          <t xml:space="preserve">Draft 2026-10-13: Students United, Care and Welfare Council, Chamber of Commerce follow shipbuilding subsidies.</t>
        </is>
      </c>
    </row>
    <row r="240">
      <c r="A240" t="inlineStr">
        <is>
          <t xml:space="preserve">Contract oversight</t>
        </is>
      </c>
      <c r="B240" t="inlineStr">
        <is>
          <t xml:space="preserve">BO15; BO09</t>
        </is>
      </c>
      <c r="C240" t="inlineStr">
        <is>
          <t xml:space="preserve">Draft 2026-10-13: Our Traditional Society, Labor Federation follow contract oversight.</t>
        </is>
      </c>
      <c r="D240" t="inlineStr">
        <is>
          <t xml:space="preserve">BO11</t>
        </is>
      </c>
    </row>
    <row r="241">
      <c r="A241" t="inlineStr">
        <is>
          <t xml:space="preserve">Constitutional reform</t>
        </is>
      </c>
      <c r="B241" t="inlineStr">
        <is>
          <t xml:space="preserve">BO17</t>
        </is>
      </c>
      <c r="C241" t="inlineStr">
        <is>
          <t xml:space="preserve">Draft 2026-10-13: Members of Parliament follow constitutional reform.</t>
        </is>
      </c>
    </row>
    <row r="242">
      <c r="A242" t="inlineStr">
        <is>
          <t xml:space="preserve">Commission membership</t>
        </is>
      </c>
      <c r="B242" t="inlineStr">
        <is>
          <t xml:space="preserve">BO23</t>
        </is>
      </c>
      <c r="C242" t="inlineStr">
        <is>
          <t xml:space="preserve">Draft 2026-10-13: Taxpayers' Alliance follow commission membership.</t>
        </is>
      </c>
    </row>
    <row r="243">
      <c r="A243" t="inlineStr">
        <is>
          <t xml:space="preserve">Citizen rights</t>
        </is>
      </c>
      <c r="B243" t="inlineStr">
        <is>
          <t xml:space="preserve">BO17</t>
        </is>
      </c>
      <c r="C243" t="inlineStr">
        <is>
          <t xml:space="preserve">Draft 2026-10-13: Members of Parliament follow citizen rights.</t>
        </is>
      </c>
    </row>
    <row r="244">
      <c r="A244" t="inlineStr">
        <is>
          <t xml:space="preserve">Customs efficiency</t>
        </is>
      </c>
      <c r="B244" t="inlineStr">
        <is>
          <t xml:space="preserve">BO25</t>
        </is>
      </c>
      <c r="C244" t="inlineStr">
        <is>
          <t xml:space="preserve">Draft 2026-10-13: Small Business Owners' Association follow customs efficiency.</t>
        </is>
      </c>
    </row>
    <row r="245">
      <c r="A245" t="inlineStr">
        <is>
          <t xml:space="preserve">Data sharing</t>
        </is>
      </c>
      <c r="B245" t="inlineStr">
        <is>
          <t xml:space="preserve">BO15; BO28</t>
        </is>
      </c>
      <c r="C245" t="inlineStr">
        <is>
          <t xml:space="preserve">Draft 2026-10-13: Our Traditional Society, Ainu Community Council follow data sharing.</t>
        </is>
      </c>
    </row>
    <row r="246">
      <c r="A246" t="inlineStr">
        <is>
          <t xml:space="preserve">National sovereignty</t>
        </is>
      </c>
      <c r="B246" t="inlineStr">
        <is>
          <t xml:space="preserve">BO25</t>
        </is>
      </c>
      <c r="C246" t="inlineStr">
        <is>
          <t xml:space="preserve">Draft 2026-10-13: Small Business Owners' Association follow national sovereignty.</t>
        </is>
      </c>
      <c r="D246" t="inlineStr">
        <is>
          <t xml:space="preserve">BO15</t>
        </is>
      </c>
    </row>
    <row r="247">
      <c r="A247" t="inlineStr">
        <is>
          <t xml:space="preserve">Island resources</t>
        </is>
      </c>
      <c r="B247" t="inlineStr">
        <is>
          <t xml:space="preserve">BO16</t>
        </is>
      </c>
      <c r="C247" t="inlineStr">
        <is>
          <t xml:space="preserve">Draft 2026-10-13: Innovation Society follow island resources.</t>
        </is>
      </c>
    </row>
    <row r="248">
      <c r="A248" t="inlineStr">
        <is>
          <t xml:space="preserve">Fishing waters</t>
        </is>
      </c>
      <c r="B248" t="inlineStr">
        <is>
          <t xml:space="preserve">BO07; BO22</t>
        </is>
      </c>
      <c r="C248" t="inlineStr">
        <is>
          <t xml:space="preserve">Draft 2026-10-13: Fisheries Cooperative, Veterans' Association follow fishing waters.</t>
        </is>
      </c>
    </row>
    <row r="249">
      <c r="A249" t="inlineStr">
        <is>
          <t xml:space="preserve">Island security</t>
        </is>
      </c>
      <c r="B249" t="inlineStr">
        <is>
          <t xml:space="preserve">BO16</t>
        </is>
      </c>
      <c r="C249" t="inlineStr">
        <is>
          <t xml:space="preserve">Draft 2026-10-13: Innovation Society follow island security.</t>
        </is>
      </c>
      <c r="D249" t="inlineStr">
        <is>
          <t xml:space="preserve">BO07</t>
        </is>
      </c>
    </row>
    <row r="250">
      <c r="A250" t="inlineStr">
        <is>
          <t xml:space="preserve">Export gains</t>
        </is>
      </c>
      <c r="B250" t="inlineStr">
        <is>
          <t xml:space="preserve">BO05; BO26; BO25</t>
        </is>
      </c>
      <c r="C250" t="inlineStr">
        <is>
          <t xml:space="preserve">Draft 2026-10-13: Chamber of Commerce, Consumer Advocacy Network, Small Business Owners' Association follow export gains.</t>
        </is>
      </c>
    </row>
    <row r="251">
      <c r="A251" t="inlineStr">
        <is>
          <t xml:space="preserve">Local makers</t>
        </is>
      </c>
      <c r="B251" t="inlineStr">
        <is>
          <t xml:space="preserve">BO09; BO10</t>
        </is>
      </c>
      <c r="C251" t="inlineStr">
        <is>
          <t xml:space="preserve">Draft 2026-10-13: Labor Federation, Agricultural Cooperatives follow local makers.</t>
        </is>
      </c>
    </row>
    <row r="252">
      <c r="A252" t="inlineStr">
        <is>
          <t xml:space="preserve">Trade dependence</t>
        </is>
      </c>
      <c r="B252" t="inlineStr">
        <is>
          <t xml:space="preserve">BO26; BO25</t>
        </is>
      </c>
      <c r="C252" t="inlineStr">
        <is>
          <t xml:space="preserve">Draft 2026-10-13: Consumer Advocacy Network, Small Business Owners' Association follow trade dependence.</t>
        </is>
      </c>
      <c r="D252" t="inlineStr">
        <is>
          <t xml:space="preserve">BO09</t>
        </is>
      </c>
    </row>
    <row r="253">
      <c r="A253" t="inlineStr">
        <is>
          <t xml:space="preserve">Young farmers</t>
        </is>
      </c>
      <c r="B253" t="inlineStr">
        <is>
          <t xml:space="preserve">BO10; BO30; BO15</t>
        </is>
      </c>
      <c r="C253" t="inlineStr">
        <is>
          <t xml:space="preserve">Draft 2026-10-13: Agricultural Cooperatives, Rural Revitalization Council, Our Traditional Society follow young farmers.</t>
        </is>
      </c>
    </row>
    <row r="254">
      <c r="A254" t="inlineStr">
        <is>
          <t xml:space="preserve">Farm subsidies</t>
        </is>
      </c>
      <c r="B254" t="inlineStr">
        <is>
          <t xml:space="preserve">BO23</t>
        </is>
      </c>
      <c r="C254" t="inlineStr">
        <is>
          <t xml:space="preserve">Draft 2026-10-13: Taxpayers' Alliance follow farm subsidies.</t>
        </is>
      </c>
    </row>
    <row r="255">
      <c r="A255" t="inlineStr">
        <is>
          <t xml:space="preserve">Small farm fairness</t>
        </is>
      </c>
      <c r="B255" t="inlineStr">
        <is>
          <t xml:space="preserve">BO30; BO15</t>
        </is>
      </c>
      <c r="C255" t="inlineStr">
        <is>
          <t xml:space="preserve">Draft 2026-10-13: Rural Revitalization Council, Our Traditional Society follow small farm fairness.</t>
        </is>
      </c>
      <c r="D255" t="inlineStr">
        <is>
          <t xml:space="preserve">BO23</t>
        </is>
      </c>
    </row>
    <row r="256">
      <c r="A256" t="inlineStr">
        <is>
          <t xml:space="preserve">Research and innovation</t>
        </is>
      </c>
      <c r="B256" t="inlineStr">
        <is>
          <t xml:space="preserve">BO11; BO12</t>
        </is>
      </c>
      <c r="C256" t="inlineStr">
        <is>
          <t xml:space="preserve">Draft 2026-10-13: Students United, Family Network follow research and innovation.</t>
        </is>
      </c>
    </row>
    <row r="257">
      <c r="A257" t="inlineStr">
        <is>
          <t xml:space="preserve">University spending</t>
        </is>
      </c>
      <c r="B257" t="inlineStr">
        <is>
          <t xml:space="preserve">BO23</t>
        </is>
      </c>
      <c r="C257" t="inlineStr">
        <is>
          <t xml:space="preserve">Draft 2026-10-13: Taxpayers' Alliance follow university spending.</t>
        </is>
      </c>
    </row>
    <row r="258">
      <c r="A258" t="inlineStr">
        <is>
          <t xml:space="preserve">Rural students</t>
        </is>
      </c>
      <c r="B258" t="inlineStr">
        <is>
          <t xml:space="preserve">BO12</t>
        </is>
      </c>
      <c r="C258" t="inlineStr">
        <is>
          <t xml:space="preserve">Draft 2026-10-13: Family Network follow rural students.</t>
        </is>
      </c>
    </row>
    <row r="259">
      <c r="A259" t="inlineStr">
        <is>
          <t xml:space="preserve">Fair treatment at work</t>
        </is>
      </c>
      <c r="B259" t="inlineStr">
        <is>
          <t xml:space="preserve">BO09; BO29; BO28</t>
        </is>
      </c>
      <c r="C259" t="inlineStr">
        <is>
          <t xml:space="preserve">Draft 2026-10-13: Labor Federation, Ainu Language and Culture Foundation, Ainu Community Council follow fair treatment at work.</t>
        </is>
      </c>
    </row>
    <row r="260">
      <c r="A260" t="inlineStr">
        <is>
          <t xml:space="preserve">Small employer burden</t>
        </is>
      </c>
      <c r="B260" t="inlineStr">
        <is>
          <t xml:space="preserve">BO05; BO25; BO11</t>
        </is>
      </c>
      <c r="C260" t="inlineStr">
        <is>
          <t xml:space="preserve">Draft 2026-10-13: Chamber of Commerce, Small Business Owners' Association, Students United follow small employer burden.</t>
        </is>
      </c>
    </row>
    <row r="261">
      <c r="A261" t="inlineStr">
        <is>
          <t xml:space="preserve">Defining discrimination</t>
        </is>
      </c>
      <c r="B261" t="inlineStr">
        <is>
          <t xml:space="preserve">BO29; BO28</t>
        </is>
      </c>
      <c r="C261" t="inlineStr">
        <is>
          <t xml:space="preserve">Draft 2026-10-13: Ainu Language and Culture Foundation, Ainu Community Council follow defining discrimination.</t>
        </is>
      </c>
      <c r="D261" t="inlineStr">
        <is>
          <t xml:space="preserve">BO05</t>
        </is>
      </c>
    </row>
    <row r="262">
      <c r="A262" t="inlineStr">
        <is>
          <t xml:space="preserve">Parent and child care</t>
        </is>
      </c>
      <c r="B262" t="inlineStr">
        <is>
          <t xml:space="preserve">BO12; BO21; BO09</t>
        </is>
      </c>
      <c r="C262" t="inlineStr">
        <is>
          <t xml:space="preserve">Draft 2026-10-13: Family Network, Care and Welfare Council, Labor Federation follow parent and child care.</t>
        </is>
      </c>
    </row>
    <row r="263">
      <c r="A263" t="inlineStr">
        <is>
          <t xml:space="preserve">Employer costs</t>
        </is>
      </c>
      <c r="B263" t="inlineStr">
        <is>
          <t xml:space="preserve">BO05; BO16</t>
        </is>
      </c>
      <c r="C263" t="inlineStr">
        <is>
          <t xml:space="preserve">Draft 2026-10-13: Chamber of Commerce, Innovation Society follow employer costs.</t>
        </is>
      </c>
    </row>
    <row r="264">
      <c r="A264" t="inlineStr">
        <is>
          <t xml:space="preserve">Childcare fairness</t>
        </is>
      </c>
      <c r="B264" t="inlineStr">
        <is>
          <t xml:space="preserve">BO21; BO09</t>
        </is>
      </c>
      <c r="C264" t="inlineStr">
        <is>
          <t xml:space="preserve">Draft 2026-10-13: Care and Welfare Council, Labor Federation follow childcare fairness.</t>
        </is>
      </c>
      <c r="D264" t="inlineStr">
        <is>
          <t xml:space="preserve">BO05</t>
        </is>
      </c>
    </row>
    <row r="265">
      <c r="A265" t="inlineStr">
        <is>
          <t xml:space="preserve">Public safety</t>
        </is>
      </c>
      <c r="B265" t="inlineStr">
        <is>
          <t xml:space="preserve">BO22; BO27; BO16</t>
        </is>
      </c>
      <c r="C265" t="inlineStr">
        <is>
          <t xml:space="preserve">Draft 2026-10-13: Veterans' Association, Urban Neighbourhood Alliance, Innovation Society follow public safety.</t>
        </is>
      </c>
    </row>
    <row r="266">
      <c r="A266" t="inlineStr">
        <is>
          <t xml:space="preserve">Surveillance limits</t>
        </is>
      </c>
      <c r="B266" t="inlineStr">
        <is>
          <t xml:space="preserve">BO08; BO11</t>
        </is>
      </c>
      <c r="C266" t="inlineStr">
        <is>
          <t xml:space="preserve">Draft 2026-10-13: National Media, Students United follow surveillance limits.</t>
        </is>
      </c>
    </row>
    <row r="267">
      <c r="A267" t="inlineStr">
        <is>
          <t xml:space="preserve">Protest and privacy</t>
        </is>
      </c>
      <c r="B267" t="inlineStr">
        <is>
          <t xml:space="preserve">BO27; BO16</t>
        </is>
      </c>
      <c r="C267" t="inlineStr">
        <is>
          <t xml:space="preserve">Draft 2026-10-13: Urban Neighbourhood Alliance, Innovation Society follow protest and privacy.</t>
        </is>
      </c>
      <c r="D267" t="inlineStr">
        <is>
          <t xml:space="preserve">BO08</t>
        </is>
      </c>
    </row>
    <row r="268">
      <c r="A268" t="inlineStr">
        <is>
          <t xml:space="preserve">Merger savings</t>
        </is>
      </c>
      <c r="B268" t="inlineStr">
        <is>
          <t xml:space="preserve">BO23; BO05</t>
        </is>
      </c>
      <c r="C268" t="inlineStr">
        <is>
          <t xml:space="preserve">Draft 2026-10-13: Taxpayers' Alliance, Chamber of Commerce follow merger savings.</t>
        </is>
      </c>
    </row>
    <row r="269">
      <c r="A269" t="inlineStr">
        <is>
          <t xml:space="preserve">Local identity</t>
        </is>
      </c>
      <c r="B269" t="inlineStr">
        <is>
          <t xml:space="preserve">BO04; BO06</t>
        </is>
      </c>
      <c r="C269" t="inlineStr">
        <is>
          <t xml:space="preserve">Draft 2026-10-13: Mayors' Network, Neighborhood Associations follow local identity.</t>
        </is>
      </c>
    </row>
    <row r="270">
      <c r="A270" t="inlineStr">
        <is>
          <t xml:space="preserve">Village representation</t>
        </is>
      </c>
      <c r="B270" t="inlineStr">
        <is>
          <t xml:space="preserve">BO05</t>
        </is>
      </c>
      <c r="C270" t="inlineStr">
        <is>
          <t xml:space="preserve">Draft 2026-10-13: Chamber of Commerce follow village representation.</t>
        </is>
      </c>
      <c r="D270" t="inlineStr">
        <is>
          <t xml:space="preserve">BO04</t>
        </is>
      </c>
    </row>
    <row r="271">
      <c r="A271" t="inlineStr">
        <is>
          <t xml:space="preserve">Internal democracy</t>
        </is>
      </c>
      <c r="B271" t="inlineStr">
        <is>
          <t xml:space="preserve">BO11; BO18; BO08</t>
        </is>
      </c>
      <c r="C271" t="inlineStr">
        <is>
          <t xml:space="preserve">Draft 2026-10-13: Students United, Constituency Voters, National Media follow internal democracy.</t>
        </is>
      </c>
    </row>
    <row r="272">
      <c r="A272" t="inlineStr">
        <is>
          <t xml:space="preserve">Party stability</t>
        </is>
      </c>
      <c r="B272" t="inlineStr">
        <is>
          <t xml:space="preserve">BO17</t>
        </is>
      </c>
      <c r="C272" t="inlineStr">
        <is>
          <t xml:space="preserve">Draft 2026-10-13: Members of Parliament follow party stability.</t>
        </is>
      </c>
    </row>
    <row r="273">
      <c r="A273" t="inlineStr">
        <is>
          <t xml:space="preserve">Ballot integrity</t>
        </is>
      </c>
      <c r="B273" t="inlineStr">
        <is>
          <t xml:space="preserve">BO18; BO08</t>
        </is>
      </c>
      <c r="C273" t="inlineStr">
        <is>
          <t xml:space="preserve">Draft 2026-10-13: Constituency Voters, National Media follow ballot integrity.</t>
        </is>
      </c>
      <c r="D273" t="inlineStr">
        <is>
          <t xml:space="preserve">BO17</t>
        </is>
      </c>
    </row>
  </sheetData>
  <pageMargins left="0.75" right="0.75" top="1" bottom="1" header="0.5" footer="0.5"/>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0"/>
  <sheetViews>
    <sheetView workbookViewId="0">
      <pane ySplit="1" topLeftCell="A2" activePane="bottomLeft" state="frozen"/>
      <selection pane="bottomLeft" activeCell="K17" sqref="K17"/>
    </sheetView>
  </sheetViews>
  <sheetFormatPr defaultRowHeight="15"/>
  <cols>
    <col min="2" max="2" width="20.7109375" customWidth="1"/>
    <col min="5" max="5" width="17.28515625" customWidth="1"/>
  </cols>
  <sheetData>
    <row r="1" spans="1:8">
      <c r="A1" t="s">
        <v>3170</v>
      </c>
      <c r="B1" t="s">
        <v>3171</v>
      </c>
      <c r="C1" t="s">
        <v>3172</v>
      </c>
      <c r="D1" t="s">
        <v>570</v>
      </c>
      <c r="E1" t="s">
        <v>1664</v>
      </c>
      <c r="F1" t="s">
        <v>1473</v>
      </c>
      <c r="G1" t="s">
        <v>3173</v>
      </c>
      <c r="H1" t="s">
        <v>3174</v>
      </c>
    </row>
    <row r="2" spans="1:8">
      <c r="A2" t="s">
        <v>3175</v>
      </c>
      <c r="B2" t="s">
        <v>5341</v>
      </c>
      <c r="C2" t="s">
        <v>5342</v>
      </c>
      <c r="D2" t="s">
        <v>5341</v>
      </c>
      <c r="E2" t="s">
        <v>5343</v>
      </c>
      <c r="F2" t="s">
        <v>682</v>
      </c>
      <c r="G2" t="s">
        <v>5344</v>
      </c>
      <c r="H2" t="s">
        <v>5345</v>
      </c>
    </row>
    <row r="3" spans="1:8">
      <c r="A3" t="s">
        <v>3181</v>
      </c>
      <c r="B3" t="s">
        <v>5346</v>
      </c>
      <c r="C3" t="s">
        <v>5347</v>
      </c>
      <c r="D3" t="s">
        <v>5346</v>
      </c>
      <c r="E3" t="s">
        <v>5348</v>
      </c>
      <c r="F3" t="s">
        <v>682</v>
      </c>
      <c r="G3" t="s">
        <v>5349</v>
      </c>
      <c r="H3" t="s">
        <v>5350</v>
      </c>
    </row>
    <row r="4" spans="1:8">
      <c r="A4" t="s">
        <v>3186</v>
      </c>
      <c r="B4" t="s">
        <v>5351</v>
      </c>
      <c r="C4" t="s">
        <v>5352</v>
      </c>
      <c r="D4" t="s">
        <v>5351</v>
      </c>
      <c r="E4" t="s">
        <v>4268</v>
      </c>
      <c r="F4" t="s">
        <v>682</v>
      </c>
      <c r="G4" t="s">
        <v>5353</v>
      </c>
      <c r="H4" t="s">
        <v>5354</v>
      </c>
    </row>
    <row r="5" spans="1:8">
      <c r="A5" t="s">
        <v>3190</v>
      </c>
      <c r="B5" t="s">
        <v>5355</v>
      </c>
      <c r="C5" t="s">
        <v>5356</v>
      </c>
      <c r="D5" t="s">
        <v>5355</v>
      </c>
      <c r="E5" t="s">
        <v>5357</v>
      </c>
      <c r="F5" t="s">
        <v>682</v>
      </c>
      <c r="G5" t="s">
        <v>5358</v>
      </c>
      <c r="H5" t="s">
        <v>5359</v>
      </c>
    </row>
    <row r="6" spans="1:8">
      <c r="A6" t="s">
        <v>5360</v>
      </c>
      <c r="B6" t="s">
        <v>5361</v>
      </c>
      <c r="C6" t="s">
        <v>5362</v>
      </c>
      <c r="D6" t="s">
        <v>5361</v>
      </c>
      <c r="E6" t="s">
        <v>5363</v>
      </c>
      <c r="F6" t="s">
        <v>682</v>
      </c>
      <c r="G6" t="s">
        <v>5364</v>
      </c>
      <c r="H6" t="s">
        <v>5365</v>
      </c>
    </row>
    <row r="7" spans="1:8">
      <c r="A7" t="s">
        <v>5366</v>
      </c>
      <c r="B7" t="s">
        <v>5367</v>
      </c>
      <c r="C7" t="s">
        <v>5368</v>
      </c>
      <c r="D7" t="s">
        <v>5367</v>
      </c>
      <c r="E7" t="s">
        <v>5369</v>
      </c>
      <c r="F7" t="s">
        <v>682</v>
      </c>
      <c r="G7" t="s">
        <v>5370</v>
      </c>
      <c r="H7" t="s">
        <v>5371</v>
      </c>
    </row>
    <row r="8" spans="1:8">
      <c r="A8" t="s">
        <v>5372</v>
      </c>
      <c r="B8" t="s">
        <v>5373</v>
      </c>
      <c r="C8" t="s">
        <v>5374</v>
      </c>
      <c r="D8" t="s">
        <v>5373</v>
      </c>
      <c r="E8" t="s">
        <v>5375</v>
      </c>
      <c r="F8" t="s">
        <v>682</v>
      </c>
      <c r="G8" t="s">
        <v>5376</v>
      </c>
      <c r="H8" t="s">
        <v>5377</v>
      </c>
    </row>
    <row r="9" spans="1:8">
      <c r="A9" t="s">
        <v>5378</v>
      </c>
      <c r="B9" t="s">
        <v>5379</v>
      </c>
      <c r="C9" t="s">
        <v>5380</v>
      </c>
      <c r="D9" t="s">
        <v>5379</v>
      </c>
      <c r="E9" t="s">
        <v>5381</v>
      </c>
      <c r="F9" t="s">
        <v>682</v>
      </c>
      <c r="G9" t="s">
        <v>5382</v>
      </c>
      <c r="H9" t="s">
        <v>5383</v>
      </c>
    </row>
    <row r="10" spans="1:8">
      <c r="A10" t="s">
        <v>5384</v>
      </c>
      <c r="B10" t="s">
        <v>5385</v>
      </c>
      <c r="C10" t="s">
        <v>5386</v>
      </c>
      <c r="D10" t="s">
        <v>5385</v>
      </c>
      <c r="E10" t="s">
        <v>5387</v>
      </c>
      <c r="F10" t="s">
        <v>682</v>
      </c>
      <c r="G10" t="s">
        <v>5388</v>
      </c>
      <c r="H10" t="s">
        <v>5389</v>
      </c>
    </row>
    <row r="11" spans="1:8">
      <c r="A11" t="s">
        <v>5390</v>
      </c>
      <c r="B11" t="s">
        <v>5391</v>
      </c>
      <c r="C11" t="s">
        <v>5392</v>
      </c>
      <c r="D11" t="s">
        <v>5391</v>
      </c>
      <c r="E11" t="s">
        <v>5393</v>
      </c>
      <c r="F11" t="s">
        <v>682</v>
      </c>
      <c r="G11" t="s">
        <v>5394</v>
      </c>
      <c r="H11" t="s">
        <v>5395</v>
      </c>
    </row>
    <row r="12" spans="1:8">
      <c r="A12" t="s">
        <v>5396</v>
      </c>
      <c r="B12" t="s">
        <v>5397</v>
      </c>
      <c r="C12" t="s">
        <v>5398</v>
      </c>
      <c r="D12" t="s">
        <v>5399</v>
      </c>
      <c r="E12" t="s">
        <v>5400</v>
      </c>
      <c r="F12" t="s">
        <v>682</v>
      </c>
      <c r="G12" t="s">
        <v>5401</v>
      </c>
      <c r="H12" t="s">
        <v>5402</v>
      </c>
    </row>
    <row r="13" spans="1:8">
      <c r="A13" t="s">
        <v>5403</v>
      </c>
      <c r="B13" t="s">
        <v>5404</v>
      </c>
      <c r="C13" t="s">
        <v>5405</v>
      </c>
      <c r="D13" t="s">
        <v>5404</v>
      </c>
      <c r="E13" t="s">
        <v>5406</v>
      </c>
      <c r="F13" t="s">
        <v>682</v>
      </c>
      <c r="G13" t="s">
        <v>5407</v>
      </c>
      <c r="H13" t="s">
        <v>5408</v>
      </c>
    </row>
    <row r="14" spans="1:8">
      <c r="A14" t="s">
        <v>5409</v>
      </c>
      <c r="B14" t="s">
        <v>5410</v>
      </c>
      <c r="C14" t="s">
        <v>5411</v>
      </c>
      <c r="D14" t="s">
        <v>5410</v>
      </c>
      <c r="E14" t="s">
        <v>5412</v>
      </c>
      <c r="F14" t="s">
        <v>682</v>
      </c>
      <c r="G14" t="s">
        <v>5413</v>
      </c>
      <c r="H14" t="s">
        <v>5414</v>
      </c>
    </row>
    <row r="15" spans="1:8">
      <c r="A15" t="s">
        <v>5415</v>
      </c>
      <c r="B15" t="s">
        <v>5416</v>
      </c>
      <c r="C15" t="s">
        <v>5417</v>
      </c>
      <c r="D15" t="s">
        <v>5416</v>
      </c>
      <c r="E15" t="s">
        <v>5922</v>
      </c>
      <c r="F15" t="s">
        <v>682</v>
      </c>
      <c r="G15" t="s">
        <v>5418</v>
      </c>
      <c r="H15" t="s">
        <v>3180</v>
      </c>
    </row>
    <row r="16" spans="1:8">
      <c r="A16" t="s">
        <v>5419</v>
      </c>
      <c r="B16" t="s">
        <v>5420</v>
      </c>
      <c r="C16" t="s">
        <v>5421</v>
      </c>
      <c r="D16" t="s">
        <v>5420</v>
      </c>
      <c r="E16" t="s">
        <v>5422</v>
      </c>
      <c r="F16" t="s">
        <v>682</v>
      </c>
      <c r="G16" t="s">
        <v>5423</v>
      </c>
      <c r="H16" t="s">
        <v>5424</v>
      </c>
    </row>
    <row r="17" spans="1:8">
      <c r="A17" t="s">
        <v>5425</v>
      </c>
      <c r="B17" t="s">
        <v>5426</v>
      </c>
      <c r="C17" t="s">
        <v>5427</v>
      </c>
      <c r="D17" t="s">
        <v>5426</v>
      </c>
      <c r="E17" t="s">
        <v>3185</v>
      </c>
      <c r="F17" t="s">
        <v>682</v>
      </c>
      <c r="G17" t="s">
        <v>5428</v>
      </c>
      <c r="H17" t="s">
        <v>5429</v>
      </c>
    </row>
    <row r="18" spans="1:8">
      <c r="A18" t="s">
        <v>5430</v>
      </c>
      <c r="B18" t="s">
        <v>5431</v>
      </c>
      <c r="C18" t="s">
        <v>5432</v>
      </c>
      <c r="D18" t="s">
        <v>5431</v>
      </c>
      <c r="E18" t="s">
        <v>5433</v>
      </c>
      <c r="F18" t="s">
        <v>682</v>
      </c>
      <c r="G18" t="s">
        <v>5434</v>
      </c>
      <c r="H18" t="s">
        <v>5414</v>
      </c>
    </row>
    <row r="19" spans="1:8">
      <c r="A19" t="s">
        <v>5435</v>
      </c>
      <c r="B19" t="s">
        <v>5436</v>
      </c>
      <c r="C19" t="s">
        <v>5437</v>
      </c>
      <c r="D19" t="s">
        <v>5438</v>
      </c>
      <c r="E19" t="s">
        <v>1736</v>
      </c>
      <c r="F19" t="s">
        <v>682</v>
      </c>
      <c r="G19" t="s">
        <v>5439</v>
      </c>
      <c r="H19" t="s">
        <v>5440</v>
      </c>
    </row>
    <row r="20" spans="1:8">
      <c r="A20" t="s">
        <v>5441</v>
      </c>
      <c r="B20" t="s">
        <v>5442</v>
      </c>
      <c r="C20" t="s">
        <v>5443</v>
      </c>
      <c r="D20" t="s">
        <v>5442</v>
      </c>
      <c r="E20" t="s">
        <v>5444</v>
      </c>
      <c r="F20" t="s">
        <v>682</v>
      </c>
      <c r="G20" t="s">
        <v>5445</v>
      </c>
      <c r="H20" t="s">
        <v>5389</v>
      </c>
    </row>
    <row r="21" spans="1:8">
      <c r="A21" t="s">
        <v>5446</v>
      </c>
      <c r="B21" t="s">
        <v>5447</v>
      </c>
      <c r="C21" t="s">
        <v>5448</v>
      </c>
      <c r="D21" t="s">
        <v>5447</v>
      </c>
      <c r="E21" t="s">
        <v>5449</v>
      </c>
      <c r="F21" t="s">
        <v>682</v>
      </c>
      <c r="G21" t="s">
        <v>5450</v>
      </c>
      <c r="H21" t="s">
        <v>5371</v>
      </c>
    </row>
    <row r="22" spans="1:8">
      <c r="A22" t="s">
        <v>5451</v>
      </c>
      <c r="B22" t="s">
        <v>3176</v>
      </c>
      <c r="C22" t="s">
        <v>3177</v>
      </c>
      <c r="D22" t="s">
        <v>3178</v>
      </c>
      <c r="E22" t="s">
        <v>1736</v>
      </c>
      <c r="F22" t="s">
        <v>682</v>
      </c>
      <c r="G22" t="s">
        <v>3179</v>
      </c>
      <c r="H22" t="s">
        <v>3180</v>
      </c>
    </row>
    <row r="23" spans="1:8">
      <c r="A23" t="s">
        <v>5452</v>
      </c>
      <c r="B23" t="s">
        <v>3182</v>
      </c>
      <c r="C23" t="s">
        <v>3183</v>
      </c>
      <c r="D23" t="s">
        <v>3184</v>
      </c>
      <c r="E23" t="s">
        <v>3185</v>
      </c>
      <c r="F23" t="s">
        <v>682</v>
      </c>
      <c r="G23" t="s">
        <v>3179</v>
      </c>
      <c r="H23" t="s">
        <v>3180</v>
      </c>
    </row>
    <row r="24" spans="1:8">
      <c r="A24" t="s">
        <v>5453</v>
      </c>
      <c r="B24" t="s">
        <v>3187</v>
      </c>
      <c r="C24" t="s">
        <v>3188</v>
      </c>
      <c r="D24" t="s">
        <v>3187</v>
      </c>
      <c r="E24" t="s">
        <v>3189</v>
      </c>
      <c r="F24" t="s">
        <v>682</v>
      </c>
      <c r="G24" t="s">
        <v>3179</v>
      </c>
      <c r="H24" t="s">
        <v>3180</v>
      </c>
    </row>
    <row r="25" spans="1:8">
      <c r="A25" t="s">
        <v>5454</v>
      </c>
      <c r="B25" t="s">
        <v>3191</v>
      </c>
      <c r="C25" t="s">
        <v>3192</v>
      </c>
      <c r="D25" t="s">
        <v>3193</v>
      </c>
      <c r="E25" t="s">
        <v>3194</v>
      </c>
      <c r="F25" t="s">
        <v>745</v>
      </c>
      <c r="G25" t="s">
        <v>3179</v>
      </c>
      <c r="H25" t="s">
        <v>3180</v>
      </c>
    </row>
    <row r="26" spans="1:8">
      <c r="A26" t="s">
        <v>5923</v>
      </c>
      <c r="B26" t="s">
        <v>5924</v>
      </c>
      <c r="C26" t="s">
        <v>5925</v>
      </c>
      <c r="D26" t="s">
        <v>5924</v>
      </c>
      <c r="E26" t="s">
        <v>5985</v>
      </c>
      <c r="F26" t="s">
        <v>745</v>
      </c>
      <c r="G26" t="s">
        <v>5926</v>
      </c>
      <c r="H26" t="s">
        <v>3180</v>
      </c>
    </row>
    <row r="27" spans="1:8">
      <c r="A27" t="s">
        <v>5927</v>
      </c>
      <c r="B27" t="s">
        <v>5928</v>
      </c>
      <c r="C27" t="s">
        <v>5929</v>
      </c>
      <c r="D27" t="s">
        <v>5928</v>
      </c>
      <c r="E27" t="s">
        <v>5930</v>
      </c>
      <c r="F27" t="s">
        <v>745</v>
      </c>
      <c r="G27" t="s">
        <v>5931</v>
      </c>
      <c r="H27" t="s">
        <v>3180</v>
      </c>
    </row>
    <row r="28" spans="1:8">
      <c r="A28" t="s">
        <v>5932</v>
      </c>
      <c r="B28" t="s">
        <v>5933</v>
      </c>
      <c r="C28" t="s">
        <v>5934</v>
      </c>
      <c r="D28" t="s">
        <v>5935</v>
      </c>
      <c r="E28" t="s">
        <v>5936</v>
      </c>
      <c r="F28" t="s">
        <v>745</v>
      </c>
      <c r="G28" t="s">
        <v>5931</v>
      </c>
      <c r="H28" t="s">
        <v>3180</v>
      </c>
    </row>
    <row r="29" spans="1:8">
      <c r="A29" t="s">
        <v>5937</v>
      </c>
      <c r="B29" t="s">
        <v>5938</v>
      </c>
      <c r="C29" t="s">
        <v>5939</v>
      </c>
      <c r="D29" t="s">
        <v>5938</v>
      </c>
      <c r="E29" t="s">
        <v>5940</v>
      </c>
      <c r="F29" t="s">
        <v>745</v>
      </c>
      <c r="G29" t="s">
        <v>5926</v>
      </c>
      <c r="H29" t="s">
        <v>3180</v>
      </c>
    </row>
    <row r="30" spans="1:8">
      <c r="A30" t="s">
        <v>5941</v>
      </c>
      <c r="B30" t="s">
        <v>5942</v>
      </c>
      <c r="C30" t="s">
        <v>5943</v>
      </c>
      <c r="D30" t="s">
        <v>5942</v>
      </c>
      <c r="E30" t="s">
        <v>5984</v>
      </c>
      <c r="F30" t="s">
        <v>745</v>
      </c>
      <c r="G30" t="s">
        <v>5926</v>
      </c>
      <c r="H30" t="s">
        <v>3180</v>
      </c>
    </row>
    <row r="31" spans="1:8">
      <c r="A31" t="s">
        <v>5944</v>
      </c>
      <c r="B31" t="s">
        <v>5945</v>
      </c>
      <c r="C31" t="s">
        <v>5946</v>
      </c>
      <c r="D31" t="s">
        <v>5945</v>
      </c>
      <c r="E31" t="s">
        <v>5947</v>
      </c>
      <c r="F31" t="s">
        <v>745</v>
      </c>
      <c r="G31" t="s">
        <v>5931</v>
      </c>
      <c r="H31" t="s">
        <v>3180</v>
      </c>
    </row>
    <row r="32" spans="1:8">
      <c r="A32" t="s">
        <v>5948</v>
      </c>
      <c r="B32" t="s">
        <v>5949</v>
      </c>
      <c r="C32" t="s">
        <v>5950</v>
      </c>
      <c r="D32" t="s">
        <v>5949</v>
      </c>
      <c r="E32" t="s">
        <v>5951</v>
      </c>
      <c r="F32" t="s">
        <v>745</v>
      </c>
      <c r="G32" t="s">
        <v>5926</v>
      </c>
      <c r="H32" t="s">
        <v>3180</v>
      </c>
    </row>
    <row r="33" spans="1:8">
      <c r="A33" t="s">
        <v>5952</v>
      </c>
      <c r="B33" t="s">
        <v>5953</v>
      </c>
      <c r="C33" t="s">
        <v>5954</v>
      </c>
      <c r="D33" t="s">
        <v>5953</v>
      </c>
      <c r="E33" t="s">
        <v>5955</v>
      </c>
      <c r="F33" t="s">
        <v>745</v>
      </c>
      <c r="G33" t="s">
        <v>5926</v>
      </c>
      <c r="H33" t="s">
        <v>3180</v>
      </c>
    </row>
    <row r="34" spans="1:8">
      <c r="A34" t="s">
        <v>5956</v>
      </c>
      <c r="B34" t="s">
        <v>5957</v>
      </c>
      <c r="C34" t="s">
        <v>5958</v>
      </c>
      <c r="D34" t="s">
        <v>5957</v>
      </c>
      <c r="E34" t="s">
        <v>5959</v>
      </c>
      <c r="F34" t="s">
        <v>745</v>
      </c>
      <c r="G34" t="s">
        <v>5960</v>
      </c>
      <c r="H34" t="s">
        <v>5424</v>
      </c>
    </row>
    <row r="35" spans="1:8">
      <c r="A35" t="s">
        <v>5961</v>
      </c>
      <c r="B35" t="s">
        <v>5962</v>
      </c>
      <c r="C35" t="s">
        <v>5963</v>
      </c>
      <c r="D35" t="s">
        <v>5962</v>
      </c>
      <c r="E35" t="s">
        <v>5964</v>
      </c>
      <c r="F35" t="s">
        <v>745</v>
      </c>
      <c r="G35" t="s">
        <v>5423</v>
      </c>
      <c r="H35" t="s">
        <v>5424</v>
      </c>
    </row>
    <row r="36" spans="1:8">
      <c r="A36" t="s">
        <v>5965</v>
      </c>
      <c r="B36" t="s">
        <v>5966</v>
      </c>
      <c r="C36" t="s">
        <v>5967</v>
      </c>
      <c r="D36" t="s">
        <v>5966</v>
      </c>
      <c r="E36" t="s">
        <v>5968</v>
      </c>
      <c r="F36" t="s">
        <v>745</v>
      </c>
      <c r="G36" t="s">
        <v>5960</v>
      </c>
      <c r="H36" t="s">
        <v>5424</v>
      </c>
    </row>
    <row r="37" spans="1:8">
      <c r="A37" t="s">
        <v>5969</v>
      </c>
      <c r="B37" t="s">
        <v>5970</v>
      </c>
      <c r="C37" t="s">
        <v>5971</v>
      </c>
      <c r="D37" t="s">
        <v>5970</v>
      </c>
      <c r="E37" t="s">
        <v>5972</v>
      </c>
      <c r="F37" t="s">
        <v>745</v>
      </c>
      <c r="G37" t="s">
        <v>5423</v>
      </c>
      <c r="H37" t="s">
        <v>5424</v>
      </c>
    </row>
    <row r="38" spans="1:8">
      <c r="A38" t="s">
        <v>5973</v>
      </c>
      <c r="B38" t="s">
        <v>5974</v>
      </c>
      <c r="C38" t="s">
        <v>5975</v>
      </c>
      <c r="D38" t="s">
        <v>5974</v>
      </c>
      <c r="E38" t="s">
        <v>5986</v>
      </c>
      <c r="F38" t="s">
        <v>745</v>
      </c>
      <c r="G38" t="s">
        <v>5960</v>
      </c>
      <c r="H38" t="s">
        <v>5976</v>
      </c>
    </row>
    <row r="39" spans="1:8">
      <c r="A39" t="s">
        <v>5977</v>
      </c>
      <c r="B39" t="s">
        <v>5978</v>
      </c>
      <c r="C39" t="s">
        <v>5979</v>
      </c>
      <c r="D39" t="s">
        <v>5978</v>
      </c>
      <c r="E39" t="s">
        <v>5987</v>
      </c>
      <c r="F39" t="s">
        <v>745</v>
      </c>
      <c r="G39" t="s">
        <v>5423</v>
      </c>
      <c r="H39" t="s">
        <v>5424</v>
      </c>
    </row>
    <row r="40" spans="1:8">
      <c r="A40" t="s">
        <v>5980</v>
      </c>
      <c r="B40" t="s">
        <v>5981</v>
      </c>
      <c r="C40" t="s">
        <v>5982</v>
      </c>
      <c r="D40" t="s">
        <v>5983</v>
      </c>
      <c r="E40" t="s">
        <v>5988</v>
      </c>
      <c r="F40" t="s">
        <v>745</v>
      </c>
      <c r="G40" t="s">
        <v>5423</v>
      </c>
      <c r="H40" t="s">
        <v>5424</v>
      </c>
    </row>
  </sheetData>
  <phoneticPr fontId="20" type="noConversion"/>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95"/>
  <sheetViews>
    <sheetView workbookViewId="0">
      <pane ySplit="1" topLeftCell="A63" activePane="bottomLeft" state="frozen"/>
      <selection pane="bottomLeft" activeCell="G25" sqref="G25"/>
    </sheetView>
  </sheetViews>
  <sheetFormatPr defaultRowHeight="15"/>
  <sheetData>
    <row r="1" spans="1:12">
      <c r="A1" t="s">
        <v>3195</v>
      </c>
      <c r="B1" t="s">
        <v>3170</v>
      </c>
      <c r="C1" t="s">
        <v>3196</v>
      </c>
      <c r="D1" t="s">
        <v>3197</v>
      </c>
      <c r="E1" t="s">
        <v>3198</v>
      </c>
      <c r="F1" t="s">
        <v>3199</v>
      </c>
      <c r="G1" t="s">
        <v>3200</v>
      </c>
      <c r="H1" t="s">
        <v>3201</v>
      </c>
      <c r="I1" t="s">
        <v>3202</v>
      </c>
      <c r="J1" t="s">
        <v>3203</v>
      </c>
      <c r="K1" t="s">
        <v>3204</v>
      </c>
      <c r="L1" t="s">
        <v>3205</v>
      </c>
    </row>
    <row r="2" spans="1:12">
      <c r="A2" t="s">
        <v>3206</v>
      </c>
      <c r="B2" t="s">
        <v>3175</v>
      </c>
      <c r="C2" t="s">
        <v>5455</v>
      </c>
      <c r="D2" t="s">
        <v>5456</v>
      </c>
      <c r="E2" t="s">
        <v>5457</v>
      </c>
      <c r="F2" t="s">
        <v>5458</v>
      </c>
      <c r="G2" t="s">
        <v>5459</v>
      </c>
      <c r="H2" t="s">
        <v>3212</v>
      </c>
      <c r="I2" t="s">
        <v>5460</v>
      </c>
      <c r="J2" t="s">
        <v>5461</v>
      </c>
      <c r="K2" t="s">
        <v>5462</v>
      </c>
      <c r="L2" t="s">
        <v>5463</v>
      </c>
    </row>
    <row r="3" spans="1:12">
      <c r="A3" t="s">
        <v>3217</v>
      </c>
      <c r="B3" t="s">
        <v>5464</v>
      </c>
      <c r="C3" t="s">
        <v>5465</v>
      </c>
      <c r="D3" t="s">
        <v>5466</v>
      </c>
      <c r="E3" t="s">
        <v>5917</v>
      </c>
      <c r="F3" t="s">
        <v>5467</v>
      </c>
      <c r="G3" t="s">
        <v>5468</v>
      </c>
      <c r="H3" t="s">
        <v>4510</v>
      </c>
      <c r="I3" t="s">
        <v>5469</v>
      </c>
      <c r="J3" t="s">
        <v>5470</v>
      </c>
      <c r="K3" t="s">
        <v>5471</v>
      </c>
      <c r="L3" t="s">
        <v>5472</v>
      </c>
    </row>
    <row r="4" spans="1:12">
      <c r="A4" t="s">
        <v>3225</v>
      </c>
      <c r="B4" t="s">
        <v>5473</v>
      </c>
      <c r="C4" t="s">
        <v>5474</v>
      </c>
      <c r="D4" t="s">
        <v>5475</v>
      </c>
      <c r="E4" t="s">
        <v>5476</v>
      </c>
      <c r="F4" t="s">
        <v>5477</v>
      </c>
      <c r="G4" t="s">
        <v>5478</v>
      </c>
      <c r="H4" t="s">
        <v>5479</v>
      </c>
      <c r="I4" t="s">
        <v>5480</v>
      </c>
      <c r="J4" t="s">
        <v>5481</v>
      </c>
      <c r="K4" t="s">
        <v>5482</v>
      </c>
      <c r="L4" t="s">
        <v>5483</v>
      </c>
    </row>
    <row r="5" spans="1:12">
      <c r="A5" t="s">
        <v>3234</v>
      </c>
      <c r="B5" t="s">
        <v>3181</v>
      </c>
      <c r="C5" t="s">
        <v>5484</v>
      </c>
      <c r="D5" t="s">
        <v>5485</v>
      </c>
      <c r="E5" t="s">
        <v>5486</v>
      </c>
      <c r="F5" t="s">
        <v>5487</v>
      </c>
      <c r="G5" t="s">
        <v>5488</v>
      </c>
      <c r="H5" t="s">
        <v>5339</v>
      </c>
      <c r="I5" t="s">
        <v>5489</v>
      </c>
      <c r="J5" t="s">
        <v>5490</v>
      </c>
      <c r="K5" t="s">
        <v>5491</v>
      </c>
      <c r="L5" t="s">
        <v>5492</v>
      </c>
    </row>
    <row r="6" spans="1:12">
      <c r="A6" t="s">
        <v>5493</v>
      </c>
      <c r="B6" t="s">
        <v>5494</v>
      </c>
      <c r="C6" t="s">
        <v>5495</v>
      </c>
      <c r="D6" t="s">
        <v>5496</v>
      </c>
      <c r="E6" t="s">
        <v>5497</v>
      </c>
      <c r="F6" t="s">
        <v>5498</v>
      </c>
      <c r="G6" t="s">
        <v>5499</v>
      </c>
      <c r="H6" t="s">
        <v>3212</v>
      </c>
      <c r="I6" t="s">
        <v>5500</v>
      </c>
      <c r="J6" t="s">
        <v>5501</v>
      </c>
      <c r="K6" t="s">
        <v>5502</v>
      </c>
      <c r="L6" t="s">
        <v>5503</v>
      </c>
    </row>
    <row r="7" spans="1:12">
      <c r="A7" t="s">
        <v>5504</v>
      </c>
      <c r="B7" t="s">
        <v>5505</v>
      </c>
      <c r="C7" t="s">
        <v>5506</v>
      </c>
      <c r="D7" t="s">
        <v>5507</v>
      </c>
      <c r="E7" t="s">
        <v>5508</v>
      </c>
      <c r="F7" t="s">
        <v>5509</v>
      </c>
      <c r="G7" t="s">
        <v>5510</v>
      </c>
      <c r="H7" t="s">
        <v>4510</v>
      </c>
      <c r="I7" t="s">
        <v>5511</v>
      </c>
      <c r="J7" t="s">
        <v>5512</v>
      </c>
      <c r="K7" t="s">
        <v>5513</v>
      </c>
      <c r="L7" t="s">
        <v>5514</v>
      </c>
    </row>
    <row r="8" spans="1:12">
      <c r="A8" t="s">
        <v>5515</v>
      </c>
      <c r="B8" t="s">
        <v>3186</v>
      </c>
      <c r="C8" t="s">
        <v>5516</v>
      </c>
      <c r="D8" t="s">
        <v>5517</v>
      </c>
      <c r="E8" t="s">
        <v>5518</v>
      </c>
      <c r="F8" t="s">
        <v>5519</v>
      </c>
      <c r="G8" t="s">
        <v>5520</v>
      </c>
      <c r="H8" t="s">
        <v>5479</v>
      </c>
      <c r="I8" t="s">
        <v>5521</v>
      </c>
      <c r="J8" t="s">
        <v>5522</v>
      </c>
      <c r="K8" t="s">
        <v>5523</v>
      </c>
      <c r="L8" t="s">
        <v>5524</v>
      </c>
    </row>
    <row r="9" spans="1:12">
      <c r="A9" t="s">
        <v>5525</v>
      </c>
      <c r="B9" t="s">
        <v>5526</v>
      </c>
      <c r="C9" t="s">
        <v>5527</v>
      </c>
      <c r="D9" t="s">
        <v>5528</v>
      </c>
      <c r="E9" t="s">
        <v>5529</v>
      </c>
      <c r="F9" t="s">
        <v>5530</v>
      </c>
      <c r="G9" t="s">
        <v>5531</v>
      </c>
      <c r="H9" t="s">
        <v>3212</v>
      </c>
      <c r="I9" t="s">
        <v>5532</v>
      </c>
      <c r="J9" t="s">
        <v>5533</v>
      </c>
      <c r="K9" t="s">
        <v>5534</v>
      </c>
      <c r="L9" t="s">
        <v>5535</v>
      </c>
    </row>
    <row r="10" spans="1:12">
      <c r="A10" t="s">
        <v>5536</v>
      </c>
      <c r="B10" t="s">
        <v>3186</v>
      </c>
      <c r="C10" t="s">
        <v>5537</v>
      </c>
      <c r="D10" t="s">
        <v>5538</v>
      </c>
      <c r="E10" t="s">
        <v>5539</v>
      </c>
      <c r="F10" t="s">
        <v>5540</v>
      </c>
      <c r="G10" t="s">
        <v>5541</v>
      </c>
      <c r="H10" t="s">
        <v>5339</v>
      </c>
      <c r="I10" t="s">
        <v>5542</v>
      </c>
      <c r="J10" t="s">
        <v>5543</v>
      </c>
      <c r="K10" t="s">
        <v>5544</v>
      </c>
      <c r="L10" t="s">
        <v>5545</v>
      </c>
    </row>
    <row r="11" spans="1:12">
      <c r="A11" t="s">
        <v>5546</v>
      </c>
      <c r="B11" t="s">
        <v>3190</v>
      </c>
      <c r="C11" t="s">
        <v>5547</v>
      </c>
      <c r="D11" t="s">
        <v>5548</v>
      </c>
      <c r="E11" t="s">
        <v>5549</v>
      </c>
      <c r="F11" t="s">
        <v>5550</v>
      </c>
      <c r="G11" t="s">
        <v>5551</v>
      </c>
      <c r="H11" t="s">
        <v>4510</v>
      </c>
      <c r="I11" t="s">
        <v>5552</v>
      </c>
      <c r="J11" t="s">
        <v>5553</v>
      </c>
      <c r="K11" t="s">
        <v>5554</v>
      </c>
      <c r="L11" t="s">
        <v>5555</v>
      </c>
    </row>
    <row r="12" spans="1:12">
      <c r="A12" t="s">
        <v>5556</v>
      </c>
      <c r="B12" t="s">
        <v>5557</v>
      </c>
      <c r="C12" t="s">
        <v>5558</v>
      </c>
      <c r="D12" t="s">
        <v>5559</v>
      </c>
      <c r="E12" t="s">
        <v>5560</v>
      </c>
      <c r="F12" t="s">
        <v>5561</v>
      </c>
      <c r="G12" t="s">
        <v>5562</v>
      </c>
      <c r="H12" t="s">
        <v>3212</v>
      </c>
      <c r="I12" t="s">
        <v>5563</v>
      </c>
      <c r="J12" t="s">
        <v>5564</v>
      </c>
      <c r="K12" t="s">
        <v>5565</v>
      </c>
      <c r="L12" t="s">
        <v>5566</v>
      </c>
    </row>
    <row r="13" spans="1:12">
      <c r="A13" t="s">
        <v>5567</v>
      </c>
      <c r="B13" t="s">
        <v>3190</v>
      </c>
      <c r="C13" t="s">
        <v>5568</v>
      </c>
      <c r="D13" t="s">
        <v>5569</v>
      </c>
      <c r="E13" t="s">
        <v>5570</v>
      </c>
      <c r="F13" t="s">
        <v>5571</v>
      </c>
      <c r="G13" t="s">
        <v>5572</v>
      </c>
      <c r="H13" t="s">
        <v>5479</v>
      </c>
      <c r="I13" t="s">
        <v>5573</v>
      </c>
      <c r="J13" t="s">
        <v>5574</v>
      </c>
      <c r="K13" t="s">
        <v>5575</v>
      </c>
      <c r="L13" t="s">
        <v>5576</v>
      </c>
    </row>
    <row r="14" spans="1:12">
      <c r="A14" t="s">
        <v>5577</v>
      </c>
      <c r="B14" t="s">
        <v>5360</v>
      </c>
      <c r="C14" t="s">
        <v>5578</v>
      </c>
      <c r="D14" t="s">
        <v>5579</v>
      </c>
      <c r="E14" t="s">
        <v>5580</v>
      </c>
      <c r="F14" t="s">
        <v>5581</v>
      </c>
      <c r="G14" t="s">
        <v>5582</v>
      </c>
      <c r="H14" t="s">
        <v>5339</v>
      </c>
      <c r="I14" t="s">
        <v>5583</v>
      </c>
      <c r="J14" t="s">
        <v>5584</v>
      </c>
      <c r="K14" t="s">
        <v>5585</v>
      </c>
      <c r="L14" t="s">
        <v>5586</v>
      </c>
    </row>
    <row r="15" spans="1:12">
      <c r="A15" t="s">
        <v>5587</v>
      </c>
      <c r="B15" t="s">
        <v>5588</v>
      </c>
      <c r="C15" t="s">
        <v>5589</v>
      </c>
      <c r="D15" t="s">
        <v>5590</v>
      </c>
      <c r="E15" t="s">
        <v>5591</v>
      </c>
      <c r="F15" t="s">
        <v>5592</v>
      </c>
      <c r="G15" t="s">
        <v>5593</v>
      </c>
      <c r="H15" t="s">
        <v>4510</v>
      </c>
      <c r="I15" t="s">
        <v>5594</v>
      </c>
      <c r="J15" t="s">
        <v>5595</v>
      </c>
      <c r="K15" t="s">
        <v>5596</v>
      </c>
      <c r="L15" t="s">
        <v>5597</v>
      </c>
    </row>
    <row r="16" spans="1:12">
      <c r="A16" t="s">
        <v>5598</v>
      </c>
      <c r="B16" t="s">
        <v>5360</v>
      </c>
      <c r="C16" t="s">
        <v>5599</v>
      </c>
      <c r="D16" t="s">
        <v>5600</v>
      </c>
      <c r="E16" t="s">
        <v>5601</v>
      </c>
      <c r="F16" t="s">
        <v>5602</v>
      </c>
      <c r="G16" t="s">
        <v>5603</v>
      </c>
      <c r="H16" t="s">
        <v>3212</v>
      </c>
      <c r="I16" t="s">
        <v>5604</v>
      </c>
      <c r="J16" t="s">
        <v>5605</v>
      </c>
      <c r="K16" t="s">
        <v>5606</v>
      </c>
      <c r="L16" t="s">
        <v>5607</v>
      </c>
    </row>
    <row r="17" spans="1:12">
      <c r="A17" t="s">
        <v>5608</v>
      </c>
      <c r="B17" t="s">
        <v>5366</v>
      </c>
      <c r="C17" t="s">
        <v>5609</v>
      </c>
      <c r="D17" t="s">
        <v>5610</v>
      </c>
      <c r="E17" t="s">
        <v>5611</v>
      </c>
      <c r="F17" t="s">
        <v>5612</v>
      </c>
      <c r="G17" t="s">
        <v>5613</v>
      </c>
      <c r="H17" t="s">
        <v>5479</v>
      </c>
      <c r="I17" t="s">
        <v>5614</v>
      </c>
      <c r="J17" t="s">
        <v>5615</v>
      </c>
      <c r="K17" t="s">
        <v>5616</v>
      </c>
      <c r="L17" t="s">
        <v>5617</v>
      </c>
    </row>
    <row r="18" spans="1:12">
      <c r="A18" t="s">
        <v>5618</v>
      </c>
      <c r="B18" t="s">
        <v>5619</v>
      </c>
      <c r="C18" t="s">
        <v>5620</v>
      </c>
      <c r="D18" t="s">
        <v>5621</v>
      </c>
      <c r="E18" t="s">
        <v>5622</v>
      </c>
      <c r="F18" t="s">
        <v>5623</v>
      </c>
      <c r="G18" t="s">
        <v>5624</v>
      </c>
      <c r="H18" t="s">
        <v>4510</v>
      </c>
      <c r="I18" t="s">
        <v>5625</v>
      </c>
      <c r="J18" t="s">
        <v>5626</v>
      </c>
      <c r="K18" t="s">
        <v>5627</v>
      </c>
      <c r="L18" t="s">
        <v>5628</v>
      </c>
    </row>
    <row r="19" spans="1:12">
      <c r="A19" t="s">
        <v>5629</v>
      </c>
      <c r="B19" t="s">
        <v>5366</v>
      </c>
      <c r="C19" t="s">
        <v>5630</v>
      </c>
      <c r="D19" t="s">
        <v>5631</v>
      </c>
      <c r="E19" t="s">
        <v>5632</v>
      </c>
      <c r="F19" t="s">
        <v>5633</v>
      </c>
      <c r="G19" t="s">
        <v>5634</v>
      </c>
      <c r="H19" t="s">
        <v>5339</v>
      </c>
      <c r="I19" t="s">
        <v>5635</v>
      </c>
      <c r="J19" t="s">
        <v>5636</v>
      </c>
      <c r="K19" t="s">
        <v>5637</v>
      </c>
      <c r="L19" t="s">
        <v>5638</v>
      </c>
    </row>
    <row r="20" spans="1:12">
      <c r="A20" t="s">
        <v>5639</v>
      </c>
      <c r="B20" t="s">
        <v>5372</v>
      </c>
      <c r="C20" t="s">
        <v>5640</v>
      </c>
      <c r="D20" t="s">
        <v>5641</v>
      </c>
      <c r="E20" t="s">
        <v>5642</v>
      </c>
      <c r="F20" t="s">
        <v>5643</v>
      </c>
      <c r="G20" t="s">
        <v>5644</v>
      </c>
      <c r="H20" t="s">
        <v>3212</v>
      </c>
      <c r="I20" t="s">
        <v>5645</v>
      </c>
      <c r="J20" t="s">
        <v>5646</v>
      </c>
      <c r="K20" t="s">
        <v>5647</v>
      </c>
      <c r="L20" t="s">
        <v>5648</v>
      </c>
    </row>
    <row r="21" spans="1:12">
      <c r="A21" t="s">
        <v>5649</v>
      </c>
      <c r="B21" t="s">
        <v>5650</v>
      </c>
      <c r="C21" t="s">
        <v>5651</v>
      </c>
      <c r="D21" t="s">
        <v>5652</v>
      </c>
      <c r="E21" t="s">
        <v>5653</v>
      </c>
      <c r="F21" t="s">
        <v>5654</v>
      </c>
      <c r="G21" t="s">
        <v>5655</v>
      </c>
      <c r="H21" t="s">
        <v>5479</v>
      </c>
      <c r="I21" t="s">
        <v>5656</v>
      </c>
      <c r="J21" t="s">
        <v>5657</v>
      </c>
      <c r="K21" t="s">
        <v>5658</v>
      </c>
      <c r="L21" t="s">
        <v>5659</v>
      </c>
    </row>
    <row r="22" spans="1:12">
      <c r="A22" t="s">
        <v>5660</v>
      </c>
      <c r="B22" t="s">
        <v>5435</v>
      </c>
      <c r="C22" t="s">
        <v>5661</v>
      </c>
      <c r="D22" t="s">
        <v>5662</v>
      </c>
      <c r="E22" t="s">
        <v>5663</v>
      </c>
      <c r="F22" t="s">
        <v>5664</v>
      </c>
      <c r="G22" t="s">
        <v>5665</v>
      </c>
      <c r="H22" t="s">
        <v>4510</v>
      </c>
      <c r="I22" t="s">
        <v>5666</v>
      </c>
      <c r="J22" t="s">
        <v>5667</v>
      </c>
      <c r="K22" t="s">
        <v>5668</v>
      </c>
      <c r="L22" t="s">
        <v>5669</v>
      </c>
    </row>
    <row r="23" spans="1:12">
      <c r="A23" t="s">
        <v>5670</v>
      </c>
      <c r="B23" t="s">
        <v>5378</v>
      </c>
      <c r="C23" t="s">
        <v>5671</v>
      </c>
      <c r="D23" t="s">
        <v>5672</v>
      </c>
      <c r="E23" t="s">
        <v>5673</v>
      </c>
      <c r="F23" t="s">
        <v>5674</v>
      </c>
      <c r="G23" t="s">
        <v>5675</v>
      </c>
      <c r="H23" t="s">
        <v>5339</v>
      </c>
      <c r="I23" t="s">
        <v>5676</v>
      </c>
      <c r="J23" t="s">
        <v>5677</v>
      </c>
      <c r="K23" t="s">
        <v>5678</v>
      </c>
      <c r="L23" t="s">
        <v>5679</v>
      </c>
    </row>
    <row r="24" spans="1:12">
      <c r="A24" t="s">
        <v>5680</v>
      </c>
      <c r="B24" t="s">
        <v>5681</v>
      </c>
      <c r="C24" t="s">
        <v>5682</v>
      </c>
      <c r="D24" t="s">
        <v>5683</v>
      </c>
      <c r="E24" t="s">
        <v>5684</v>
      </c>
      <c r="F24" t="s">
        <v>5685</v>
      </c>
      <c r="G24" t="s">
        <v>5686</v>
      </c>
      <c r="H24" t="s">
        <v>3212</v>
      </c>
      <c r="I24" t="s">
        <v>5687</v>
      </c>
      <c r="J24" t="s">
        <v>5688</v>
      </c>
      <c r="K24" t="s">
        <v>5689</v>
      </c>
      <c r="L24" t="s">
        <v>5690</v>
      </c>
    </row>
    <row r="25" spans="1:12">
      <c r="A25" t="s">
        <v>5691</v>
      </c>
      <c r="B25" t="s">
        <v>5378</v>
      </c>
      <c r="C25" t="s">
        <v>5692</v>
      </c>
      <c r="D25" t="s">
        <v>5693</v>
      </c>
      <c r="E25" t="s">
        <v>5694</v>
      </c>
      <c r="F25" t="s">
        <v>5695</v>
      </c>
      <c r="G25" t="s">
        <v>5696</v>
      </c>
      <c r="H25" t="s">
        <v>5479</v>
      </c>
      <c r="I25" t="s">
        <v>5697</v>
      </c>
      <c r="J25" t="s">
        <v>5698</v>
      </c>
      <c r="K25" t="s">
        <v>5699</v>
      </c>
      <c r="L25" t="s">
        <v>5700</v>
      </c>
    </row>
    <row r="26" spans="1:12">
      <c r="A26" t="s">
        <v>5701</v>
      </c>
      <c r="B26" t="s">
        <v>5384</v>
      </c>
      <c r="C26" t="s">
        <v>5702</v>
      </c>
      <c r="D26" t="s">
        <v>5703</v>
      </c>
      <c r="E26" t="s">
        <v>5704</v>
      </c>
      <c r="F26" t="s">
        <v>5705</v>
      </c>
      <c r="G26" t="s">
        <v>5706</v>
      </c>
      <c r="H26" t="s">
        <v>5339</v>
      </c>
      <c r="I26" t="s">
        <v>5707</v>
      </c>
      <c r="J26" t="s">
        <v>5708</v>
      </c>
      <c r="K26" t="s">
        <v>5709</v>
      </c>
      <c r="L26" t="s">
        <v>5710</v>
      </c>
    </row>
    <row r="27" spans="1:12">
      <c r="A27" t="s">
        <v>5711</v>
      </c>
      <c r="B27" t="s">
        <v>5712</v>
      </c>
      <c r="C27" t="s">
        <v>5713</v>
      </c>
      <c r="D27" t="s">
        <v>5714</v>
      </c>
      <c r="E27" t="s">
        <v>5715</v>
      </c>
      <c r="F27" t="s">
        <v>5716</v>
      </c>
      <c r="G27" t="s">
        <v>5717</v>
      </c>
      <c r="H27" t="s">
        <v>3212</v>
      </c>
      <c r="I27" t="s">
        <v>5718</v>
      </c>
      <c r="J27" t="s">
        <v>5719</v>
      </c>
      <c r="K27" t="s">
        <v>5720</v>
      </c>
      <c r="L27" t="s">
        <v>5721</v>
      </c>
    </row>
    <row r="28" spans="1:12">
      <c r="A28" t="s">
        <v>5722</v>
      </c>
      <c r="B28" t="s">
        <v>5384</v>
      </c>
      <c r="C28" t="s">
        <v>5723</v>
      </c>
      <c r="D28" t="s">
        <v>5724</v>
      </c>
      <c r="E28" t="s">
        <v>5725</v>
      </c>
      <c r="F28" t="s">
        <v>5916</v>
      </c>
      <c r="G28" t="s">
        <v>5726</v>
      </c>
      <c r="H28" t="s">
        <v>5479</v>
      </c>
      <c r="I28" t="s">
        <v>5727</v>
      </c>
      <c r="J28" t="s">
        <v>5728</v>
      </c>
      <c r="K28" t="s">
        <v>5729</v>
      </c>
      <c r="L28" t="s">
        <v>5730</v>
      </c>
    </row>
    <row r="29" spans="1:12">
      <c r="A29" t="s">
        <v>5731</v>
      </c>
      <c r="B29" t="s">
        <v>5732</v>
      </c>
      <c r="C29" t="s">
        <v>5733</v>
      </c>
      <c r="D29" t="s">
        <v>5734</v>
      </c>
      <c r="E29" t="s">
        <v>5735</v>
      </c>
      <c r="F29" t="s">
        <v>5736</v>
      </c>
      <c r="G29" t="s">
        <v>5737</v>
      </c>
      <c r="H29" t="s">
        <v>4510</v>
      </c>
      <c r="I29" t="s">
        <v>5738</v>
      </c>
      <c r="J29" t="s">
        <v>5739</v>
      </c>
      <c r="K29" t="s">
        <v>5740</v>
      </c>
      <c r="L29" t="s">
        <v>5741</v>
      </c>
    </row>
    <row r="30" spans="1:12">
      <c r="A30" t="s">
        <v>5742</v>
      </c>
      <c r="B30" t="s">
        <v>5390</v>
      </c>
      <c r="C30" t="s">
        <v>5743</v>
      </c>
      <c r="D30" t="s">
        <v>5744</v>
      </c>
      <c r="E30" t="s">
        <v>5745</v>
      </c>
      <c r="F30" t="s">
        <v>5746</v>
      </c>
      <c r="G30" t="s">
        <v>5747</v>
      </c>
      <c r="H30" t="s">
        <v>5339</v>
      </c>
      <c r="I30" t="s">
        <v>5748</v>
      </c>
      <c r="J30" t="s">
        <v>5749</v>
      </c>
      <c r="K30" t="s">
        <v>5750</v>
      </c>
      <c r="L30" t="s">
        <v>5751</v>
      </c>
    </row>
    <row r="31" spans="1:12">
      <c r="A31" t="s">
        <v>5752</v>
      </c>
      <c r="B31" t="s">
        <v>5753</v>
      </c>
      <c r="C31" t="s">
        <v>5754</v>
      </c>
      <c r="D31" t="s">
        <v>5755</v>
      </c>
      <c r="E31" t="s">
        <v>5756</v>
      </c>
      <c r="F31" t="s">
        <v>5757</v>
      </c>
      <c r="G31" t="s">
        <v>5758</v>
      </c>
      <c r="H31" t="s">
        <v>3212</v>
      </c>
      <c r="I31" t="s">
        <v>5759</v>
      </c>
      <c r="J31" t="s">
        <v>5760</v>
      </c>
      <c r="K31" t="s">
        <v>5761</v>
      </c>
      <c r="L31" t="s">
        <v>5762</v>
      </c>
    </row>
    <row r="32" spans="1:12">
      <c r="A32" t="s">
        <v>5763</v>
      </c>
      <c r="B32" t="s">
        <v>5764</v>
      </c>
      <c r="C32" t="s">
        <v>5765</v>
      </c>
      <c r="D32" t="s">
        <v>5766</v>
      </c>
      <c r="E32" t="s">
        <v>5767</v>
      </c>
      <c r="F32" t="s">
        <v>5768</v>
      </c>
      <c r="G32" t="s">
        <v>5769</v>
      </c>
      <c r="H32" t="s">
        <v>5479</v>
      </c>
      <c r="I32" t="s">
        <v>5770</v>
      </c>
      <c r="J32" t="s">
        <v>5771</v>
      </c>
      <c r="K32" t="s">
        <v>5772</v>
      </c>
      <c r="L32" t="s">
        <v>5773</v>
      </c>
    </row>
    <row r="33" spans="1:12">
      <c r="A33" t="s">
        <v>5774</v>
      </c>
      <c r="B33" t="s">
        <v>5396</v>
      </c>
      <c r="C33" t="s">
        <v>5775</v>
      </c>
      <c r="D33" t="s">
        <v>5776</v>
      </c>
      <c r="E33" t="s">
        <v>5777</v>
      </c>
      <c r="F33" t="s">
        <v>5778</v>
      </c>
      <c r="G33" t="s">
        <v>5779</v>
      </c>
      <c r="H33" t="s">
        <v>4510</v>
      </c>
      <c r="I33" t="s">
        <v>5780</v>
      </c>
      <c r="J33" t="s">
        <v>5781</v>
      </c>
      <c r="K33" t="s">
        <v>5782</v>
      </c>
      <c r="L33" t="s">
        <v>5783</v>
      </c>
    </row>
    <row r="34" spans="1:12">
      <c r="A34" t="s">
        <v>5784</v>
      </c>
      <c r="B34" t="s">
        <v>5403</v>
      </c>
      <c r="C34" t="s">
        <v>5785</v>
      </c>
      <c r="D34" t="s">
        <v>5786</v>
      </c>
      <c r="E34" t="s">
        <v>5787</v>
      </c>
      <c r="F34" t="s">
        <v>5788</v>
      </c>
      <c r="G34" t="s">
        <v>5789</v>
      </c>
      <c r="H34" t="s">
        <v>5339</v>
      </c>
      <c r="I34" t="s">
        <v>5790</v>
      </c>
      <c r="J34" t="s">
        <v>5791</v>
      </c>
      <c r="K34" t="s">
        <v>5792</v>
      </c>
      <c r="L34" t="s">
        <v>5793</v>
      </c>
    </row>
    <row r="35" spans="1:12">
      <c r="A35" t="s">
        <v>5794</v>
      </c>
      <c r="B35" t="s">
        <v>5409</v>
      </c>
      <c r="C35" t="s">
        <v>5795</v>
      </c>
      <c r="D35" t="s">
        <v>5796</v>
      </c>
      <c r="E35" t="s">
        <v>5797</v>
      </c>
      <c r="F35" t="s">
        <v>5798</v>
      </c>
      <c r="G35" t="s">
        <v>5799</v>
      </c>
      <c r="H35" t="s">
        <v>3212</v>
      </c>
      <c r="I35" t="s">
        <v>5800</v>
      </c>
      <c r="J35" t="s">
        <v>5801</v>
      </c>
      <c r="K35" t="s">
        <v>5802</v>
      </c>
      <c r="L35" t="s">
        <v>5803</v>
      </c>
    </row>
    <row r="36" spans="1:12">
      <c r="A36" t="s">
        <v>5804</v>
      </c>
      <c r="B36" t="s">
        <v>5415</v>
      </c>
      <c r="C36" t="s">
        <v>5805</v>
      </c>
      <c r="D36" t="s">
        <v>5806</v>
      </c>
      <c r="E36" t="s">
        <v>5807</v>
      </c>
      <c r="F36" t="s">
        <v>5808</v>
      </c>
      <c r="G36" t="s">
        <v>5809</v>
      </c>
      <c r="H36" t="s">
        <v>5479</v>
      </c>
      <c r="I36" t="s">
        <v>5810</v>
      </c>
      <c r="J36" t="s">
        <v>5811</v>
      </c>
      <c r="K36" t="s">
        <v>5812</v>
      </c>
      <c r="L36" t="s">
        <v>5813</v>
      </c>
    </row>
    <row r="37" spans="1:12">
      <c r="A37" t="s">
        <v>5814</v>
      </c>
      <c r="B37" t="s">
        <v>5815</v>
      </c>
      <c r="C37" t="s">
        <v>5816</v>
      </c>
      <c r="D37" t="s">
        <v>5817</v>
      </c>
      <c r="E37" t="s">
        <v>5818</v>
      </c>
      <c r="F37" t="s">
        <v>5819</v>
      </c>
      <c r="G37" t="s">
        <v>5820</v>
      </c>
      <c r="H37" t="s">
        <v>4510</v>
      </c>
      <c r="I37" t="s">
        <v>5821</v>
      </c>
      <c r="J37" t="s">
        <v>5822</v>
      </c>
      <c r="K37" t="s">
        <v>5823</v>
      </c>
      <c r="L37" t="s">
        <v>5824</v>
      </c>
    </row>
    <row r="38" spans="1:12">
      <c r="A38" t="s">
        <v>5825</v>
      </c>
      <c r="B38" t="s">
        <v>5415</v>
      </c>
      <c r="C38" t="s">
        <v>5826</v>
      </c>
      <c r="D38" t="s">
        <v>5827</v>
      </c>
      <c r="E38" t="s">
        <v>5828</v>
      </c>
      <c r="F38" t="s">
        <v>5829</v>
      </c>
      <c r="G38" t="s">
        <v>5830</v>
      </c>
      <c r="H38" t="s">
        <v>5339</v>
      </c>
      <c r="I38" t="s">
        <v>5831</v>
      </c>
      <c r="J38" t="s">
        <v>5832</v>
      </c>
      <c r="K38" t="s">
        <v>5833</v>
      </c>
      <c r="L38" t="s">
        <v>5834</v>
      </c>
    </row>
    <row r="39" spans="1:12">
      <c r="A39" t="s">
        <v>5835</v>
      </c>
      <c r="B39" t="s">
        <v>5419</v>
      </c>
      <c r="C39" t="s">
        <v>5836</v>
      </c>
      <c r="D39" t="s">
        <v>5837</v>
      </c>
      <c r="E39" t="s">
        <v>5838</v>
      </c>
      <c r="F39" t="s">
        <v>5839</v>
      </c>
      <c r="G39" t="s">
        <v>5840</v>
      </c>
      <c r="H39" t="s">
        <v>3212</v>
      </c>
      <c r="I39" t="s">
        <v>5841</v>
      </c>
      <c r="J39" t="s">
        <v>5842</v>
      </c>
      <c r="K39" t="s">
        <v>5843</v>
      </c>
      <c r="L39" t="s">
        <v>5844</v>
      </c>
    </row>
    <row r="40" spans="1:12">
      <c r="A40" t="s">
        <v>5845</v>
      </c>
      <c r="B40" t="s">
        <v>5419</v>
      </c>
      <c r="C40" t="s">
        <v>5846</v>
      </c>
      <c r="D40" t="s">
        <v>5847</v>
      </c>
      <c r="E40" t="s">
        <v>5848</v>
      </c>
      <c r="F40" t="s">
        <v>5849</v>
      </c>
      <c r="G40" t="s">
        <v>5850</v>
      </c>
      <c r="H40" t="s">
        <v>5479</v>
      </c>
      <c r="I40" t="s">
        <v>5851</v>
      </c>
      <c r="J40" t="s">
        <v>5852</v>
      </c>
      <c r="K40" t="s">
        <v>5853</v>
      </c>
      <c r="L40" t="s">
        <v>5854</v>
      </c>
    </row>
    <row r="41" spans="1:12">
      <c r="A41" t="s">
        <v>5855</v>
      </c>
      <c r="B41" t="s">
        <v>5425</v>
      </c>
      <c r="C41" t="s">
        <v>5856</v>
      </c>
      <c r="D41" t="s">
        <v>5857</v>
      </c>
      <c r="E41" t="s">
        <v>5858</v>
      </c>
      <c r="F41" t="s">
        <v>5859</v>
      </c>
      <c r="G41" t="s">
        <v>5860</v>
      </c>
      <c r="H41" t="s">
        <v>4510</v>
      </c>
      <c r="I41" t="s">
        <v>5861</v>
      </c>
      <c r="J41" t="s">
        <v>5862</v>
      </c>
      <c r="K41" t="s">
        <v>5863</v>
      </c>
      <c r="L41" t="s">
        <v>5864</v>
      </c>
    </row>
    <row r="42" spans="1:12">
      <c r="A42" t="s">
        <v>5865</v>
      </c>
      <c r="B42" t="s">
        <v>5866</v>
      </c>
      <c r="C42" t="s">
        <v>5867</v>
      </c>
      <c r="D42" t="s">
        <v>5868</v>
      </c>
      <c r="E42" t="s">
        <v>5869</v>
      </c>
      <c r="F42" t="s">
        <v>5870</v>
      </c>
      <c r="G42" t="s">
        <v>5871</v>
      </c>
      <c r="H42" t="s">
        <v>3212</v>
      </c>
      <c r="I42" t="s">
        <v>5872</v>
      </c>
      <c r="J42" t="s">
        <v>5873</v>
      </c>
      <c r="K42" t="s">
        <v>5874</v>
      </c>
      <c r="L42" t="s">
        <v>5875</v>
      </c>
    </row>
    <row r="43" spans="1:12">
      <c r="A43" t="s">
        <v>5876</v>
      </c>
      <c r="B43" t="s">
        <v>5430</v>
      </c>
      <c r="C43" t="s">
        <v>5877</v>
      </c>
      <c r="D43" t="s">
        <v>5878</v>
      </c>
      <c r="E43" t="s">
        <v>5879</v>
      </c>
      <c r="F43" t="s">
        <v>5880</v>
      </c>
      <c r="G43" t="s">
        <v>5881</v>
      </c>
      <c r="H43" t="s">
        <v>5479</v>
      </c>
      <c r="I43" t="s">
        <v>5882</v>
      </c>
      <c r="J43" t="s">
        <v>5883</v>
      </c>
      <c r="K43" t="s">
        <v>5884</v>
      </c>
      <c r="L43" t="s">
        <v>5885</v>
      </c>
    </row>
    <row r="44" spans="1:12">
      <c r="A44" t="s">
        <v>5886</v>
      </c>
      <c r="B44" t="s">
        <v>5494</v>
      </c>
      <c r="C44" t="s">
        <v>5887</v>
      </c>
      <c r="D44" t="s">
        <v>5888</v>
      </c>
      <c r="E44" t="s">
        <v>5889</v>
      </c>
      <c r="F44" t="s">
        <v>5890</v>
      </c>
      <c r="G44" t="s">
        <v>5891</v>
      </c>
      <c r="H44" t="s">
        <v>5339</v>
      </c>
      <c r="I44" t="s">
        <v>5892</v>
      </c>
      <c r="J44" t="s">
        <v>5893</v>
      </c>
      <c r="K44" t="s">
        <v>5894</v>
      </c>
      <c r="L44" t="s">
        <v>5895</v>
      </c>
    </row>
    <row r="45" spans="1:12">
      <c r="A45" t="s">
        <v>5896</v>
      </c>
      <c r="B45" t="s">
        <v>5441</v>
      </c>
      <c r="C45" t="s">
        <v>5897</v>
      </c>
      <c r="D45" t="s">
        <v>5898</v>
      </c>
      <c r="E45" t="s">
        <v>5899</v>
      </c>
      <c r="F45" t="s">
        <v>5900</v>
      </c>
      <c r="G45" t="s">
        <v>5901</v>
      </c>
      <c r="H45" t="s">
        <v>5339</v>
      </c>
      <c r="I45" t="s">
        <v>5902</v>
      </c>
      <c r="J45" t="s">
        <v>5903</v>
      </c>
      <c r="K45" t="s">
        <v>5904</v>
      </c>
      <c r="L45" t="s">
        <v>5905</v>
      </c>
    </row>
    <row r="46" spans="1:12">
      <c r="A46" t="s">
        <v>5906</v>
      </c>
      <c r="B46" t="s">
        <v>5446</v>
      </c>
      <c r="C46" t="s">
        <v>5907</v>
      </c>
      <c r="D46" t="s">
        <v>5908</v>
      </c>
      <c r="E46" t="s">
        <v>5909</v>
      </c>
      <c r="F46" t="s">
        <v>5910</v>
      </c>
      <c r="G46" t="s">
        <v>5911</v>
      </c>
      <c r="H46" t="s">
        <v>3212</v>
      </c>
      <c r="I46" t="s">
        <v>5912</v>
      </c>
      <c r="J46" t="s">
        <v>5913</v>
      </c>
      <c r="K46" t="s">
        <v>5914</v>
      </c>
      <c r="L46" t="s">
        <v>5915</v>
      </c>
    </row>
    <row r="47" spans="1:12">
      <c r="A47" t="s">
        <v>5918</v>
      </c>
      <c r="B47" t="s">
        <v>5451</v>
      </c>
      <c r="C47" t="s">
        <v>3207</v>
      </c>
      <c r="D47" t="s">
        <v>3208</v>
      </c>
      <c r="E47" t="s">
        <v>3209</v>
      </c>
      <c r="F47" t="s">
        <v>3210</v>
      </c>
      <c r="G47" t="s">
        <v>3211</v>
      </c>
      <c r="H47" t="s">
        <v>5339</v>
      </c>
      <c r="I47" t="s">
        <v>3213</v>
      </c>
      <c r="J47" t="s">
        <v>3214</v>
      </c>
      <c r="K47" t="s">
        <v>3215</v>
      </c>
      <c r="L47" t="s">
        <v>3216</v>
      </c>
    </row>
    <row r="48" spans="1:12">
      <c r="A48" t="s">
        <v>5919</v>
      </c>
      <c r="B48" t="s">
        <v>5452</v>
      </c>
      <c r="C48" t="s">
        <v>5340</v>
      </c>
      <c r="D48" t="s">
        <v>5337</v>
      </c>
      <c r="E48" t="s">
        <v>3218</v>
      </c>
      <c r="F48" t="s">
        <v>3219</v>
      </c>
      <c r="G48" t="s">
        <v>3220</v>
      </c>
      <c r="H48" t="s">
        <v>3212</v>
      </c>
      <c r="I48" t="s">
        <v>3221</v>
      </c>
      <c r="J48" t="s">
        <v>3222</v>
      </c>
      <c r="K48" t="s">
        <v>3223</v>
      </c>
      <c r="L48" t="s">
        <v>3224</v>
      </c>
    </row>
    <row r="49" spans="1:12">
      <c r="A49" t="s">
        <v>5920</v>
      </c>
      <c r="B49" t="s">
        <v>5453</v>
      </c>
      <c r="C49" t="s">
        <v>5338</v>
      </c>
      <c r="D49" t="s">
        <v>3226</v>
      </c>
      <c r="E49" t="s">
        <v>3227</v>
      </c>
      <c r="F49" t="s">
        <v>3228</v>
      </c>
      <c r="G49" t="s">
        <v>3229</v>
      </c>
      <c r="H49" t="s">
        <v>3212</v>
      </c>
      <c r="I49" t="s">
        <v>3230</v>
      </c>
      <c r="J49" t="s">
        <v>3231</v>
      </c>
      <c r="K49" t="s">
        <v>3232</v>
      </c>
      <c r="L49" t="s">
        <v>3233</v>
      </c>
    </row>
    <row r="50" spans="1:12">
      <c r="A50" t="s">
        <v>5921</v>
      </c>
      <c r="B50" t="s">
        <v>5454</v>
      </c>
      <c r="C50" t="s">
        <v>3235</v>
      </c>
      <c r="D50" t="s">
        <v>3236</v>
      </c>
      <c r="E50" t="s">
        <v>3237</v>
      </c>
      <c r="F50" t="s">
        <v>3238</v>
      </c>
      <c r="G50" t="s">
        <v>3239</v>
      </c>
      <c r="H50" t="s">
        <v>3212</v>
      </c>
      <c r="I50" t="s">
        <v>3240</v>
      </c>
      <c r="J50" t="s">
        <v>3241</v>
      </c>
      <c r="K50" t="s">
        <v>3242</v>
      </c>
      <c r="L50" t="s">
        <v>3243</v>
      </c>
    </row>
    <row r="51" spans="1:12">
      <c r="A51" t="s">
        <v>6025</v>
      </c>
      <c r="B51" t="s">
        <v>5923</v>
      </c>
      <c r="C51" t="s">
        <v>5989</v>
      </c>
      <c r="D51" t="s">
        <v>5990</v>
      </c>
      <c r="E51" t="s">
        <v>5991</v>
      </c>
      <c r="F51" t="s">
        <v>5992</v>
      </c>
      <c r="G51" t="s">
        <v>5993</v>
      </c>
      <c r="H51" t="s">
        <v>5479</v>
      </c>
      <c r="I51" t="s">
        <v>5994</v>
      </c>
      <c r="J51" t="s">
        <v>5995</v>
      </c>
      <c r="K51" t="s">
        <v>5996</v>
      </c>
      <c r="L51" t="s">
        <v>5997</v>
      </c>
    </row>
    <row r="52" spans="1:12">
      <c r="A52" t="s">
        <v>6035</v>
      </c>
      <c r="B52" t="s">
        <v>5923</v>
      </c>
      <c r="C52" t="s">
        <v>5998</v>
      </c>
      <c r="D52" t="s">
        <v>5999</v>
      </c>
      <c r="E52" t="s">
        <v>6000</v>
      </c>
      <c r="F52" t="s">
        <v>6001</v>
      </c>
      <c r="G52" t="s">
        <v>6002</v>
      </c>
      <c r="H52" t="s">
        <v>3212</v>
      </c>
      <c r="I52" t="s">
        <v>6003</v>
      </c>
      <c r="J52" t="s">
        <v>6004</v>
      </c>
      <c r="K52" t="s">
        <v>6005</v>
      </c>
      <c r="L52" t="s">
        <v>6006</v>
      </c>
    </row>
    <row r="53" spans="1:12">
      <c r="A53" t="s">
        <v>6043</v>
      </c>
      <c r="B53" t="s">
        <v>5923</v>
      </c>
      <c r="C53" t="s">
        <v>6007</v>
      </c>
      <c r="D53" t="s">
        <v>6008</v>
      </c>
      <c r="E53" t="s">
        <v>6009</v>
      </c>
      <c r="F53" t="s">
        <v>6010</v>
      </c>
      <c r="G53" t="s">
        <v>6011</v>
      </c>
      <c r="H53" t="s">
        <v>5479</v>
      </c>
      <c r="I53" t="s">
        <v>6012</v>
      </c>
      <c r="J53" t="s">
        <v>6013</v>
      </c>
      <c r="K53" t="s">
        <v>6014</v>
      </c>
      <c r="L53" t="s">
        <v>6015</v>
      </c>
    </row>
    <row r="54" spans="1:12">
      <c r="A54" t="s">
        <v>6053</v>
      </c>
      <c r="B54" t="s">
        <v>5927</v>
      </c>
      <c r="C54" t="s">
        <v>6016</v>
      </c>
      <c r="D54" t="s">
        <v>6017</v>
      </c>
      <c r="E54" t="s">
        <v>6018</v>
      </c>
      <c r="F54" t="s">
        <v>6019</v>
      </c>
      <c r="G54" t="s">
        <v>6020</v>
      </c>
      <c r="H54" t="s">
        <v>3212</v>
      </c>
      <c r="I54" t="s">
        <v>6021</v>
      </c>
      <c r="J54" t="s">
        <v>6022</v>
      </c>
      <c r="K54" t="s">
        <v>6023</v>
      </c>
      <c r="L54" t="s">
        <v>6024</v>
      </c>
    </row>
    <row r="55" spans="1:12">
      <c r="A55" t="s">
        <v>6063</v>
      </c>
      <c r="B55" t="s">
        <v>5927</v>
      </c>
      <c r="C55" t="s">
        <v>6026</v>
      </c>
      <c r="D55" t="s">
        <v>6027</v>
      </c>
      <c r="E55" t="s">
        <v>6028</v>
      </c>
      <c r="F55" t="s">
        <v>6029</v>
      </c>
      <c r="G55" t="s">
        <v>6030</v>
      </c>
      <c r="H55" t="s">
        <v>5339</v>
      </c>
      <c r="I55" t="s">
        <v>6031</v>
      </c>
      <c r="J55" t="s">
        <v>6032</v>
      </c>
      <c r="K55" t="s">
        <v>6033</v>
      </c>
      <c r="L55" t="s">
        <v>6034</v>
      </c>
    </row>
    <row r="56" spans="1:12">
      <c r="A56" t="s">
        <v>6073</v>
      </c>
      <c r="B56" t="s">
        <v>5927</v>
      </c>
      <c r="C56" t="s">
        <v>6036</v>
      </c>
      <c r="D56" t="s">
        <v>6037</v>
      </c>
      <c r="E56" t="s">
        <v>6038</v>
      </c>
      <c r="F56" t="s">
        <v>6039</v>
      </c>
      <c r="G56" t="s">
        <v>6040</v>
      </c>
      <c r="H56" t="s">
        <v>4510</v>
      </c>
      <c r="I56" t="s">
        <v>6432</v>
      </c>
      <c r="J56" t="s">
        <v>6041</v>
      </c>
      <c r="K56" t="s">
        <v>6042</v>
      </c>
      <c r="L56" t="s">
        <v>3224</v>
      </c>
    </row>
    <row r="57" spans="1:12">
      <c r="A57" t="s">
        <v>6083</v>
      </c>
      <c r="B57" t="s">
        <v>5932</v>
      </c>
      <c r="C57" t="s">
        <v>6044</v>
      </c>
      <c r="D57" t="s">
        <v>6045</v>
      </c>
      <c r="E57" t="s">
        <v>6046</v>
      </c>
      <c r="F57" t="s">
        <v>6047</v>
      </c>
      <c r="G57" t="s">
        <v>6048</v>
      </c>
      <c r="H57" t="s">
        <v>4510</v>
      </c>
      <c r="I57" t="s">
        <v>6049</v>
      </c>
      <c r="J57" t="s">
        <v>6050</v>
      </c>
      <c r="K57" t="s">
        <v>6051</v>
      </c>
      <c r="L57" t="s">
        <v>6052</v>
      </c>
    </row>
    <row r="58" spans="1:12">
      <c r="A58" t="s">
        <v>6093</v>
      </c>
      <c r="B58" t="s">
        <v>5932</v>
      </c>
      <c r="C58" t="s">
        <v>6054</v>
      </c>
      <c r="D58" t="s">
        <v>6055</v>
      </c>
      <c r="E58" t="s">
        <v>6056</v>
      </c>
      <c r="F58" t="s">
        <v>6057</v>
      </c>
      <c r="G58" t="s">
        <v>6058</v>
      </c>
      <c r="H58" t="s">
        <v>5339</v>
      </c>
      <c r="I58" t="s">
        <v>6059</v>
      </c>
      <c r="J58" t="s">
        <v>6060</v>
      </c>
      <c r="K58" t="s">
        <v>6061</v>
      </c>
      <c r="L58" t="s">
        <v>6062</v>
      </c>
    </row>
    <row r="59" spans="1:12">
      <c r="A59" t="s">
        <v>6103</v>
      </c>
      <c r="B59" t="s">
        <v>5932</v>
      </c>
      <c r="C59" t="s">
        <v>6064</v>
      </c>
      <c r="D59" t="s">
        <v>6065</v>
      </c>
      <c r="E59" t="s">
        <v>6066</v>
      </c>
      <c r="F59" t="s">
        <v>6067</v>
      </c>
      <c r="G59" t="s">
        <v>6068</v>
      </c>
      <c r="H59" t="s">
        <v>5479</v>
      </c>
      <c r="I59" t="s">
        <v>6069</v>
      </c>
      <c r="J59" t="s">
        <v>6070</v>
      </c>
      <c r="K59" t="s">
        <v>6071</v>
      </c>
      <c r="L59" t="s">
        <v>6072</v>
      </c>
    </row>
    <row r="60" spans="1:12">
      <c r="A60" t="s">
        <v>6113</v>
      </c>
      <c r="B60" t="s">
        <v>5937</v>
      </c>
      <c r="C60" t="s">
        <v>6074</v>
      </c>
      <c r="D60" t="s">
        <v>6075</v>
      </c>
      <c r="E60" t="s">
        <v>6076</v>
      </c>
      <c r="F60" t="s">
        <v>6077</v>
      </c>
      <c r="G60" t="s">
        <v>6078</v>
      </c>
      <c r="H60" t="s">
        <v>3212</v>
      </c>
      <c r="I60" t="s">
        <v>6079</v>
      </c>
      <c r="J60" t="s">
        <v>6080</v>
      </c>
      <c r="K60" t="s">
        <v>6081</v>
      </c>
      <c r="L60" t="s">
        <v>6082</v>
      </c>
    </row>
    <row r="61" spans="1:12">
      <c r="A61" t="s">
        <v>6123</v>
      </c>
      <c r="B61" t="s">
        <v>5937</v>
      </c>
      <c r="C61" t="s">
        <v>6084</v>
      </c>
      <c r="D61" t="s">
        <v>6085</v>
      </c>
      <c r="E61" t="s">
        <v>6086</v>
      </c>
      <c r="F61" t="s">
        <v>6087</v>
      </c>
      <c r="G61" t="s">
        <v>6088</v>
      </c>
      <c r="H61" t="s">
        <v>5339</v>
      </c>
      <c r="I61" t="s">
        <v>6089</v>
      </c>
      <c r="J61" t="s">
        <v>6090</v>
      </c>
      <c r="K61" t="s">
        <v>6091</v>
      </c>
      <c r="L61" t="s">
        <v>6092</v>
      </c>
    </row>
    <row r="62" spans="1:12">
      <c r="A62" t="s">
        <v>6133</v>
      </c>
      <c r="B62" t="s">
        <v>5937</v>
      </c>
      <c r="C62" t="s">
        <v>6094</v>
      </c>
      <c r="D62" t="s">
        <v>6095</v>
      </c>
      <c r="E62" t="s">
        <v>6096</v>
      </c>
      <c r="F62" t="s">
        <v>6097</v>
      </c>
      <c r="G62" t="s">
        <v>6098</v>
      </c>
      <c r="H62" t="s">
        <v>5339</v>
      </c>
      <c r="I62" t="s">
        <v>6099</v>
      </c>
      <c r="J62" t="s">
        <v>6100</v>
      </c>
      <c r="K62" t="s">
        <v>6101</v>
      </c>
      <c r="L62" t="s">
        <v>6102</v>
      </c>
    </row>
    <row r="63" spans="1:12">
      <c r="A63" t="s">
        <v>6143</v>
      </c>
      <c r="B63" t="s">
        <v>5941</v>
      </c>
      <c r="C63" t="s">
        <v>6104</v>
      </c>
      <c r="D63" t="s">
        <v>6105</v>
      </c>
      <c r="E63" t="s">
        <v>6106</v>
      </c>
      <c r="F63" t="s">
        <v>6107</v>
      </c>
      <c r="G63" t="s">
        <v>6108</v>
      </c>
      <c r="H63" t="s">
        <v>4510</v>
      </c>
      <c r="I63" t="s">
        <v>6109</v>
      </c>
      <c r="J63" t="s">
        <v>6110</v>
      </c>
      <c r="K63" t="s">
        <v>6111</v>
      </c>
      <c r="L63" t="s">
        <v>6112</v>
      </c>
    </row>
    <row r="64" spans="1:12">
      <c r="A64" t="s">
        <v>6153</v>
      </c>
      <c r="B64" t="s">
        <v>5941</v>
      </c>
      <c r="C64" t="s">
        <v>6114</v>
      </c>
      <c r="D64" t="s">
        <v>6115</v>
      </c>
      <c r="E64" t="s">
        <v>6116</v>
      </c>
      <c r="F64" t="s">
        <v>6117</v>
      </c>
      <c r="G64" t="s">
        <v>6118</v>
      </c>
      <c r="H64" t="s">
        <v>4510</v>
      </c>
      <c r="I64" t="s">
        <v>6119</v>
      </c>
      <c r="J64" t="s">
        <v>6120</v>
      </c>
      <c r="K64" t="s">
        <v>6121</v>
      </c>
      <c r="L64" t="s">
        <v>6122</v>
      </c>
    </row>
    <row r="65" spans="1:12">
      <c r="A65" t="s">
        <v>6163</v>
      </c>
      <c r="B65" t="s">
        <v>5941</v>
      </c>
      <c r="C65" t="s">
        <v>6124</v>
      </c>
      <c r="D65" t="s">
        <v>6125</v>
      </c>
      <c r="E65" t="s">
        <v>6126</v>
      </c>
      <c r="F65" t="s">
        <v>6127</v>
      </c>
      <c r="G65" t="s">
        <v>6128</v>
      </c>
      <c r="H65" t="s">
        <v>5339</v>
      </c>
      <c r="I65" t="s">
        <v>6129</v>
      </c>
      <c r="J65" t="s">
        <v>6130</v>
      </c>
      <c r="K65" t="s">
        <v>6131</v>
      </c>
      <c r="L65" t="s">
        <v>6132</v>
      </c>
    </row>
    <row r="66" spans="1:12">
      <c r="A66" t="s">
        <v>6173</v>
      </c>
      <c r="B66" t="s">
        <v>5944</v>
      </c>
      <c r="C66" t="s">
        <v>6134</v>
      </c>
      <c r="D66" t="s">
        <v>6135</v>
      </c>
      <c r="E66" t="s">
        <v>6136</v>
      </c>
      <c r="F66" t="s">
        <v>6137</v>
      </c>
      <c r="G66" t="s">
        <v>6138</v>
      </c>
      <c r="H66" t="s">
        <v>4510</v>
      </c>
      <c r="I66" t="s">
        <v>6139</v>
      </c>
      <c r="J66" t="s">
        <v>6140</v>
      </c>
      <c r="K66" t="s">
        <v>6141</v>
      </c>
      <c r="L66" t="s">
        <v>6142</v>
      </c>
    </row>
    <row r="67" spans="1:12">
      <c r="A67" t="s">
        <v>6183</v>
      </c>
      <c r="B67" t="s">
        <v>5944</v>
      </c>
      <c r="C67" t="s">
        <v>6144</v>
      </c>
      <c r="D67" t="s">
        <v>6145</v>
      </c>
      <c r="E67" t="s">
        <v>6146</v>
      </c>
      <c r="F67" t="s">
        <v>6147</v>
      </c>
      <c r="G67" t="s">
        <v>6148</v>
      </c>
      <c r="H67" t="s">
        <v>5479</v>
      </c>
      <c r="I67" t="s">
        <v>6149</v>
      </c>
      <c r="J67" t="s">
        <v>6150</v>
      </c>
      <c r="K67" t="s">
        <v>6151</v>
      </c>
      <c r="L67" t="s">
        <v>6152</v>
      </c>
    </row>
    <row r="68" spans="1:12">
      <c r="A68" t="s">
        <v>6193</v>
      </c>
      <c r="B68" t="s">
        <v>5944</v>
      </c>
      <c r="C68" t="s">
        <v>6154</v>
      </c>
      <c r="D68" t="s">
        <v>6155</v>
      </c>
      <c r="E68" t="s">
        <v>6156</v>
      </c>
      <c r="F68" t="s">
        <v>6157</v>
      </c>
      <c r="G68" t="s">
        <v>6158</v>
      </c>
      <c r="H68" t="s">
        <v>5339</v>
      </c>
      <c r="I68" t="s">
        <v>6159</v>
      </c>
      <c r="J68" t="s">
        <v>6160</v>
      </c>
      <c r="K68" t="s">
        <v>6161</v>
      </c>
      <c r="L68" t="s">
        <v>6162</v>
      </c>
    </row>
    <row r="69" spans="1:12">
      <c r="A69" t="s">
        <v>6203</v>
      </c>
      <c r="B69" t="s">
        <v>5948</v>
      </c>
      <c r="C69" t="s">
        <v>6164</v>
      </c>
      <c r="D69" t="s">
        <v>6165</v>
      </c>
      <c r="E69" t="s">
        <v>6166</v>
      </c>
      <c r="F69" t="s">
        <v>6167</v>
      </c>
      <c r="G69" t="s">
        <v>6168</v>
      </c>
      <c r="H69" t="s">
        <v>5479</v>
      </c>
      <c r="I69" t="s">
        <v>6169</v>
      </c>
      <c r="J69" t="s">
        <v>6170</v>
      </c>
      <c r="K69" t="s">
        <v>6171</v>
      </c>
      <c r="L69" t="s">
        <v>6172</v>
      </c>
    </row>
    <row r="70" spans="1:12">
      <c r="A70" t="s">
        <v>6213</v>
      </c>
      <c r="B70" t="s">
        <v>5948</v>
      </c>
      <c r="C70" t="s">
        <v>6174</v>
      </c>
      <c r="D70" t="s">
        <v>6175</v>
      </c>
      <c r="E70" t="s">
        <v>6176</v>
      </c>
      <c r="F70" t="s">
        <v>6177</v>
      </c>
      <c r="G70" t="s">
        <v>6178</v>
      </c>
      <c r="H70" t="s">
        <v>5339</v>
      </c>
      <c r="I70" t="s">
        <v>6179</v>
      </c>
      <c r="J70" t="s">
        <v>6180</v>
      </c>
      <c r="K70" t="s">
        <v>6181</v>
      </c>
      <c r="L70" t="s">
        <v>6182</v>
      </c>
    </row>
    <row r="71" spans="1:12">
      <c r="A71" t="s">
        <v>6223</v>
      </c>
      <c r="B71" t="s">
        <v>5948</v>
      </c>
      <c r="C71" t="s">
        <v>6184</v>
      </c>
      <c r="D71" t="s">
        <v>6185</v>
      </c>
      <c r="E71" t="s">
        <v>6186</v>
      </c>
      <c r="F71" t="s">
        <v>6187</v>
      </c>
      <c r="G71" t="s">
        <v>6188</v>
      </c>
      <c r="H71" t="s">
        <v>3212</v>
      </c>
      <c r="I71" t="s">
        <v>6189</v>
      </c>
      <c r="J71" t="s">
        <v>6190</v>
      </c>
      <c r="K71" t="s">
        <v>6191</v>
      </c>
      <c r="L71" t="s">
        <v>6192</v>
      </c>
    </row>
    <row r="72" spans="1:12">
      <c r="A72" t="s">
        <v>6233</v>
      </c>
      <c r="B72" t="s">
        <v>5952</v>
      </c>
      <c r="C72" t="s">
        <v>6194</v>
      </c>
      <c r="D72" t="s">
        <v>6195</v>
      </c>
      <c r="E72" t="s">
        <v>6196</v>
      </c>
      <c r="F72" t="s">
        <v>6197</v>
      </c>
      <c r="G72" t="s">
        <v>6198</v>
      </c>
      <c r="H72" t="s">
        <v>5339</v>
      </c>
      <c r="I72" t="s">
        <v>6199</v>
      </c>
      <c r="J72" t="s">
        <v>6200</v>
      </c>
      <c r="K72" t="s">
        <v>6201</v>
      </c>
      <c r="L72" t="s">
        <v>6202</v>
      </c>
    </row>
    <row r="73" spans="1:12">
      <c r="A73" t="s">
        <v>6242</v>
      </c>
      <c r="B73" t="s">
        <v>5952</v>
      </c>
      <c r="C73" t="s">
        <v>6204</v>
      </c>
      <c r="D73" t="s">
        <v>6205</v>
      </c>
      <c r="E73" t="s">
        <v>6206</v>
      </c>
      <c r="F73" t="s">
        <v>6207</v>
      </c>
      <c r="G73" t="s">
        <v>6208</v>
      </c>
      <c r="H73" t="s">
        <v>3212</v>
      </c>
      <c r="I73" t="s">
        <v>6209</v>
      </c>
      <c r="J73" t="s">
        <v>6210</v>
      </c>
      <c r="K73" t="s">
        <v>6211</v>
      </c>
      <c r="L73" t="s">
        <v>6212</v>
      </c>
    </row>
    <row r="74" spans="1:12">
      <c r="A74" t="s">
        <v>6251</v>
      </c>
      <c r="B74" t="s">
        <v>5952</v>
      </c>
      <c r="C74" t="s">
        <v>6214</v>
      </c>
      <c r="D74" t="s">
        <v>6215</v>
      </c>
      <c r="E74" t="s">
        <v>6216</v>
      </c>
      <c r="F74" t="s">
        <v>6217</v>
      </c>
      <c r="G74" t="s">
        <v>6218</v>
      </c>
      <c r="H74" t="s">
        <v>5339</v>
      </c>
      <c r="I74" t="s">
        <v>6219</v>
      </c>
      <c r="J74" t="s">
        <v>6220</v>
      </c>
      <c r="K74" t="s">
        <v>6221</v>
      </c>
      <c r="L74" t="s">
        <v>6222</v>
      </c>
    </row>
    <row r="75" spans="1:12">
      <c r="A75" t="s">
        <v>6261</v>
      </c>
      <c r="B75" t="s">
        <v>5956</v>
      </c>
      <c r="C75" t="s">
        <v>6224</v>
      </c>
      <c r="D75" t="s">
        <v>6225</v>
      </c>
      <c r="E75" t="s">
        <v>6226</v>
      </c>
      <c r="F75" t="s">
        <v>6227</v>
      </c>
      <c r="G75" t="s">
        <v>6228</v>
      </c>
      <c r="H75" t="s">
        <v>4510</v>
      </c>
      <c r="I75" t="s">
        <v>6229</v>
      </c>
      <c r="J75" t="s">
        <v>6230</v>
      </c>
      <c r="K75" t="s">
        <v>6231</v>
      </c>
      <c r="L75" t="s">
        <v>6232</v>
      </c>
    </row>
    <row r="76" spans="1:12">
      <c r="A76" t="s">
        <v>6271</v>
      </c>
      <c r="B76" t="s">
        <v>5956</v>
      </c>
      <c r="C76" t="s">
        <v>6234</v>
      </c>
      <c r="D76" t="s">
        <v>6235</v>
      </c>
      <c r="E76" t="s">
        <v>6236</v>
      </c>
      <c r="F76" t="s">
        <v>6237</v>
      </c>
      <c r="G76" t="s">
        <v>6238</v>
      </c>
      <c r="H76" t="s">
        <v>5479</v>
      </c>
      <c r="I76" t="s">
        <v>6239</v>
      </c>
      <c r="J76" t="s">
        <v>6240</v>
      </c>
      <c r="K76" t="s">
        <v>5792</v>
      </c>
      <c r="L76" t="s">
        <v>6241</v>
      </c>
    </row>
    <row r="77" spans="1:12">
      <c r="A77" t="s">
        <v>6281</v>
      </c>
      <c r="B77" t="s">
        <v>5956</v>
      </c>
      <c r="C77" t="s">
        <v>6243</v>
      </c>
      <c r="D77" t="s">
        <v>6244</v>
      </c>
      <c r="E77" t="s">
        <v>6245</v>
      </c>
      <c r="F77" t="s">
        <v>6207</v>
      </c>
      <c r="G77" t="s">
        <v>6246</v>
      </c>
      <c r="H77" t="s">
        <v>3212</v>
      </c>
      <c r="I77" t="s">
        <v>6247</v>
      </c>
      <c r="J77" t="s">
        <v>6248</v>
      </c>
      <c r="K77" t="s">
        <v>6249</v>
      </c>
      <c r="L77" t="s">
        <v>6250</v>
      </c>
    </row>
    <row r="78" spans="1:12">
      <c r="A78" t="s">
        <v>6291</v>
      </c>
      <c r="B78" t="s">
        <v>5961</v>
      </c>
      <c r="C78" t="s">
        <v>6252</v>
      </c>
      <c r="D78" t="s">
        <v>6253</v>
      </c>
      <c r="E78" t="s">
        <v>6254</v>
      </c>
      <c r="F78" t="s">
        <v>6255</v>
      </c>
      <c r="G78" t="s">
        <v>6256</v>
      </c>
      <c r="H78" t="s">
        <v>4510</v>
      </c>
      <c r="I78" t="s">
        <v>6257</v>
      </c>
      <c r="J78" t="s">
        <v>6258</v>
      </c>
      <c r="K78" t="s">
        <v>6259</v>
      </c>
      <c r="L78" t="s">
        <v>6260</v>
      </c>
    </row>
    <row r="79" spans="1:12">
      <c r="A79" t="s">
        <v>6301</v>
      </c>
      <c r="B79" t="s">
        <v>5961</v>
      </c>
      <c r="C79" t="s">
        <v>6262</v>
      </c>
      <c r="D79" t="s">
        <v>6263</v>
      </c>
      <c r="E79" t="s">
        <v>6264</v>
      </c>
      <c r="F79" t="s">
        <v>6265</v>
      </c>
      <c r="G79" t="s">
        <v>6266</v>
      </c>
      <c r="H79" t="s">
        <v>5479</v>
      </c>
      <c r="I79" t="s">
        <v>6267</v>
      </c>
      <c r="J79" t="s">
        <v>6268</v>
      </c>
      <c r="K79" t="s">
        <v>6269</v>
      </c>
      <c r="L79" t="s">
        <v>6270</v>
      </c>
    </row>
    <row r="80" spans="1:12">
      <c r="A80" t="s">
        <v>6310</v>
      </c>
      <c r="B80" t="s">
        <v>5961</v>
      </c>
      <c r="C80" t="s">
        <v>6272</v>
      </c>
      <c r="D80" t="s">
        <v>6273</v>
      </c>
      <c r="E80" t="s">
        <v>6274</v>
      </c>
      <c r="F80" t="s">
        <v>6275</v>
      </c>
      <c r="G80" t="s">
        <v>6276</v>
      </c>
      <c r="H80" t="s">
        <v>3212</v>
      </c>
      <c r="I80" t="s">
        <v>6277</v>
      </c>
      <c r="J80" t="s">
        <v>6278</v>
      </c>
      <c r="K80" t="s">
        <v>6279</v>
      </c>
      <c r="L80" t="s">
        <v>6280</v>
      </c>
    </row>
    <row r="81" spans="1:12">
      <c r="A81" t="s">
        <v>6320</v>
      </c>
      <c r="B81" t="s">
        <v>5965</v>
      </c>
      <c r="C81" t="s">
        <v>6282</v>
      </c>
      <c r="D81" t="s">
        <v>6283</v>
      </c>
      <c r="E81" t="s">
        <v>6284</v>
      </c>
      <c r="F81" t="s">
        <v>6285</v>
      </c>
      <c r="G81" t="s">
        <v>6286</v>
      </c>
      <c r="H81" t="s">
        <v>4510</v>
      </c>
      <c r="I81" t="s">
        <v>6287</v>
      </c>
      <c r="J81" t="s">
        <v>6288</v>
      </c>
      <c r="K81" t="s">
        <v>6289</v>
      </c>
      <c r="L81" t="s">
        <v>6290</v>
      </c>
    </row>
    <row r="82" spans="1:12">
      <c r="A82" t="s">
        <v>6330</v>
      </c>
      <c r="B82" t="s">
        <v>5965</v>
      </c>
      <c r="C82" t="s">
        <v>6292</v>
      </c>
      <c r="D82" t="s">
        <v>6293</v>
      </c>
      <c r="E82" t="s">
        <v>6294</v>
      </c>
      <c r="F82" t="s">
        <v>6295</v>
      </c>
      <c r="G82" t="s">
        <v>6296</v>
      </c>
      <c r="H82" t="s">
        <v>5479</v>
      </c>
      <c r="I82" t="s">
        <v>6297</v>
      </c>
      <c r="J82" t="s">
        <v>6298</v>
      </c>
      <c r="K82" t="s">
        <v>6299</v>
      </c>
      <c r="L82" t="s">
        <v>6300</v>
      </c>
    </row>
    <row r="83" spans="1:12">
      <c r="A83" t="s">
        <v>6339</v>
      </c>
      <c r="B83" t="s">
        <v>5965</v>
      </c>
      <c r="C83" t="s">
        <v>6302</v>
      </c>
      <c r="D83" t="s">
        <v>6303</v>
      </c>
      <c r="E83" t="s">
        <v>6304</v>
      </c>
      <c r="F83" t="s">
        <v>6305</v>
      </c>
      <c r="G83" t="s">
        <v>6275</v>
      </c>
      <c r="H83" t="s">
        <v>4510</v>
      </c>
      <c r="I83" t="s">
        <v>6306</v>
      </c>
      <c r="J83" t="s">
        <v>6307</v>
      </c>
      <c r="K83" t="s">
        <v>6308</v>
      </c>
      <c r="L83" t="s">
        <v>6309</v>
      </c>
    </row>
    <row r="84" spans="1:12">
      <c r="A84" t="s">
        <v>6349</v>
      </c>
      <c r="B84" t="s">
        <v>5969</v>
      </c>
      <c r="C84" t="s">
        <v>6311</v>
      </c>
      <c r="D84" t="s">
        <v>6312</v>
      </c>
      <c r="E84" t="s">
        <v>6313</v>
      </c>
      <c r="F84" t="s">
        <v>6314</v>
      </c>
      <c r="G84" t="s">
        <v>6315</v>
      </c>
      <c r="H84" t="s">
        <v>5479</v>
      </c>
      <c r="I84" t="s">
        <v>6316</v>
      </c>
      <c r="J84" t="s">
        <v>6317</v>
      </c>
      <c r="K84" t="s">
        <v>6318</v>
      </c>
      <c r="L84" t="s">
        <v>6319</v>
      </c>
    </row>
    <row r="85" spans="1:12">
      <c r="A85" t="s">
        <v>6359</v>
      </c>
      <c r="B85" t="s">
        <v>5969</v>
      </c>
      <c r="C85" t="s">
        <v>6321</v>
      </c>
      <c r="D85" t="s">
        <v>6322</v>
      </c>
      <c r="E85" t="s">
        <v>6323</v>
      </c>
      <c r="F85" t="s">
        <v>6324</v>
      </c>
      <c r="G85" t="s">
        <v>6325</v>
      </c>
      <c r="H85" t="s">
        <v>5339</v>
      </c>
      <c r="I85" t="s">
        <v>6326</v>
      </c>
      <c r="J85" t="s">
        <v>6327</v>
      </c>
      <c r="K85" t="s">
        <v>6328</v>
      </c>
      <c r="L85" t="s">
        <v>6329</v>
      </c>
    </row>
    <row r="86" spans="1:12">
      <c r="A86" t="s">
        <v>6368</v>
      </c>
      <c r="B86" t="s">
        <v>5969</v>
      </c>
      <c r="C86" t="s">
        <v>6331</v>
      </c>
      <c r="D86" t="s">
        <v>6332</v>
      </c>
      <c r="E86" t="s">
        <v>6333</v>
      </c>
      <c r="F86" t="s">
        <v>6334</v>
      </c>
      <c r="G86" t="s">
        <v>6335</v>
      </c>
      <c r="H86" t="s">
        <v>5479</v>
      </c>
      <c r="I86" t="s">
        <v>6336</v>
      </c>
      <c r="J86" t="s">
        <v>6337</v>
      </c>
      <c r="K86" t="s">
        <v>6338</v>
      </c>
      <c r="L86" t="s">
        <v>6250</v>
      </c>
    </row>
    <row r="87" spans="1:12">
      <c r="A87" t="s">
        <v>6378</v>
      </c>
      <c r="B87" t="s">
        <v>5973</v>
      </c>
      <c r="C87" t="s">
        <v>6340</v>
      </c>
      <c r="D87" t="s">
        <v>6341</v>
      </c>
      <c r="E87" t="s">
        <v>6342</v>
      </c>
      <c r="F87" t="s">
        <v>6343</v>
      </c>
      <c r="G87" t="s">
        <v>6344</v>
      </c>
      <c r="H87" t="s">
        <v>4510</v>
      </c>
      <c r="I87" t="s">
        <v>6345</v>
      </c>
      <c r="J87" t="s">
        <v>6346</v>
      </c>
      <c r="K87" t="s">
        <v>6347</v>
      </c>
      <c r="L87" t="s">
        <v>6348</v>
      </c>
    </row>
    <row r="88" spans="1:12">
      <c r="A88" t="s">
        <v>6388</v>
      </c>
      <c r="B88" t="s">
        <v>5973</v>
      </c>
      <c r="C88" t="s">
        <v>6350</v>
      </c>
      <c r="D88" t="s">
        <v>6351</v>
      </c>
      <c r="E88" t="s">
        <v>6352</v>
      </c>
      <c r="F88" t="s">
        <v>6353</v>
      </c>
      <c r="G88" t="s">
        <v>6354</v>
      </c>
      <c r="H88" t="s">
        <v>5339</v>
      </c>
      <c r="I88" t="s">
        <v>6355</v>
      </c>
      <c r="J88" t="s">
        <v>6356</v>
      </c>
      <c r="K88" t="s">
        <v>6357</v>
      </c>
      <c r="L88" t="s">
        <v>6358</v>
      </c>
    </row>
    <row r="89" spans="1:12">
      <c r="A89" t="s">
        <v>6398</v>
      </c>
      <c r="B89" t="s">
        <v>5973</v>
      </c>
      <c r="C89" t="s">
        <v>6360</v>
      </c>
      <c r="D89" t="s">
        <v>6361</v>
      </c>
      <c r="E89" t="s">
        <v>6362</v>
      </c>
      <c r="F89" t="s">
        <v>6363</v>
      </c>
      <c r="G89" t="s">
        <v>6364</v>
      </c>
      <c r="H89" t="s">
        <v>3212</v>
      </c>
      <c r="I89" t="s">
        <v>6365</v>
      </c>
      <c r="J89" t="s">
        <v>6366</v>
      </c>
      <c r="K89" t="s">
        <v>6249</v>
      </c>
      <c r="L89" t="s">
        <v>6367</v>
      </c>
    </row>
    <row r="90" spans="1:12">
      <c r="A90" t="s">
        <v>6408</v>
      </c>
      <c r="B90" t="s">
        <v>5977</v>
      </c>
      <c r="C90" t="s">
        <v>6369</v>
      </c>
      <c r="D90" t="s">
        <v>6370</v>
      </c>
      <c r="E90" t="s">
        <v>6371</v>
      </c>
      <c r="F90" t="s">
        <v>6372</v>
      </c>
      <c r="G90" t="s">
        <v>6373</v>
      </c>
      <c r="H90" t="s">
        <v>5479</v>
      </c>
      <c r="I90" t="s">
        <v>6374</v>
      </c>
      <c r="J90" t="s">
        <v>6375</v>
      </c>
      <c r="K90" t="s">
        <v>6376</v>
      </c>
      <c r="L90" t="s">
        <v>6377</v>
      </c>
    </row>
    <row r="91" spans="1:12">
      <c r="A91" t="s">
        <v>6418</v>
      </c>
      <c r="B91" t="s">
        <v>5977</v>
      </c>
      <c r="C91" t="s">
        <v>6379</v>
      </c>
      <c r="D91" t="s">
        <v>6380</v>
      </c>
      <c r="E91" t="s">
        <v>6381</v>
      </c>
      <c r="F91" t="s">
        <v>6382</v>
      </c>
      <c r="G91" t="s">
        <v>6383</v>
      </c>
      <c r="H91" t="s">
        <v>4510</v>
      </c>
      <c r="I91" t="s">
        <v>6384</v>
      </c>
      <c r="J91" t="s">
        <v>6385</v>
      </c>
      <c r="K91" t="s">
        <v>6386</v>
      </c>
      <c r="L91" t="s">
        <v>6387</v>
      </c>
    </row>
    <row r="92" spans="1:12">
      <c r="A92" t="s">
        <v>6427</v>
      </c>
      <c r="B92" t="s">
        <v>5977</v>
      </c>
      <c r="C92" t="s">
        <v>6389</v>
      </c>
      <c r="D92" t="s">
        <v>6390</v>
      </c>
      <c r="E92" t="s">
        <v>6391</v>
      </c>
      <c r="F92" t="s">
        <v>6392</v>
      </c>
      <c r="G92" t="s">
        <v>6393</v>
      </c>
      <c r="H92" t="s">
        <v>5339</v>
      </c>
      <c r="I92" t="s">
        <v>6394</v>
      </c>
      <c r="J92" t="s">
        <v>6395</v>
      </c>
      <c r="K92" t="s">
        <v>6396</v>
      </c>
      <c r="L92" t="s">
        <v>6397</v>
      </c>
    </row>
    <row r="93" spans="1:12">
      <c r="A93" t="s">
        <v>6428</v>
      </c>
      <c r="B93" t="s">
        <v>5980</v>
      </c>
      <c r="C93" t="s">
        <v>6399</v>
      </c>
      <c r="D93" t="s">
        <v>6400</v>
      </c>
      <c r="E93" t="s">
        <v>6401</v>
      </c>
      <c r="F93" t="s">
        <v>6402</v>
      </c>
      <c r="G93" t="s">
        <v>6403</v>
      </c>
      <c r="H93" t="s">
        <v>3212</v>
      </c>
      <c r="I93" t="s">
        <v>6404</v>
      </c>
      <c r="J93" t="s">
        <v>6405</v>
      </c>
      <c r="K93" t="s">
        <v>6406</v>
      </c>
      <c r="L93" t="s">
        <v>6407</v>
      </c>
    </row>
    <row r="94" spans="1:12">
      <c r="A94" t="s">
        <v>6429</v>
      </c>
      <c r="B94" t="s">
        <v>5980</v>
      </c>
      <c r="C94" t="s">
        <v>6409</v>
      </c>
      <c r="D94" t="s">
        <v>6410</v>
      </c>
      <c r="E94" t="s">
        <v>6411</v>
      </c>
      <c r="F94" t="s">
        <v>6412</v>
      </c>
      <c r="G94" t="s">
        <v>6413</v>
      </c>
      <c r="H94" t="s">
        <v>4510</v>
      </c>
      <c r="I94" t="s">
        <v>6414</v>
      </c>
      <c r="J94" t="s">
        <v>6415</v>
      </c>
      <c r="K94" t="s">
        <v>6416</v>
      </c>
      <c r="L94" t="s">
        <v>6417</v>
      </c>
    </row>
    <row r="95" spans="1:12">
      <c r="A95" t="s">
        <v>6430</v>
      </c>
      <c r="B95" t="s">
        <v>5980</v>
      </c>
      <c r="C95" t="s">
        <v>6419</v>
      </c>
      <c r="D95" t="s">
        <v>6420</v>
      </c>
      <c r="E95" t="s">
        <v>6421</v>
      </c>
      <c r="F95" t="s">
        <v>6422</v>
      </c>
      <c r="G95" t="s">
        <v>6423</v>
      </c>
      <c r="H95" t="s">
        <v>5479</v>
      </c>
      <c r="I95" t="s">
        <v>6431</v>
      </c>
      <c r="J95" t="s">
        <v>6424</v>
      </c>
      <c r="K95" t="s">
        <v>6425</v>
      </c>
      <c r="L95" t="s">
        <v>6426</v>
      </c>
    </row>
  </sheetData>
  <phoneticPr fontId="20" type="noConversion"/>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1"/>
  <sheetViews>
    <sheetView workbookViewId="0">
      <pane ySplit="1" topLeftCell="A16" activePane="bottomLeft" state="frozen"/>
      <selection pane="bottomLeft" activeCell="F19" sqref="F19"/>
    </sheetView>
  </sheetViews>
  <sheetFormatPr defaultRowHeight="15"/>
  <cols>
    <col min="1" max="1" width="10" customWidth="1"/>
    <col min="2" max="2" width="14" customWidth="1"/>
    <col min="3" max="4" width="10" customWidth="1"/>
    <col min="5" max="9" width="40" customWidth="1"/>
    <col min="10" max="14" width="6" customWidth="1"/>
    <col min="15" max="15" width="10" customWidth="1"/>
    <col min="17" max="17" width="55" customWidth="1"/>
  </cols>
  <sheetData>
    <row r="1" spans="1:10">
      <c r="A1" t="s">
        <v>3244</v>
      </c>
      <c r="B1" t="s">
        <v>2</v>
      </c>
      <c r="C1" t="s">
        <v>3245</v>
      </c>
      <c r="D1" t="s">
        <v>3246</v>
      </c>
      <c r="E1" t="s">
        <v>3</v>
      </c>
      <c r="F1" t="s">
        <v>4</v>
      </c>
      <c r="G1" t="s">
        <v>5</v>
      </c>
      <c r="H1" t="s">
        <v>6</v>
      </c>
      <c r="I1" t="s">
        <v>7</v>
      </c>
      <c r="J1" t="inlineStr">
        <is>
          <t xml:space="preserve">Stage ID</t>
        </is>
      </c>
    </row>
    <row r="2" spans="1:9">
      <c r="A2" t="s">
        <v>3247</v>
      </c>
      <c r="B2" t="s">
        <v>16</v>
      </c>
      <c r="C2" t="s">
        <v>3248</v>
      </c>
      <c r="E2" t="inlineStr">
        <is>
          <t xml:space="preserve">You aren't convincing me.</t>
        </is>
      </c>
      <c r="F2" t="s">
        <v>3250</v>
      </c>
      <c r="G2" t="s">
        <v>3251</v>
      </c>
      <c r="H2" t="s">
        <v>3252</v>
      </c>
      <c r="I2" t="s">
        <v>3253</v>
      </c>
    </row>
    <row r="3" spans="1:9">
      <c r="A3" t="s">
        <v>3254</v>
      </c>
      <c r="B3" t="s">
        <v>16</v>
      </c>
      <c r="C3" t="s">
        <v>3255</v>
      </c>
      <c r="E3" t="inlineStr">
        <is>
          <t xml:space="preserve">Set the record straight. My doubt is real.</t>
        </is>
      </c>
      <c r="F3" t="s">
        <v>3257</v>
      </c>
      <c r="G3" t="s">
        <v>3258</v>
      </c>
      <c r="H3" t="s">
        <v>3259</v>
      </c>
      <c r="I3" t="s">
        <v>3260</v>
      </c>
    </row>
    <row r="4" spans="1:9">
      <c r="A4" t="s">
        <v>3261</v>
      </c>
      <c r="B4" t="s">
        <v>16</v>
      </c>
      <c r="C4" t="s">
        <v>3262</v>
      </c>
      <c r="E4" t="s">
        <v>3263</v>
      </c>
      <c r="F4" t="s">
        <v>3264</v>
      </c>
      <c r="G4" t="s">
        <v>3265</v>
      </c>
      <c r="H4" t="s">
        <v>20</v>
      </c>
      <c r="I4" t="s">
        <v>21</v>
      </c>
    </row>
    <row r="5" spans="1:9">
      <c r="A5" s="61" t="s">
        <v>3266</v>
      </c>
      <c r="B5" s="61" t="s">
        <v>80</v>
      </c>
      <c r="C5" s="61" t="s">
        <v>3248</v>
      </c>
      <c r="D5" s="61"/>
      <c r="E5" s="61" t="s">
        <v>3267</v>
      </c>
      <c r="F5" s="61" t="s">
        <v>3268</v>
      </c>
      <c r="G5" s="61" t="s">
        <v>3269</v>
      </c>
      <c r="H5" s="61" t="s">
        <v>3270</v>
      </c>
      <c r="I5" s="61" t="s">
        <v>3271</v>
      </c>
    </row>
    <row r="6" spans="1:9">
      <c r="A6" s="61" t="s">
        <v>3272</v>
      </c>
      <c r="B6" s="61" t="s">
        <v>80</v>
      </c>
      <c r="C6" s="61" t="s">
        <v>3255</v>
      </c>
      <c r="D6" s="61"/>
      <c r="E6" s="61" t="inlineStr">
        <is>
          <t xml:space="preserve">That is worth fighting for!</t>
        </is>
      </c>
      <c r="F6" s="61" t="s">
        <v>3274</v>
      </c>
      <c r="G6" s="61" t="s">
        <v>3275</v>
      </c>
      <c r="H6" s="61" t="s">
        <v>3276</v>
      </c>
      <c r="I6" s="61" t="s">
        <v>3277</v>
      </c>
    </row>
    <row r="7" spans="1:9">
      <c r="A7" s="61" t="s">
        <v>3278</v>
      </c>
      <c r="B7" s="61" t="s">
        <v>80</v>
      </c>
      <c r="C7" s="61" t="s">
        <v>3262</v>
      </c>
      <c r="D7" s="61"/>
      <c r="E7" s="61" t="s">
        <v>3279</v>
      </c>
      <c r="F7" s="61" t="s">
        <v>3280</v>
      </c>
      <c r="G7" s="61" t="s">
        <v>3281</v>
      </c>
      <c r="H7" s="61" t="s">
        <v>3282</v>
      </c>
      <c r="I7" s="61" t="s">
        <v>3283</v>
      </c>
    </row>
    <row r="8" spans="1:9" ht="30" customHeight="1">
      <c r="A8" s="61" t="s">
        <v>3284</v>
      </c>
      <c r="B8" s="61" t="s">
        <v>144</v>
      </c>
      <c r="C8" s="61" t="s">
        <v>3248</v>
      </c>
      <c r="D8" s="61"/>
      <c r="E8" s="61" t="s">
        <v>3285</v>
      </c>
      <c r="F8" s="61" t="s">
        <v>3286</v>
      </c>
      <c r="G8" s="61" t="s">
        <v>3287</v>
      </c>
      <c r="H8" s="61" t="s">
        <v>3288</v>
      </c>
      <c r="I8" s="61" t="s">
        <v>3289</v>
      </c>
    </row>
    <row r="9" spans="1:9">
      <c r="A9" s="61" t="s">
        <v>3290</v>
      </c>
      <c r="B9" s="61" t="s">
        <v>144</v>
      </c>
      <c r="C9" s="61" t="s">
        <v>3255</v>
      </c>
      <c r="D9" s="61"/>
      <c r="E9" s="61" t="s">
        <v>3291</v>
      </c>
      <c r="F9" s="61" t="s">
        <v>3292</v>
      </c>
      <c r="G9" s="61" t="s">
        <v>3293</v>
      </c>
      <c r="H9" s="61" t="s">
        <v>3294</v>
      </c>
      <c r="I9" s="61" t="s">
        <v>3295</v>
      </c>
    </row>
    <row r="10" spans="1:9">
      <c r="A10" s="61" t="s">
        <v>3296</v>
      </c>
      <c r="B10" s="61" t="s">
        <v>144</v>
      </c>
      <c r="C10" s="61" t="s">
        <v>3262</v>
      </c>
      <c r="D10" s="61"/>
      <c r="E10" s="61" t="s">
        <v>3297</v>
      </c>
      <c r="F10" s="61" t="inlineStr">
        <is>
          <t xml:space="preserve">This room stands together.</t>
        </is>
      </c>
      <c r="G10" s="61" t="s">
        <v>3299</v>
      </c>
      <c r="H10" s="61" t="s">
        <v>3300</v>
      </c>
      <c r="I10" s="61" t="s">
        <v>3301</v>
      </c>
    </row>
    <row r="11" spans="1:9">
      <c r="A11" s="61" t="s">
        <v>3302</v>
      </c>
      <c r="B11" s="61" t="s">
        <v>205</v>
      </c>
      <c r="C11" s="61" t="s">
        <v>3248</v>
      </c>
      <c r="D11" s="61"/>
      <c r="E11" s="61" t="s">
        <v>3303</v>
      </c>
      <c r="F11" s="61" t="s">
        <v>3304</v>
      </c>
      <c r="G11" s="61" t="s">
        <v>3305</v>
      </c>
      <c r="H11" s="61" t="s">
        <v>3306</v>
      </c>
      <c r="I11" s="61" t="s">
        <v>3307</v>
      </c>
    </row>
    <row r="12" spans="1:9">
      <c r="A12" s="61" t="s">
        <v>3308</v>
      </c>
      <c r="B12" s="61" t="s">
        <v>205</v>
      </c>
      <c r="C12" s="61" t="s">
        <v>3255</v>
      </c>
      <c r="D12" s="61"/>
      <c r="E12" s="61" t="s">
        <v>3309</v>
      </c>
      <c r="F12" s="61" t="s">
        <v>3310</v>
      </c>
      <c r="G12" s="61" t="s">
        <v>3311</v>
      </c>
      <c r="H12" s="61" t="s">
        <v>3312</v>
      </c>
      <c r="I12" s="61" t="s">
        <v>3313</v>
      </c>
    </row>
    <row r="13" spans="1:9" ht="30" customHeight="1">
      <c r="A13" s="61" t="s">
        <v>3314</v>
      </c>
      <c r="B13" s="61" t="s">
        <v>205</v>
      </c>
      <c r="C13" s="61" t="s">
        <v>3262</v>
      </c>
      <c r="D13" s="61"/>
      <c r="E13" s="61" t="s">
        <v>3315</v>
      </c>
      <c r="F13" s="61" t="s">
        <v>3316</v>
      </c>
      <c r="G13" s="61" t="inlineStr">
        <is>
          <t xml:space="preserve">Show your work, or I concede nothing.</t>
        </is>
      </c>
      <c r="H13" s="61" t="s">
        <v>3318</v>
      </c>
      <c r="I13" s="61" t="s">
        <v>3319</v>
      </c>
    </row>
    <row r="14" spans="1:9" ht="30" customHeight="1">
      <c r="A14" s="61" t="s">
        <v>3320</v>
      </c>
      <c r="B14" s="61" t="s">
        <v>269</v>
      </c>
      <c r="C14" s="61" t="s">
        <v>3248</v>
      </c>
      <c r="D14" s="61"/>
      <c r="E14" s="61" t="s">
        <v>3321</v>
      </c>
      <c r="F14" s="61" t="s">
        <v>3322</v>
      </c>
      <c r="G14" s="61" t="s">
        <v>3323</v>
      </c>
      <c r="H14" s="61" t="s">
        <v>3324</v>
      </c>
      <c r="I14" s="61" t="s">
        <v>3325</v>
      </c>
    </row>
    <row r="15" spans="1:9" ht="30" customHeight="1">
      <c r="A15" s="61" t="s">
        <v>3326</v>
      </c>
      <c r="B15" s="61" t="s">
        <v>269</v>
      </c>
      <c r="C15" s="61" t="s">
        <v>3255</v>
      </c>
      <c r="D15" s="61"/>
      <c r="E15" s="61" t="s">
        <v>3327</v>
      </c>
      <c r="F15" s="61" t="s">
        <v>3328</v>
      </c>
      <c r="G15" s="61" t="s">
        <v>3329</v>
      </c>
      <c r="H15" s="61" t="s">
        <v>3330</v>
      </c>
      <c r="I15" s="61" t="s">
        <v>3331</v>
      </c>
    </row>
    <row r="16" spans="1:9">
      <c r="A16" s="61" t="s">
        <v>3332</v>
      </c>
      <c r="B16" s="61" t="s">
        <v>269</v>
      </c>
      <c r="C16" s="61" t="s">
        <v>3262</v>
      </c>
      <c r="D16" s="61"/>
      <c r="E16" s="61" t="s">
        <v>3333</v>
      </c>
      <c r="F16" s="61" t="s">
        <v>3334</v>
      </c>
      <c r="G16" s="61" t="s">
        <v>3335</v>
      </c>
      <c r="H16" s="61" t="s">
        <v>3336</v>
      </c>
      <c r="I16" s="61" t="s">
        <v>3337</v>
      </c>
    </row>
    <row r="17" spans="1:9" ht="30" customHeight="1">
      <c r="A17" s="61" t="s">
        <v>3338</v>
      </c>
      <c r="B17" s="61" t="s">
        <v>333</v>
      </c>
      <c r="C17" s="61" t="s">
        <v>3248</v>
      </c>
      <c r="D17" s="61"/>
      <c r="E17" s="61" t="s">
        <v>3339</v>
      </c>
      <c r="F17" s="61" t="s">
        <v>3340</v>
      </c>
      <c r="G17" s="61" t="s">
        <v>3341</v>
      </c>
      <c r="H17" s="61" t="s">
        <v>3342</v>
      </c>
      <c r="I17" s="61" t="s">
        <v>3343</v>
      </c>
    </row>
    <row r="18" spans="1:9">
      <c r="A18" s="61" t="s">
        <v>3344</v>
      </c>
      <c r="B18" s="61" t="s">
        <v>333</v>
      </c>
      <c r="C18" s="61" t="s">
        <v>3255</v>
      </c>
      <c r="D18" s="61"/>
      <c r="E18" s="61" t="s">
        <v>3345</v>
      </c>
      <c r="F18" s="61" t="s">
        <v>3346</v>
      </c>
      <c r="G18" s="61" t="s">
        <v>3347</v>
      </c>
      <c r="H18" s="61" t="s">
        <v>3348</v>
      </c>
      <c r="I18" s="61" t="s">
        <v>3349</v>
      </c>
    </row>
    <row r="19" spans="1:9">
      <c r="A19" s="61" t="s">
        <v>3350</v>
      </c>
      <c r="B19" s="61" t="s">
        <v>333</v>
      </c>
      <c r="C19" s="61" t="s">
        <v>3262</v>
      </c>
      <c r="D19" s="61"/>
      <c r="E19" s="61" t="s">
        <v>3351</v>
      </c>
      <c r="F19" s="61" t="s">
        <v>3352</v>
      </c>
      <c r="G19" s="61" t="s">
        <v>3353</v>
      </c>
      <c r="H19" s="61" t="s">
        <v>3354</v>
      </c>
      <c r="I19" s="61" t="inlineStr">
        <is>
          <t xml:space="preserve">We'll get back to you.</t>
        </is>
      </c>
    </row>
    <row r="20" spans="1:9">
      <c r="A20" s="61" t="s">
        <v>3356</v>
      </c>
      <c r="B20" s="61" t="s">
        <v>80</v>
      </c>
      <c r="C20" s="61" t="s">
        <v>3248</v>
      </c>
      <c r="E20" s="61" t="inlineStr">
        <is>
          <t xml:space="preserve">You do not look families in the eye!</t>
        </is>
      </c>
      <c r="F20" s="61" t="s">
        <v>120</v>
      </c>
      <c r="G20" s="61" t="s">
        <v>3358</v>
      </c>
      <c r="H20" s="61" t="s">
        <v>3359</v>
      </c>
      <c r="I20" s="61" t="s">
        <v>3360</v>
      </c>
    </row>
    <row r="21" spans="1:9" ht="30" customHeight="1">
      <c r="A21" s="61" t="s">
        <v>3361</v>
      </c>
      <c r="B21" s="61" t="s">
        <v>80</v>
      </c>
      <c r="C21" s="61" t="s">
        <v>3255</v>
      </c>
      <c r="E21" s="61" t="inlineStr">
        <is>
          <t xml:space="preserve">I fight for every family here!</t>
        </is>
      </c>
      <c r="F21" s="61" t="s">
        <v>3363</v>
      </c>
      <c r="G21" s="61" t="s">
        <v>3364</v>
      </c>
      <c r="H21" s="61" t="s">
        <v>3365</v>
      </c>
      <c r="I21" s="61" t="inlineStr">
        <is>
          <t xml:space="preserve">This is personal. Hard choices matter!</t>
        </is>
      </c>
    </row>
    <row r="22" spans="1:9">
      <c r="A22" s="61" t="s">
        <v>3367</v>
      </c>
      <c r="B22" s="61" t="s">
        <v>80</v>
      </c>
      <c r="C22" s="61" t="s">
        <v>3262</v>
      </c>
      <c r="D22" s="61"/>
      <c r="E22" s="61" t="s">
        <v>3368</v>
      </c>
      <c r="F22" s="61" t="s">
        <v>3369</v>
      </c>
      <c r="G22" s="61" t="s">
        <v>3370</v>
      </c>
      <c r="H22" s="61" t="s">
        <v>3371</v>
      </c>
      <c r="I22" s="61" t="s">
        <v>3372</v>
      </c>
    </row>
    <row r="23" spans="1:9">
      <c r="A23" s="61" t="s">
        <v>3373</v>
      </c>
      <c r="B23" s="61" t="s">
        <v>144</v>
      </c>
      <c r="C23" s="61" t="s">
        <v>3248</v>
      </c>
      <c r="D23" s="61"/>
      <c r="E23" s="61" t="s">
        <v>3374</v>
      </c>
      <c r="F23" s="61" t="s">
        <v>3375</v>
      </c>
      <c r="G23" s="61" t="s">
        <v>3376</v>
      </c>
      <c r="H23" s="61" t="s">
        <v>3377</v>
      </c>
      <c r="I23" s="61" t="s">
        <v>3378</v>
      </c>
    </row>
    <row r="24" spans="1:9">
      <c r="A24" s="61" t="s">
        <v>3379</v>
      </c>
      <c r="B24" s="61" t="s">
        <v>144</v>
      </c>
      <c r="C24" s="61" t="s">
        <v>3255</v>
      </c>
      <c r="D24" s="61"/>
      <c r="E24" s="61" t="s">
        <v>3380</v>
      </c>
      <c r="F24" s="61" t="s">
        <v>3381</v>
      </c>
      <c r="G24" s="61" t="s">
        <v>3382</v>
      </c>
      <c r="H24" s="61" t="s">
        <v>3383</v>
      </c>
      <c r="I24" s="61" t="s">
        <v>3384</v>
      </c>
    </row>
    <row r="25" spans="1:9" ht="30" customHeight="1">
      <c r="A25" s="61" t="s">
        <v>3385</v>
      </c>
      <c r="B25" s="61" t="s">
        <v>144</v>
      </c>
      <c r="C25" s="61" t="s">
        <v>3262</v>
      </c>
      <c r="D25" s="61"/>
      <c r="E25" s="61" t="s">
        <v>3386</v>
      </c>
      <c r="F25" s="61" t="s">
        <v>3387</v>
      </c>
      <c r="G25" s="61" t="s">
        <v>3388</v>
      </c>
      <c r="H25" s="61" t="s">
        <v>3389</v>
      </c>
      <c r="I25" s="61" t="s">
        <v>3390</v>
      </c>
    </row>
    <row r="26" spans="1:9" ht="30" customHeight="1">
      <c r="A26" s="61" t="s">
        <v>3391</v>
      </c>
      <c r="B26" s="61" t="s">
        <v>205</v>
      </c>
      <c r="C26" s="61" t="s">
        <v>3248</v>
      </c>
      <c r="D26" s="61"/>
      <c r="E26" s="61" t="s">
        <v>3392</v>
      </c>
      <c r="F26" s="61" t="s">
        <v>3393</v>
      </c>
      <c r="G26" s="61" t="s">
        <v>3394</v>
      </c>
      <c r="H26" s="61" t="s">
        <v>3395</v>
      </c>
      <c r="I26" s="61" t="s">
        <v>3396</v>
      </c>
    </row>
    <row r="27" spans="1:9">
      <c r="A27" s="61" t="s">
        <v>3397</v>
      </c>
      <c r="B27" s="61" t="s">
        <v>205</v>
      </c>
      <c r="C27" s="61" t="s">
        <v>3255</v>
      </c>
      <c r="E27" s="61" t="s">
        <v>3398</v>
      </c>
      <c r="F27" s="61" t="s">
        <v>3399</v>
      </c>
      <c r="G27" s="61" t="s">
        <v>3400</v>
      </c>
      <c r="H27" s="61" t="s">
        <v>3401</v>
      </c>
      <c r="I27" s="61" t="s">
        <v>3402</v>
      </c>
    </row>
    <row r="28" spans="1:9">
      <c r="A28" s="61" t="s">
        <v>3403</v>
      </c>
      <c r="B28" s="61" t="s">
        <v>205</v>
      </c>
      <c r="C28" s="61" t="s">
        <v>3262</v>
      </c>
      <c r="E28" s="61" t="s">
        <v>3404</v>
      </c>
      <c r="F28" s="61" t="s">
        <v>3405</v>
      </c>
      <c r="G28" s="61" t="s">
        <v>3406</v>
      </c>
      <c r="H28" s="61" t="s">
        <v>3407</v>
      </c>
      <c r="I28" s="61" t="s">
        <v>3408</v>
      </c>
    </row>
    <row r="29" spans="1:9">
      <c r="A29" s="61" t="s">
        <v>3409</v>
      </c>
      <c r="B29" s="61" t="s">
        <v>269</v>
      </c>
      <c r="C29" s="61" t="s">
        <v>3248</v>
      </c>
      <c r="E29" s="61" t="s">
        <v>3410</v>
      </c>
      <c r="F29" s="61" t="s">
        <v>3411</v>
      </c>
      <c r="G29" s="61" t="s">
        <v>3412</v>
      </c>
      <c r="H29" s="61" t="s">
        <v>3413</v>
      </c>
      <c r="I29" s="61" t="s">
        <v>3414</v>
      </c>
    </row>
    <row r="30" spans="1:9">
      <c r="A30" s="61" t="s">
        <v>3415</v>
      </c>
      <c r="B30" s="61" t="s">
        <v>269</v>
      </c>
      <c r="C30" s="61" t="s">
        <v>3255</v>
      </c>
      <c r="E30" s="61" t="s">
        <v>3416</v>
      </c>
      <c r="F30" s="61" t="s">
        <v>3417</v>
      </c>
      <c r="G30" s="61" t="s">
        <v>3418</v>
      </c>
      <c r="H30" s="61" t="s">
        <v>3419</v>
      </c>
      <c r="I30" s="61" t="s">
        <v>3420</v>
      </c>
    </row>
    <row r="31" spans="1:9">
      <c r="A31" s="61" t="s">
        <v>3421</v>
      </c>
      <c r="B31" s="61" t="s">
        <v>269</v>
      </c>
      <c r="C31" s="61" t="s">
        <v>3262</v>
      </c>
      <c r="E31" s="61" t="s">
        <v>3422</v>
      </c>
      <c r="F31" s="61" t="s">
        <v>3423</v>
      </c>
      <c r="G31" s="61" t="s">
        <v>3424</v>
      </c>
      <c r="H31" s="61" t="s">
        <v>3425</v>
      </c>
      <c r="I31" s="61" t="s">
        <v>3426</v>
      </c>
    </row>
    <row r="32" spans="1:9" ht="30" customHeight="1">
      <c r="A32" s="61" t="s">
        <v>3427</v>
      </c>
      <c r="B32" s="61" t="s">
        <v>333</v>
      </c>
      <c r="C32" s="61" t="s">
        <v>3248</v>
      </c>
      <c r="E32" s="61" t="s">
        <v>3428</v>
      </c>
      <c r="F32" s="61" t="s">
        <v>3429</v>
      </c>
      <c r="G32" s="61" t="s">
        <v>3430</v>
      </c>
      <c r="H32" s="61" t="s">
        <v>3431</v>
      </c>
      <c r="I32" s="61" t="s">
        <v>3432</v>
      </c>
    </row>
    <row r="33" spans="1:9" ht="30" customHeight="1">
      <c r="A33" s="61" t="s">
        <v>3433</v>
      </c>
      <c r="B33" s="61" t="s">
        <v>333</v>
      </c>
      <c r="C33" s="61" t="s">
        <v>3255</v>
      </c>
      <c r="E33" s="61" t="inlineStr">
        <is>
          <t xml:space="preserve">Let us keep this under review...</t>
        </is>
      </c>
      <c r="F33" s="61" t="s">
        <v>3435</v>
      </c>
      <c r="G33" s="61" t="s">
        <v>3436</v>
      </c>
      <c r="H33" s="61" t="s">
        <v>3437</v>
      </c>
      <c r="I33" s="61" t="s">
        <v>3438</v>
      </c>
    </row>
    <row r="34" spans="1:9" ht="30" customHeight="1">
      <c r="A34" s="61" t="s">
        <v>3439</v>
      </c>
      <c r="B34" s="61" t="s">
        <v>333</v>
      </c>
      <c r="C34" s="61" t="s">
        <v>3262</v>
      </c>
      <c r="E34" s="61" t="s">
        <v>3440</v>
      </c>
      <c r="F34" s="61" t="s">
        <v>341</v>
      </c>
      <c r="G34" s="61" t="s">
        <v>3441</v>
      </c>
      <c r="H34" s="61" t="s">
        <v>3442</v>
      </c>
      <c r="I34" s="61" t="s">
        <v>3443</v>
      </c>
    </row>
    <row r="35" spans="1:9" ht="30" customHeight="1">
      <c r="A35" s="61" t="s">
        <v>3444</v>
      </c>
      <c r="B35" s="61" t="s">
        <v>16</v>
      </c>
      <c r="C35" s="61" t="s">
        <v>3248</v>
      </c>
      <c r="E35" s="61" t="s">
        <v>3445</v>
      </c>
      <c r="F35" s="61" t="s">
        <v>3446</v>
      </c>
      <c r="G35" s="61" t="s">
        <v>3447</v>
      </c>
      <c r="H35" s="61" t="inlineStr">
        <is>
          <t xml:space="preserve">Give me a straight answer.</t>
        </is>
      </c>
      <c r="I35" s="61" t="s">
        <v>3449</v>
      </c>
    </row>
    <row r="36" spans="1:9" ht="30" customHeight="1">
      <c r="A36" s="61" t="s">
        <v>3450</v>
      </c>
      <c r="B36" s="61" t="s">
        <v>16</v>
      </c>
      <c r="C36" s="61" t="s">
        <v>3255</v>
      </c>
      <c r="E36" s="61" t="s">
        <v>3451</v>
      </c>
      <c r="F36" s="61" t="s">
        <v>3452</v>
      </c>
      <c r="G36" s="61" t="s">
        <v>3453</v>
      </c>
      <c r="H36" s="61" t="s">
        <v>3454</v>
      </c>
      <c r="I36" s="61" t="s">
        <v>3455</v>
      </c>
    </row>
    <row r="37" spans="1:9" ht="30" customHeight="1">
      <c r="A37" s="61" t="s">
        <v>3456</v>
      </c>
      <c r="B37" s="61" t="s">
        <v>16</v>
      </c>
      <c r="C37" s="61" t="s">
        <v>3262</v>
      </c>
      <c r="E37" s="61" t="s">
        <v>3457</v>
      </c>
      <c r="F37" s="61" t="s">
        <v>3458</v>
      </c>
      <c r="G37" s="61" t="s">
        <v>3459</v>
      </c>
      <c r="H37" s="61" t="s">
        <v>3460</v>
      </c>
      <c r="I37" s="61" t="s">
        <v>3461</v>
      </c>
    </row>
    <row r="38">
      <c r="A38" s="61" t="inlineStr">
        <is>
          <t xml:space="preserve">OC37</t>
        </is>
      </c>
      <c r="B38" s="61" t="inlineStr">
        <is>
          <t xml:space="preserve">Data Driven</t>
        </is>
      </c>
      <c r="C38" s="61" t="inlineStr">
        <is>
          <t xml:space="preserve">attack</t>
        </is>
      </c>
      <c r="E38" s="61" t="inlineStr">
        <is>
          <t xml:space="preserve">Your fare projection ignores operating costs.</t>
        </is>
      </c>
      <c r="F38" s="61" t="inlineStr">
        <is>
          <t xml:space="preserve">Where is the source for that figure?</t>
        </is>
      </c>
      <c r="G38" s="61" t="inlineStr">
        <is>
          <t xml:space="preserve">Ridership says otherwise.</t>
        </is>
      </c>
      <c r="H38" s="61" t="inlineStr">
        <is>
          <t xml:space="preserve">Show the audit or drop the claim.</t>
        </is>
      </c>
      <c r="I38" s="61" t="inlineStr">
        <is>
          <t xml:space="preserve">The timetable numbers do not reconcile.</t>
        </is>
      </c>
      <c r="J38" t="inlineStr">
        <is>
          <t xml:space="preserve">ST24; ST25; ST26; ST27</t>
        </is>
      </c>
    </row>
    <row r="39">
      <c r="A39" s="61" t="inlineStr">
        <is>
          <t xml:space="preserve">OC38</t>
        </is>
      </c>
      <c r="B39" s="61" t="inlineStr">
        <is>
          <t xml:space="preserve">Data Driven</t>
        </is>
      </c>
      <c r="C39" s="61" t="inlineStr">
        <is>
          <t xml:space="preserve">attack</t>
        </is>
      </c>
      <c r="E39" s="61" t="inlineStr">
        <is>
          <t xml:space="preserve">Cost per passenger. Answer or admit it.</t>
        </is>
      </c>
      <c r="F39" s="61" t="inlineStr">
        <is>
          <t xml:space="preserve">What is the on-time rate, exactly?</t>
        </is>
      </c>
      <c r="G39" s="61" t="inlineStr">
        <is>
          <t xml:space="preserve">Which lines would you close?</t>
        </is>
      </c>
      <c r="H39" s="61" t="inlineStr">
        <is>
          <t xml:space="preserve">Your safety figures are incomplete.</t>
        </is>
      </c>
      <c r="I39" s="61" t="inlineStr">
        <is>
          <t xml:space="preserve">Yes or no: will fares rise?</t>
        </is>
      </c>
      <c r="J39" t="inlineStr">
        <is>
          <t xml:space="preserve">ST24; ST25; ST26; ST27</t>
        </is>
      </c>
    </row>
    <row r="40">
      <c r="A40" s="61" t="inlineStr">
        <is>
          <t xml:space="preserve">OC39</t>
        </is>
      </c>
      <c r="B40" s="61" t="inlineStr">
        <is>
          <t xml:space="preserve">Data Driven</t>
        </is>
      </c>
      <c r="C40" s="61" t="inlineStr">
        <is>
          <t xml:space="preserve">gain</t>
        </is>
      </c>
      <c r="E40" s="61" t="inlineStr">
        <is>
          <t xml:space="preserve">The evidence favours my reading.</t>
        </is>
      </c>
      <c r="F40" s="61" t="inlineStr">
        <is>
          <t xml:space="preserve">Check the ridership table. I am right.</t>
        </is>
      </c>
      <c r="G40" s="61" t="inlineStr">
        <is>
          <t xml:space="preserve">These figures support the fare review.</t>
        </is>
      </c>
      <c r="H40" s="61" t="inlineStr">
        <is>
          <t xml:space="preserve">The audit is on my side.</t>
        </is>
      </c>
      <c r="I40" s="61" t="inlineStr">
        <is>
          <t xml:space="preserve">Delay rates prove the point.</t>
        </is>
      </c>
      <c r="J40" t="inlineStr">
        <is>
          <t xml:space="preserve">ST24; ST25; ST26; ST27</t>
        </is>
      </c>
    </row>
    <row r="41">
      <c r="A41" s="61" t="inlineStr">
        <is>
          <t xml:space="preserve">OC40</t>
        </is>
      </c>
      <c r="B41" s="61" t="inlineStr">
        <is>
          <t xml:space="preserve">Data Driven</t>
        </is>
      </c>
      <c r="C41" s="61" t="inlineStr">
        <is>
          <t xml:space="preserve">gain</t>
        </is>
      </c>
      <c r="E41" s="61" t="inlineStr">
        <is>
          <t xml:space="preserve">Compare the numbers. They agree with me.</t>
        </is>
      </c>
      <c r="F41" s="61" t="inlineStr">
        <is>
          <t xml:space="preserve">Operating costs are in the appendix.</t>
        </is>
      </c>
      <c r="G41" s="61" t="inlineStr">
        <is>
          <t xml:space="preserve">The data is clear on this.</t>
        </is>
      </c>
      <c r="H41" s="61" t="inlineStr">
        <is>
          <t xml:space="preserve">Every table I cite is public.</t>
        </is>
      </c>
      <c r="I41" s="61" t="inlineStr">
        <is>
          <t xml:space="preserve">The safety record backs my plan.</t>
        </is>
      </c>
      <c r="J41" t="inlineStr">
        <is>
          <t xml:space="preserve">ST24; ST25; ST26; ST27</t>
        </is>
      </c>
    </row>
    <row r="42">
      <c r="A42" s="61" t="inlineStr">
        <is>
          <t xml:space="preserve">OC41</t>
        </is>
      </c>
      <c r="B42" s="61" t="inlineStr">
        <is>
          <t xml:space="preserve">Data Driven</t>
        </is>
      </c>
      <c r="C42" s="61" t="inlineStr">
        <is>
          <t xml:space="preserve">block</t>
        </is>
      </c>
      <c r="E42" s="61" t="inlineStr">
        <is>
          <t xml:space="preserve">The sample size is adequate.</t>
        </is>
      </c>
      <c r="F42" s="61" t="inlineStr">
        <is>
          <t xml:space="preserve">Those averages are misleading.</t>
        </is>
      </c>
      <c r="G42" s="61" t="inlineStr">
        <is>
          <t xml:space="preserve">My figures were verified.</t>
        </is>
      </c>
      <c r="H42" s="61" t="inlineStr">
        <is>
          <t xml:space="preserve">The operator's data is audited.</t>
        </is>
      </c>
      <c r="I42" s="61" t="inlineStr">
        <is>
          <t xml:space="preserve">Cite your source first.</t>
        </is>
      </c>
      <c r="J42" t="inlineStr">
        <is>
          <t xml:space="preserve">ST24; ST25; ST26; ST27</t>
        </is>
      </c>
    </row>
    <row r="43">
      <c r="A43" s="61" t="inlineStr">
        <is>
          <t xml:space="preserve">OC42</t>
        </is>
      </c>
      <c r="B43" s="61" t="inlineStr">
        <is>
          <t xml:space="preserve">Data Driven</t>
        </is>
      </c>
      <c r="C43" s="61" t="inlineStr">
        <is>
          <t xml:space="preserve">block</t>
        </is>
      </c>
      <c r="E43" s="61" t="inlineStr">
        <is>
          <t xml:space="preserve">Context matters for these numbers.</t>
        </is>
      </c>
      <c r="F43" s="61" t="inlineStr">
        <is>
          <t xml:space="preserve">That chart omits the costs.</t>
        </is>
      </c>
      <c r="G43" s="61" t="inlineStr">
        <is>
          <t xml:space="preserve">Correct the baseline, then ask.</t>
        </is>
      </c>
      <c r="H43" s="61" t="inlineStr">
        <is>
          <t xml:space="preserve">My methodology is sound.</t>
        </is>
      </c>
      <c r="I43" s="61" t="inlineStr">
        <is>
          <t xml:space="preserve">The ratio is more complicated.</t>
        </is>
      </c>
      <c r="J43" t="inlineStr">
        <is>
          <t xml:space="preserve">ST24; ST25; ST26; ST27</t>
        </is>
      </c>
    </row>
    <row r="44">
      <c r="A44" s="61" t="inlineStr">
        <is>
          <t xml:space="preserve">OC43</t>
        </is>
      </c>
      <c r="B44" s="61" t="inlineStr">
        <is>
          <t xml:space="preserve">Emotional</t>
        </is>
      </c>
      <c r="C44" s="61" t="inlineStr">
        <is>
          <t xml:space="preserve">attack</t>
        </is>
      </c>
      <c r="E44" s="61" t="inlineStr">
        <is>
          <t xml:space="preserve">Ordinary riders pay for your policy!</t>
        </is>
      </c>
      <c r="F44" s="61" t="inlineStr">
        <is>
          <t xml:space="preserve">Look the commuters in the eye!</t>
        </is>
      </c>
      <c r="G44" s="61" t="inlineStr">
        <is>
          <t xml:space="preserve">Seniors are stranded on those platforms!</t>
        </is>
      </c>
      <c r="H44" s="61" t="inlineStr">
        <is>
          <t xml:space="preserve">Do you feel nothing for riders?</t>
        </is>
      </c>
      <c r="I44" s="61" t="inlineStr">
        <is>
          <t xml:space="preserve">Families are the ones who suffer!</t>
        </is>
      </c>
      <c r="J44" t="inlineStr">
        <is>
          <t xml:space="preserve">ST24; ST25; ST26; ST27</t>
        </is>
      </c>
    </row>
    <row r="45">
      <c r="A45" s="61" t="inlineStr">
        <is>
          <t xml:space="preserve">OC44</t>
        </is>
      </c>
      <c r="B45" s="61" t="inlineStr">
        <is>
          <t xml:space="preserve">Emotional</t>
        </is>
      </c>
      <c r="C45" s="61" t="inlineStr">
        <is>
          <t xml:space="preserve">attack</t>
        </is>
      </c>
      <c r="E45" s="61" t="inlineStr">
        <is>
          <t xml:space="preserve">Your fares hurt the people I serve!</t>
        </is>
      </c>
      <c r="F45" s="61" t="inlineStr">
        <is>
          <t xml:space="preserve">Tell the night shift it is fine!</t>
        </is>
      </c>
      <c r="G45" s="61" t="inlineStr">
        <is>
          <t xml:space="preserve">This is a heartless proposal!</t>
        </is>
      </c>
      <c r="H45" s="61" t="inlineStr">
        <is>
          <t xml:space="preserve">Think of the children on those platforms!</t>
        </is>
      </c>
      <c r="I45" s="61" t="inlineStr">
        <is>
          <t xml:space="preserve">People deserve better than this!</t>
        </is>
      </c>
      <c r="J45" t="inlineStr">
        <is>
          <t xml:space="preserve">ST24; ST25; ST26; ST27</t>
        </is>
      </c>
    </row>
    <row r="46">
      <c r="A46" s="61" t="inlineStr">
        <is>
          <t xml:space="preserve">OC45</t>
        </is>
      </c>
      <c r="B46" s="61" t="inlineStr">
        <is>
          <t xml:space="preserve">Emotional</t>
        </is>
      </c>
      <c r="C46" s="61" t="inlineStr">
        <is>
          <t xml:space="preserve">gain</t>
        </is>
      </c>
      <c r="E46" s="61" t="inlineStr">
        <is>
          <t xml:space="preserve">Finally, someone fights for riders!</t>
        </is>
      </c>
      <c r="F46" s="61" t="inlineStr">
        <is>
          <t xml:space="preserve">That is what commuters need!</t>
        </is>
      </c>
      <c r="G46" s="61" t="inlineStr">
        <is>
          <t xml:space="preserve">My heart is with the riders!</t>
        </is>
      </c>
      <c r="H46" s="61" t="inlineStr">
        <is>
          <t xml:space="preserve">Yes! This is worth fighting for!</t>
        </is>
      </c>
      <c r="I46" s="61" t="inlineStr">
        <is>
          <t xml:space="preserve">Safe platforms for every family!</t>
        </is>
      </c>
      <c r="J46" t="inlineStr">
        <is>
          <t xml:space="preserve">ST24; ST25; ST26; ST27</t>
        </is>
      </c>
    </row>
    <row r="47">
      <c r="A47" s="61" t="inlineStr">
        <is>
          <t xml:space="preserve">OC46</t>
        </is>
      </c>
      <c r="B47" s="61" t="inlineStr">
        <is>
          <t xml:space="preserve">Emotional</t>
        </is>
      </c>
      <c r="C47" s="61" t="inlineStr">
        <is>
          <t xml:space="preserve">gain</t>
        </is>
      </c>
      <c r="E47" s="61" t="inlineStr">
        <is>
          <t xml:space="preserve">You understand what riders face!</t>
        </is>
      </c>
      <c r="F47" s="61" t="inlineStr">
        <is>
          <t xml:space="preserve">That gives commuters hope!</t>
        </is>
      </c>
      <c r="G47" s="61" t="inlineStr">
        <is>
          <t xml:space="preserve">Thank you for hearing them!</t>
        </is>
      </c>
      <c r="H47" s="61" t="inlineStr">
        <is>
          <t xml:space="preserve">That is a decent thing to say!</t>
        </is>
      </c>
      <c r="I47" s="61" t="inlineStr">
        <is>
          <t xml:space="preserve">Finally we speak about people!</t>
        </is>
      </c>
      <c r="J47" t="inlineStr">
        <is>
          <t xml:space="preserve">ST24; ST25; ST26; ST27</t>
        </is>
      </c>
    </row>
    <row r="48">
      <c r="A48" s="61" t="inlineStr">
        <is>
          <t xml:space="preserve">OC47</t>
        </is>
      </c>
      <c r="B48" s="61" t="inlineStr">
        <is>
          <t xml:space="preserve">Emotional</t>
        </is>
      </c>
      <c r="C48" s="61" t="inlineStr">
        <is>
          <t xml:space="preserve">block</t>
        </is>
      </c>
      <c r="E48" s="61" t="inlineStr">
        <is>
          <t xml:space="preserve">Do not dismiss their fear!</t>
        </is>
      </c>
      <c r="F48" s="61" t="inlineStr">
        <is>
          <t xml:space="preserve">My concern for riders is genuine!</t>
        </is>
      </c>
      <c r="G48" s="61" t="inlineStr">
        <is>
          <t xml:space="preserve">Do not belittle ordinary commuters!</t>
        </is>
      </c>
      <c r="H48" s="61" t="inlineStr">
        <is>
          <t xml:space="preserve">I speak for people who cannot!</t>
        </is>
      </c>
      <c r="I48" s="61" t="inlineStr">
        <is>
          <t xml:space="preserve">Their struggle is not a talking point!</t>
        </is>
      </c>
      <c r="J48" t="inlineStr">
        <is>
          <t xml:space="preserve">ST24; ST25; ST26; ST27</t>
        </is>
      </c>
    </row>
    <row r="49">
      <c r="A49" s="61" t="inlineStr">
        <is>
          <t xml:space="preserve">OC48</t>
        </is>
      </c>
      <c r="B49" s="61" t="inlineStr">
        <is>
          <t xml:space="preserve">Emotional</t>
        </is>
      </c>
      <c r="C49" s="61" t="inlineStr">
        <is>
          <t xml:space="preserve">block</t>
        </is>
      </c>
      <c r="E49" s="61" t="inlineStr">
        <is>
          <t xml:space="preserve">Spare us the cold arithmetic!</t>
        </is>
      </c>
      <c r="F49" s="61" t="inlineStr">
        <is>
          <t xml:space="preserve">Riders are not statistics!</t>
        </is>
      </c>
      <c r="G49" s="61" t="inlineStr">
        <is>
          <t xml:space="preserve">I will not be lectured about feelings!</t>
        </is>
      </c>
      <c r="H49" s="61" t="inlineStr">
        <is>
          <t xml:space="preserve">Compassion has a place here!</t>
        </is>
      </c>
      <c r="I49" s="61" t="inlineStr">
        <is>
          <t xml:space="preserve">My conscience is clear!</t>
        </is>
      </c>
      <c r="J49" t="inlineStr">
        <is>
          <t xml:space="preserve">ST24; ST25; ST26; ST27</t>
        </is>
      </c>
    </row>
    <row r="50">
      <c r="A50" s="61" t="inlineStr">
        <is>
          <t xml:space="preserve">OC49</t>
        </is>
      </c>
      <c r="B50" s="61" t="inlineStr">
        <is>
          <t xml:space="preserve">Earnest</t>
        </is>
      </c>
      <c r="C50" s="61" t="inlineStr">
        <is>
          <t xml:space="preserve">attack</t>
        </is>
      </c>
      <c r="E50" s="61" t="inlineStr">
        <is>
          <t xml:space="preserve">I need to see honest quotas.</t>
        </is>
      </c>
      <c r="F50" s="61" t="inlineStr">
        <is>
          <t xml:space="preserve">Show me the catch records.</t>
        </is>
      </c>
      <c r="G50" s="61" t="inlineStr">
        <is>
          <t xml:space="preserve">Own up to the harbour's problems.</t>
        </is>
      </c>
      <c r="H50" s="61" t="inlineStr">
        <is>
          <t xml:space="preserve">Where is the plain answer?</t>
        </is>
      </c>
      <c r="I50" s="61" t="inlineStr">
        <is>
          <t xml:space="preserve">I want accountability, not excuses.</t>
        </is>
      </c>
      <c r="J50" t="inlineStr">
        <is>
          <t xml:space="preserve">ST28; ST29; ST30; ST31</t>
        </is>
      </c>
    </row>
    <row r="51">
      <c r="A51" s="61" t="inlineStr">
        <is>
          <t xml:space="preserve">OC50</t>
        </is>
      </c>
      <c r="B51" s="61" t="inlineStr">
        <is>
          <t xml:space="preserve">Earnest</t>
        </is>
      </c>
      <c r="C51" s="61" t="inlineStr">
        <is>
          <t xml:space="preserve">attack</t>
        </is>
      </c>
      <c r="E51" s="61" t="inlineStr">
        <is>
          <t xml:space="preserve">Your label policy does not hold.</t>
        </is>
      </c>
      <c r="F51" s="61" t="inlineStr">
        <is>
          <t xml:space="preserve">Say plainly what you will fix.</t>
        </is>
      </c>
      <c r="G51" s="61" t="inlineStr">
        <is>
          <t xml:space="preserve">The small boats deserve a straight answer.</t>
        </is>
      </c>
      <c r="H51" s="61" t="inlineStr">
        <is>
          <t xml:space="preserve">Quota rules must mean something.</t>
        </is>
      </c>
      <c r="I51" s="61" t="inlineStr">
        <is>
          <t xml:space="preserve">Stand behind your plan or withdraw it.</t>
        </is>
      </c>
      <c r="J51" t="inlineStr">
        <is>
          <t xml:space="preserve">ST28; ST29; ST30; ST31</t>
        </is>
      </c>
    </row>
    <row r="52">
      <c r="A52" s="61" t="inlineStr">
        <is>
          <t xml:space="preserve">OC51</t>
        </is>
      </c>
      <c r="B52" s="61" t="inlineStr">
        <is>
          <t xml:space="preserve">Earnest</t>
        </is>
      </c>
      <c r="C52" s="61" t="inlineStr">
        <is>
          <t xml:space="preserve">gain</t>
        </is>
      </c>
      <c r="E52" s="61" t="inlineStr">
        <is>
          <t xml:space="preserve">That is a straight answer. Thank you.</t>
        </is>
      </c>
      <c r="F52" s="61" t="inlineStr">
        <is>
          <t xml:space="preserve">I respect plain speaking about quotas.</t>
        </is>
      </c>
      <c r="G52" s="61" t="inlineStr">
        <is>
          <t xml:space="preserve">That is honest. I can work with it.</t>
        </is>
      </c>
      <c r="H52" s="61" t="inlineStr">
        <is>
          <t xml:space="preserve">You own the problem. Good.</t>
        </is>
      </c>
      <c r="I52" s="61" t="inlineStr">
        <is>
          <t xml:space="preserve">That plan has my attention.</t>
        </is>
      </c>
      <c r="J52" t="inlineStr">
        <is>
          <t xml:space="preserve">ST28; ST29; ST30; ST31</t>
        </is>
      </c>
    </row>
    <row r="53">
      <c r="A53" s="61" t="inlineStr">
        <is>
          <t xml:space="preserve">OC52</t>
        </is>
      </c>
      <c r="B53" s="61" t="inlineStr">
        <is>
          <t xml:space="preserve">Earnest</t>
        </is>
      </c>
      <c r="C53" s="61" t="inlineStr">
        <is>
          <t xml:space="preserve">gain</t>
        </is>
      </c>
      <c r="E53" s="61" t="inlineStr">
        <is>
          <t xml:space="preserve">A clear commitment is what I wanted.</t>
        </is>
      </c>
      <c r="F53" s="61" t="inlineStr">
        <is>
          <t xml:space="preserve">I believe you mean it.</t>
        </is>
      </c>
      <c r="G53" s="61" t="inlineStr">
        <is>
          <t xml:space="preserve">That is how a fair quota sounds.</t>
        </is>
      </c>
      <c r="H53" s="61" t="inlineStr">
        <is>
          <t xml:space="preserve">Honest labels, honest fishers. Agreed.</t>
        </is>
      </c>
      <c r="I53" s="61" t="inlineStr">
        <is>
          <t xml:space="preserve">Fine. You have my ear.</t>
        </is>
      </c>
      <c r="J53" t="inlineStr">
        <is>
          <t xml:space="preserve">ST28; ST29; ST30; ST31</t>
        </is>
      </c>
    </row>
    <row r="54">
      <c r="A54" s="61" t="inlineStr">
        <is>
          <t xml:space="preserve">OC53</t>
        </is>
      </c>
      <c r="B54" s="61" t="inlineStr">
        <is>
          <t xml:space="preserve">Earnest</t>
        </is>
      </c>
      <c r="C54" s="61" t="inlineStr">
        <is>
          <t xml:space="preserve">block</t>
        </is>
      </c>
      <c r="E54" s="61" t="inlineStr">
        <is>
          <t xml:space="preserve">My catch records are open.</t>
        </is>
      </c>
      <c r="F54" s="61" t="inlineStr">
        <is>
          <t xml:space="preserve">I report every landing honestly.</t>
        </is>
      </c>
      <c r="G54" s="61" t="inlineStr">
        <is>
          <t xml:space="preserve">The rules are public and I follow them.</t>
        </is>
      </c>
      <c r="H54" s="61" t="inlineStr">
        <is>
          <t xml:space="preserve">I hide nothing about my fleet.</t>
        </is>
      </c>
      <c r="I54" s="61" t="inlineStr">
        <is>
          <t xml:space="preserve">Judge the harbour by its work.</t>
        </is>
      </c>
      <c r="J54" t="inlineStr">
        <is>
          <t xml:space="preserve">ST28; ST29; ST30; ST31</t>
        </is>
      </c>
    </row>
    <row r="55">
      <c r="A55" s="61" t="inlineStr">
        <is>
          <t xml:space="preserve">OC54</t>
        </is>
      </c>
      <c r="B55" s="61" t="inlineStr">
        <is>
          <t xml:space="preserve">Earnest</t>
        </is>
      </c>
      <c r="C55" s="61" t="inlineStr">
        <is>
          <t xml:space="preserve">block</t>
        </is>
      </c>
      <c r="E55" s="61" t="inlineStr">
        <is>
          <t xml:space="preserve">Our books are in order.</t>
        </is>
      </c>
      <c r="F55" s="61" t="inlineStr">
        <is>
          <t xml:space="preserve">Inspect the boats yourself.</t>
        </is>
      </c>
      <c r="G55" s="61" t="inlineStr">
        <is>
          <t xml:space="preserve">I answer for my own fleet.</t>
        </is>
      </c>
      <c r="H55" s="61" t="inlineStr">
        <is>
          <t xml:space="preserve">Fair quotas protect us both.</t>
        </is>
      </c>
      <c r="I55" s="61" t="inlineStr">
        <is>
          <t xml:space="preserve">Let the records speak.</t>
        </is>
      </c>
      <c r="J55" t="inlineStr">
        <is>
          <t xml:space="preserve">ST28; ST29; ST30; ST31</t>
        </is>
      </c>
    </row>
    <row r="56">
      <c r="A56" s="61" t="inlineStr">
        <is>
          <t xml:space="preserve">OC55</t>
        </is>
      </c>
      <c r="B56" s="61" t="inlineStr">
        <is>
          <t xml:space="preserve">Appeal</t>
        </is>
      </c>
      <c r="C56" s="61" t="inlineStr">
        <is>
          <t xml:space="preserve">attack</t>
        </is>
      </c>
      <c r="E56" s="61" t="inlineStr">
        <is>
          <t xml:space="preserve">Friends of the harbour would not do this.</t>
        </is>
      </c>
      <c r="F56" s="61" t="inlineStr">
        <is>
          <t xml:space="preserve">We are neighbours. Act like it.</t>
        </is>
      </c>
      <c r="G56" s="61" t="inlineStr">
        <is>
          <t xml:space="preserve">Surely you can see our side.</t>
        </is>
      </c>
      <c r="H56" s="61" t="inlineStr">
        <is>
          <t xml:space="preserve">Our towns deserve better from you.</t>
        </is>
      </c>
      <c r="I56" s="61" t="inlineStr">
        <is>
          <t xml:space="preserve">A fair quota is a favour to all.</t>
        </is>
      </c>
      <c r="J56" t="inlineStr">
        <is>
          <t xml:space="preserve">ST28; ST29; ST30; ST31</t>
        </is>
      </c>
    </row>
    <row r="57">
      <c r="A57" s="61" t="inlineStr">
        <is>
          <t xml:space="preserve">OC56</t>
        </is>
      </c>
      <c r="B57" s="61" t="inlineStr">
        <is>
          <t xml:space="preserve">Appeal</t>
        </is>
      </c>
      <c r="C57" s="61" t="inlineStr">
        <is>
          <t xml:space="preserve">attack</t>
        </is>
      </c>
      <c r="E57" s="61" t="inlineStr">
        <is>
          <t xml:space="preserve">Do not turn your back on us.</t>
        </is>
      </c>
      <c r="F57" s="61" t="inlineStr">
        <is>
          <t xml:space="preserve">We hope you will stand with us.</t>
        </is>
      </c>
      <c r="G57" s="61" t="inlineStr">
        <is>
          <t xml:space="preserve">Fisher families stand together here.</t>
        </is>
      </c>
      <c r="H57" s="61" t="inlineStr">
        <is>
          <t xml:space="preserve">Be one of us in this.</t>
        </is>
      </c>
      <c r="I57" s="61" t="inlineStr">
        <is>
          <t xml:space="preserve">Help us as good neighbours do.</t>
        </is>
      </c>
      <c r="J57" t="inlineStr">
        <is>
          <t xml:space="preserve">ST28; ST29; ST30; ST31</t>
        </is>
      </c>
    </row>
    <row r="58">
      <c r="A58" s="61" t="inlineStr">
        <is>
          <t xml:space="preserve">OC57</t>
        </is>
      </c>
      <c r="B58" s="61" t="inlineStr">
        <is>
          <t xml:space="preserve">Appeal</t>
        </is>
      </c>
      <c r="C58" s="61" t="inlineStr">
        <is>
          <t xml:space="preserve">gain</t>
        </is>
      </c>
      <c r="E58" s="61" t="inlineStr">
        <is>
          <t xml:space="preserve">Thank you, friend. The harbour agrees.</t>
        </is>
      </c>
      <c r="F58" s="61" t="inlineStr">
        <is>
          <t xml:space="preserve">That is the spirit we need.</t>
        </is>
      </c>
      <c r="G58" s="61" t="inlineStr">
        <is>
          <t xml:space="preserve">We stand together on this.</t>
        </is>
      </c>
      <c r="H58" s="61" t="inlineStr">
        <is>
          <t xml:space="preserve">Our towns will welcome that.</t>
        </is>
      </c>
      <c r="I58" s="61" t="inlineStr">
        <is>
          <t xml:space="preserve">We share the same boat.</t>
        </is>
      </c>
      <c r="J58" t="inlineStr">
        <is>
          <t xml:space="preserve">ST28; ST29; ST30; ST31</t>
        </is>
      </c>
    </row>
    <row r="59">
      <c r="A59" s="61" t="inlineStr">
        <is>
          <t xml:space="preserve">OC58</t>
        </is>
      </c>
      <c r="B59" s="61" t="inlineStr">
        <is>
          <t xml:space="preserve">Appeal</t>
        </is>
      </c>
      <c r="C59" s="61" t="inlineStr">
        <is>
          <t xml:space="preserve">gain</t>
        </is>
      </c>
      <c r="E59" s="61" t="inlineStr">
        <is>
          <t xml:space="preserve">We all benefit from that.</t>
        </is>
      </c>
      <c r="F59" s="61" t="inlineStr">
        <is>
          <t xml:space="preserve">Together we can make this work.</t>
        </is>
      </c>
      <c r="G59" s="61" t="inlineStr">
        <is>
          <t xml:space="preserve">That is generous, and we welcome it.</t>
        </is>
      </c>
      <c r="H59" s="61" t="inlineStr">
        <is>
          <t xml:space="preserve">You speak for the whole harbour.</t>
        </is>
      </c>
      <c r="I59" s="61" t="inlineStr">
        <is>
          <t xml:space="preserve">I knew we shared common ground.</t>
        </is>
      </c>
      <c r="J59" t="inlineStr">
        <is>
          <t xml:space="preserve">ST28; ST29; ST30; ST31</t>
        </is>
      </c>
    </row>
    <row r="60">
      <c r="A60" s="61" t="inlineStr">
        <is>
          <t xml:space="preserve">OC59</t>
        </is>
      </c>
      <c r="B60" s="61" t="inlineStr">
        <is>
          <t xml:space="preserve">Appeal</t>
        </is>
      </c>
      <c r="C60" s="61" t="inlineStr">
        <is>
          <t xml:space="preserve">block</t>
        </is>
      </c>
      <c r="E60" s="61" t="inlineStr">
        <is>
          <t xml:space="preserve">Let us not fall out over fish.</t>
        </is>
      </c>
      <c r="F60" s="61" t="inlineStr">
        <is>
          <t xml:space="preserve">We are better as friends.</t>
        </is>
      </c>
      <c r="G60" s="61" t="inlineStr">
        <is>
          <t xml:space="preserve">There is no need for sharp words.</t>
        </is>
      </c>
      <c r="H60" s="61" t="inlineStr">
        <is>
          <t xml:space="preserve">Our differences are small.</t>
        </is>
      </c>
      <c r="I60" s="61" t="inlineStr">
        <is>
          <t xml:space="preserve">Let us all keep the peace.</t>
        </is>
      </c>
      <c r="J60" t="inlineStr">
        <is>
          <t xml:space="preserve">ST28; ST29; ST30; ST31</t>
        </is>
      </c>
    </row>
    <row r="61">
      <c r="A61" s="61" t="inlineStr">
        <is>
          <t xml:space="preserve">OC60</t>
        </is>
      </c>
      <c r="B61" s="61" t="inlineStr">
        <is>
          <t xml:space="preserve">Appeal</t>
        </is>
      </c>
      <c r="C61" s="61" t="inlineStr">
        <is>
          <t xml:space="preserve">block</t>
        </is>
      </c>
      <c r="E61" s="61" t="inlineStr">
        <is>
          <t xml:space="preserve">I count you as a friend.</t>
        </is>
      </c>
      <c r="F61" s="61" t="inlineStr">
        <is>
          <t xml:space="preserve">Fisher families need us united.</t>
        </is>
      </c>
      <c r="G61" s="61" t="inlineStr">
        <is>
          <t xml:space="preserve">Keep it friendly, and I will too.</t>
        </is>
      </c>
      <c r="H61" s="61" t="inlineStr">
        <is>
          <t xml:space="preserve">Calm talk serves the harbour best.</t>
        </is>
      </c>
      <c r="I61" s="61" t="inlineStr">
        <is>
          <t xml:space="preserve">No one gains from a quarrel.</t>
        </is>
      </c>
      <c r="J61" t="inlineStr">
        <is>
          <t xml:space="preserve">ST28; ST29; ST30; ST31</t>
        </is>
      </c>
    </row>
  </sheetData>
  <pageMargins left="0.75" right="0.75" top="1" bottom="1" header="0.5" footer="0.5"/>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113"/>
  <sheetViews>
    <sheetView topLeftCell="B1" workbookViewId="0">
      <pane ySplit="1" topLeftCell="A11" activePane="bottomLeft" state="frozen"/>
      <selection pane="bottomLeft" activeCell="K26" sqref="K26"/>
    </sheetView>
  </sheetViews>
  <sheetFormatPr defaultRowHeight="15"/>
  <cols>
    <col min="1" max="1" width="14" customWidth="1"/>
    <col min="2" max="2" width="20" customWidth="1"/>
    <col min="3" max="3" width="26" customWidth="1"/>
    <col min="4" max="4" width="12" customWidth="1"/>
    <col min="5" max="5" width="26" customWidth="1"/>
    <col min="6" max="6" width="34" customWidth="1"/>
    <col min="7" max="7" width="30" customWidth="1"/>
    <col min="8" max="8" width="60" customWidth="1"/>
    <col min="9" max="9" width="34" customWidth="1"/>
    <col min="10" max="10" width="8" customWidth="1"/>
    <col min="11" max="11" width="55" customWidth="1"/>
  </cols>
  <sheetData>
    <row r="1" spans="1:11">
      <c r="A1" t="s">
        <v>3462</v>
      </c>
      <c r="B1" t="s">
        <v>3463</v>
      </c>
      <c r="C1" t="s">
        <v>1572</v>
      </c>
      <c r="D1" t="s">
        <v>3464</v>
      </c>
      <c r="E1" t="s">
        <v>3465</v>
      </c>
      <c r="F1" t="s">
        <v>3466</v>
      </c>
      <c r="G1" t="s">
        <v>3467</v>
      </c>
      <c r="H1" t="s">
        <v>394</v>
      </c>
      <c r="I1" t="s">
        <v>3468</v>
      </c>
      <c r="J1" t="s">
        <v>3469</v>
      </c>
      <c r="K1" t="s">
        <v>2020</v>
      </c>
    </row>
    <row r="2" spans="1:11">
      <c r="A2" t="s">
        <v>511</v>
      </c>
      <c r="B2" t="s">
        <v>3470</v>
      </c>
      <c r="C2" t="inlineStr">
        <is>
          <t xml:space="preserve">Kenshin Sako</t>
        </is>
      </c>
      <c r="D2" t="s">
        <v>3471</v>
      </c>
      <c r="E2" t="s">
        <v>3472</v>
      </c>
      <c r="F2" t="s">
        <v>3473</v>
      </c>
      <c r="G2" t="s">
        <v>3474</v>
      </c>
      <c r="H2" t="s">
        <v>3475</v>
      </c>
      <c r="I2" t="s">
        <v>3476</v>
      </c>
      <c r="J2" t="s">
        <v>671</v>
      </c>
    </row>
    <row r="3" spans="1:11">
      <c r="A3" t="s">
        <v>511</v>
      </c>
      <c r="B3" t="s">
        <v>3470</v>
      </c>
      <c r="C3" t="inlineStr">
        <is>
          <t xml:space="preserve">Kenshin Sako</t>
        </is>
      </c>
      <c r="D3" t="s">
        <v>3477</v>
      </c>
      <c r="E3" t="s">
        <v>3478</v>
      </c>
      <c r="F3" t="s">
        <v>3473</v>
      </c>
      <c r="G3" t="s">
        <v>3474</v>
      </c>
      <c r="H3" t="s">
        <v>3475</v>
      </c>
      <c r="I3" t="s">
        <v>3476</v>
      </c>
      <c r="J3" t="s">
        <v>671</v>
      </c>
    </row>
    <row r="4" spans="1:11">
      <c r="A4" t="s">
        <v>511</v>
      </c>
      <c r="B4" t="s">
        <v>3470</v>
      </c>
      <c r="C4" t="inlineStr">
        <is>
          <t xml:space="preserve">Kenshin Sako</t>
        </is>
      </c>
      <c r="D4" t="s">
        <v>3479</v>
      </c>
      <c r="E4" t="s">
        <v>3480</v>
      </c>
      <c r="F4" t="s">
        <v>3473</v>
      </c>
      <c r="G4" t="s">
        <v>3474</v>
      </c>
      <c r="H4" t="s">
        <v>3475</v>
      </c>
      <c r="I4" t="s">
        <v>3476</v>
      </c>
      <c r="J4" t="s">
        <v>671</v>
      </c>
    </row>
    <row r="5" spans="1:11">
      <c r="A5" t="s">
        <v>511</v>
      </c>
      <c r="B5" t="s">
        <v>3470</v>
      </c>
      <c r="C5" t="inlineStr">
        <is>
          <t xml:space="preserve">Kenshin Sako</t>
        </is>
      </c>
      <c r="D5" t="s">
        <v>3481</v>
      </c>
      <c r="E5" t="s">
        <v>3482</v>
      </c>
      <c r="F5" t="s">
        <v>3473</v>
      </c>
      <c r="G5" t="s">
        <v>3474</v>
      </c>
      <c r="H5" t="s">
        <v>3475</v>
      </c>
      <c r="I5" t="s">
        <v>3476</v>
      </c>
      <c r="J5" t="s">
        <v>671</v>
      </c>
    </row>
    <row r="6" spans="1:11">
      <c r="A6" t="s">
        <v>511</v>
      </c>
      <c r="B6" t="s">
        <v>3470</v>
      </c>
      <c r="C6" t="inlineStr">
        <is>
          <t xml:space="preserve">Kenshin Sako</t>
        </is>
      </c>
      <c r="D6" t="s">
        <v>3483</v>
      </c>
      <c r="E6" t="s">
        <v>3484</v>
      </c>
      <c r="F6" t="s">
        <v>3473</v>
      </c>
      <c r="G6" t="s">
        <v>3474</v>
      </c>
      <c r="H6" t="s">
        <v>3475</v>
      </c>
      <c r="I6" t="s">
        <v>3476</v>
      </c>
      <c r="J6" t="s">
        <v>650</v>
      </c>
    </row>
    <row r="7" spans="1:11">
      <c r="A7" t="s">
        <v>511</v>
      </c>
      <c r="B7" t="s">
        <v>3470</v>
      </c>
      <c r="C7" t="inlineStr">
        <is>
          <t xml:space="preserve">Kenshin Sako</t>
        </is>
      </c>
      <c r="D7" t="s">
        <v>3485</v>
      </c>
      <c r="E7" t="s">
        <v>3486</v>
      </c>
      <c r="F7" t="s">
        <v>3473</v>
      </c>
      <c r="G7" t="s">
        <v>3474</v>
      </c>
      <c r="H7" t="s">
        <v>3475</v>
      </c>
      <c r="I7" t="s">
        <v>3476</v>
      </c>
      <c r="J7" t="s">
        <v>650</v>
      </c>
      <c r="K7" t="s">
        <v>3487</v>
      </c>
    </row>
    <row r="8" spans="1:11">
      <c r="A8" t="s">
        <v>521</v>
      </c>
      <c r="B8" t="s">
        <v>3470</v>
      </c>
      <c r="C8" t="inlineStr">
        <is>
          <t xml:space="preserve">Haru Yashi</t>
        </is>
      </c>
      <c r="D8" t="s">
        <v>3471</v>
      </c>
      <c r="E8" t="s">
        <v>3489</v>
      </c>
      <c r="F8" t="s">
        <v>3473</v>
      </c>
      <c r="G8" t="s">
        <v>3474</v>
      </c>
      <c r="H8" t="s">
        <v>3475</v>
      </c>
      <c r="I8" t="s">
        <v>3476</v>
      </c>
      <c r="J8" t="s">
        <v>650</v>
      </c>
    </row>
    <row r="9" spans="1:11">
      <c r="A9" t="s">
        <v>521</v>
      </c>
      <c r="B9" t="s">
        <v>3470</v>
      </c>
      <c r="C9" t="inlineStr">
        <is>
          <t xml:space="preserve">Haru Yashi</t>
        </is>
      </c>
      <c r="D9" t="s">
        <v>3477</v>
      </c>
      <c r="E9" t="s">
        <v>3490</v>
      </c>
      <c r="F9" t="s">
        <v>3473</v>
      </c>
      <c r="G9" t="s">
        <v>3474</v>
      </c>
      <c r="H9" t="s">
        <v>3475</v>
      </c>
      <c r="I9" t="s">
        <v>3476</v>
      </c>
      <c r="J9" t="s">
        <v>650</v>
      </c>
    </row>
    <row r="10" spans="1:11">
      <c r="A10" t="s">
        <v>521</v>
      </c>
      <c r="B10" t="s">
        <v>3470</v>
      </c>
      <c r="C10" t="inlineStr">
        <is>
          <t xml:space="preserve">Haru Yashi</t>
        </is>
      </c>
      <c r="D10" t="s">
        <v>3479</v>
      </c>
      <c r="E10" t="s">
        <v>3491</v>
      </c>
      <c r="F10" t="s">
        <v>3473</v>
      </c>
      <c r="G10" t="s">
        <v>3474</v>
      </c>
      <c r="H10" t="s">
        <v>3475</v>
      </c>
      <c r="I10" t="s">
        <v>3476</v>
      </c>
      <c r="J10" t="s">
        <v>650</v>
      </c>
    </row>
    <row r="11" spans="1:11">
      <c r="A11" t="s">
        <v>521</v>
      </c>
      <c r="B11" t="s">
        <v>3470</v>
      </c>
      <c r="C11" t="inlineStr">
        <is>
          <t xml:space="preserve">Haru Yashi</t>
        </is>
      </c>
      <c r="D11" t="s">
        <v>3481</v>
      </c>
      <c r="E11" t="s">
        <v>3492</v>
      </c>
      <c r="F11" t="s">
        <v>3473</v>
      </c>
      <c r="G11" t="s">
        <v>3474</v>
      </c>
      <c r="H11" t="s">
        <v>3475</v>
      </c>
      <c r="I11" t="s">
        <v>3476</v>
      </c>
      <c r="J11" t="s">
        <v>650</v>
      </c>
    </row>
    <row r="12" spans="1:11">
      <c r="A12" t="s">
        <v>521</v>
      </c>
      <c r="B12" t="s">
        <v>3470</v>
      </c>
      <c r="C12" t="inlineStr">
        <is>
          <t xml:space="preserve">Haru Yashi</t>
        </is>
      </c>
      <c r="D12" t="s">
        <v>3483</v>
      </c>
      <c r="E12" t="s">
        <v>3493</v>
      </c>
      <c r="F12" t="s">
        <v>3473</v>
      </c>
      <c r="G12" t="s">
        <v>3474</v>
      </c>
      <c r="H12" t="s">
        <v>3475</v>
      </c>
      <c r="I12" t="s">
        <v>3476</v>
      </c>
      <c r="J12" t="s">
        <v>650</v>
      </c>
    </row>
    <row r="13" spans="1:11">
      <c r="A13" t="s">
        <v>521</v>
      </c>
      <c r="B13" t="s">
        <v>3470</v>
      </c>
      <c r="C13" t="inlineStr">
        <is>
          <t xml:space="preserve">Haru Yashi</t>
        </is>
      </c>
      <c r="D13" t="s">
        <v>3485</v>
      </c>
      <c r="E13" t="s">
        <v>3494</v>
      </c>
      <c r="F13" t="s">
        <v>3473</v>
      </c>
      <c r="G13" t="s">
        <v>3474</v>
      </c>
      <c r="H13" t="s">
        <v>3475</v>
      </c>
      <c r="I13" t="s">
        <v>3476</v>
      </c>
      <c r="J13" t="s">
        <v>650</v>
      </c>
      <c r="K13" t="s">
        <v>3487</v>
      </c>
    </row>
    <row r="14" spans="1:11">
      <c r="A14" t="s">
        <v>529</v>
      </c>
      <c r="B14" t="s">
        <v>3470</v>
      </c>
      <c r="C14" t="inlineStr">
        <is>
          <t xml:space="preserve">Edward Grinner</t>
        </is>
      </c>
      <c r="D14" t="s">
        <v>3471</v>
      </c>
      <c r="E14" t="s">
        <v>3496</v>
      </c>
      <c r="F14" t="s">
        <v>3473</v>
      </c>
      <c r="G14" t="s">
        <v>3474</v>
      </c>
      <c r="H14" t="s">
        <v>3475</v>
      </c>
      <c r="I14" t="s">
        <v>3476</v>
      </c>
      <c r="J14" t="s">
        <v>650</v>
      </c>
    </row>
    <row r="15" spans="1:11">
      <c r="A15" t="s">
        <v>529</v>
      </c>
      <c r="B15" t="s">
        <v>3470</v>
      </c>
      <c r="C15" t="inlineStr">
        <is>
          <t xml:space="preserve">Edward Grinner</t>
        </is>
      </c>
      <c r="D15" t="s">
        <v>3477</v>
      </c>
      <c r="E15" t="s">
        <v>3497</v>
      </c>
      <c r="F15" t="s">
        <v>3473</v>
      </c>
      <c r="G15" t="s">
        <v>3474</v>
      </c>
      <c r="H15" t="s">
        <v>3475</v>
      </c>
      <c r="I15" t="s">
        <v>3476</v>
      </c>
      <c r="J15" t="s">
        <v>650</v>
      </c>
    </row>
    <row r="16" spans="1:11">
      <c r="A16" t="s">
        <v>529</v>
      </c>
      <c r="B16" t="s">
        <v>3470</v>
      </c>
      <c r="C16" t="inlineStr">
        <is>
          <t xml:space="preserve">Edward Grinner</t>
        </is>
      </c>
      <c r="D16" t="s">
        <v>3479</v>
      </c>
      <c r="E16" t="s">
        <v>3498</v>
      </c>
      <c r="F16" t="s">
        <v>3473</v>
      </c>
      <c r="G16" t="s">
        <v>3474</v>
      </c>
      <c r="H16" t="s">
        <v>3475</v>
      </c>
      <c r="I16" t="s">
        <v>3476</v>
      </c>
      <c r="J16" t="s">
        <v>650</v>
      </c>
    </row>
    <row r="17" spans="1:11">
      <c r="A17" t="s">
        <v>529</v>
      </c>
      <c r="B17" t="s">
        <v>3470</v>
      </c>
      <c r="C17" t="inlineStr">
        <is>
          <t xml:space="preserve">Edward Grinner</t>
        </is>
      </c>
      <c r="D17" t="s">
        <v>3481</v>
      </c>
      <c r="E17" t="s">
        <v>3499</v>
      </c>
      <c r="F17" t="s">
        <v>3473</v>
      </c>
      <c r="G17" t="s">
        <v>3474</v>
      </c>
      <c r="H17" t="s">
        <v>3475</v>
      </c>
      <c r="I17" t="s">
        <v>3476</v>
      </c>
      <c r="J17" t="s">
        <v>650</v>
      </c>
    </row>
    <row r="18" spans="1:11">
      <c r="A18" t="s">
        <v>529</v>
      </c>
      <c r="B18" t="s">
        <v>3470</v>
      </c>
      <c r="C18" t="inlineStr">
        <is>
          <t xml:space="preserve">Edward Grinner</t>
        </is>
      </c>
      <c r="D18" t="s">
        <v>3483</v>
      </c>
      <c r="E18" t="s">
        <v>3500</v>
      </c>
      <c r="F18" t="s">
        <v>3473</v>
      </c>
      <c r="G18" t="s">
        <v>3474</v>
      </c>
      <c r="H18" t="s">
        <v>3475</v>
      </c>
      <c r="I18" t="s">
        <v>3476</v>
      </c>
      <c r="J18" t="s">
        <v>650</v>
      </c>
    </row>
    <row r="19" spans="1:11">
      <c r="A19" t="s">
        <v>529</v>
      </c>
      <c r="B19" t="s">
        <v>3470</v>
      </c>
      <c r="C19" t="inlineStr">
        <is>
          <t xml:space="preserve">Edward Grinner</t>
        </is>
      </c>
      <c r="D19" t="s">
        <v>3485</v>
      </c>
      <c r="E19" t="s">
        <v>3501</v>
      </c>
      <c r="F19" t="s">
        <v>3473</v>
      </c>
      <c r="G19" t="s">
        <v>3474</v>
      </c>
      <c r="H19" t="s">
        <v>3475</v>
      </c>
      <c r="I19" t="s">
        <v>3476</v>
      </c>
      <c r="J19" t="s">
        <v>650</v>
      </c>
      <c r="K19" t="s">
        <v>3487</v>
      </c>
    </row>
    <row r="20" spans="1:11">
      <c r="A20" t="s">
        <v>538</v>
      </c>
      <c r="B20" t="s">
        <v>3470</v>
      </c>
      <c r="C20" t="inlineStr">
        <is>
          <t xml:space="preserve">Jyurou Nishihara</t>
        </is>
      </c>
      <c r="D20" t="s">
        <v>3471</v>
      </c>
      <c r="E20" t="s">
        <v>3503</v>
      </c>
      <c r="F20" t="s">
        <v>3473</v>
      </c>
      <c r="G20" t="s">
        <v>3474</v>
      </c>
      <c r="H20" t="s">
        <v>3475</v>
      </c>
      <c r="I20" t="s">
        <v>3476</v>
      </c>
      <c r="J20" t="s">
        <v>671</v>
      </c>
    </row>
    <row r="21" spans="1:11">
      <c r="A21" t="s">
        <v>538</v>
      </c>
      <c r="B21" t="s">
        <v>3470</v>
      </c>
      <c r="C21" t="inlineStr">
        <is>
          <t xml:space="preserve">Jyurou Nishihara</t>
        </is>
      </c>
      <c r="D21" t="s">
        <v>3477</v>
      </c>
      <c r="E21" t="s">
        <v>3504</v>
      </c>
      <c r="F21" t="s">
        <v>3473</v>
      </c>
      <c r="G21" t="s">
        <v>3474</v>
      </c>
      <c r="H21" t="s">
        <v>3475</v>
      </c>
      <c r="I21" t="s">
        <v>3476</v>
      </c>
      <c r="J21" t="s">
        <v>671</v>
      </c>
    </row>
    <row r="22" spans="1:11">
      <c r="A22" t="s">
        <v>538</v>
      </c>
      <c r="B22" t="s">
        <v>3470</v>
      </c>
      <c r="C22" t="inlineStr">
        <is>
          <t xml:space="preserve">Jyurou Nishihara</t>
        </is>
      </c>
      <c r="D22" t="s">
        <v>3479</v>
      </c>
      <c r="E22" t="s">
        <v>3505</v>
      </c>
      <c r="F22" t="s">
        <v>3473</v>
      </c>
      <c r="G22" t="s">
        <v>3474</v>
      </c>
      <c r="H22" t="s">
        <v>3475</v>
      </c>
      <c r="I22" t="s">
        <v>3476</v>
      </c>
      <c r="J22" t="s">
        <v>671</v>
      </c>
    </row>
    <row r="23" spans="1:11">
      <c r="A23" t="s">
        <v>538</v>
      </c>
      <c r="B23" t="s">
        <v>3470</v>
      </c>
      <c r="C23" t="inlineStr">
        <is>
          <t xml:space="preserve">Jyurou Nishihara</t>
        </is>
      </c>
      <c r="D23" t="s">
        <v>3481</v>
      </c>
      <c r="E23" t="s">
        <v>3506</v>
      </c>
      <c r="F23" t="s">
        <v>3473</v>
      </c>
      <c r="G23" t="s">
        <v>3474</v>
      </c>
      <c r="H23" t="s">
        <v>3475</v>
      </c>
      <c r="I23" t="s">
        <v>3476</v>
      </c>
      <c r="J23" t="s">
        <v>671</v>
      </c>
    </row>
    <row r="24" spans="1:11">
      <c r="A24" t="s">
        <v>538</v>
      </c>
      <c r="B24" t="s">
        <v>3470</v>
      </c>
      <c r="C24" t="inlineStr">
        <is>
          <t xml:space="preserve">Jyurou Nishihara</t>
        </is>
      </c>
      <c r="D24" t="s">
        <v>3483</v>
      </c>
      <c r="E24" t="s">
        <v>3507</v>
      </c>
      <c r="F24" t="s">
        <v>3473</v>
      </c>
      <c r="G24" t="s">
        <v>3474</v>
      </c>
      <c r="H24" t="s">
        <v>3475</v>
      </c>
      <c r="I24" t="s">
        <v>3476</v>
      </c>
      <c r="J24" t="s">
        <v>671</v>
      </c>
    </row>
    <row r="25" spans="1:11">
      <c r="A25" t="s">
        <v>538</v>
      </c>
      <c r="B25" t="s">
        <v>3470</v>
      </c>
      <c r="C25" t="inlineStr">
        <is>
          <t xml:space="preserve">Jyurou Nishihara</t>
        </is>
      </c>
      <c r="D25" t="s">
        <v>3485</v>
      </c>
      <c r="E25" t="s">
        <v>3508</v>
      </c>
      <c r="F25" t="s">
        <v>3473</v>
      </c>
      <c r="G25" t="s">
        <v>3474</v>
      </c>
      <c r="H25" t="s">
        <v>3475</v>
      </c>
      <c r="I25" t="s">
        <v>3476</v>
      </c>
      <c r="J25" t="s">
        <v>671</v>
      </c>
      <c r="K25" t="s">
        <v>3487</v>
      </c>
    </row>
    <row r="26" spans="1:11">
      <c r="A26" t="s">
        <v>1671</v>
      </c>
      <c r="B26" t="s">
        <v>3509</v>
      </c>
      <c r="C26" t="s">
        <v>1672</v>
      </c>
      <c r="D26" t="s">
        <v>3471</v>
      </c>
      <c r="E26" t="s">
        <v>3510</v>
      </c>
      <c r="F26" t="s">
        <v>3511</v>
      </c>
      <c r="G26" t="s">
        <v>3512</v>
      </c>
      <c r="H26" t="s">
        <v>3513</v>
      </c>
      <c r="I26" t="s">
        <v>3476</v>
      </c>
      <c r="J26" t="s">
        <v>671</v>
      </c>
    </row>
    <row r="27" spans="1:11">
      <c r="A27" t="s">
        <v>1671</v>
      </c>
      <c r="B27" t="s">
        <v>3509</v>
      </c>
      <c r="C27" t="s">
        <v>1672</v>
      </c>
      <c r="D27" t="s">
        <v>3477</v>
      </c>
      <c r="E27" t="s">
        <v>3514</v>
      </c>
      <c r="F27" t="s">
        <v>3511</v>
      </c>
      <c r="G27" t="s">
        <v>3512</v>
      </c>
      <c r="H27" t="s">
        <v>3513</v>
      </c>
      <c r="I27" t="s">
        <v>3476</v>
      </c>
      <c r="J27" t="s">
        <v>650</v>
      </c>
    </row>
    <row r="28" spans="1:11">
      <c r="A28" t="s">
        <v>1671</v>
      </c>
      <c r="B28" t="s">
        <v>3509</v>
      </c>
      <c r="C28" t="s">
        <v>1672</v>
      </c>
      <c r="D28" t="s">
        <v>3479</v>
      </c>
      <c r="E28" t="s">
        <v>3515</v>
      </c>
      <c r="F28" t="s">
        <v>3511</v>
      </c>
      <c r="G28" t="s">
        <v>3512</v>
      </c>
      <c r="H28" t="s">
        <v>3513</v>
      </c>
      <c r="I28" t="s">
        <v>3476</v>
      </c>
      <c r="J28" t="s">
        <v>650</v>
      </c>
    </row>
    <row r="29" spans="1:11">
      <c r="A29" t="s">
        <v>1671</v>
      </c>
      <c r="B29" t="s">
        <v>3509</v>
      </c>
      <c r="C29" t="s">
        <v>1672</v>
      </c>
      <c r="D29" t="s">
        <v>3481</v>
      </c>
      <c r="E29" t="s">
        <v>3516</v>
      </c>
      <c r="F29" t="s">
        <v>3511</v>
      </c>
      <c r="G29" t="s">
        <v>3512</v>
      </c>
      <c r="H29" t="s">
        <v>3513</v>
      </c>
      <c r="I29" t="s">
        <v>3476</v>
      </c>
      <c r="J29" t="s">
        <v>650</v>
      </c>
    </row>
    <row r="30" spans="1:11">
      <c r="A30" t="s">
        <v>1671</v>
      </c>
      <c r="B30" t="s">
        <v>3509</v>
      </c>
      <c r="C30" t="s">
        <v>1672</v>
      </c>
      <c r="D30" t="s">
        <v>3483</v>
      </c>
      <c r="E30" t="s">
        <v>3517</v>
      </c>
      <c r="F30" t="s">
        <v>3511</v>
      </c>
      <c r="G30" t="s">
        <v>3512</v>
      </c>
      <c r="H30" t="s">
        <v>3513</v>
      </c>
      <c r="I30" t="s">
        <v>3476</v>
      </c>
      <c r="J30" t="s">
        <v>650</v>
      </c>
    </row>
    <row r="31" spans="1:11">
      <c r="A31" t="s">
        <v>1671</v>
      </c>
      <c r="B31" t="s">
        <v>3509</v>
      </c>
      <c r="C31" t="s">
        <v>1672</v>
      </c>
      <c r="D31" t="s">
        <v>3518</v>
      </c>
      <c r="E31" t="s">
        <v>3519</v>
      </c>
      <c r="F31" t="s">
        <v>3511</v>
      </c>
      <c r="G31" t="s">
        <v>3512</v>
      </c>
      <c r="H31" t="s">
        <v>3513</v>
      </c>
      <c r="I31" t="s">
        <v>3476</v>
      </c>
      <c r="J31" t="s">
        <v>650</v>
      </c>
      <c r="K31" t="s">
        <v>3520</v>
      </c>
    </row>
    <row r="32" spans="1:11">
      <c r="A32" t="s">
        <v>1677</v>
      </c>
      <c r="B32" t="s">
        <v>3509</v>
      </c>
      <c r="C32" t="s">
        <v>1678</v>
      </c>
      <c r="D32" t="s">
        <v>3471</v>
      </c>
      <c r="E32" t="s">
        <v>3521</v>
      </c>
      <c r="F32" t="s">
        <v>3511</v>
      </c>
      <c r="G32" t="s">
        <v>3512</v>
      </c>
      <c r="H32" t="s">
        <v>3513</v>
      </c>
      <c r="I32" t="s">
        <v>3476</v>
      </c>
      <c r="J32" t="s">
        <v>650</v>
      </c>
    </row>
    <row r="33" spans="1:11">
      <c r="A33" t="s">
        <v>1677</v>
      </c>
      <c r="B33" t="s">
        <v>3509</v>
      </c>
      <c r="C33" t="s">
        <v>1678</v>
      </c>
      <c r="D33" t="s">
        <v>3477</v>
      </c>
      <c r="E33" t="s">
        <v>3522</v>
      </c>
      <c r="F33" t="s">
        <v>3511</v>
      </c>
      <c r="G33" t="s">
        <v>3512</v>
      </c>
      <c r="H33" t="s">
        <v>3513</v>
      </c>
      <c r="I33" t="s">
        <v>3476</v>
      </c>
      <c r="J33" t="s">
        <v>650</v>
      </c>
    </row>
    <row r="34" spans="1:11">
      <c r="A34" t="s">
        <v>1677</v>
      </c>
      <c r="B34" t="s">
        <v>3509</v>
      </c>
      <c r="C34" t="s">
        <v>1678</v>
      </c>
      <c r="D34" t="s">
        <v>3479</v>
      </c>
      <c r="E34" t="s">
        <v>3523</v>
      </c>
      <c r="F34" t="s">
        <v>3511</v>
      </c>
      <c r="G34" t="s">
        <v>3512</v>
      </c>
      <c r="H34" t="s">
        <v>3513</v>
      </c>
      <c r="I34" t="s">
        <v>3476</v>
      </c>
      <c r="J34" t="s">
        <v>650</v>
      </c>
    </row>
    <row r="35" spans="1:11">
      <c r="A35" t="s">
        <v>1677</v>
      </c>
      <c r="B35" t="s">
        <v>3509</v>
      </c>
      <c r="C35" t="s">
        <v>1678</v>
      </c>
      <c r="D35" t="s">
        <v>3481</v>
      </c>
      <c r="E35" t="s">
        <v>3524</v>
      </c>
      <c r="F35" t="s">
        <v>3511</v>
      </c>
      <c r="G35" t="s">
        <v>3512</v>
      </c>
      <c r="H35" t="s">
        <v>3513</v>
      </c>
      <c r="I35" t="s">
        <v>3476</v>
      </c>
      <c r="J35" t="s">
        <v>650</v>
      </c>
    </row>
    <row r="36" spans="1:11">
      <c r="A36" t="s">
        <v>1677</v>
      </c>
      <c r="B36" t="s">
        <v>3509</v>
      </c>
      <c r="C36" t="s">
        <v>1678</v>
      </c>
      <c r="D36" t="s">
        <v>3483</v>
      </c>
      <c r="E36" t="s">
        <v>3525</v>
      </c>
      <c r="F36" t="s">
        <v>3511</v>
      </c>
      <c r="G36" t="s">
        <v>3512</v>
      </c>
      <c r="H36" t="s">
        <v>3513</v>
      </c>
      <c r="I36" t="s">
        <v>3476</v>
      </c>
      <c r="J36" t="s">
        <v>650</v>
      </c>
    </row>
    <row r="37" spans="1:11">
      <c r="A37" t="s">
        <v>1677</v>
      </c>
      <c r="B37" t="s">
        <v>3509</v>
      </c>
      <c r="C37" t="s">
        <v>1678</v>
      </c>
      <c r="D37" t="s">
        <v>3518</v>
      </c>
      <c r="E37" t="s">
        <v>3526</v>
      </c>
      <c r="F37" t="s">
        <v>3511</v>
      </c>
      <c r="G37" t="s">
        <v>3512</v>
      </c>
      <c r="H37" t="s">
        <v>3513</v>
      </c>
      <c r="I37" t="s">
        <v>3476</v>
      </c>
      <c r="J37" t="s">
        <v>650</v>
      </c>
      <c r="K37" t="s">
        <v>3520</v>
      </c>
    </row>
    <row r="38" spans="1:11">
      <c r="A38" t="s">
        <v>1682</v>
      </c>
      <c r="B38" t="s">
        <v>3509</v>
      </c>
      <c r="C38" t="s">
        <v>1683</v>
      </c>
      <c r="D38" t="s">
        <v>3471</v>
      </c>
      <c r="E38" t="s">
        <v>3527</v>
      </c>
      <c r="F38" t="s">
        <v>3511</v>
      </c>
      <c r="G38" t="s">
        <v>3512</v>
      </c>
      <c r="H38" t="s">
        <v>3513</v>
      </c>
      <c r="I38" t="s">
        <v>3476</v>
      </c>
      <c r="J38" t="s">
        <v>650</v>
      </c>
    </row>
    <row r="39" spans="1:11">
      <c r="A39" t="s">
        <v>1682</v>
      </c>
      <c r="B39" t="s">
        <v>3509</v>
      </c>
      <c r="C39" t="s">
        <v>1683</v>
      </c>
      <c r="D39" t="s">
        <v>3477</v>
      </c>
      <c r="E39" t="s">
        <v>3528</v>
      </c>
      <c r="F39" t="s">
        <v>3511</v>
      </c>
      <c r="G39" t="s">
        <v>3512</v>
      </c>
      <c r="H39" t="s">
        <v>3513</v>
      </c>
      <c r="I39" t="s">
        <v>3476</v>
      </c>
      <c r="J39" t="s">
        <v>650</v>
      </c>
    </row>
    <row r="40" spans="1:11">
      <c r="A40" t="s">
        <v>1682</v>
      </c>
      <c r="B40" t="s">
        <v>3509</v>
      </c>
      <c r="C40" t="s">
        <v>1683</v>
      </c>
      <c r="D40" t="s">
        <v>3479</v>
      </c>
      <c r="E40" t="s">
        <v>3529</v>
      </c>
      <c r="F40" t="s">
        <v>3511</v>
      </c>
      <c r="G40" t="s">
        <v>3512</v>
      </c>
      <c r="H40" t="s">
        <v>3513</v>
      </c>
      <c r="I40" t="s">
        <v>3476</v>
      </c>
      <c r="J40" t="s">
        <v>650</v>
      </c>
    </row>
    <row r="41" spans="1:11">
      <c r="A41" t="s">
        <v>1682</v>
      </c>
      <c r="B41" t="s">
        <v>3509</v>
      </c>
      <c r="C41" t="s">
        <v>1683</v>
      </c>
      <c r="D41" t="s">
        <v>3481</v>
      </c>
      <c r="E41" t="s">
        <v>3530</v>
      </c>
      <c r="F41" t="s">
        <v>3511</v>
      </c>
      <c r="G41" t="s">
        <v>3512</v>
      </c>
      <c r="H41" t="s">
        <v>3513</v>
      </c>
      <c r="I41" t="s">
        <v>3476</v>
      </c>
      <c r="J41" t="s">
        <v>650</v>
      </c>
    </row>
    <row r="42" spans="1:11">
      <c r="A42" t="s">
        <v>1682</v>
      </c>
      <c r="B42" t="s">
        <v>3509</v>
      </c>
      <c r="C42" t="s">
        <v>1683</v>
      </c>
      <c r="D42" t="s">
        <v>3483</v>
      </c>
      <c r="E42" t="s">
        <v>3531</v>
      </c>
      <c r="F42" t="s">
        <v>3511</v>
      </c>
      <c r="G42" t="s">
        <v>3512</v>
      </c>
      <c r="H42" t="s">
        <v>3513</v>
      </c>
      <c r="I42" t="s">
        <v>3476</v>
      </c>
      <c r="J42" t="s">
        <v>650</v>
      </c>
    </row>
    <row r="43" spans="1:11">
      <c r="A43" t="s">
        <v>1682</v>
      </c>
      <c r="B43" t="s">
        <v>3509</v>
      </c>
      <c r="C43" t="s">
        <v>1683</v>
      </c>
      <c r="D43" t="s">
        <v>3518</v>
      </c>
      <c r="E43" t="s">
        <v>3532</v>
      </c>
      <c r="F43" t="s">
        <v>3511</v>
      </c>
      <c r="G43" t="s">
        <v>3512</v>
      </c>
      <c r="H43" t="s">
        <v>3513</v>
      </c>
      <c r="I43" t="s">
        <v>3476</v>
      </c>
      <c r="J43" t="s">
        <v>650</v>
      </c>
      <c r="K43" t="s">
        <v>3520</v>
      </c>
    </row>
    <row r="44" spans="1:11">
      <c r="A44" t="s">
        <v>1687</v>
      </c>
      <c r="B44" t="s">
        <v>3509</v>
      </c>
      <c r="C44" t="s">
        <v>1688</v>
      </c>
      <c r="D44" t="s">
        <v>3471</v>
      </c>
      <c r="E44" t="s">
        <v>3533</v>
      </c>
      <c r="F44" t="s">
        <v>3511</v>
      </c>
      <c r="G44" t="s">
        <v>3512</v>
      </c>
      <c r="H44" t="s">
        <v>3513</v>
      </c>
      <c r="I44" t="s">
        <v>3476</v>
      </c>
      <c r="J44" t="s">
        <v>650</v>
      </c>
    </row>
    <row r="45" spans="1:11">
      <c r="A45" t="s">
        <v>1687</v>
      </c>
      <c r="B45" t="s">
        <v>3509</v>
      </c>
      <c r="C45" t="s">
        <v>1688</v>
      </c>
      <c r="D45" t="s">
        <v>3477</v>
      </c>
      <c r="E45" t="s">
        <v>3534</v>
      </c>
      <c r="F45" t="s">
        <v>3511</v>
      </c>
      <c r="G45" t="s">
        <v>3512</v>
      </c>
      <c r="H45" t="s">
        <v>3513</v>
      </c>
      <c r="I45" t="s">
        <v>3476</v>
      </c>
      <c r="J45" t="s">
        <v>650</v>
      </c>
    </row>
    <row r="46" spans="1:11">
      <c r="A46" t="s">
        <v>1687</v>
      </c>
      <c r="B46" t="s">
        <v>3509</v>
      </c>
      <c r="C46" t="s">
        <v>1688</v>
      </c>
      <c r="D46" t="s">
        <v>3479</v>
      </c>
      <c r="E46" t="s">
        <v>3535</v>
      </c>
      <c r="F46" t="s">
        <v>3511</v>
      </c>
      <c r="G46" t="s">
        <v>3512</v>
      </c>
      <c r="H46" t="s">
        <v>3513</v>
      </c>
      <c r="I46" t="s">
        <v>3476</v>
      </c>
      <c r="J46" t="s">
        <v>650</v>
      </c>
    </row>
    <row r="47" spans="1:11">
      <c r="A47" t="s">
        <v>1687</v>
      </c>
      <c r="B47" t="s">
        <v>3509</v>
      </c>
      <c r="C47" t="s">
        <v>1688</v>
      </c>
      <c r="D47" t="s">
        <v>3481</v>
      </c>
      <c r="E47" t="s">
        <v>3536</v>
      </c>
      <c r="F47" t="s">
        <v>3511</v>
      </c>
      <c r="G47" t="s">
        <v>3512</v>
      </c>
      <c r="H47" t="s">
        <v>3513</v>
      </c>
      <c r="I47" t="s">
        <v>3476</v>
      </c>
      <c r="J47" t="s">
        <v>650</v>
      </c>
    </row>
    <row r="48" spans="1:11">
      <c r="A48" t="s">
        <v>1687</v>
      </c>
      <c r="B48" t="s">
        <v>3509</v>
      </c>
      <c r="C48" t="s">
        <v>1688</v>
      </c>
      <c r="D48" t="s">
        <v>3483</v>
      </c>
      <c r="E48" t="s">
        <v>3537</v>
      </c>
      <c r="F48" t="s">
        <v>3511</v>
      </c>
      <c r="G48" t="s">
        <v>3512</v>
      </c>
      <c r="H48" t="s">
        <v>3513</v>
      </c>
      <c r="I48" t="s">
        <v>3476</v>
      </c>
      <c r="J48" t="s">
        <v>650</v>
      </c>
    </row>
    <row r="49" spans="1:11">
      <c r="A49" t="s">
        <v>1687</v>
      </c>
      <c r="B49" t="s">
        <v>3509</v>
      </c>
      <c r="C49" t="s">
        <v>1688</v>
      </c>
      <c r="D49" t="s">
        <v>3518</v>
      </c>
      <c r="E49" t="s">
        <v>3538</v>
      </c>
      <c r="F49" t="s">
        <v>3511</v>
      </c>
      <c r="G49" t="s">
        <v>3512</v>
      </c>
      <c r="H49" t="s">
        <v>3513</v>
      </c>
      <c r="I49" t="s">
        <v>3476</v>
      </c>
      <c r="J49" t="s">
        <v>650</v>
      </c>
      <c r="K49" t="s">
        <v>3520</v>
      </c>
    </row>
    <row r="50" spans="1:11">
      <c r="A50" t="s">
        <v>1691</v>
      </c>
      <c r="B50" t="s">
        <v>3509</v>
      </c>
      <c r="C50" t="s">
        <v>1692</v>
      </c>
      <c r="D50" t="s">
        <v>3471</v>
      </c>
      <c r="E50" t="s">
        <v>3539</v>
      </c>
      <c r="F50" t="s">
        <v>3511</v>
      </c>
      <c r="G50" t="s">
        <v>3512</v>
      </c>
      <c r="H50" t="s">
        <v>3513</v>
      </c>
      <c r="I50" t="s">
        <v>3476</v>
      </c>
      <c r="J50" t="s">
        <v>650</v>
      </c>
    </row>
    <row r="51" spans="1:11">
      <c r="A51" t="s">
        <v>1691</v>
      </c>
      <c r="B51" t="s">
        <v>3509</v>
      </c>
      <c r="C51" t="s">
        <v>1692</v>
      </c>
      <c r="D51" t="s">
        <v>3477</v>
      </c>
      <c r="E51" t="s">
        <v>3540</v>
      </c>
      <c r="F51" t="s">
        <v>3511</v>
      </c>
      <c r="G51" t="s">
        <v>3512</v>
      </c>
      <c r="H51" t="s">
        <v>3513</v>
      </c>
      <c r="I51" t="s">
        <v>3476</v>
      </c>
      <c r="J51" t="s">
        <v>650</v>
      </c>
    </row>
    <row r="52" spans="1:11">
      <c r="A52" t="s">
        <v>1691</v>
      </c>
      <c r="B52" t="s">
        <v>3509</v>
      </c>
      <c r="C52" t="s">
        <v>1692</v>
      </c>
      <c r="D52" t="s">
        <v>3479</v>
      </c>
      <c r="E52" t="s">
        <v>3541</v>
      </c>
      <c r="F52" t="s">
        <v>3511</v>
      </c>
      <c r="G52" t="s">
        <v>3512</v>
      </c>
      <c r="H52" t="s">
        <v>3513</v>
      </c>
      <c r="I52" t="s">
        <v>3476</v>
      </c>
      <c r="J52" t="s">
        <v>650</v>
      </c>
    </row>
    <row r="53" spans="1:11">
      <c r="A53" t="s">
        <v>1691</v>
      </c>
      <c r="B53" t="s">
        <v>3509</v>
      </c>
      <c r="C53" t="s">
        <v>1692</v>
      </c>
      <c r="D53" t="s">
        <v>3481</v>
      </c>
      <c r="E53" t="s">
        <v>3542</v>
      </c>
      <c r="F53" t="s">
        <v>3511</v>
      </c>
      <c r="G53" t="s">
        <v>3512</v>
      </c>
      <c r="H53" t="s">
        <v>3513</v>
      </c>
      <c r="I53" t="s">
        <v>3476</v>
      </c>
      <c r="J53" t="s">
        <v>650</v>
      </c>
    </row>
    <row r="54" spans="1:11">
      <c r="A54" t="s">
        <v>1691</v>
      </c>
      <c r="B54" t="s">
        <v>3509</v>
      </c>
      <c r="C54" t="s">
        <v>1692</v>
      </c>
      <c r="D54" t="s">
        <v>3483</v>
      </c>
      <c r="E54" t="s">
        <v>3543</v>
      </c>
      <c r="F54" t="s">
        <v>3511</v>
      </c>
      <c r="G54" t="s">
        <v>3512</v>
      </c>
      <c r="H54" t="s">
        <v>3513</v>
      </c>
      <c r="I54" t="s">
        <v>3476</v>
      </c>
      <c r="J54" t="s">
        <v>650</v>
      </c>
    </row>
    <row r="55" spans="1:11">
      <c r="A55" t="s">
        <v>1691</v>
      </c>
      <c r="B55" t="s">
        <v>3509</v>
      </c>
      <c r="C55" t="s">
        <v>1692</v>
      </c>
      <c r="D55" t="s">
        <v>3518</v>
      </c>
      <c r="E55" t="s">
        <v>3544</v>
      </c>
      <c r="F55" t="s">
        <v>3511</v>
      </c>
      <c r="G55" t="s">
        <v>3512</v>
      </c>
      <c r="H55" t="s">
        <v>3513</v>
      </c>
      <c r="I55" t="s">
        <v>3476</v>
      </c>
      <c r="J55" t="s">
        <v>650</v>
      </c>
      <c r="K55" t="s">
        <v>3520</v>
      </c>
    </row>
    <row r="56" spans="1:11">
      <c r="A56" t="s">
        <v>1693</v>
      </c>
      <c r="B56" t="s">
        <v>3509</v>
      </c>
      <c r="C56" t="s">
        <v>1694</v>
      </c>
      <c r="D56" t="s">
        <v>3471</v>
      </c>
      <c r="E56" t="s">
        <v>3545</v>
      </c>
      <c r="F56" t="s">
        <v>3511</v>
      </c>
      <c r="G56" t="s">
        <v>3512</v>
      </c>
      <c r="H56" t="s">
        <v>3513</v>
      </c>
      <c r="I56" t="s">
        <v>3476</v>
      </c>
      <c r="J56" t="s">
        <v>650</v>
      </c>
    </row>
    <row r="57" spans="1:11">
      <c r="A57" t="s">
        <v>1693</v>
      </c>
      <c r="B57" t="s">
        <v>3509</v>
      </c>
      <c r="C57" t="s">
        <v>1694</v>
      </c>
      <c r="D57" t="s">
        <v>3477</v>
      </c>
      <c r="E57" t="s">
        <v>3546</v>
      </c>
      <c r="F57" t="s">
        <v>3511</v>
      </c>
      <c r="G57" t="s">
        <v>3512</v>
      </c>
      <c r="H57" t="s">
        <v>3513</v>
      </c>
      <c r="I57" t="s">
        <v>3476</v>
      </c>
      <c r="J57" t="s">
        <v>650</v>
      </c>
    </row>
    <row r="58" spans="1:11">
      <c r="A58" t="s">
        <v>1693</v>
      </c>
      <c r="B58" t="s">
        <v>3509</v>
      </c>
      <c r="C58" t="s">
        <v>1694</v>
      </c>
      <c r="D58" t="s">
        <v>3479</v>
      </c>
      <c r="E58" t="s">
        <v>3547</v>
      </c>
      <c r="F58" t="s">
        <v>3511</v>
      </c>
      <c r="G58" t="s">
        <v>3512</v>
      </c>
      <c r="H58" t="s">
        <v>3513</v>
      </c>
      <c r="I58" t="s">
        <v>3476</v>
      </c>
      <c r="J58" t="s">
        <v>650</v>
      </c>
    </row>
    <row r="59" spans="1:11">
      <c r="A59" t="s">
        <v>1693</v>
      </c>
      <c r="B59" t="s">
        <v>3509</v>
      </c>
      <c r="C59" t="s">
        <v>1694</v>
      </c>
      <c r="D59" t="s">
        <v>3481</v>
      </c>
      <c r="E59" t="s">
        <v>3548</v>
      </c>
      <c r="F59" t="s">
        <v>3511</v>
      </c>
      <c r="G59" t="s">
        <v>3512</v>
      </c>
      <c r="H59" t="s">
        <v>3513</v>
      </c>
      <c r="I59" t="s">
        <v>3476</v>
      </c>
      <c r="J59" t="s">
        <v>650</v>
      </c>
    </row>
    <row r="60" spans="1:11">
      <c r="A60" t="s">
        <v>1693</v>
      </c>
      <c r="B60" t="s">
        <v>3509</v>
      </c>
      <c r="C60" t="s">
        <v>1694</v>
      </c>
      <c r="D60" t="s">
        <v>3483</v>
      </c>
      <c r="E60" t="s">
        <v>3549</v>
      </c>
      <c r="F60" t="s">
        <v>3511</v>
      </c>
      <c r="G60" t="s">
        <v>3512</v>
      </c>
      <c r="H60" t="s">
        <v>3513</v>
      </c>
      <c r="I60" t="s">
        <v>3476</v>
      </c>
      <c r="J60" t="s">
        <v>650</v>
      </c>
    </row>
    <row r="61" spans="1:11">
      <c r="A61" t="s">
        <v>1693</v>
      </c>
      <c r="B61" t="s">
        <v>3509</v>
      </c>
      <c r="C61" t="s">
        <v>1694</v>
      </c>
      <c r="D61" t="s">
        <v>3518</v>
      </c>
      <c r="E61" t="s">
        <v>3550</v>
      </c>
      <c r="F61" t="s">
        <v>3511</v>
      </c>
      <c r="G61" t="s">
        <v>3512</v>
      </c>
      <c r="H61" t="s">
        <v>3513</v>
      </c>
      <c r="I61" t="s">
        <v>3476</v>
      </c>
      <c r="J61" t="s">
        <v>650</v>
      </c>
      <c r="K61" t="s">
        <v>3520</v>
      </c>
    </row>
    <row r="62" spans="1:11">
      <c r="A62" t="s">
        <v>1697</v>
      </c>
      <c r="B62" t="s">
        <v>3509</v>
      </c>
      <c r="C62" t="s">
        <v>1698</v>
      </c>
      <c r="D62" t="s">
        <v>3471</v>
      </c>
      <c r="E62" t="s">
        <v>3551</v>
      </c>
      <c r="F62" t="s">
        <v>3511</v>
      </c>
      <c r="G62" t="s">
        <v>3512</v>
      </c>
      <c r="H62" t="s">
        <v>3513</v>
      </c>
      <c r="I62" t="s">
        <v>3476</v>
      </c>
      <c r="J62" t="s">
        <v>650</v>
      </c>
    </row>
    <row r="63" spans="1:11">
      <c r="A63" t="s">
        <v>1697</v>
      </c>
      <c r="B63" t="s">
        <v>3509</v>
      </c>
      <c r="C63" t="s">
        <v>1698</v>
      </c>
      <c r="D63" t="s">
        <v>3477</v>
      </c>
      <c r="E63" t="s">
        <v>3552</v>
      </c>
      <c r="F63" t="s">
        <v>3511</v>
      </c>
      <c r="G63" t="s">
        <v>3512</v>
      </c>
      <c r="H63" t="s">
        <v>3513</v>
      </c>
      <c r="I63" t="s">
        <v>3476</v>
      </c>
      <c r="J63" t="s">
        <v>650</v>
      </c>
    </row>
    <row r="64" spans="1:11">
      <c r="A64" t="s">
        <v>1697</v>
      </c>
      <c r="B64" t="s">
        <v>3509</v>
      </c>
      <c r="C64" t="s">
        <v>1698</v>
      </c>
      <c r="D64" t="s">
        <v>3479</v>
      </c>
      <c r="E64" t="s">
        <v>3553</v>
      </c>
      <c r="F64" t="s">
        <v>3511</v>
      </c>
      <c r="G64" t="s">
        <v>3512</v>
      </c>
      <c r="H64" t="s">
        <v>3513</v>
      </c>
      <c r="I64" t="s">
        <v>3476</v>
      </c>
      <c r="J64" t="s">
        <v>650</v>
      </c>
    </row>
    <row r="65" spans="1:11">
      <c r="A65" t="s">
        <v>1697</v>
      </c>
      <c r="B65" t="s">
        <v>3509</v>
      </c>
      <c r="C65" t="s">
        <v>1698</v>
      </c>
      <c r="D65" t="s">
        <v>3481</v>
      </c>
      <c r="E65" t="s">
        <v>3554</v>
      </c>
      <c r="F65" t="s">
        <v>3511</v>
      </c>
      <c r="G65" t="s">
        <v>3512</v>
      </c>
      <c r="H65" t="s">
        <v>3513</v>
      </c>
      <c r="I65" t="s">
        <v>3476</v>
      </c>
      <c r="J65" t="s">
        <v>650</v>
      </c>
    </row>
    <row r="66" spans="1:11">
      <c r="A66" t="s">
        <v>1697</v>
      </c>
      <c r="B66" t="s">
        <v>3509</v>
      </c>
      <c r="C66" t="s">
        <v>1698</v>
      </c>
      <c r="D66" t="s">
        <v>3483</v>
      </c>
      <c r="E66" t="s">
        <v>3555</v>
      </c>
      <c r="F66" t="s">
        <v>3511</v>
      </c>
      <c r="G66" t="s">
        <v>3512</v>
      </c>
      <c r="H66" t="s">
        <v>3513</v>
      </c>
      <c r="I66" t="s">
        <v>3476</v>
      </c>
      <c r="J66" t="s">
        <v>650</v>
      </c>
    </row>
    <row r="67" spans="1:11">
      <c r="A67" t="s">
        <v>1697</v>
      </c>
      <c r="B67" t="s">
        <v>3509</v>
      </c>
      <c r="C67" t="s">
        <v>1698</v>
      </c>
      <c r="D67" t="s">
        <v>3518</v>
      </c>
      <c r="E67" t="s">
        <v>3556</v>
      </c>
      <c r="F67" t="s">
        <v>3511</v>
      </c>
      <c r="G67" t="s">
        <v>3512</v>
      </c>
      <c r="H67" t="s">
        <v>3513</v>
      </c>
      <c r="I67" t="s">
        <v>3476</v>
      </c>
      <c r="J67" t="s">
        <v>650</v>
      </c>
      <c r="K67" t="s">
        <v>3520</v>
      </c>
    </row>
    <row r="68" spans="1:11">
      <c r="A68" t="s">
        <v>1699</v>
      </c>
      <c r="B68" t="s">
        <v>3509</v>
      </c>
      <c r="C68" t="s">
        <v>1700</v>
      </c>
      <c r="D68" t="s">
        <v>3471</v>
      </c>
      <c r="E68" t="s">
        <v>3557</v>
      </c>
      <c r="F68" t="s">
        <v>3511</v>
      </c>
      <c r="G68" t="s">
        <v>3512</v>
      </c>
      <c r="H68" t="s">
        <v>3513</v>
      </c>
      <c r="I68" t="s">
        <v>3476</v>
      </c>
      <c r="J68" t="s">
        <v>650</v>
      </c>
    </row>
    <row r="69" spans="1:11">
      <c r="A69" t="s">
        <v>1699</v>
      </c>
      <c r="B69" t="s">
        <v>3509</v>
      </c>
      <c r="C69" t="s">
        <v>1700</v>
      </c>
      <c r="D69" t="s">
        <v>3477</v>
      </c>
      <c r="E69" t="s">
        <v>3558</v>
      </c>
      <c r="F69" t="s">
        <v>3511</v>
      </c>
      <c r="G69" t="s">
        <v>3512</v>
      </c>
      <c r="H69" t="s">
        <v>3513</v>
      </c>
      <c r="I69" t="s">
        <v>3476</v>
      </c>
      <c r="J69" t="s">
        <v>650</v>
      </c>
    </row>
    <row r="70" spans="1:11">
      <c r="A70" t="s">
        <v>1699</v>
      </c>
      <c r="B70" t="s">
        <v>3509</v>
      </c>
      <c r="C70" t="s">
        <v>1700</v>
      </c>
      <c r="D70" t="s">
        <v>3479</v>
      </c>
      <c r="E70" t="s">
        <v>3559</v>
      </c>
      <c r="F70" t="s">
        <v>3511</v>
      </c>
      <c r="G70" t="s">
        <v>3512</v>
      </c>
      <c r="H70" t="s">
        <v>3513</v>
      </c>
      <c r="I70" t="s">
        <v>3476</v>
      </c>
      <c r="J70" t="s">
        <v>650</v>
      </c>
    </row>
    <row r="71" spans="1:11">
      <c r="A71" t="s">
        <v>1699</v>
      </c>
      <c r="B71" t="s">
        <v>3509</v>
      </c>
      <c r="C71" t="s">
        <v>1700</v>
      </c>
      <c r="D71" t="s">
        <v>3481</v>
      </c>
      <c r="E71" t="s">
        <v>3560</v>
      </c>
      <c r="F71" t="s">
        <v>3511</v>
      </c>
      <c r="G71" t="s">
        <v>3512</v>
      </c>
      <c r="H71" t="s">
        <v>3513</v>
      </c>
      <c r="I71" t="s">
        <v>3476</v>
      </c>
      <c r="J71" t="s">
        <v>650</v>
      </c>
    </row>
    <row r="72" spans="1:11">
      <c r="A72" t="s">
        <v>1699</v>
      </c>
      <c r="B72" t="s">
        <v>3509</v>
      </c>
      <c r="C72" t="s">
        <v>1700</v>
      </c>
      <c r="D72" t="s">
        <v>3483</v>
      </c>
      <c r="E72" t="s">
        <v>3561</v>
      </c>
      <c r="F72" t="s">
        <v>3511</v>
      </c>
      <c r="G72" t="s">
        <v>3512</v>
      </c>
      <c r="H72" t="s">
        <v>3513</v>
      </c>
      <c r="I72" t="s">
        <v>3476</v>
      </c>
      <c r="J72" t="s">
        <v>650</v>
      </c>
    </row>
    <row r="73" spans="1:11">
      <c r="A73" t="s">
        <v>1699</v>
      </c>
      <c r="B73" t="s">
        <v>3509</v>
      </c>
      <c r="C73" t="s">
        <v>1700</v>
      </c>
      <c r="D73" t="s">
        <v>3518</v>
      </c>
      <c r="E73" t="s">
        <v>3562</v>
      </c>
      <c r="F73" t="s">
        <v>3511</v>
      </c>
      <c r="G73" t="s">
        <v>3512</v>
      </c>
      <c r="H73" t="s">
        <v>3513</v>
      </c>
      <c r="I73" t="s">
        <v>3476</v>
      </c>
      <c r="J73" t="s">
        <v>650</v>
      </c>
      <c r="K73" t="s">
        <v>3520</v>
      </c>
    </row>
    <row r="74" spans="1:11">
      <c r="A74" t="s">
        <v>1702</v>
      </c>
      <c r="B74" t="s">
        <v>3509</v>
      </c>
      <c r="C74" t="s">
        <v>1703</v>
      </c>
      <c r="D74" t="s">
        <v>3471</v>
      </c>
      <c r="E74" t="s">
        <v>3563</v>
      </c>
      <c r="F74" t="s">
        <v>3511</v>
      </c>
      <c r="G74" t="s">
        <v>3512</v>
      </c>
      <c r="H74" t="s">
        <v>3513</v>
      </c>
      <c r="I74" t="s">
        <v>3476</v>
      </c>
      <c r="J74" t="s">
        <v>650</v>
      </c>
    </row>
    <row r="75" spans="1:11">
      <c r="A75" t="s">
        <v>1702</v>
      </c>
      <c r="B75" t="s">
        <v>3509</v>
      </c>
      <c r="C75" t="s">
        <v>1703</v>
      </c>
      <c r="D75" t="s">
        <v>3477</v>
      </c>
      <c r="E75" t="s">
        <v>3564</v>
      </c>
      <c r="F75" t="s">
        <v>3511</v>
      </c>
      <c r="G75" t="s">
        <v>3512</v>
      </c>
      <c r="H75" t="s">
        <v>3513</v>
      </c>
      <c r="I75" t="s">
        <v>3476</v>
      </c>
      <c r="J75" t="s">
        <v>650</v>
      </c>
    </row>
    <row r="76" spans="1:11">
      <c r="A76" t="s">
        <v>1702</v>
      </c>
      <c r="B76" t="s">
        <v>3509</v>
      </c>
      <c r="C76" t="s">
        <v>1703</v>
      </c>
      <c r="D76" t="s">
        <v>3479</v>
      </c>
      <c r="E76" t="s">
        <v>3565</v>
      </c>
      <c r="F76" t="s">
        <v>3511</v>
      </c>
      <c r="G76" t="s">
        <v>3512</v>
      </c>
      <c r="H76" t="s">
        <v>3513</v>
      </c>
      <c r="I76" t="s">
        <v>3476</v>
      </c>
      <c r="J76" t="s">
        <v>650</v>
      </c>
    </row>
    <row r="77" spans="1:11">
      <c r="A77" t="s">
        <v>1702</v>
      </c>
      <c r="B77" t="s">
        <v>3509</v>
      </c>
      <c r="C77" t="s">
        <v>1703</v>
      </c>
      <c r="D77" t="s">
        <v>3481</v>
      </c>
      <c r="E77" t="s">
        <v>3566</v>
      </c>
      <c r="F77" t="s">
        <v>3511</v>
      </c>
      <c r="G77" t="s">
        <v>3512</v>
      </c>
      <c r="H77" t="s">
        <v>3513</v>
      </c>
      <c r="I77" t="s">
        <v>3476</v>
      </c>
      <c r="J77" t="s">
        <v>650</v>
      </c>
    </row>
    <row r="78" spans="1:11">
      <c r="A78" t="s">
        <v>1702</v>
      </c>
      <c r="B78" t="s">
        <v>3509</v>
      </c>
      <c r="C78" t="s">
        <v>1703</v>
      </c>
      <c r="D78" t="s">
        <v>3483</v>
      </c>
      <c r="E78" t="s">
        <v>3567</v>
      </c>
      <c r="F78" t="s">
        <v>3511</v>
      </c>
      <c r="G78" t="s">
        <v>3512</v>
      </c>
      <c r="H78" t="s">
        <v>3513</v>
      </c>
      <c r="I78" t="s">
        <v>3476</v>
      </c>
      <c r="J78" t="s">
        <v>650</v>
      </c>
    </row>
    <row r="79" spans="1:11">
      <c r="A79" t="s">
        <v>1702</v>
      </c>
      <c r="B79" t="s">
        <v>3509</v>
      </c>
      <c r="C79" t="s">
        <v>1703</v>
      </c>
      <c r="D79" t="s">
        <v>3518</v>
      </c>
      <c r="E79" t="s">
        <v>3568</v>
      </c>
      <c r="F79" t="s">
        <v>3511</v>
      </c>
      <c r="G79" t="s">
        <v>3512</v>
      </c>
      <c r="H79" t="s">
        <v>3513</v>
      </c>
      <c r="I79" t="s">
        <v>3476</v>
      </c>
      <c r="J79" t="s">
        <v>650</v>
      </c>
      <c r="K79" t="s">
        <v>3520</v>
      </c>
    </row>
    <row r="80" spans="1:11">
      <c r="A80" t="s">
        <v>1707</v>
      </c>
      <c r="B80" t="s">
        <v>3509</v>
      </c>
      <c r="C80" t="s">
        <v>1708</v>
      </c>
      <c r="D80" t="s">
        <v>3471</v>
      </c>
      <c r="E80" t="s">
        <v>3569</v>
      </c>
      <c r="F80" t="s">
        <v>3511</v>
      </c>
      <c r="G80" t="s">
        <v>3512</v>
      </c>
      <c r="H80" t="s">
        <v>3513</v>
      </c>
      <c r="I80" t="s">
        <v>3476</v>
      </c>
      <c r="J80" t="s">
        <v>650</v>
      </c>
    </row>
    <row r="81" spans="1:11">
      <c r="A81" t="s">
        <v>1707</v>
      </c>
      <c r="B81" t="s">
        <v>3509</v>
      </c>
      <c r="C81" t="s">
        <v>1708</v>
      </c>
      <c r="D81" t="s">
        <v>3477</v>
      </c>
      <c r="E81" t="s">
        <v>3570</v>
      </c>
      <c r="F81" t="s">
        <v>3511</v>
      </c>
      <c r="G81" t="s">
        <v>3512</v>
      </c>
      <c r="H81" t="s">
        <v>3513</v>
      </c>
      <c r="I81" t="s">
        <v>3476</v>
      </c>
      <c r="J81" t="s">
        <v>650</v>
      </c>
    </row>
    <row r="82" spans="1:11">
      <c r="A82" t="s">
        <v>1707</v>
      </c>
      <c r="B82" t="s">
        <v>3509</v>
      </c>
      <c r="C82" t="s">
        <v>1708</v>
      </c>
      <c r="D82" t="s">
        <v>3479</v>
      </c>
      <c r="E82" t="s">
        <v>3571</v>
      </c>
      <c r="F82" t="s">
        <v>3511</v>
      </c>
      <c r="G82" t="s">
        <v>3512</v>
      </c>
      <c r="H82" t="s">
        <v>3513</v>
      </c>
      <c r="I82" t="s">
        <v>3476</v>
      </c>
      <c r="J82" t="s">
        <v>650</v>
      </c>
    </row>
    <row r="83" spans="1:11">
      <c r="A83" t="s">
        <v>1707</v>
      </c>
      <c r="B83" t="s">
        <v>3509</v>
      </c>
      <c r="C83" t="s">
        <v>1708</v>
      </c>
      <c r="D83" t="s">
        <v>3481</v>
      </c>
      <c r="E83" t="s">
        <v>3572</v>
      </c>
      <c r="F83" t="s">
        <v>3511</v>
      </c>
      <c r="G83" t="s">
        <v>3512</v>
      </c>
      <c r="H83" t="s">
        <v>3513</v>
      </c>
      <c r="I83" t="s">
        <v>3476</v>
      </c>
      <c r="J83" t="s">
        <v>650</v>
      </c>
    </row>
    <row r="84" spans="1:11">
      <c r="A84" t="s">
        <v>1707</v>
      </c>
      <c r="B84" t="s">
        <v>3509</v>
      </c>
      <c r="C84" t="s">
        <v>1708</v>
      </c>
      <c r="D84" t="s">
        <v>3483</v>
      </c>
      <c r="E84" t="s">
        <v>3573</v>
      </c>
      <c r="F84" t="s">
        <v>3511</v>
      </c>
      <c r="G84" t="s">
        <v>3512</v>
      </c>
      <c r="H84" t="s">
        <v>3513</v>
      </c>
      <c r="I84" t="s">
        <v>3476</v>
      </c>
      <c r="J84" t="s">
        <v>650</v>
      </c>
    </row>
    <row r="85" spans="1:11">
      <c r="A85" t="s">
        <v>1707</v>
      </c>
      <c r="B85" t="s">
        <v>3509</v>
      </c>
      <c r="C85" t="s">
        <v>1708</v>
      </c>
      <c r="D85" t="s">
        <v>3518</v>
      </c>
      <c r="E85" t="s">
        <v>3574</v>
      </c>
      <c r="F85" t="s">
        <v>3511</v>
      </c>
      <c r="G85" t="s">
        <v>3512</v>
      </c>
      <c r="H85" t="s">
        <v>3513</v>
      </c>
      <c r="I85" t="s">
        <v>3476</v>
      </c>
      <c r="J85" t="s">
        <v>650</v>
      </c>
      <c r="K85" t="s">
        <v>3520</v>
      </c>
    </row>
    <row r="86" spans="1:11">
      <c r="A86" t="s">
        <v>1712</v>
      </c>
      <c r="B86" t="s">
        <v>3509</v>
      </c>
      <c r="C86" t="s">
        <v>1713</v>
      </c>
      <c r="D86" t="s">
        <v>3471</v>
      </c>
      <c r="E86" t="s">
        <v>3575</v>
      </c>
      <c r="F86" t="s">
        <v>3511</v>
      </c>
      <c r="G86" t="s">
        <v>3512</v>
      </c>
      <c r="H86" t="s">
        <v>3513</v>
      </c>
      <c r="I86" t="s">
        <v>3476</v>
      </c>
      <c r="J86" t="s">
        <v>650</v>
      </c>
    </row>
    <row r="87" spans="1:11">
      <c r="A87" t="s">
        <v>1712</v>
      </c>
      <c r="B87" t="s">
        <v>3509</v>
      </c>
      <c r="C87" t="s">
        <v>1713</v>
      </c>
      <c r="D87" t="s">
        <v>3477</v>
      </c>
      <c r="E87" t="s">
        <v>3576</v>
      </c>
      <c r="F87" t="s">
        <v>3511</v>
      </c>
      <c r="G87" t="s">
        <v>3512</v>
      </c>
      <c r="H87" t="s">
        <v>3513</v>
      </c>
      <c r="I87" t="s">
        <v>3476</v>
      </c>
      <c r="J87" t="s">
        <v>650</v>
      </c>
    </row>
    <row r="88" spans="1:11">
      <c r="A88" t="s">
        <v>1712</v>
      </c>
      <c r="B88" t="s">
        <v>3509</v>
      </c>
      <c r="C88" t="s">
        <v>1713</v>
      </c>
      <c r="D88" t="s">
        <v>3479</v>
      </c>
      <c r="E88" t="s">
        <v>3577</v>
      </c>
      <c r="F88" t="s">
        <v>3511</v>
      </c>
      <c r="G88" t="s">
        <v>3512</v>
      </c>
      <c r="H88" t="s">
        <v>3513</v>
      </c>
      <c r="I88" t="s">
        <v>3476</v>
      </c>
      <c r="J88" t="s">
        <v>650</v>
      </c>
    </row>
    <row r="89" spans="1:11">
      <c r="A89" t="s">
        <v>1712</v>
      </c>
      <c r="B89" t="s">
        <v>3509</v>
      </c>
      <c r="C89" t="s">
        <v>1713</v>
      </c>
      <c r="D89" t="s">
        <v>3481</v>
      </c>
      <c r="E89" t="s">
        <v>3578</v>
      </c>
      <c r="F89" t="s">
        <v>3511</v>
      </c>
      <c r="G89" t="s">
        <v>3512</v>
      </c>
      <c r="H89" t="s">
        <v>3513</v>
      </c>
      <c r="I89" t="s">
        <v>3476</v>
      </c>
      <c r="J89" t="s">
        <v>650</v>
      </c>
    </row>
    <row r="90" spans="1:11">
      <c r="A90" t="s">
        <v>1712</v>
      </c>
      <c r="B90" t="s">
        <v>3509</v>
      </c>
      <c r="C90" t="s">
        <v>1713</v>
      </c>
      <c r="D90" t="s">
        <v>3483</v>
      </c>
      <c r="E90" t="s">
        <v>3579</v>
      </c>
      <c r="F90" t="s">
        <v>3511</v>
      </c>
      <c r="G90" t="s">
        <v>3512</v>
      </c>
      <c r="H90" t="s">
        <v>3513</v>
      </c>
      <c r="I90" t="s">
        <v>3476</v>
      </c>
      <c r="J90" t="s">
        <v>650</v>
      </c>
    </row>
    <row r="91" spans="1:11">
      <c r="A91" t="s">
        <v>1712</v>
      </c>
      <c r="B91" t="s">
        <v>3509</v>
      </c>
      <c r="C91" t="s">
        <v>1713</v>
      </c>
      <c r="D91" t="s">
        <v>3518</v>
      </c>
      <c r="E91" t="s">
        <v>3580</v>
      </c>
      <c r="F91" t="s">
        <v>3511</v>
      </c>
      <c r="G91" t="s">
        <v>3512</v>
      </c>
      <c r="H91" t="s">
        <v>3513</v>
      </c>
      <c r="I91" t="s">
        <v>3476</v>
      </c>
      <c r="J91" t="s">
        <v>650</v>
      </c>
      <c r="K91" t="s">
        <v>3520</v>
      </c>
    </row>
    <row r="92" spans="1:11">
      <c r="A92" t="s">
        <v>1715</v>
      </c>
      <c r="B92" t="s">
        <v>3509</v>
      </c>
      <c r="C92" t="s">
        <v>1716</v>
      </c>
      <c r="D92" t="s">
        <v>3471</v>
      </c>
      <c r="E92" t="s">
        <v>3581</v>
      </c>
      <c r="F92" t="s">
        <v>3511</v>
      </c>
      <c r="G92" t="s">
        <v>3512</v>
      </c>
      <c r="H92" t="s">
        <v>3513</v>
      </c>
      <c r="I92" t="s">
        <v>3476</v>
      </c>
      <c r="J92" t="s">
        <v>650</v>
      </c>
    </row>
    <row r="93" spans="1:11">
      <c r="A93" t="s">
        <v>1715</v>
      </c>
      <c r="B93" t="s">
        <v>3509</v>
      </c>
      <c r="C93" t="s">
        <v>1716</v>
      </c>
      <c r="D93" t="s">
        <v>3477</v>
      </c>
      <c r="E93" t="s">
        <v>3582</v>
      </c>
      <c r="F93" t="s">
        <v>3511</v>
      </c>
      <c r="G93" t="s">
        <v>3512</v>
      </c>
      <c r="H93" t="s">
        <v>3513</v>
      </c>
      <c r="I93" t="s">
        <v>3476</v>
      </c>
      <c r="J93" t="s">
        <v>650</v>
      </c>
    </row>
    <row r="94" spans="1:11">
      <c r="A94" t="s">
        <v>1715</v>
      </c>
      <c r="B94" t="s">
        <v>3509</v>
      </c>
      <c r="C94" t="s">
        <v>1716</v>
      </c>
      <c r="D94" t="s">
        <v>3479</v>
      </c>
      <c r="E94" t="s">
        <v>3583</v>
      </c>
      <c r="F94" t="s">
        <v>3511</v>
      </c>
      <c r="G94" t="s">
        <v>3512</v>
      </c>
      <c r="H94" t="s">
        <v>3513</v>
      </c>
      <c r="I94" t="s">
        <v>3476</v>
      </c>
      <c r="J94" t="s">
        <v>650</v>
      </c>
    </row>
    <row r="95" spans="1:11">
      <c r="A95" t="s">
        <v>1715</v>
      </c>
      <c r="B95" t="s">
        <v>3509</v>
      </c>
      <c r="C95" t="s">
        <v>1716</v>
      </c>
      <c r="D95" t="s">
        <v>3481</v>
      </c>
      <c r="E95" t="s">
        <v>3584</v>
      </c>
      <c r="F95" t="s">
        <v>3511</v>
      </c>
      <c r="G95" t="s">
        <v>3512</v>
      </c>
      <c r="H95" t="s">
        <v>3513</v>
      </c>
      <c r="I95" t="s">
        <v>3476</v>
      </c>
      <c r="J95" t="s">
        <v>650</v>
      </c>
    </row>
    <row r="96" spans="1:11">
      <c r="A96" t="s">
        <v>1715</v>
      </c>
      <c r="B96" t="s">
        <v>3509</v>
      </c>
      <c r="C96" t="s">
        <v>1716</v>
      </c>
      <c r="D96" t="s">
        <v>3483</v>
      </c>
      <c r="E96" t="s">
        <v>3585</v>
      </c>
      <c r="F96" t="s">
        <v>3511</v>
      </c>
      <c r="G96" t="s">
        <v>3512</v>
      </c>
      <c r="H96" t="s">
        <v>3513</v>
      </c>
      <c r="I96" t="s">
        <v>3476</v>
      </c>
      <c r="J96" t="s">
        <v>650</v>
      </c>
    </row>
    <row r="97" spans="1:11">
      <c r="A97" t="s">
        <v>1715</v>
      </c>
      <c r="B97" t="s">
        <v>3509</v>
      </c>
      <c r="C97" t="s">
        <v>1716</v>
      </c>
      <c r="D97" t="s">
        <v>3518</v>
      </c>
      <c r="E97" t="s">
        <v>3586</v>
      </c>
      <c r="F97" t="s">
        <v>3511</v>
      </c>
      <c r="G97" t="s">
        <v>3512</v>
      </c>
      <c r="H97" t="s">
        <v>3513</v>
      </c>
      <c r="I97" t="s">
        <v>3476</v>
      </c>
      <c r="J97" t="s">
        <v>650</v>
      </c>
      <c r="K97" t="s">
        <v>3520</v>
      </c>
    </row>
    <row r="98" spans="1:11">
      <c r="A98" t="s">
        <v>1719</v>
      </c>
      <c r="B98" t="s">
        <v>3509</v>
      </c>
      <c r="C98" t="s">
        <v>1720</v>
      </c>
      <c r="D98" t="s">
        <v>3471</v>
      </c>
      <c r="E98" t="s">
        <v>3587</v>
      </c>
      <c r="F98" t="s">
        <v>3511</v>
      </c>
      <c r="G98" t="s">
        <v>3512</v>
      </c>
      <c r="H98" t="s">
        <v>3513</v>
      </c>
      <c r="I98" t="s">
        <v>3476</v>
      </c>
      <c r="J98" t="s">
        <v>671</v>
      </c>
    </row>
    <row r="99" spans="1:11">
      <c r="A99" t="s">
        <v>1719</v>
      </c>
      <c r="B99" t="s">
        <v>3509</v>
      </c>
      <c r="C99" t="s">
        <v>1720</v>
      </c>
      <c r="D99" t="s">
        <v>3477</v>
      </c>
      <c r="E99" t="s">
        <v>3588</v>
      </c>
      <c r="F99" t="s">
        <v>3511</v>
      </c>
      <c r="G99" t="s">
        <v>3512</v>
      </c>
      <c r="H99" t="s">
        <v>3513</v>
      </c>
      <c r="I99" t="s">
        <v>3476</v>
      </c>
      <c r="J99" t="s">
        <v>650</v>
      </c>
    </row>
    <row r="100" spans="1:11">
      <c r="A100" t="s">
        <v>1719</v>
      </c>
      <c r="B100" t="s">
        <v>3509</v>
      </c>
      <c r="C100" t="s">
        <v>1720</v>
      </c>
      <c r="D100" t="s">
        <v>3479</v>
      </c>
      <c r="E100" t="s">
        <v>3589</v>
      </c>
      <c r="F100" t="s">
        <v>3511</v>
      </c>
      <c r="G100" t="s">
        <v>3512</v>
      </c>
      <c r="H100" t="s">
        <v>3513</v>
      </c>
      <c r="I100" t="s">
        <v>3476</v>
      </c>
      <c r="J100" t="s">
        <v>650</v>
      </c>
    </row>
    <row r="101" spans="1:11">
      <c r="A101" t="s">
        <v>1719</v>
      </c>
      <c r="B101" t="s">
        <v>3509</v>
      </c>
      <c r="C101" t="s">
        <v>1720</v>
      </c>
      <c r="D101" t="s">
        <v>3481</v>
      </c>
      <c r="E101" t="s">
        <v>3590</v>
      </c>
      <c r="F101" t="s">
        <v>3511</v>
      </c>
      <c r="G101" t="s">
        <v>3512</v>
      </c>
      <c r="H101" t="s">
        <v>3513</v>
      </c>
      <c r="I101" t="s">
        <v>3476</v>
      </c>
      <c r="J101" t="s">
        <v>650</v>
      </c>
    </row>
    <row r="102" spans="1:11">
      <c r="A102" t="s">
        <v>1719</v>
      </c>
      <c r="B102" t="s">
        <v>3509</v>
      </c>
      <c r="C102" t="s">
        <v>1720</v>
      </c>
      <c r="D102" t="s">
        <v>3483</v>
      </c>
      <c r="E102" t="s">
        <v>3591</v>
      </c>
      <c r="F102" t="s">
        <v>3511</v>
      </c>
      <c r="G102" t="s">
        <v>3512</v>
      </c>
      <c r="H102" t="s">
        <v>3513</v>
      </c>
      <c r="I102" t="s">
        <v>3476</v>
      </c>
      <c r="J102" t="s">
        <v>650</v>
      </c>
    </row>
    <row r="103" spans="1:11">
      <c r="A103" t="s">
        <v>1719</v>
      </c>
      <c r="B103" t="s">
        <v>3509</v>
      </c>
      <c r="C103" t="s">
        <v>1720</v>
      </c>
      <c r="D103" t="s">
        <v>3518</v>
      </c>
      <c r="E103" t="s">
        <v>3592</v>
      </c>
      <c r="F103" t="s">
        <v>3511</v>
      </c>
      <c r="G103" t="s">
        <v>3512</v>
      </c>
      <c r="H103" t="s">
        <v>3513</v>
      </c>
      <c r="I103" t="s">
        <v>3476</v>
      </c>
      <c r="J103" t="s">
        <v>650</v>
      </c>
      <c r="K103" t="s">
        <v>3520</v>
      </c>
    </row>
    <row r="104" spans="1:11">
      <c r="A104" t="s">
        <v>1724</v>
      </c>
      <c r="B104" t="s">
        <v>3509</v>
      </c>
      <c r="C104" t="s">
        <v>1725</v>
      </c>
      <c r="D104" t="s">
        <v>3471</v>
      </c>
      <c r="E104" t="s">
        <v>3593</v>
      </c>
      <c r="F104" t="s">
        <v>3511</v>
      </c>
      <c r="G104" t="s">
        <v>3512</v>
      </c>
      <c r="H104" t="s">
        <v>3513</v>
      </c>
      <c r="I104" t="s">
        <v>3476</v>
      </c>
      <c r="J104" t="s">
        <v>650</v>
      </c>
    </row>
    <row r="105" spans="1:11">
      <c r="A105" t="s">
        <v>1724</v>
      </c>
      <c r="B105" t="s">
        <v>3509</v>
      </c>
      <c r="C105" t="s">
        <v>1725</v>
      </c>
      <c r="D105" t="s">
        <v>3477</v>
      </c>
      <c r="E105" t="s">
        <v>3594</v>
      </c>
      <c r="F105" t="s">
        <v>3511</v>
      </c>
      <c r="G105" t="s">
        <v>3512</v>
      </c>
      <c r="H105" t="s">
        <v>3513</v>
      </c>
      <c r="I105" t="s">
        <v>3476</v>
      </c>
      <c r="J105" t="s">
        <v>650</v>
      </c>
    </row>
    <row r="106" spans="1:11">
      <c r="A106" t="s">
        <v>1724</v>
      </c>
      <c r="B106" t="s">
        <v>3509</v>
      </c>
      <c r="C106" t="s">
        <v>1725</v>
      </c>
      <c r="D106" t="s">
        <v>3479</v>
      </c>
      <c r="E106" t="s">
        <v>3595</v>
      </c>
      <c r="F106" t="s">
        <v>3511</v>
      </c>
      <c r="G106" t="s">
        <v>3512</v>
      </c>
      <c r="H106" t="s">
        <v>3513</v>
      </c>
      <c r="I106" t="s">
        <v>3476</v>
      </c>
      <c r="J106" t="s">
        <v>650</v>
      </c>
    </row>
    <row r="107" spans="1:11">
      <c r="A107" t="s">
        <v>1724</v>
      </c>
      <c r="B107" t="s">
        <v>3509</v>
      </c>
      <c r="C107" t="s">
        <v>1725</v>
      </c>
      <c r="D107" t="s">
        <v>3481</v>
      </c>
      <c r="E107" t="s">
        <v>3596</v>
      </c>
      <c r="F107" t="s">
        <v>3511</v>
      </c>
      <c r="G107" t="s">
        <v>3512</v>
      </c>
      <c r="H107" t="s">
        <v>3513</v>
      </c>
      <c r="I107" t="s">
        <v>3476</v>
      </c>
      <c r="J107" t="s">
        <v>650</v>
      </c>
    </row>
    <row r="108" spans="1:11">
      <c r="A108" t="s">
        <v>1724</v>
      </c>
      <c r="B108" t="s">
        <v>3509</v>
      </c>
      <c r="C108" t="s">
        <v>1725</v>
      </c>
      <c r="D108" t="s">
        <v>3483</v>
      </c>
      <c r="E108" t="s">
        <v>3597</v>
      </c>
      <c r="F108" t="s">
        <v>3511</v>
      </c>
      <c r="G108" t="s">
        <v>3512</v>
      </c>
      <c r="H108" t="s">
        <v>3513</v>
      </c>
      <c r="I108" t="s">
        <v>3476</v>
      </c>
      <c r="J108" t="s">
        <v>650</v>
      </c>
    </row>
    <row r="109" spans="1:11">
      <c r="A109" t="s">
        <v>1724</v>
      </c>
      <c r="B109" t="s">
        <v>3509</v>
      </c>
      <c r="C109" t="s">
        <v>1725</v>
      </c>
      <c r="D109" t="s">
        <v>3518</v>
      </c>
      <c r="E109" t="s">
        <v>3598</v>
      </c>
      <c r="F109" t="s">
        <v>3511</v>
      </c>
      <c r="G109" t="s">
        <v>3512</v>
      </c>
      <c r="H109" t="s">
        <v>3513</v>
      </c>
      <c r="I109" t="s">
        <v>3476</v>
      </c>
      <c r="J109" t="s">
        <v>650</v>
      </c>
      <c r="K109" t="s">
        <v>3520</v>
      </c>
    </row>
    <row r="110" spans="1:11">
      <c r="A110" t="s">
        <v>1727</v>
      </c>
      <c r="B110" t="s">
        <v>3509</v>
      </c>
      <c r="C110" t="s">
        <v>1728</v>
      </c>
      <c r="D110" t="s">
        <v>3471</v>
      </c>
      <c r="E110" t="s">
        <v>3599</v>
      </c>
      <c r="F110" t="s">
        <v>3511</v>
      </c>
      <c r="G110" t="s">
        <v>3512</v>
      </c>
      <c r="H110" t="s">
        <v>3513</v>
      </c>
      <c r="I110" t="s">
        <v>3476</v>
      </c>
      <c r="J110" t="s">
        <v>671</v>
      </c>
    </row>
    <row r="111" spans="1:11">
      <c r="A111" t="s">
        <v>1727</v>
      </c>
      <c r="B111" t="s">
        <v>3509</v>
      </c>
      <c r="C111" t="s">
        <v>1728</v>
      </c>
      <c r="D111" t="s">
        <v>3477</v>
      </c>
      <c r="E111" t="s">
        <v>3600</v>
      </c>
      <c r="F111" t="s">
        <v>3511</v>
      </c>
      <c r="G111" t="s">
        <v>3512</v>
      </c>
      <c r="H111" t="s">
        <v>3513</v>
      </c>
      <c r="I111" t="s">
        <v>3476</v>
      </c>
      <c r="J111" t="s">
        <v>650</v>
      </c>
    </row>
    <row r="112" spans="1:11">
      <c r="A112" t="s">
        <v>1727</v>
      </c>
      <c r="B112" t="s">
        <v>3509</v>
      </c>
      <c r="C112" t="s">
        <v>1728</v>
      </c>
      <c r="D112" t="s">
        <v>3479</v>
      </c>
      <c r="E112" t="s">
        <v>3601</v>
      </c>
      <c r="F112" t="s">
        <v>3511</v>
      </c>
      <c r="G112" t="s">
        <v>3512</v>
      </c>
      <c r="H112" t="s">
        <v>3513</v>
      </c>
      <c r="I112" t="s">
        <v>3476</v>
      </c>
      <c r="J112" t="s">
        <v>650</v>
      </c>
    </row>
    <row r="113" spans="1:11">
      <c r="A113" t="s">
        <v>1727</v>
      </c>
      <c r="B113" t="s">
        <v>3509</v>
      </c>
      <c r="C113" t="s">
        <v>1728</v>
      </c>
      <c r="D113" t="s">
        <v>3481</v>
      </c>
      <c r="E113" t="s">
        <v>3602</v>
      </c>
      <c r="F113" t="s">
        <v>3511</v>
      </c>
      <c r="G113" t="s">
        <v>3512</v>
      </c>
      <c r="H113" t="s">
        <v>3513</v>
      </c>
      <c r="I113" t="s">
        <v>3476</v>
      </c>
      <c r="J113" t="s">
        <v>650</v>
      </c>
    </row>
    <row r="114" spans="1:11">
      <c r="A114" t="s">
        <v>1727</v>
      </c>
      <c r="B114" t="s">
        <v>3509</v>
      </c>
      <c r="C114" t="s">
        <v>1728</v>
      </c>
      <c r="D114" t="s">
        <v>3483</v>
      </c>
      <c r="E114" t="s">
        <v>3603</v>
      </c>
      <c r="F114" t="s">
        <v>3511</v>
      </c>
      <c r="G114" t="s">
        <v>3512</v>
      </c>
      <c r="H114" t="s">
        <v>3513</v>
      </c>
      <c r="I114" t="s">
        <v>3476</v>
      </c>
      <c r="J114" t="s">
        <v>650</v>
      </c>
    </row>
    <row r="115" spans="1:11">
      <c r="A115" t="s">
        <v>1727</v>
      </c>
      <c r="B115" t="s">
        <v>3509</v>
      </c>
      <c r="C115" t="s">
        <v>1728</v>
      </c>
      <c r="D115" t="s">
        <v>3518</v>
      </c>
      <c r="E115" t="s">
        <v>3604</v>
      </c>
      <c r="F115" t="s">
        <v>3511</v>
      </c>
      <c r="G115" t="s">
        <v>3512</v>
      </c>
      <c r="H115" t="s">
        <v>3513</v>
      </c>
      <c r="I115" t="s">
        <v>3476</v>
      </c>
      <c r="J115" t="s">
        <v>650</v>
      </c>
      <c r="K115" t="s">
        <v>3520</v>
      </c>
    </row>
    <row r="116" spans="1:11">
      <c r="A116" t="s">
        <v>1731</v>
      </c>
      <c r="B116" t="s">
        <v>3509</v>
      </c>
      <c r="C116" t="s">
        <v>1732</v>
      </c>
      <c r="D116" t="s">
        <v>3471</v>
      </c>
      <c r="E116" t="s">
        <v>3605</v>
      </c>
      <c r="F116" t="s">
        <v>3511</v>
      </c>
      <c r="G116" t="s">
        <v>3512</v>
      </c>
      <c r="H116" t="s">
        <v>3513</v>
      </c>
      <c r="I116" t="s">
        <v>3476</v>
      </c>
      <c r="J116" t="s">
        <v>650</v>
      </c>
    </row>
    <row r="117" spans="1:11">
      <c r="A117" t="s">
        <v>1731</v>
      </c>
      <c r="B117" t="s">
        <v>3509</v>
      </c>
      <c r="C117" t="s">
        <v>1732</v>
      </c>
      <c r="D117" t="s">
        <v>3477</v>
      </c>
      <c r="E117" t="s">
        <v>3606</v>
      </c>
      <c r="F117" t="s">
        <v>3511</v>
      </c>
      <c r="G117" t="s">
        <v>3512</v>
      </c>
      <c r="H117" t="s">
        <v>3513</v>
      </c>
      <c r="I117" t="s">
        <v>3476</v>
      </c>
      <c r="J117" t="s">
        <v>650</v>
      </c>
    </row>
    <row r="118" spans="1:11">
      <c r="A118" t="s">
        <v>1731</v>
      </c>
      <c r="B118" t="s">
        <v>3509</v>
      </c>
      <c r="C118" t="s">
        <v>1732</v>
      </c>
      <c r="D118" t="s">
        <v>3479</v>
      </c>
      <c r="E118" t="s">
        <v>3607</v>
      </c>
      <c r="F118" t="s">
        <v>3511</v>
      </c>
      <c r="G118" t="s">
        <v>3512</v>
      </c>
      <c r="H118" t="s">
        <v>3513</v>
      </c>
      <c r="I118" t="s">
        <v>3476</v>
      </c>
      <c r="J118" t="s">
        <v>650</v>
      </c>
    </row>
    <row r="119" spans="1:11">
      <c r="A119" t="s">
        <v>1731</v>
      </c>
      <c r="B119" t="s">
        <v>3509</v>
      </c>
      <c r="C119" t="s">
        <v>1732</v>
      </c>
      <c r="D119" t="s">
        <v>3481</v>
      </c>
      <c r="E119" t="s">
        <v>3608</v>
      </c>
      <c r="F119" t="s">
        <v>3511</v>
      </c>
      <c r="G119" t="s">
        <v>3512</v>
      </c>
      <c r="H119" t="s">
        <v>3513</v>
      </c>
      <c r="I119" t="s">
        <v>3476</v>
      </c>
      <c r="J119" t="s">
        <v>650</v>
      </c>
    </row>
    <row r="120" spans="1:11">
      <c r="A120" t="s">
        <v>1731</v>
      </c>
      <c r="B120" t="s">
        <v>3509</v>
      </c>
      <c r="C120" t="s">
        <v>1732</v>
      </c>
      <c r="D120" t="s">
        <v>3483</v>
      </c>
      <c r="E120" t="s">
        <v>3609</v>
      </c>
      <c r="F120" t="s">
        <v>3511</v>
      </c>
      <c r="G120" t="s">
        <v>3512</v>
      </c>
      <c r="H120" t="s">
        <v>3513</v>
      </c>
      <c r="I120" t="s">
        <v>3476</v>
      </c>
      <c r="J120" t="s">
        <v>650</v>
      </c>
    </row>
    <row r="121" spans="1:11">
      <c r="A121" t="s">
        <v>1731</v>
      </c>
      <c r="B121" t="s">
        <v>3509</v>
      </c>
      <c r="C121" t="s">
        <v>1732</v>
      </c>
      <c r="D121" t="s">
        <v>3518</v>
      </c>
      <c r="E121" t="s">
        <v>3610</v>
      </c>
      <c r="F121" t="s">
        <v>3511</v>
      </c>
      <c r="G121" t="s">
        <v>3512</v>
      </c>
      <c r="H121" t="s">
        <v>3513</v>
      </c>
      <c r="I121" t="s">
        <v>3476</v>
      </c>
      <c r="J121" t="s">
        <v>650</v>
      </c>
      <c r="K121" t="s">
        <v>3520</v>
      </c>
    </row>
    <row r="122" spans="1:11">
      <c r="A122" t="s">
        <v>1734</v>
      </c>
      <c r="B122" t="s">
        <v>3509</v>
      </c>
      <c r="C122" t="s">
        <v>1735</v>
      </c>
      <c r="D122" t="s">
        <v>3471</v>
      </c>
      <c r="E122" t="s">
        <v>3611</v>
      </c>
      <c r="F122" t="s">
        <v>3511</v>
      </c>
      <c r="G122" t="s">
        <v>3512</v>
      </c>
      <c r="H122" t="s">
        <v>3513</v>
      </c>
      <c r="I122" t="s">
        <v>3476</v>
      </c>
      <c r="J122" t="s">
        <v>650</v>
      </c>
    </row>
    <row r="123" spans="1:11">
      <c r="A123" t="s">
        <v>1734</v>
      </c>
      <c r="B123" t="s">
        <v>3509</v>
      </c>
      <c r="C123" t="s">
        <v>1735</v>
      </c>
      <c r="D123" t="s">
        <v>3477</v>
      </c>
      <c r="E123" t="s">
        <v>3612</v>
      </c>
      <c r="F123" t="s">
        <v>3511</v>
      </c>
      <c r="G123" t="s">
        <v>3512</v>
      </c>
      <c r="H123" t="s">
        <v>3513</v>
      </c>
      <c r="I123" t="s">
        <v>3476</v>
      </c>
      <c r="J123" t="s">
        <v>650</v>
      </c>
    </row>
    <row r="124" spans="1:11">
      <c r="A124" t="s">
        <v>1734</v>
      </c>
      <c r="B124" t="s">
        <v>3509</v>
      </c>
      <c r="C124" t="s">
        <v>1735</v>
      </c>
      <c r="D124" t="s">
        <v>3479</v>
      </c>
      <c r="E124" t="s">
        <v>3613</v>
      </c>
      <c r="F124" t="s">
        <v>3511</v>
      </c>
      <c r="G124" t="s">
        <v>3512</v>
      </c>
      <c r="H124" t="s">
        <v>3513</v>
      </c>
      <c r="I124" t="s">
        <v>3476</v>
      </c>
      <c r="J124" t="s">
        <v>650</v>
      </c>
    </row>
    <row r="125" spans="1:11">
      <c r="A125" t="s">
        <v>1734</v>
      </c>
      <c r="B125" t="s">
        <v>3509</v>
      </c>
      <c r="C125" t="s">
        <v>1735</v>
      </c>
      <c r="D125" t="s">
        <v>3481</v>
      </c>
      <c r="E125" t="s">
        <v>3614</v>
      </c>
      <c r="F125" t="s">
        <v>3511</v>
      </c>
      <c r="G125" t="s">
        <v>3512</v>
      </c>
      <c r="H125" t="s">
        <v>3513</v>
      </c>
      <c r="I125" t="s">
        <v>3476</v>
      </c>
      <c r="J125" t="s">
        <v>650</v>
      </c>
    </row>
    <row r="126" spans="1:11">
      <c r="A126" t="s">
        <v>1734</v>
      </c>
      <c r="B126" t="s">
        <v>3509</v>
      </c>
      <c r="C126" t="s">
        <v>1735</v>
      </c>
      <c r="D126" t="s">
        <v>3483</v>
      </c>
      <c r="E126" t="s">
        <v>3615</v>
      </c>
      <c r="F126" t="s">
        <v>3511</v>
      </c>
      <c r="G126" t="s">
        <v>3512</v>
      </c>
      <c r="H126" t="s">
        <v>3513</v>
      </c>
      <c r="I126" t="s">
        <v>3476</v>
      </c>
      <c r="J126" t="s">
        <v>650</v>
      </c>
    </row>
    <row r="127" spans="1:11">
      <c r="A127" t="s">
        <v>1734</v>
      </c>
      <c r="B127" t="s">
        <v>3509</v>
      </c>
      <c r="C127" t="s">
        <v>1735</v>
      </c>
      <c r="D127" t="s">
        <v>3518</v>
      </c>
      <c r="E127" t="s">
        <v>3616</v>
      </c>
      <c r="F127" t="s">
        <v>3511</v>
      </c>
      <c r="G127" t="s">
        <v>3512</v>
      </c>
      <c r="H127" t="s">
        <v>3513</v>
      </c>
      <c r="I127" t="s">
        <v>3476</v>
      </c>
      <c r="J127" t="s">
        <v>650</v>
      </c>
      <c r="K127" t="s">
        <v>3520</v>
      </c>
    </row>
    <row r="128" spans="1:11">
      <c r="A128" t="s">
        <v>1737</v>
      </c>
      <c r="B128" t="s">
        <v>3509</v>
      </c>
      <c r="C128" t="s">
        <v>1738</v>
      </c>
      <c r="D128" t="s">
        <v>3471</v>
      </c>
      <c r="E128" t="s">
        <v>3617</v>
      </c>
      <c r="F128" t="s">
        <v>3511</v>
      </c>
      <c r="G128" t="s">
        <v>3512</v>
      </c>
      <c r="H128" t="s">
        <v>3513</v>
      </c>
      <c r="I128" t="s">
        <v>3476</v>
      </c>
      <c r="J128" t="s">
        <v>650</v>
      </c>
    </row>
    <row r="129" spans="1:11">
      <c r="A129" t="s">
        <v>1737</v>
      </c>
      <c r="B129" t="s">
        <v>3509</v>
      </c>
      <c r="C129" t="s">
        <v>1738</v>
      </c>
      <c r="D129" t="s">
        <v>3477</v>
      </c>
      <c r="E129" t="s">
        <v>3618</v>
      </c>
      <c r="F129" t="s">
        <v>3511</v>
      </c>
      <c r="G129" t="s">
        <v>3512</v>
      </c>
      <c r="H129" t="s">
        <v>3513</v>
      </c>
      <c r="I129" t="s">
        <v>3476</v>
      </c>
      <c r="J129" t="s">
        <v>650</v>
      </c>
    </row>
    <row r="130" spans="1:11">
      <c r="A130" t="s">
        <v>1737</v>
      </c>
      <c r="B130" t="s">
        <v>3509</v>
      </c>
      <c r="C130" t="s">
        <v>1738</v>
      </c>
      <c r="D130" t="s">
        <v>3479</v>
      </c>
      <c r="E130" t="s">
        <v>3619</v>
      </c>
      <c r="F130" t="s">
        <v>3511</v>
      </c>
      <c r="G130" t="s">
        <v>3512</v>
      </c>
      <c r="H130" t="s">
        <v>3513</v>
      </c>
      <c r="I130" t="s">
        <v>3476</v>
      </c>
      <c r="J130" t="s">
        <v>650</v>
      </c>
    </row>
    <row r="131" spans="1:11">
      <c r="A131" t="s">
        <v>1737</v>
      </c>
      <c r="B131" t="s">
        <v>3509</v>
      </c>
      <c r="C131" t="s">
        <v>1738</v>
      </c>
      <c r="D131" t="s">
        <v>3481</v>
      </c>
      <c r="E131" t="s">
        <v>3620</v>
      </c>
      <c r="F131" t="s">
        <v>3511</v>
      </c>
      <c r="G131" t="s">
        <v>3512</v>
      </c>
      <c r="H131" t="s">
        <v>3513</v>
      </c>
      <c r="I131" t="s">
        <v>3476</v>
      </c>
      <c r="J131" t="s">
        <v>650</v>
      </c>
    </row>
    <row r="132" spans="1:11">
      <c r="A132" t="s">
        <v>1737</v>
      </c>
      <c r="B132" t="s">
        <v>3509</v>
      </c>
      <c r="C132" t="s">
        <v>1738</v>
      </c>
      <c r="D132" t="s">
        <v>3483</v>
      </c>
      <c r="E132" t="s">
        <v>3621</v>
      </c>
      <c r="F132" t="s">
        <v>3511</v>
      </c>
      <c r="G132" t="s">
        <v>3512</v>
      </c>
      <c r="H132" t="s">
        <v>3513</v>
      </c>
      <c r="I132" t="s">
        <v>3476</v>
      </c>
      <c r="J132" t="s">
        <v>650</v>
      </c>
    </row>
    <row r="133" spans="1:11">
      <c r="A133" t="s">
        <v>1737</v>
      </c>
      <c r="B133" t="s">
        <v>3509</v>
      </c>
      <c r="C133" t="s">
        <v>1738</v>
      </c>
      <c r="D133" t="s">
        <v>3518</v>
      </c>
      <c r="E133" t="s">
        <v>3622</v>
      </c>
      <c r="F133" t="s">
        <v>3511</v>
      </c>
      <c r="G133" t="s">
        <v>3512</v>
      </c>
      <c r="H133" t="s">
        <v>3513</v>
      </c>
      <c r="I133" t="s">
        <v>3476</v>
      </c>
      <c r="J133" t="s">
        <v>650</v>
      </c>
      <c r="K133" t="s">
        <v>3520</v>
      </c>
    </row>
    <row r="134" spans="1:11">
      <c r="A134" t="s">
        <v>1739</v>
      </c>
      <c r="B134" t="s">
        <v>3509</v>
      </c>
      <c r="C134" t="s">
        <v>1740</v>
      </c>
      <c r="D134" t="s">
        <v>3471</v>
      </c>
      <c r="E134" t="s">
        <v>3623</v>
      </c>
      <c r="F134" t="s">
        <v>3511</v>
      </c>
      <c r="G134" t="s">
        <v>3512</v>
      </c>
      <c r="H134" t="s">
        <v>3513</v>
      </c>
      <c r="I134" t="s">
        <v>3476</v>
      </c>
      <c r="J134" t="s">
        <v>650</v>
      </c>
    </row>
    <row r="135" spans="1:11">
      <c r="A135" t="s">
        <v>1739</v>
      </c>
      <c r="B135" t="s">
        <v>3509</v>
      </c>
      <c r="C135" t="s">
        <v>1740</v>
      </c>
      <c r="D135" t="s">
        <v>3477</v>
      </c>
      <c r="E135" t="s">
        <v>3624</v>
      </c>
      <c r="F135" t="s">
        <v>3511</v>
      </c>
      <c r="G135" t="s">
        <v>3512</v>
      </c>
      <c r="H135" t="s">
        <v>3513</v>
      </c>
      <c r="I135" t="s">
        <v>3476</v>
      </c>
      <c r="J135" t="s">
        <v>650</v>
      </c>
    </row>
    <row r="136" spans="1:11">
      <c r="A136" t="s">
        <v>1739</v>
      </c>
      <c r="B136" t="s">
        <v>3509</v>
      </c>
      <c r="C136" t="s">
        <v>1740</v>
      </c>
      <c r="D136" t="s">
        <v>3479</v>
      </c>
      <c r="E136" t="s">
        <v>3625</v>
      </c>
      <c r="F136" t="s">
        <v>3511</v>
      </c>
      <c r="G136" t="s">
        <v>3512</v>
      </c>
      <c r="H136" t="s">
        <v>3513</v>
      </c>
      <c r="I136" t="s">
        <v>3476</v>
      </c>
      <c r="J136" t="s">
        <v>650</v>
      </c>
    </row>
    <row r="137" spans="1:11">
      <c r="A137" t="s">
        <v>1739</v>
      </c>
      <c r="B137" t="s">
        <v>3509</v>
      </c>
      <c r="C137" t="s">
        <v>1740</v>
      </c>
      <c r="D137" t="s">
        <v>3481</v>
      </c>
      <c r="E137" t="s">
        <v>3626</v>
      </c>
      <c r="F137" t="s">
        <v>3511</v>
      </c>
      <c r="G137" t="s">
        <v>3512</v>
      </c>
      <c r="H137" t="s">
        <v>3513</v>
      </c>
      <c r="I137" t="s">
        <v>3476</v>
      </c>
      <c r="J137" t="s">
        <v>650</v>
      </c>
    </row>
    <row r="138" spans="1:11">
      <c r="A138" t="s">
        <v>1739</v>
      </c>
      <c r="B138" t="s">
        <v>3509</v>
      </c>
      <c r="C138" t="s">
        <v>1740</v>
      </c>
      <c r="D138" t="s">
        <v>3483</v>
      </c>
      <c r="E138" t="s">
        <v>3627</v>
      </c>
      <c r="F138" t="s">
        <v>3511</v>
      </c>
      <c r="G138" t="s">
        <v>3512</v>
      </c>
      <c r="H138" t="s">
        <v>3513</v>
      </c>
      <c r="I138" t="s">
        <v>3476</v>
      </c>
      <c r="J138" t="s">
        <v>650</v>
      </c>
    </row>
    <row r="139" spans="1:11">
      <c r="A139" t="s">
        <v>1739</v>
      </c>
      <c r="B139" t="s">
        <v>3509</v>
      </c>
      <c r="C139" t="s">
        <v>1740</v>
      </c>
      <c r="D139" t="s">
        <v>3518</v>
      </c>
      <c r="E139" t="s">
        <v>3628</v>
      </c>
      <c r="F139" t="s">
        <v>3511</v>
      </c>
      <c r="G139" t="s">
        <v>3512</v>
      </c>
      <c r="H139" t="s">
        <v>3513</v>
      </c>
      <c r="I139" t="s">
        <v>3476</v>
      </c>
      <c r="J139" t="s">
        <v>650</v>
      </c>
      <c r="K139" t="s">
        <v>3520</v>
      </c>
    </row>
    <row r="140" spans="1:11">
      <c r="A140" t="s">
        <v>1741</v>
      </c>
      <c r="B140" t="s">
        <v>3509</v>
      </c>
      <c r="C140" t="s">
        <v>1742</v>
      </c>
      <c r="D140" t="s">
        <v>3471</v>
      </c>
      <c r="E140" t="s">
        <v>3629</v>
      </c>
      <c r="F140" t="s">
        <v>3511</v>
      </c>
      <c r="G140" t="s">
        <v>3512</v>
      </c>
      <c r="H140" t="s">
        <v>3513</v>
      </c>
      <c r="I140" t="s">
        <v>3476</v>
      </c>
      <c r="J140" t="s">
        <v>650</v>
      </c>
    </row>
    <row r="141" spans="1:11">
      <c r="A141" t="s">
        <v>1741</v>
      </c>
      <c r="B141" t="s">
        <v>3509</v>
      </c>
      <c r="C141" t="s">
        <v>1742</v>
      </c>
      <c r="D141" t="s">
        <v>3477</v>
      </c>
      <c r="E141" t="s">
        <v>3630</v>
      </c>
      <c r="F141" t="s">
        <v>3511</v>
      </c>
      <c r="G141" t="s">
        <v>3512</v>
      </c>
      <c r="H141" t="s">
        <v>3513</v>
      </c>
      <c r="I141" t="s">
        <v>3476</v>
      </c>
      <c r="J141" t="s">
        <v>650</v>
      </c>
    </row>
    <row r="142" spans="1:11">
      <c r="A142" t="s">
        <v>1741</v>
      </c>
      <c r="B142" t="s">
        <v>3509</v>
      </c>
      <c r="C142" t="s">
        <v>1742</v>
      </c>
      <c r="D142" t="s">
        <v>3479</v>
      </c>
      <c r="E142" t="s">
        <v>3631</v>
      </c>
      <c r="F142" t="s">
        <v>3511</v>
      </c>
      <c r="G142" t="s">
        <v>3512</v>
      </c>
      <c r="H142" t="s">
        <v>3513</v>
      </c>
      <c r="I142" t="s">
        <v>3476</v>
      </c>
      <c r="J142" t="s">
        <v>650</v>
      </c>
    </row>
    <row r="143" spans="1:11">
      <c r="A143" t="s">
        <v>1741</v>
      </c>
      <c r="B143" t="s">
        <v>3509</v>
      </c>
      <c r="C143" t="s">
        <v>1742</v>
      </c>
      <c r="D143" t="s">
        <v>3481</v>
      </c>
      <c r="E143" t="s">
        <v>3632</v>
      </c>
      <c r="F143" t="s">
        <v>3511</v>
      </c>
      <c r="G143" t="s">
        <v>3512</v>
      </c>
      <c r="H143" t="s">
        <v>3513</v>
      </c>
      <c r="I143" t="s">
        <v>3476</v>
      </c>
      <c r="J143" t="s">
        <v>650</v>
      </c>
    </row>
    <row r="144" spans="1:11">
      <c r="A144" t="s">
        <v>1741</v>
      </c>
      <c r="B144" t="s">
        <v>3509</v>
      </c>
      <c r="C144" t="s">
        <v>1742</v>
      </c>
      <c r="D144" t="s">
        <v>3483</v>
      </c>
      <c r="E144" t="s">
        <v>3633</v>
      </c>
      <c r="F144" t="s">
        <v>3511</v>
      </c>
      <c r="G144" t="s">
        <v>3512</v>
      </c>
      <c r="H144" t="s">
        <v>3513</v>
      </c>
      <c r="I144" t="s">
        <v>3476</v>
      </c>
      <c r="J144" t="s">
        <v>650</v>
      </c>
    </row>
    <row r="145" spans="1:11">
      <c r="A145" t="s">
        <v>1741</v>
      </c>
      <c r="B145" t="s">
        <v>3509</v>
      </c>
      <c r="C145" t="s">
        <v>1742</v>
      </c>
      <c r="D145" t="s">
        <v>3518</v>
      </c>
      <c r="E145" t="s">
        <v>3634</v>
      </c>
      <c r="F145" t="s">
        <v>3511</v>
      </c>
      <c r="G145" t="s">
        <v>3512</v>
      </c>
      <c r="H145" t="s">
        <v>3513</v>
      </c>
      <c r="I145" t="s">
        <v>3476</v>
      </c>
      <c r="J145" t="s">
        <v>650</v>
      </c>
      <c r="K145" t="s">
        <v>3520</v>
      </c>
    </row>
    <row r="146" spans="1:11">
      <c r="A146" t="s">
        <v>1743</v>
      </c>
      <c r="B146" t="s">
        <v>3509</v>
      </c>
      <c r="C146" t="s">
        <v>1744</v>
      </c>
      <c r="D146" t="s">
        <v>3471</v>
      </c>
      <c r="E146" t="s">
        <v>3635</v>
      </c>
      <c r="F146" t="s">
        <v>3511</v>
      </c>
      <c r="G146" t="s">
        <v>3512</v>
      </c>
      <c r="H146" t="s">
        <v>3513</v>
      </c>
      <c r="I146" t="s">
        <v>3476</v>
      </c>
      <c r="J146" t="s">
        <v>650</v>
      </c>
    </row>
    <row r="147" spans="1:11">
      <c r="A147" t="s">
        <v>1743</v>
      </c>
      <c r="B147" t="s">
        <v>3509</v>
      </c>
      <c r="C147" t="s">
        <v>1744</v>
      </c>
      <c r="D147" t="s">
        <v>3477</v>
      </c>
      <c r="E147" t="s">
        <v>3636</v>
      </c>
      <c r="F147" t="s">
        <v>3511</v>
      </c>
      <c r="G147" t="s">
        <v>3512</v>
      </c>
      <c r="H147" t="s">
        <v>3513</v>
      </c>
      <c r="I147" t="s">
        <v>3476</v>
      </c>
      <c r="J147" t="s">
        <v>650</v>
      </c>
    </row>
    <row r="148" spans="1:11">
      <c r="A148" t="s">
        <v>1743</v>
      </c>
      <c r="B148" t="s">
        <v>3509</v>
      </c>
      <c r="C148" t="s">
        <v>1744</v>
      </c>
      <c r="D148" t="s">
        <v>3479</v>
      </c>
      <c r="E148" t="s">
        <v>3637</v>
      </c>
      <c r="F148" t="s">
        <v>3511</v>
      </c>
      <c r="G148" t="s">
        <v>3512</v>
      </c>
      <c r="H148" t="s">
        <v>3513</v>
      </c>
      <c r="I148" t="s">
        <v>3476</v>
      </c>
      <c r="J148" t="s">
        <v>650</v>
      </c>
    </row>
    <row r="149" spans="1:11">
      <c r="A149" t="s">
        <v>1743</v>
      </c>
      <c r="B149" t="s">
        <v>3509</v>
      </c>
      <c r="C149" t="s">
        <v>1744</v>
      </c>
      <c r="D149" t="s">
        <v>3481</v>
      </c>
      <c r="E149" t="s">
        <v>3638</v>
      </c>
      <c r="F149" t="s">
        <v>3511</v>
      </c>
      <c r="G149" t="s">
        <v>3512</v>
      </c>
      <c r="H149" t="s">
        <v>3513</v>
      </c>
      <c r="I149" t="s">
        <v>3476</v>
      </c>
      <c r="J149" t="s">
        <v>650</v>
      </c>
    </row>
    <row r="150" spans="1:11">
      <c r="A150" t="s">
        <v>1743</v>
      </c>
      <c r="B150" t="s">
        <v>3509</v>
      </c>
      <c r="C150" t="s">
        <v>1744</v>
      </c>
      <c r="D150" t="s">
        <v>3483</v>
      </c>
      <c r="E150" t="s">
        <v>3639</v>
      </c>
      <c r="F150" t="s">
        <v>3511</v>
      </c>
      <c r="G150" t="s">
        <v>3512</v>
      </c>
      <c r="H150" t="s">
        <v>3513</v>
      </c>
      <c r="I150" t="s">
        <v>3476</v>
      </c>
      <c r="J150" t="s">
        <v>650</v>
      </c>
    </row>
    <row r="151" spans="1:11">
      <c r="A151" t="s">
        <v>1743</v>
      </c>
      <c r="B151" t="s">
        <v>3509</v>
      </c>
      <c r="C151" t="s">
        <v>1744</v>
      </c>
      <c r="D151" t="s">
        <v>3518</v>
      </c>
      <c r="E151" t="s">
        <v>3640</v>
      </c>
      <c r="F151" t="s">
        <v>3511</v>
      </c>
      <c r="G151" t="s">
        <v>3512</v>
      </c>
      <c r="H151" t="s">
        <v>3513</v>
      </c>
      <c r="I151" t="s">
        <v>3476</v>
      </c>
      <c r="J151" t="s">
        <v>650</v>
      </c>
      <c r="K151" t="s">
        <v>3520</v>
      </c>
    </row>
    <row r="152" spans="1:11">
      <c r="A152" t="s">
        <v>1746</v>
      </c>
      <c r="B152" t="s">
        <v>3509</v>
      </c>
      <c r="C152" t="s">
        <v>1747</v>
      </c>
      <c r="D152" t="s">
        <v>3471</v>
      </c>
      <c r="E152" t="s">
        <v>3641</v>
      </c>
      <c r="F152" t="s">
        <v>3511</v>
      </c>
      <c r="G152" t="s">
        <v>3512</v>
      </c>
      <c r="H152" t="s">
        <v>3513</v>
      </c>
      <c r="I152" t="s">
        <v>3476</v>
      </c>
      <c r="J152" t="s">
        <v>650</v>
      </c>
    </row>
    <row r="153" spans="1:11">
      <c r="A153" t="s">
        <v>1746</v>
      </c>
      <c r="B153" t="s">
        <v>3509</v>
      </c>
      <c r="C153" t="s">
        <v>1747</v>
      </c>
      <c r="D153" t="s">
        <v>3477</v>
      </c>
      <c r="E153" t="s">
        <v>3642</v>
      </c>
      <c r="F153" t="s">
        <v>3511</v>
      </c>
      <c r="G153" t="s">
        <v>3512</v>
      </c>
      <c r="H153" t="s">
        <v>3513</v>
      </c>
      <c r="I153" t="s">
        <v>3476</v>
      </c>
      <c r="J153" t="s">
        <v>650</v>
      </c>
    </row>
    <row r="154" spans="1:11">
      <c r="A154" t="s">
        <v>1746</v>
      </c>
      <c r="B154" t="s">
        <v>3509</v>
      </c>
      <c r="C154" t="s">
        <v>1747</v>
      </c>
      <c r="D154" t="s">
        <v>3479</v>
      </c>
      <c r="E154" t="s">
        <v>3643</v>
      </c>
      <c r="F154" t="s">
        <v>3511</v>
      </c>
      <c r="G154" t="s">
        <v>3512</v>
      </c>
      <c r="H154" t="s">
        <v>3513</v>
      </c>
      <c r="I154" t="s">
        <v>3476</v>
      </c>
      <c r="J154" t="s">
        <v>650</v>
      </c>
    </row>
    <row r="155" spans="1:11">
      <c r="A155" t="s">
        <v>1746</v>
      </c>
      <c r="B155" t="s">
        <v>3509</v>
      </c>
      <c r="C155" t="s">
        <v>1747</v>
      </c>
      <c r="D155" t="s">
        <v>3481</v>
      </c>
      <c r="E155" t="s">
        <v>3644</v>
      </c>
      <c r="F155" t="s">
        <v>3511</v>
      </c>
      <c r="G155" t="s">
        <v>3512</v>
      </c>
      <c r="H155" t="s">
        <v>3513</v>
      </c>
      <c r="I155" t="s">
        <v>3476</v>
      </c>
      <c r="J155" t="s">
        <v>650</v>
      </c>
    </row>
    <row r="156" spans="1:11">
      <c r="A156" t="s">
        <v>1746</v>
      </c>
      <c r="B156" t="s">
        <v>3509</v>
      </c>
      <c r="C156" t="s">
        <v>1747</v>
      </c>
      <c r="D156" t="s">
        <v>3483</v>
      </c>
      <c r="E156" t="s">
        <v>3645</v>
      </c>
      <c r="F156" t="s">
        <v>3511</v>
      </c>
      <c r="G156" t="s">
        <v>3512</v>
      </c>
      <c r="H156" t="s">
        <v>3513</v>
      </c>
      <c r="I156" t="s">
        <v>3476</v>
      </c>
      <c r="J156" t="s">
        <v>650</v>
      </c>
    </row>
    <row r="157" spans="1:11">
      <c r="A157" t="s">
        <v>1746</v>
      </c>
      <c r="B157" t="s">
        <v>3509</v>
      </c>
      <c r="C157" t="s">
        <v>1747</v>
      </c>
      <c r="D157" t="s">
        <v>3518</v>
      </c>
      <c r="E157" t="s">
        <v>3646</v>
      </c>
      <c r="F157" t="s">
        <v>3511</v>
      </c>
      <c r="G157" t="s">
        <v>3512</v>
      </c>
      <c r="H157" t="s">
        <v>3513</v>
      </c>
      <c r="I157" t="s">
        <v>3476</v>
      </c>
      <c r="J157" t="s">
        <v>650</v>
      </c>
      <c r="K157" t="s">
        <v>3520</v>
      </c>
    </row>
    <row r="158" spans="1:11">
      <c r="A158" t="s">
        <v>1750</v>
      </c>
      <c r="B158" t="s">
        <v>3509</v>
      </c>
      <c r="C158" t="s">
        <v>1751</v>
      </c>
      <c r="D158" t="s">
        <v>3471</v>
      </c>
      <c r="E158" t="s">
        <v>3647</v>
      </c>
      <c r="F158" t="s">
        <v>3511</v>
      </c>
      <c r="G158" t="s">
        <v>3512</v>
      </c>
      <c r="H158" t="s">
        <v>3513</v>
      </c>
      <c r="I158" t="s">
        <v>3476</v>
      </c>
      <c r="J158" t="s">
        <v>650</v>
      </c>
    </row>
    <row r="159" spans="1:11">
      <c r="A159" t="s">
        <v>1750</v>
      </c>
      <c r="B159" t="s">
        <v>3509</v>
      </c>
      <c r="C159" t="s">
        <v>1751</v>
      </c>
      <c r="D159" t="s">
        <v>3477</v>
      </c>
      <c r="E159" t="s">
        <v>3648</v>
      </c>
      <c r="F159" t="s">
        <v>3511</v>
      </c>
      <c r="G159" t="s">
        <v>3512</v>
      </c>
      <c r="H159" t="s">
        <v>3513</v>
      </c>
      <c r="I159" t="s">
        <v>3476</v>
      </c>
      <c r="J159" t="s">
        <v>650</v>
      </c>
    </row>
    <row r="160" spans="1:11">
      <c r="A160" t="s">
        <v>1750</v>
      </c>
      <c r="B160" t="s">
        <v>3509</v>
      </c>
      <c r="C160" t="s">
        <v>1751</v>
      </c>
      <c r="D160" t="s">
        <v>3479</v>
      </c>
      <c r="E160" t="s">
        <v>3649</v>
      </c>
      <c r="F160" t="s">
        <v>3511</v>
      </c>
      <c r="G160" t="s">
        <v>3512</v>
      </c>
      <c r="H160" t="s">
        <v>3513</v>
      </c>
      <c r="I160" t="s">
        <v>3476</v>
      </c>
      <c r="J160" t="s">
        <v>650</v>
      </c>
    </row>
    <row r="161" spans="1:11">
      <c r="A161" t="s">
        <v>1750</v>
      </c>
      <c r="B161" t="s">
        <v>3509</v>
      </c>
      <c r="C161" t="s">
        <v>1751</v>
      </c>
      <c r="D161" t="s">
        <v>3481</v>
      </c>
      <c r="E161" t="s">
        <v>3650</v>
      </c>
      <c r="F161" t="s">
        <v>3511</v>
      </c>
      <c r="G161" t="s">
        <v>3512</v>
      </c>
      <c r="H161" t="s">
        <v>3513</v>
      </c>
      <c r="I161" t="s">
        <v>3476</v>
      </c>
      <c r="J161" t="s">
        <v>650</v>
      </c>
    </row>
    <row r="162" spans="1:11">
      <c r="A162" t="s">
        <v>1750</v>
      </c>
      <c r="B162" t="s">
        <v>3509</v>
      </c>
      <c r="C162" t="s">
        <v>1751</v>
      </c>
      <c r="D162" t="s">
        <v>3483</v>
      </c>
      <c r="E162" t="s">
        <v>3651</v>
      </c>
      <c r="F162" t="s">
        <v>3511</v>
      </c>
      <c r="G162" t="s">
        <v>3512</v>
      </c>
      <c r="H162" t="s">
        <v>3513</v>
      </c>
      <c r="I162" t="s">
        <v>3476</v>
      </c>
      <c r="J162" t="s">
        <v>650</v>
      </c>
    </row>
    <row r="163" spans="1:11">
      <c r="A163" t="s">
        <v>1750</v>
      </c>
      <c r="B163" t="s">
        <v>3509</v>
      </c>
      <c r="C163" t="s">
        <v>1751</v>
      </c>
      <c r="D163" t="s">
        <v>3518</v>
      </c>
      <c r="E163" t="s">
        <v>3652</v>
      </c>
      <c r="F163" t="s">
        <v>3511</v>
      </c>
      <c r="G163" t="s">
        <v>3512</v>
      </c>
      <c r="H163" t="s">
        <v>3513</v>
      </c>
      <c r="I163" t="s">
        <v>3476</v>
      </c>
      <c r="J163" t="s">
        <v>650</v>
      </c>
      <c r="K163" t="s">
        <v>3520</v>
      </c>
    </row>
    <row r="164" spans="1:11">
      <c r="A164" t="s">
        <v>1752</v>
      </c>
      <c r="B164" t="s">
        <v>3509</v>
      </c>
      <c r="C164" t="s">
        <v>1753</v>
      </c>
      <c r="D164" t="s">
        <v>3471</v>
      </c>
      <c r="E164" t="s">
        <v>3653</v>
      </c>
      <c r="F164" t="s">
        <v>3511</v>
      </c>
      <c r="G164" t="s">
        <v>3512</v>
      </c>
      <c r="H164" t="s">
        <v>3513</v>
      </c>
      <c r="I164" t="s">
        <v>3476</v>
      </c>
      <c r="J164" t="s">
        <v>650</v>
      </c>
    </row>
    <row r="165" spans="1:11">
      <c r="A165" t="s">
        <v>1752</v>
      </c>
      <c r="B165" t="s">
        <v>3509</v>
      </c>
      <c r="C165" t="s">
        <v>1753</v>
      </c>
      <c r="D165" t="s">
        <v>3477</v>
      </c>
      <c r="E165" t="s">
        <v>3654</v>
      </c>
      <c r="F165" t="s">
        <v>3511</v>
      </c>
      <c r="G165" t="s">
        <v>3512</v>
      </c>
      <c r="H165" t="s">
        <v>3513</v>
      </c>
      <c r="I165" t="s">
        <v>3476</v>
      </c>
      <c r="J165" t="s">
        <v>650</v>
      </c>
    </row>
    <row r="166" spans="1:11">
      <c r="A166" t="s">
        <v>1752</v>
      </c>
      <c r="B166" t="s">
        <v>3509</v>
      </c>
      <c r="C166" t="s">
        <v>1753</v>
      </c>
      <c r="D166" t="s">
        <v>3479</v>
      </c>
      <c r="E166" t="s">
        <v>3655</v>
      </c>
      <c r="F166" t="s">
        <v>3511</v>
      </c>
      <c r="G166" t="s">
        <v>3512</v>
      </c>
      <c r="H166" t="s">
        <v>3513</v>
      </c>
      <c r="I166" t="s">
        <v>3476</v>
      </c>
      <c r="J166" t="s">
        <v>650</v>
      </c>
    </row>
    <row r="167" spans="1:11">
      <c r="A167" t="s">
        <v>1752</v>
      </c>
      <c r="B167" t="s">
        <v>3509</v>
      </c>
      <c r="C167" t="s">
        <v>1753</v>
      </c>
      <c r="D167" t="s">
        <v>3481</v>
      </c>
      <c r="E167" t="s">
        <v>3656</v>
      </c>
      <c r="F167" t="s">
        <v>3511</v>
      </c>
      <c r="G167" t="s">
        <v>3512</v>
      </c>
      <c r="H167" t="s">
        <v>3513</v>
      </c>
      <c r="I167" t="s">
        <v>3476</v>
      </c>
      <c r="J167" t="s">
        <v>650</v>
      </c>
    </row>
    <row r="168" spans="1:11">
      <c r="A168" t="s">
        <v>1752</v>
      </c>
      <c r="B168" t="s">
        <v>3509</v>
      </c>
      <c r="C168" t="s">
        <v>1753</v>
      </c>
      <c r="D168" t="s">
        <v>3483</v>
      </c>
      <c r="E168" t="s">
        <v>3657</v>
      </c>
      <c r="F168" t="s">
        <v>3511</v>
      </c>
      <c r="G168" t="s">
        <v>3512</v>
      </c>
      <c r="H168" t="s">
        <v>3513</v>
      </c>
      <c r="I168" t="s">
        <v>3476</v>
      </c>
      <c r="J168" t="s">
        <v>650</v>
      </c>
    </row>
    <row r="169" spans="1:11">
      <c r="A169" t="s">
        <v>1752</v>
      </c>
      <c r="B169" t="s">
        <v>3509</v>
      </c>
      <c r="C169" t="s">
        <v>1753</v>
      </c>
      <c r="D169" t="s">
        <v>3518</v>
      </c>
      <c r="E169" t="s">
        <v>3658</v>
      </c>
      <c r="F169" t="s">
        <v>3511</v>
      </c>
      <c r="G169" t="s">
        <v>3512</v>
      </c>
      <c r="H169" t="s">
        <v>3513</v>
      </c>
      <c r="I169" t="s">
        <v>3476</v>
      </c>
      <c r="J169" t="s">
        <v>650</v>
      </c>
      <c r="K169" t="s">
        <v>3520</v>
      </c>
    </row>
    <row r="170" spans="1:11">
      <c r="A170" t="s">
        <v>1754</v>
      </c>
      <c r="B170" t="s">
        <v>3509</v>
      </c>
      <c r="C170" t="s">
        <v>1755</v>
      </c>
      <c r="D170" t="s">
        <v>3471</v>
      </c>
      <c r="E170" t="s">
        <v>3659</v>
      </c>
      <c r="F170" t="s">
        <v>3511</v>
      </c>
      <c r="G170" t="s">
        <v>3512</v>
      </c>
      <c r="H170" t="s">
        <v>3513</v>
      </c>
      <c r="I170" t="s">
        <v>3476</v>
      </c>
      <c r="J170" t="s">
        <v>650</v>
      </c>
    </row>
    <row r="171" spans="1:11">
      <c r="A171" t="s">
        <v>1754</v>
      </c>
      <c r="B171" t="s">
        <v>3509</v>
      </c>
      <c r="C171" t="s">
        <v>1755</v>
      </c>
      <c r="D171" t="s">
        <v>3477</v>
      </c>
      <c r="E171" t="s">
        <v>3660</v>
      </c>
      <c r="F171" t="s">
        <v>3511</v>
      </c>
      <c r="G171" t="s">
        <v>3512</v>
      </c>
      <c r="H171" t="s">
        <v>3513</v>
      </c>
      <c r="I171" t="s">
        <v>3476</v>
      </c>
      <c r="J171" t="s">
        <v>650</v>
      </c>
    </row>
    <row r="172" spans="1:11">
      <c r="A172" t="s">
        <v>1754</v>
      </c>
      <c r="B172" t="s">
        <v>3509</v>
      </c>
      <c r="C172" t="s">
        <v>1755</v>
      </c>
      <c r="D172" t="s">
        <v>3479</v>
      </c>
      <c r="E172" t="s">
        <v>3661</v>
      </c>
      <c r="F172" t="s">
        <v>3511</v>
      </c>
      <c r="G172" t="s">
        <v>3512</v>
      </c>
      <c r="H172" t="s">
        <v>3513</v>
      </c>
      <c r="I172" t="s">
        <v>3476</v>
      </c>
      <c r="J172" t="s">
        <v>650</v>
      </c>
    </row>
    <row r="173" spans="1:11">
      <c r="A173" t="s">
        <v>1754</v>
      </c>
      <c r="B173" t="s">
        <v>3509</v>
      </c>
      <c r="C173" t="s">
        <v>1755</v>
      </c>
      <c r="D173" t="s">
        <v>3481</v>
      </c>
      <c r="E173" t="s">
        <v>3662</v>
      </c>
      <c r="F173" t="s">
        <v>3511</v>
      </c>
      <c r="G173" t="s">
        <v>3512</v>
      </c>
      <c r="H173" t="s">
        <v>3513</v>
      </c>
      <c r="I173" t="s">
        <v>3476</v>
      </c>
      <c r="J173" t="s">
        <v>650</v>
      </c>
    </row>
    <row r="174" spans="1:11">
      <c r="A174" t="s">
        <v>1754</v>
      </c>
      <c r="B174" t="s">
        <v>3509</v>
      </c>
      <c r="C174" t="s">
        <v>1755</v>
      </c>
      <c r="D174" t="s">
        <v>3483</v>
      </c>
      <c r="E174" t="s">
        <v>3663</v>
      </c>
      <c r="F174" t="s">
        <v>3511</v>
      </c>
      <c r="G174" t="s">
        <v>3512</v>
      </c>
      <c r="H174" t="s">
        <v>3513</v>
      </c>
      <c r="I174" t="s">
        <v>3476</v>
      </c>
      <c r="J174" t="s">
        <v>650</v>
      </c>
    </row>
    <row r="175" spans="1:11">
      <c r="A175" t="s">
        <v>1754</v>
      </c>
      <c r="B175" t="s">
        <v>3509</v>
      </c>
      <c r="C175" t="s">
        <v>1755</v>
      </c>
      <c r="D175" t="s">
        <v>3518</v>
      </c>
      <c r="E175" t="s">
        <v>3664</v>
      </c>
      <c r="F175" t="s">
        <v>3511</v>
      </c>
      <c r="G175" t="s">
        <v>3512</v>
      </c>
      <c r="H175" t="s">
        <v>3513</v>
      </c>
      <c r="I175" t="s">
        <v>3476</v>
      </c>
      <c r="J175" t="s">
        <v>650</v>
      </c>
      <c r="K175" t="s">
        <v>3520</v>
      </c>
    </row>
    <row r="176" spans="1:11">
      <c r="A176" t="s">
        <v>1756</v>
      </c>
      <c r="B176" t="s">
        <v>3509</v>
      </c>
      <c r="C176" t="s">
        <v>1757</v>
      </c>
      <c r="D176" t="s">
        <v>3471</v>
      </c>
      <c r="E176" t="s">
        <v>3665</v>
      </c>
      <c r="F176" t="s">
        <v>3511</v>
      </c>
      <c r="G176" t="s">
        <v>3512</v>
      </c>
      <c r="H176" t="s">
        <v>3513</v>
      </c>
      <c r="I176" t="s">
        <v>3476</v>
      </c>
      <c r="J176" t="s">
        <v>650</v>
      </c>
    </row>
    <row r="177" spans="1:11">
      <c r="A177" t="s">
        <v>1756</v>
      </c>
      <c r="B177" t="s">
        <v>3509</v>
      </c>
      <c r="C177" t="s">
        <v>1757</v>
      </c>
      <c r="D177" t="s">
        <v>3477</v>
      </c>
      <c r="E177" t="s">
        <v>3666</v>
      </c>
      <c r="F177" t="s">
        <v>3511</v>
      </c>
      <c r="G177" t="s">
        <v>3512</v>
      </c>
      <c r="H177" t="s">
        <v>3513</v>
      </c>
      <c r="I177" t="s">
        <v>3476</v>
      </c>
      <c r="J177" t="s">
        <v>650</v>
      </c>
    </row>
    <row r="178" spans="1:11">
      <c r="A178" t="s">
        <v>1756</v>
      </c>
      <c r="B178" t="s">
        <v>3509</v>
      </c>
      <c r="C178" t="s">
        <v>1757</v>
      </c>
      <c r="D178" t="s">
        <v>3479</v>
      </c>
      <c r="E178" t="s">
        <v>3667</v>
      </c>
      <c r="F178" t="s">
        <v>3511</v>
      </c>
      <c r="G178" t="s">
        <v>3512</v>
      </c>
      <c r="H178" t="s">
        <v>3513</v>
      </c>
      <c r="I178" t="s">
        <v>3476</v>
      </c>
      <c r="J178" t="s">
        <v>650</v>
      </c>
    </row>
    <row r="179" spans="1:11">
      <c r="A179" t="s">
        <v>1756</v>
      </c>
      <c r="B179" t="s">
        <v>3509</v>
      </c>
      <c r="C179" t="s">
        <v>1757</v>
      </c>
      <c r="D179" t="s">
        <v>3481</v>
      </c>
      <c r="E179" t="s">
        <v>3668</v>
      </c>
      <c r="F179" t="s">
        <v>3511</v>
      </c>
      <c r="G179" t="s">
        <v>3512</v>
      </c>
      <c r="H179" t="s">
        <v>3513</v>
      </c>
      <c r="I179" t="s">
        <v>3476</v>
      </c>
      <c r="J179" t="s">
        <v>650</v>
      </c>
    </row>
    <row r="180" spans="1:11">
      <c r="A180" t="s">
        <v>1756</v>
      </c>
      <c r="B180" t="s">
        <v>3509</v>
      </c>
      <c r="C180" t="s">
        <v>1757</v>
      </c>
      <c r="D180" t="s">
        <v>3483</v>
      </c>
      <c r="E180" t="s">
        <v>3669</v>
      </c>
      <c r="F180" t="s">
        <v>3511</v>
      </c>
      <c r="G180" t="s">
        <v>3512</v>
      </c>
      <c r="H180" t="s">
        <v>3513</v>
      </c>
      <c r="I180" t="s">
        <v>3476</v>
      </c>
      <c r="J180" t="s">
        <v>650</v>
      </c>
    </row>
    <row r="181" spans="1:11">
      <c r="A181" t="s">
        <v>1756</v>
      </c>
      <c r="B181" t="s">
        <v>3509</v>
      </c>
      <c r="C181" t="s">
        <v>1757</v>
      </c>
      <c r="D181" t="s">
        <v>3518</v>
      </c>
      <c r="E181" t="s">
        <v>3670</v>
      </c>
      <c r="F181" t="s">
        <v>3511</v>
      </c>
      <c r="G181" t="s">
        <v>3512</v>
      </c>
      <c r="H181" t="s">
        <v>3513</v>
      </c>
      <c r="I181" t="s">
        <v>3476</v>
      </c>
      <c r="J181" t="s">
        <v>650</v>
      </c>
      <c r="K181" t="s">
        <v>3520</v>
      </c>
    </row>
    <row r="182" spans="1:11">
      <c r="A182" t="s">
        <v>1758</v>
      </c>
      <c r="B182" t="s">
        <v>3509</v>
      </c>
      <c r="C182" t="s">
        <v>1759</v>
      </c>
      <c r="D182" t="s">
        <v>3471</v>
      </c>
      <c r="E182" t="s">
        <v>3671</v>
      </c>
      <c r="F182" t="s">
        <v>3511</v>
      </c>
      <c r="G182" t="s">
        <v>3512</v>
      </c>
      <c r="H182" t="s">
        <v>3513</v>
      </c>
      <c r="I182" t="s">
        <v>3476</v>
      </c>
      <c r="J182" t="s">
        <v>650</v>
      </c>
    </row>
    <row r="183" spans="1:11">
      <c r="A183" t="s">
        <v>1758</v>
      </c>
      <c r="B183" t="s">
        <v>3509</v>
      </c>
      <c r="C183" t="s">
        <v>1759</v>
      </c>
      <c r="D183" t="s">
        <v>3477</v>
      </c>
      <c r="E183" t="s">
        <v>3672</v>
      </c>
      <c r="F183" t="s">
        <v>3511</v>
      </c>
      <c r="G183" t="s">
        <v>3512</v>
      </c>
      <c r="H183" t="s">
        <v>3513</v>
      </c>
      <c r="I183" t="s">
        <v>3476</v>
      </c>
      <c r="J183" t="s">
        <v>650</v>
      </c>
    </row>
    <row r="184" spans="1:11">
      <c r="A184" t="s">
        <v>1758</v>
      </c>
      <c r="B184" t="s">
        <v>3509</v>
      </c>
      <c r="C184" t="s">
        <v>1759</v>
      </c>
      <c r="D184" t="s">
        <v>3479</v>
      </c>
      <c r="E184" t="s">
        <v>3673</v>
      </c>
      <c r="F184" t="s">
        <v>3511</v>
      </c>
      <c r="G184" t="s">
        <v>3512</v>
      </c>
      <c r="H184" t="s">
        <v>3513</v>
      </c>
      <c r="I184" t="s">
        <v>3476</v>
      </c>
      <c r="J184" t="s">
        <v>650</v>
      </c>
    </row>
    <row r="185" spans="1:11">
      <c r="A185" t="s">
        <v>1758</v>
      </c>
      <c r="B185" t="s">
        <v>3509</v>
      </c>
      <c r="C185" t="s">
        <v>1759</v>
      </c>
      <c r="D185" t="s">
        <v>3481</v>
      </c>
      <c r="E185" t="s">
        <v>3674</v>
      </c>
      <c r="F185" t="s">
        <v>3511</v>
      </c>
      <c r="G185" t="s">
        <v>3512</v>
      </c>
      <c r="H185" t="s">
        <v>3513</v>
      </c>
      <c r="I185" t="s">
        <v>3476</v>
      </c>
      <c r="J185" t="s">
        <v>650</v>
      </c>
    </row>
    <row r="186" spans="1:11">
      <c r="A186" t="s">
        <v>1758</v>
      </c>
      <c r="B186" t="s">
        <v>3509</v>
      </c>
      <c r="C186" t="s">
        <v>1759</v>
      </c>
      <c r="D186" t="s">
        <v>3483</v>
      </c>
      <c r="E186" t="s">
        <v>3675</v>
      </c>
      <c r="F186" t="s">
        <v>3511</v>
      </c>
      <c r="G186" t="s">
        <v>3512</v>
      </c>
      <c r="H186" t="s">
        <v>3513</v>
      </c>
      <c r="I186" t="s">
        <v>3476</v>
      </c>
      <c r="J186" t="s">
        <v>650</v>
      </c>
    </row>
    <row r="187" spans="1:11">
      <c r="A187" t="s">
        <v>1758</v>
      </c>
      <c r="B187" t="s">
        <v>3509</v>
      </c>
      <c r="C187" t="s">
        <v>1759</v>
      </c>
      <c r="D187" t="s">
        <v>3518</v>
      </c>
      <c r="E187" t="s">
        <v>3676</v>
      </c>
      <c r="F187" t="s">
        <v>3511</v>
      </c>
      <c r="G187" t="s">
        <v>3512</v>
      </c>
      <c r="H187" t="s">
        <v>3513</v>
      </c>
      <c r="I187" t="s">
        <v>3476</v>
      </c>
      <c r="J187" t="s">
        <v>650</v>
      </c>
      <c r="K187" t="s">
        <v>3520</v>
      </c>
    </row>
    <row r="188" spans="1:11">
      <c r="A188" t="s">
        <v>1760</v>
      </c>
      <c r="B188" t="s">
        <v>3509</v>
      </c>
      <c r="C188" t="s">
        <v>1761</v>
      </c>
      <c r="D188" t="s">
        <v>3471</v>
      </c>
      <c r="E188" t="s">
        <v>3677</v>
      </c>
      <c r="F188" t="s">
        <v>3511</v>
      </c>
      <c r="G188" t="s">
        <v>3512</v>
      </c>
      <c r="H188" t="s">
        <v>3513</v>
      </c>
      <c r="I188" t="s">
        <v>3476</v>
      </c>
      <c r="J188" t="s">
        <v>650</v>
      </c>
    </row>
    <row r="189" spans="1:11">
      <c r="A189" t="s">
        <v>1760</v>
      </c>
      <c r="B189" t="s">
        <v>3509</v>
      </c>
      <c r="C189" t="s">
        <v>1761</v>
      </c>
      <c r="D189" t="s">
        <v>3477</v>
      </c>
      <c r="E189" t="s">
        <v>3678</v>
      </c>
      <c r="F189" t="s">
        <v>3511</v>
      </c>
      <c r="G189" t="s">
        <v>3512</v>
      </c>
      <c r="H189" t="s">
        <v>3513</v>
      </c>
      <c r="I189" t="s">
        <v>3476</v>
      </c>
      <c r="J189" t="s">
        <v>650</v>
      </c>
    </row>
    <row r="190" spans="1:11">
      <c r="A190" t="s">
        <v>1760</v>
      </c>
      <c r="B190" t="s">
        <v>3509</v>
      </c>
      <c r="C190" t="s">
        <v>1761</v>
      </c>
      <c r="D190" t="s">
        <v>3479</v>
      </c>
      <c r="E190" t="s">
        <v>3679</v>
      </c>
      <c r="F190" t="s">
        <v>3511</v>
      </c>
      <c r="G190" t="s">
        <v>3512</v>
      </c>
      <c r="H190" t="s">
        <v>3513</v>
      </c>
      <c r="I190" t="s">
        <v>3476</v>
      </c>
      <c r="J190" t="s">
        <v>650</v>
      </c>
    </row>
    <row r="191" spans="1:11">
      <c r="A191" t="s">
        <v>1760</v>
      </c>
      <c r="B191" t="s">
        <v>3509</v>
      </c>
      <c r="C191" t="s">
        <v>1761</v>
      </c>
      <c r="D191" t="s">
        <v>3481</v>
      </c>
      <c r="E191" t="s">
        <v>3680</v>
      </c>
      <c r="F191" t="s">
        <v>3511</v>
      </c>
      <c r="G191" t="s">
        <v>3512</v>
      </c>
      <c r="H191" t="s">
        <v>3513</v>
      </c>
      <c r="I191" t="s">
        <v>3476</v>
      </c>
      <c r="J191" t="s">
        <v>650</v>
      </c>
    </row>
    <row r="192" spans="1:11">
      <c r="A192" t="s">
        <v>1760</v>
      </c>
      <c r="B192" t="s">
        <v>3509</v>
      </c>
      <c r="C192" t="s">
        <v>1761</v>
      </c>
      <c r="D192" t="s">
        <v>3483</v>
      </c>
      <c r="E192" t="s">
        <v>3681</v>
      </c>
      <c r="F192" t="s">
        <v>3511</v>
      </c>
      <c r="G192" t="s">
        <v>3512</v>
      </c>
      <c r="H192" t="s">
        <v>3513</v>
      </c>
      <c r="I192" t="s">
        <v>3476</v>
      </c>
      <c r="J192" t="s">
        <v>650</v>
      </c>
    </row>
    <row r="193" spans="1:11">
      <c r="A193" t="s">
        <v>1760</v>
      </c>
      <c r="B193" t="s">
        <v>3509</v>
      </c>
      <c r="C193" t="s">
        <v>1761</v>
      </c>
      <c r="D193" t="s">
        <v>3518</v>
      </c>
      <c r="E193" t="s">
        <v>3682</v>
      </c>
      <c r="F193" t="s">
        <v>3511</v>
      </c>
      <c r="G193" t="s">
        <v>3512</v>
      </c>
      <c r="H193" t="s">
        <v>3513</v>
      </c>
      <c r="I193" t="s">
        <v>3476</v>
      </c>
      <c r="J193" t="s">
        <v>650</v>
      </c>
      <c r="K193" t="s">
        <v>3520</v>
      </c>
    </row>
    <row r="194" spans="1:11">
      <c r="A194" t="s">
        <v>1762</v>
      </c>
      <c r="B194" t="s">
        <v>3509</v>
      </c>
      <c r="C194" t="s">
        <v>1763</v>
      </c>
      <c r="D194" t="s">
        <v>3471</v>
      </c>
      <c r="E194" t="s">
        <v>3683</v>
      </c>
      <c r="F194" t="s">
        <v>3511</v>
      </c>
      <c r="G194" t="s">
        <v>3512</v>
      </c>
      <c r="H194" t="s">
        <v>3513</v>
      </c>
      <c r="I194" t="s">
        <v>3476</v>
      </c>
      <c r="J194" t="s">
        <v>650</v>
      </c>
    </row>
    <row r="195" spans="1:11">
      <c r="A195" t="s">
        <v>1762</v>
      </c>
      <c r="B195" t="s">
        <v>3509</v>
      </c>
      <c r="C195" t="s">
        <v>1763</v>
      </c>
      <c r="D195" t="s">
        <v>3477</v>
      </c>
      <c r="E195" t="s">
        <v>3684</v>
      </c>
      <c r="F195" t="s">
        <v>3511</v>
      </c>
      <c r="G195" t="s">
        <v>3512</v>
      </c>
      <c r="H195" t="s">
        <v>3513</v>
      </c>
      <c r="I195" t="s">
        <v>3476</v>
      </c>
      <c r="J195" t="s">
        <v>650</v>
      </c>
    </row>
    <row r="196" spans="1:11">
      <c r="A196" t="s">
        <v>1762</v>
      </c>
      <c r="B196" t="s">
        <v>3509</v>
      </c>
      <c r="C196" t="s">
        <v>1763</v>
      </c>
      <c r="D196" t="s">
        <v>3479</v>
      </c>
      <c r="E196" t="s">
        <v>3685</v>
      </c>
      <c r="F196" t="s">
        <v>3511</v>
      </c>
      <c r="G196" t="s">
        <v>3512</v>
      </c>
      <c r="H196" t="s">
        <v>3513</v>
      </c>
      <c r="I196" t="s">
        <v>3476</v>
      </c>
      <c r="J196" t="s">
        <v>650</v>
      </c>
    </row>
    <row r="197" spans="1:11">
      <c r="A197" t="s">
        <v>1762</v>
      </c>
      <c r="B197" t="s">
        <v>3509</v>
      </c>
      <c r="C197" t="s">
        <v>1763</v>
      </c>
      <c r="D197" t="s">
        <v>3481</v>
      </c>
      <c r="E197" t="s">
        <v>3686</v>
      </c>
      <c r="F197" t="s">
        <v>3511</v>
      </c>
      <c r="G197" t="s">
        <v>3512</v>
      </c>
      <c r="H197" t="s">
        <v>3513</v>
      </c>
      <c r="I197" t="s">
        <v>3476</v>
      </c>
      <c r="J197" t="s">
        <v>650</v>
      </c>
    </row>
    <row r="198" spans="1:11">
      <c r="A198" t="s">
        <v>1762</v>
      </c>
      <c r="B198" t="s">
        <v>3509</v>
      </c>
      <c r="C198" t="s">
        <v>1763</v>
      </c>
      <c r="D198" t="s">
        <v>3483</v>
      </c>
      <c r="E198" t="s">
        <v>3687</v>
      </c>
      <c r="F198" t="s">
        <v>3511</v>
      </c>
      <c r="G198" t="s">
        <v>3512</v>
      </c>
      <c r="H198" t="s">
        <v>3513</v>
      </c>
      <c r="I198" t="s">
        <v>3476</v>
      </c>
      <c r="J198" t="s">
        <v>650</v>
      </c>
    </row>
    <row r="199" spans="1:11">
      <c r="A199" t="s">
        <v>1762</v>
      </c>
      <c r="B199" t="s">
        <v>3509</v>
      </c>
      <c r="C199" t="s">
        <v>1763</v>
      </c>
      <c r="D199" t="s">
        <v>3518</v>
      </c>
      <c r="E199" t="s">
        <v>3688</v>
      </c>
      <c r="F199" t="s">
        <v>3511</v>
      </c>
      <c r="G199" t="s">
        <v>3512</v>
      </c>
      <c r="H199" t="s">
        <v>3513</v>
      </c>
      <c r="I199" t="s">
        <v>3476</v>
      </c>
      <c r="J199" t="s">
        <v>650</v>
      </c>
      <c r="K199" t="s">
        <v>3520</v>
      </c>
    </row>
    <row r="200" spans="1:11">
      <c r="A200" t="s">
        <v>1764</v>
      </c>
      <c r="B200" t="s">
        <v>3509</v>
      </c>
      <c r="C200" t="s">
        <v>1765</v>
      </c>
      <c r="D200" t="s">
        <v>3471</v>
      </c>
      <c r="E200" t="s">
        <v>3689</v>
      </c>
      <c r="F200" t="s">
        <v>3511</v>
      </c>
      <c r="G200" t="s">
        <v>3512</v>
      </c>
      <c r="H200" t="s">
        <v>3513</v>
      </c>
      <c r="I200" t="s">
        <v>3476</v>
      </c>
      <c r="J200" t="s">
        <v>650</v>
      </c>
    </row>
    <row r="201" spans="1:11">
      <c r="A201" t="s">
        <v>1764</v>
      </c>
      <c r="B201" t="s">
        <v>3509</v>
      </c>
      <c r="C201" t="s">
        <v>1765</v>
      </c>
      <c r="D201" t="s">
        <v>3477</v>
      </c>
      <c r="E201" t="s">
        <v>3690</v>
      </c>
      <c r="F201" t="s">
        <v>3511</v>
      </c>
      <c r="G201" t="s">
        <v>3512</v>
      </c>
      <c r="H201" t="s">
        <v>3513</v>
      </c>
      <c r="I201" t="s">
        <v>3476</v>
      </c>
      <c r="J201" t="s">
        <v>650</v>
      </c>
    </row>
    <row r="202" spans="1:11">
      <c r="A202" t="s">
        <v>1764</v>
      </c>
      <c r="B202" t="s">
        <v>3509</v>
      </c>
      <c r="C202" t="s">
        <v>1765</v>
      </c>
      <c r="D202" t="s">
        <v>3479</v>
      </c>
      <c r="E202" t="s">
        <v>3691</v>
      </c>
      <c r="F202" t="s">
        <v>3511</v>
      </c>
      <c r="G202" t="s">
        <v>3512</v>
      </c>
      <c r="H202" t="s">
        <v>3513</v>
      </c>
      <c r="I202" t="s">
        <v>3476</v>
      </c>
      <c r="J202" t="s">
        <v>650</v>
      </c>
    </row>
    <row r="203" spans="1:11">
      <c r="A203" t="s">
        <v>1764</v>
      </c>
      <c r="B203" t="s">
        <v>3509</v>
      </c>
      <c r="C203" t="s">
        <v>1765</v>
      </c>
      <c r="D203" t="s">
        <v>3481</v>
      </c>
      <c r="E203" t="s">
        <v>3692</v>
      </c>
      <c r="F203" t="s">
        <v>3511</v>
      </c>
      <c r="G203" t="s">
        <v>3512</v>
      </c>
      <c r="H203" t="s">
        <v>3513</v>
      </c>
      <c r="I203" t="s">
        <v>3476</v>
      </c>
      <c r="J203" t="s">
        <v>650</v>
      </c>
    </row>
    <row r="204" spans="1:11">
      <c r="A204" t="s">
        <v>1764</v>
      </c>
      <c r="B204" t="s">
        <v>3509</v>
      </c>
      <c r="C204" t="s">
        <v>1765</v>
      </c>
      <c r="D204" t="s">
        <v>3483</v>
      </c>
      <c r="E204" t="s">
        <v>3693</v>
      </c>
      <c r="F204" t="s">
        <v>3511</v>
      </c>
      <c r="G204" t="s">
        <v>3512</v>
      </c>
      <c r="H204" t="s">
        <v>3513</v>
      </c>
      <c r="I204" t="s">
        <v>3476</v>
      </c>
      <c r="J204" t="s">
        <v>650</v>
      </c>
    </row>
    <row r="205" spans="1:11">
      <c r="A205" t="s">
        <v>1764</v>
      </c>
      <c r="B205" t="s">
        <v>3509</v>
      </c>
      <c r="C205" t="s">
        <v>1765</v>
      </c>
      <c r="D205" t="s">
        <v>3518</v>
      </c>
      <c r="E205" t="s">
        <v>3694</v>
      </c>
      <c r="F205" t="s">
        <v>3511</v>
      </c>
      <c r="G205" t="s">
        <v>3512</v>
      </c>
      <c r="H205" t="s">
        <v>3513</v>
      </c>
      <c r="I205" t="s">
        <v>3476</v>
      </c>
      <c r="J205" t="s">
        <v>650</v>
      </c>
      <c r="K205" t="s">
        <v>3520</v>
      </c>
    </row>
    <row r="206" spans="1:11">
      <c r="A206" t="s">
        <v>1767</v>
      </c>
      <c r="B206" t="s">
        <v>3509</v>
      </c>
      <c r="C206" t="s">
        <v>1768</v>
      </c>
      <c r="D206" t="s">
        <v>3471</v>
      </c>
      <c r="E206" t="s">
        <v>3695</v>
      </c>
      <c r="F206" t="s">
        <v>3511</v>
      </c>
      <c r="G206" t="s">
        <v>3512</v>
      </c>
      <c r="H206" t="s">
        <v>3513</v>
      </c>
      <c r="I206" t="s">
        <v>3476</v>
      </c>
      <c r="J206" t="s">
        <v>650</v>
      </c>
    </row>
    <row r="207" spans="1:11">
      <c r="A207" t="s">
        <v>1767</v>
      </c>
      <c r="B207" t="s">
        <v>3509</v>
      </c>
      <c r="C207" t="s">
        <v>1768</v>
      </c>
      <c r="D207" t="s">
        <v>3477</v>
      </c>
      <c r="E207" t="s">
        <v>3696</v>
      </c>
      <c r="F207" t="s">
        <v>3511</v>
      </c>
      <c r="G207" t="s">
        <v>3512</v>
      </c>
      <c r="H207" t="s">
        <v>3513</v>
      </c>
      <c r="I207" t="s">
        <v>3476</v>
      </c>
      <c r="J207" t="s">
        <v>650</v>
      </c>
    </row>
    <row r="208" spans="1:11">
      <c r="A208" t="s">
        <v>1767</v>
      </c>
      <c r="B208" t="s">
        <v>3509</v>
      </c>
      <c r="C208" t="s">
        <v>1768</v>
      </c>
      <c r="D208" t="s">
        <v>3479</v>
      </c>
      <c r="E208" t="s">
        <v>3697</v>
      </c>
      <c r="F208" t="s">
        <v>3511</v>
      </c>
      <c r="G208" t="s">
        <v>3512</v>
      </c>
      <c r="H208" t="s">
        <v>3513</v>
      </c>
      <c r="I208" t="s">
        <v>3476</v>
      </c>
      <c r="J208" t="s">
        <v>650</v>
      </c>
    </row>
    <row r="209" spans="1:11">
      <c r="A209" t="s">
        <v>1767</v>
      </c>
      <c r="B209" t="s">
        <v>3509</v>
      </c>
      <c r="C209" t="s">
        <v>1768</v>
      </c>
      <c r="D209" t="s">
        <v>3481</v>
      </c>
      <c r="E209" t="s">
        <v>3698</v>
      </c>
      <c r="F209" t="s">
        <v>3511</v>
      </c>
      <c r="G209" t="s">
        <v>3512</v>
      </c>
      <c r="H209" t="s">
        <v>3513</v>
      </c>
      <c r="I209" t="s">
        <v>3476</v>
      </c>
      <c r="J209" t="s">
        <v>650</v>
      </c>
    </row>
    <row r="210" spans="1:11">
      <c r="A210" t="s">
        <v>1767</v>
      </c>
      <c r="B210" t="s">
        <v>3509</v>
      </c>
      <c r="C210" t="s">
        <v>1768</v>
      </c>
      <c r="D210" t="s">
        <v>3483</v>
      </c>
      <c r="E210" t="s">
        <v>3699</v>
      </c>
      <c r="F210" t="s">
        <v>3511</v>
      </c>
      <c r="G210" t="s">
        <v>3512</v>
      </c>
      <c r="H210" t="s">
        <v>3513</v>
      </c>
      <c r="I210" t="s">
        <v>3476</v>
      </c>
      <c r="J210" t="s">
        <v>650</v>
      </c>
    </row>
    <row r="211" spans="1:11">
      <c r="A211" t="s">
        <v>1767</v>
      </c>
      <c r="B211" t="s">
        <v>3509</v>
      </c>
      <c r="C211" t="s">
        <v>1768</v>
      </c>
      <c r="D211" t="s">
        <v>3518</v>
      </c>
      <c r="E211" t="s">
        <v>3700</v>
      </c>
      <c r="F211" t="s">
        <v>3511</v>
      </c>
      <c r="G211" t="s">
        <v>3512</v>
      </c>
      <c r="H211" t="s">
        <v>3513</v>
      </c>
      <c r="I211" t="s">
        <v>3476</v>
      </c>
      <c r="J211" t="s">
        <v>650</v>
      </c>
      <c r="K211" t="s">
        <v>3520</v>
      </c>
    </row>
    <row r="212" spans="1:11">
      <c r="A212" t="s">
        <v>1770</v>
      </c>
      <c r="B212" t="s">
        <v>3509</v>
      </c>
      <c r="C212" t="s">
        <v>1771</v>
      </c>
      <c r="D212" t="s">
        <v>3471</v>
      </c>
      <c r="E212" t="s">
        <v>3701</v>
      </c>
      <c r="F212" t="s">
        <v>3511</v>
      </c>
      <c r="G212" t="s">
        <v>3512</v>
      </c>
      <c r="H212" t="s">
        <v>3513</v>
      </c>
      <c r="I212" t="s">
        <v>3476</v>
      </c>
      <c r="J212" t="s">
        <v>650</v>
      </c>
    </row>
    <row r="213" spans="1:11">
      <c r="A213" t="s">
        <v>1770</v>
      </c>
      <c r="B213" t="s">
        <v>3509</v>
      </c>
      <c r="C213" t="s">
        <v>1771</v>
      </c>
      <c r="D213" t="s">
        <v>3477</v>
      </c>
      <c r="E213" t="s">
        <v>3702</v>
      </c>
      <c r="F213" t="s">
        <v>3511</v>
      </c>
      <c r="G213" t="s">
        <v>3512</v>
      </c>
      <c r="H213" t="s">
        <v>3513</v>
      </c>
      <c r="I213" t="s">
        <v>3476</v>
      </c>
      <c r="J213" t="s">
        <v>650</v>
      </c>
    </row>
    <row r="214" spans="1:11">
      <c r="A214" t="s">
        <v>1770</v>
      </c>
      <c r="B214" t="s">
        <v>3509</v>
      </c>
      <c r="C214" t="s">
        <v>1771</v>
      </c>
      <c r="D214" t="s">
        <v>3479</v>
      </c>
      <c r="E214" t="s">
        <v>3703</v>
      </c>
      <c r="F214" t="s">
        <v>3511</v>
      </c>
      <c r="G214" t="s">
        <v>3512</v>
      </c>
      <c r="H214" t="s">
        <v>3513</v>
      </c>
      <c r="I214" t="s">
        <v>3476</v>
      </c>
      <c r="J214" t="s">
        <v>650</v>
      </c>
    </row>
    <row r="215" spans="1:11">
      <c r="A215" t="s">
        <v>1770</v>
      </c>
      <c r="B215" t="s">
        <v>3509</v>
      </c>
      <c r="C215" t="s">
        <v>1771</v>
      </c>
      <c r="D215" t="s">
        <v>3481</v>
      </c>
      <c r="E215" t="s">
        <v>3704</v>
      </c>
      <c r="F215" t="s">
        <v>3511</v>
      </c>
      <c r="G215" t="s">
        <v>3512</v>
      </c>
      <c r="H215" t="s">
        <v>3513</v>
      </c>
      <c r="I215" t="s">
        <v>3476</v>
      </c>
      <c r="J215" t="s">
        <v>650</v>
      </c>
    </row>
    <row r="216" spans="1:11">
      <c r="A216" t="s">
        <v>1770</v>
      </c>
      <c r="B216" t="s">
        <v>3509</v>
      </c>
      <c r="C216" t="s">
        <v>1771</v>
      </c>
      <c r="D216" t="s">
        <v>3483</v>
      </c>
      <c r="E216" t="s">
        <v>3705</v>
      </c>
      <c r="F216" t="s">
        <v>3511</v>
      </c>
      <c r="G216" t="s">
        <v>3512</v>
      </c>
      <c r="H216" t="s">
        <v>3513</v>
      </c>
      <c r="I216" t="s">
        <v>3476</v>
      </c>
      <c r="J216" t="s">
        <v>650</v>
      </c>
    </row>
    <row r="217" spans="1:11">
      <c r="A217" t="s">
        <v>1770</v>
      </c>
      <c r="B217" t="s">
        <v>3509</v>
      </c>
      <c r="C217" t="s">
        <v>1771</v>
      </c>
      <c r="D217" t="s">
        <v>3518</v>
      </c>
      <c r="E217" t="s">
        <v>3706</v>
      </c>
      <c r="F217" t="s">
        <v>3511</v>
      </c>
      <c r="G217" t="s">
        <v>3512</v>
      </c>
      <c r="H217" t="s">
        <v>3513</v>
      </c>
      <c r="I217" t="s">
        <v>3476</v>
      </c>
      <c r="J217" t="s">
        <v>650</v>
      </c>
      <c r="K217" t="s">
        <v>3520</v>
      </c>
    </row>
    <row r="218" spans="1:11">
      <c r="A218" t="s">
        <v>1772</v>
      </c>
      <c r="B218" t="s">
        <v>3509</v>
      </c>
      <c r="C218" t="s">
        <v>1773</v>
      </c>
      <c r="D218" t="s">
        <v>3471</v>
      </c>
      <c r="E218" t="s">
        <v>3707</v>
      </c>
      <c r="F218" t="s">
        <v>3511</v>
      </c>
      <c r="G218" t="s">
        <v>3512</v>
      </c>
      <c r="H218" t="s">
        <v>3513</v>
      </c>
      <c r="I218" t="s">
        <v>3476</v>
      </c>
      <c r="J218" t="s">
        <v>650</v>
      </c>
    </row>
    <row r="219" spans="1:11">
      <c r="A219" t="s">
        <v>1772</v>
      </c>
      <c r="B219" t="s">
        <v>3509</v>
      </c>
      <c r="C219" t="s">
        <v>1773</v>
      </c>
      <c r="D219" t="s">
        <v>3477</v>
      </c>
      <c r="E219" t="s">
        <v>3708</v>
      </c>
      <c r="F219" t="s">
        <v>3511</v>
      </c>
      <c r="G219" t="s">
        <v>3512</v>
      </c>
      <c r="H219" t="s">
        <v>3513</v>
      </c>
      <c r="I219" t="s">
        <v>3476</v>
      </c>
      <c r="J219" t="s">
        <v>650</v>
      </c>
    </row>
    <row r="220" spans="1:11">
      <c r="A220" t="s">
        <v>1772</v>
      </c>
      <c r="B220" t="s">
        <v>3509</v>
      </c>
      <c r="C220" t="s">
        <v>1773</v>
      </c>
      <c r="D220" t="s">
        <v>3479</v>
      </c>
      <c r="E220" t="s">
        <v>3709</v>
      </c>
      <c r="F220" t="s">
        <v>3511</v>
      </c>
      <c r="G220" t="s">
        <v>3512</v>
      </c>
      <c r="H220" t="s">
        <v>3513</v>
      </c>
      <c r="I220" t="s">
        <v>3476</v>
      </c>
      <c r="J220" t="s">
        <v>650</v>
      </c>
    </row>
    <row r="221" spans="1:11">
      <c r="A221" t="s">
        <v>1772</v>
      </c>
      <c r="B221" t="s">
        <v>3509</v>
      </c>
      <c r="C221" t="s">
        <v>1773</v>
      </c>
      <c r="D221" t="s">
        <v>3481</v>
      </c>
      <c r="E221" t="s">
        <v>3710</v>
      </c>
      <c r="F221" t="s">
        <v>3511</v>
      </c>
      <c r="G221" t="s">
        <v>3512</v>
      </c>
      <c r="H221" t="s">
        <v>3513</v>
      </c>
      <c r="I221" t="s">
        <v>3476</v>
      </c>
      <c r="J221" t="s">
        <v>650</v>
      </c>
    </row>
    <row r="222" spans="1:11">
      <c r="A222" t="s">
        <v>1772</v>
      </c>
      <c r="B222" t="s">
        <v>3509</v>
      </c>
      <c r="C222" t="s">
        <v>1773</v>
      </c>
      <c r="D222" t="s">
        <v>3483</v>
      </c>
      <c r="E222" t="s">
        <v>3711</v>
      </c>
      <c r="F222" t="s">
        <v>3511</v>
      </c>
      <c r="G222" t="s">
        <v>3512</v>
      </c>
      <c r="H222" t="s">
        <v>3513</v>
      </c>
      <c r="I222" t="s">
        <v>3476</v>
      </c>
      <c r="J222" t="s">
        <v>650</v>
      </c>
    </row>
    <row r="223" spans="1:11">
      <c r="A223" t="s">
        <v>1772</v>
      </c>
      <c r="B223" t="s">
        <v>3509</v>
      </c>
      <c r="C223" t="s">
        <v>1773</v>
      </c>
      <c r="D223" t="s">
        <v>3518</v>
      </c>
      <c r="E223" t="s">
        <v>3712</v>
      </c>
      <c r="F223" t="s">
        <v>3511</v>
      </c>
      <c r="G223" t="s">
        <v>3512</v>
      </c>
      <c r="H223" t="s">
        <v>3513</v>
      </c>
      <c r="I223" t="s">
        <v>3476</v>
      </c>
      <c r="J223" t="s">
        <v>650</v>
      </c>
      <c r="K223" t="s">
        <v>3520</v>
      </c>
    </row>
    <row r="224" spans="1:11">
      <c r="A224" t="s">
        <v>1775</v>
      </c>
      <c r="B224" t="s">
        <v>3509</v>
      </c>
      <c r="C224" t="s">
        <v>1776</v>
      </c>
      <c r="D224" t="s">
        <v>3471</v>
      </c>
      <c r="E224" t="s">
        <v>3713</v>
      </c>
      <c r="F224" t="s">
        <v>3511</v>
      </c>
      <c r="G224" t="s">
        <v>3512</v>
      </c>
      <c r="H224" t="s">
        <v>3513</v>
      </c>
      <c r="I224" t="s">
        <v>3476</v>
      </c>
      <c r="J224" t="s">
        <v>650</v>
      </c>
    </row>
    <row r="225" spans="1:11">
      <c r="A225" t="s">
        <v>1775</v>
      </c>
      <c r="B225" t="s">
        <v>3509</v>
      </c>
      <c r="C225" t="s">
        <v>1776</v>
      </c>
      <c r="D225" t="s">
        <v>3477</v>
      </c>
      <c r="E225" t="s">
        <v>3714</v>
      </c>
      <c r="F225" t="s">
        <v>3511</v>
      </c>
      <c r="G225" t="s">
        <v>3512</v>
      </c>
      <c r="H225" t="s">
        <v>3513</v>
      </c>
      <c r="I225" t="s">
        <v>3476</v>
      </c>
      <c r="J225" t="s">
        <v>650</v>
      </c>
    </row>
    <row r="226" spans="1:11">
      <c r="A226" t="s">
        <v>1775</v>
      </c>
      <c r="B226" t="s">
        <v>3509</v>
      </c>
      <c r="C226" t="s">
        <v>1776</v>
      </c>
      <c r="D226" t="s">
        <v>3479</v>
      </c>
      <c r="E226" t="s">
        <v>3715</v>
      </c>
      <c r="F226" t="s">
        <v>3511</v>
      </c>
      <c r="G226" t="s">
        <v>3512</v>
      </c>
      <c r="H226" t="s">
        <v>3513</v>
      </c>
      <c r="I226" t="s">
        <v>3476</v>
      </c>
      <c r="J226" t="s">
        <v>650</v>
      </c>
    </row>
    <row r="227" spans="1:11">
      <c r="A227" t="s">
        <v>1775</v>
      </c>
      <c r="B227" t="s">
        <v>3509</v>
      </c>
      <c r="C227" t="s">
        <v>1776</v>
      </c>
      <c r="D227" t="s">
        <v>3481</v>
      </c>
      <c r="E227" t="s">
        <v>3716</v>
      </c>
      <c r="F227" t="s">
        <v>3511</v>
      </c>
      <c r="G227" t="s">
        <v>3512</v>
      </c>
      <c r="H227" t="s">
        <v>3513</v>
      </c>
      <c r="I227" t="s">
        <v>3476</v>
      </c>
      <c r="J227" t="s">
        <v>650</v>
      </c>
    </row>
    <row r="228" spans="1:11">
      <c r="A228" t="s">
        <v>1775</v>
      </c>
      <c r="B228" t="s">
        <v>3509</v>
      </c>
      <c r="C228" t="s">
        <v>1776</v>
      </c>
      <c r="D228" t="s">
        <v>3483</v>
      </c>
      <c r="E228" t="s">
        <v>3717</v>
      </c>
      <c r="F228" t="s">
        <v>3511</v>
      </c>
      <c r="G228" t="s">
        <v>3512</v>
      </c>
      <c r="H228" t="s">
        <v>3513</v>
      </c>
      <c r="I228" t="s">
        <v>3476</v>
      </c>
      <c r="J228" t="s">
        <v>650</v>
      </c>
    </row>
    <row r="229" spans="1:11">
      <c r="A229" t="s">
        <v>1775</v>
      </c>
      <c r="B229" t="s">
        <v>3509</v>
      </c>
      <c r="C229" t="s">
        <v>1776</v>
      </c>
      <c r="D229" t="s">
        <v>3518</v>
      </c>
      <c r="E229" t="s">
        <v>3718</v>
      </c>
      <c r="F229" t="s">
        <v>3511</v>
      </c>
      <c r="G229" t="s">
        <v>3512</v>
      </c>
      <c r="H229" t="s">
        <v>3513</v>
      </c>
      <c r="I229" t="s">
        <v>3476</v>
      </c>
      <c r="J229" t="s">
        <v>650</v>
      </c>
      <c r="K229" t="s">
        <v>3520</v>
      </c>
    </row>
    <row r="230" spans="1:11">
      <c r="A230" t="s">
        <v>1778</v>
      </c>
      <c r="B230" t="s">
        <v>3509</v>
      </c>
      <c r="C230" t="s">
        <v>1779</v>
      </c>
      <c r="D230" t="s">
        <v>3471</v>
      </c>
      <c r="E230" t="s">
        <v>3719</v>
      </c>
      <c r="F230" t="s">
        <v>3511</v>
      </c>
      <c r="G230" t="s">
        <v>3512</v>
      </c>
      <c r="H230" t="s">
        <v>3513</v>
      </c>
      <c r="I230" t="s">
        <v>3476</v>
      </c>
      <c r="J230" t="s">
        <v>650</v>
      </c>
    </row>
    <row r="231" spans="1:11">
      <c r="A231" t="s">
        <v>1778</v>
      </c>
      <c r="B231" t="s">
        <v>3509</v>
      </c>
      <c r="C231" t="s">
        <v>1779</v>
      </c>
      <c r="D231" t="s">
        <v>3477</v>
      </c>
      <c r="E231" t="s">
        <v>3720</v>
      </c>
      <c r="F231" t="s">
        <v>3511</v>
      </c>
      <c r="G231" t="s">
        <v>3512</v>
      </c>
      <c r="H231" t="s">
        <v>3513</v>
      </c>
      <c r="I231" t="s">
        <v>3476</v>
      </c>
      <c r="J231" t="s">
        <v>650</v>
      </c>
    </row>
    <row r="232" spans="1:11">
      <c r="A232" t="s">
        <v>1778</v>
      </c>
      <c r="B232" t="s">
        <v>3509</v>
      </c>
      <c r="C232" t="s">
        <v>1779</v>
      </c>
      <c r="D232" t="s">
        <v>3479</v>
      </c>
      <c r="E232" t="s">
        <v>3721</v>
      </c>
      <c r="F232" t="s">
        <v>3511</v>
      </c>
      <c r="G232" t="s">
        <v>3512</v>
      </c>
      <c r="H232" t="s">
        <v>3513</v>
      </c>
      <c r="I232" t="s">
        <v>3476</v>
      </c>
      <c r="J232" t="s">
        <v>650</v>
      </c>
    </row>
    <row r="233" spans="1:11">
      <c r="A233" t="s">
        <v>1778</v>
      </c>
      <c r="B233" t="s">
        <v>3509</v>
      </c>
      <c r="C233" t="s">
        <v>1779</v>
      </c>
      <c r="D233" t="s">
        <v>3481</v>
      </c>
      <c r="E233" t="s">
        <v>3722</v>
      </c>
      <c r="F233" t="s">
        <v>3511</v>
      </c>
      <c r="G233" t="s">
        <v>3512</v>
      </c>
      <c r="H233" t="s">
        <v>3513</v>
      </c>
      <c r="I233" t="s">
        <v>3476</v>
      </c>
      <c r="J233" t="s">
        <v>650</v>
      </c>
    </row>
    <row r="234" spans="1:11">
      <c r="A234" t="s">
        <v>1778</v>
      </c>
      <c r="B234" t="s">
        <v>3509</v>
      </c>
      <c r="C234" t="s">
        <v>1779</v>
      </c>
      <c r="D234" t="s">
        <v>3483</v>
      </c>
      <c r="E234" t="s">
        <v>3723</v>
      </c>
      <c r="F234" t="s">
        <v>3511</v>
      </c>
      <c r="G234" t="s">
        <v>3512</v>
      </c>
      <c r="H234" t="s">
        <v>3513</v>
      </c>
      <c r="I234" t="s">
        <v>3476</v>
      </c>
      <c r="J234" t="s">
        <v>650</v>
      </c>
    </row>
    <row r="235" spans="1:11">
      <c r="A235" t="s">
        <v>1778</v>
      </c>
      <c r="B235" t="s">
        <v>3509</v>
      </c>
      <c r="C235" t="s">
        <v>1779</v>
      </c>
      <c r="D235" t="s">
        <v>3518</v>
      </c>
      <c r="E235" t="s">
        <v>3724</v>
      </c>
      <c r="F235" t="s">
        <v>3511</v>
      </c>
      <c r="G235" t="s">
        <v>3512</v>
      </c>
      <c r="H235" t="s">
        <v>3513</v>
      </c>
      <c r="I235" t="s">
        <v>3476</v>
      </c>
      <c r="J235" t="s">
        <v>650</v>
      </c>
      <c r="K235" t="s">
        <v>3520</v>
      </c>
    </row>
    <row r="236" spans="1:11">
      <c r="A236" t="s">
        <v>1781</v>
      </c>
      <c r="B236" t="s">
        <v>3509</v>
      </c>
      <c r="C236" t="s">
        <v>1782</v>
      </c>
      <c r="D236" t="s">
        <v>3471</v>
      </c>
      <c r="E236" t="s">
        <v>3725</v>
      </c>
      <c r="F236" t="s">
        <v>3511</v>
      </c>
      <c r="G236" t="s">
        <v>3512</v>
      </c>
      <c r="H236" t="s">
        <v>3513</v>
      </c>
      <c r="I236" t="s">
        <v>3476</v>
      </c>
      <c r="J236" t="s">
        <v>650</v>
      </c>
    </row>
    <row r="237" spans="1:11">
      <c r="A237" t="s">
        <v>1781</v>
      </c>
      <c r="B237" t="s">
        <v>3509</v>
      </c>
      <c r="C237" t="s">
        <v>1782</v>
      </c>
      <c r="D237" t="s">
        <v>3477</v>
      </c>
      <c r="E237" t="s">
        <v>3726</v>
      </c>
      <c r="F237" t="s">
        <v>3511</v>
      </c>
      <c r="G237" t="s">
        <v>3512</v>
      </c>
      <c r="H237" t="s">
        <v>3513</v>
      </c>
      <c r="I237" t="s">
        <v>3476</v>
      </c>
      <c r="J237" t="s">
        <v>650</v>
      </c>
    </row>
    <row r="238" spans="1:11">
      <c r="A238" t="s">
        <v>1781</v>
      </c>
      <c r="B238" t="s">
        <v>3509</v>
      </c>
      <c r="C238" t="s">
        <v>1782</v>
      </c>
      <c r="D238" t="s">
        <v>3479</v>
      </c>
      <c r="E238" t="s">
        <v>3727</v>
      </c>
      <c r="F238" t="s">
        <v>3511</v>
      </c>
      <c r="G238" t="s">
        <v>3512</v>
      </c>
      <c r="H238" t="s">
        <v>3513</v>
      </c>
      <c r="I238" t="s">
        <v>3476</v>
      </c>
      <c r="J238" t="s">
        <v>650</v>
      </c>
    </row>
    <row r="239" spans="1:11">
      <c r="A239" t="s">
        <v>1781</v>
      </c>
      <c r="B239" t="s">
        <v>3509</v>
      </c>
      <c r="C239" t="s">
        <v>1782</v>
      </c>
      <c r="D239" t="s">
        <v>3481</v>
      </c>
      <c r="E239" t="s">
        <v>3728</v>
      </c>
      <c r="F239" t="s">
        <v>3511</v>
      </c>
      <c r="G239" t="s">
        <v>3512</v>
      </c>
      <c r="H239" t="s">
        <v>3513</v>
      </c>
      <c r="I239" t="s">
        <v>3476</v>
      </c>
      <c r="J239" t="s">
        <v>650</v>
      </c>
    </row>
    <row r="240" spans="1:11">
      <c r="A240" t="s">
        <v>1781</v>
      </c>
      <c r="B240" t="s">
        <v>3509</v>
      </c>
      <c r="C240" t="s">
        <v>1782</v>
      </c>
      <c r="D240" t="s">
        <v>3483</v>
      </c>
      <c r="E240" t="s">
        <v>3729</v>
      </c>
      <c r="F240" t="s">
        <v>3511</v>
      </c>
      <c r="G240" t="s">
        <v>3512</v>
      </c>
      <c r="H240" t="s">
        <v>3513</v>
      </c>
      <c r="I240" t="s">
        <v>3476</v>
      </c>
      <c r="J240" t="s">
        <v>650</v>
      </c>
    </row>
    <row r="241" spans="1:11">
      <c r="A241" t="s">
        <v>1781</v>
      </c>
      <c r="B241" t="s">
        <v>3509</v>
      </c>
      <c r="C241" t="s">
        <v>1782</v>
      </c>
      <c r="D241" t="s">
        <v>3518</v>
      </c>
      <c r="E241" t="s">
        <v>3730</v>
      </c>
      <c r="F241" t="s">
        <v>3511</v>
      </c>
      <c r="G241" t="s">
        <v>3512</v>
      </c>
      <c r="H241" t="s">
        <v>3513</v>
      </c>
      <c r="I241" t="s">
        <v>3476</v>
      </c>
      <c r="J241" t="s">
        <v>650</v>
      </c>
      <c r="K241" t="s">
        <v>3520</v>
      </c>
    </row>
    <row r="242" spans="1:11">
      <c r="A242" t="s">
        <v>1783</v>
      </c>
      <c r="B242" t="s">
        <v>3509</v>
      </c>
      <c r="C242" t="s">
        <v>1784</v>
      </c>
      <c r="D242" t="s">
        <v>3471</v>
      </c>
      <c r="E242" t="s">
        <v>3731</v>
      </c>
      <c r="F242" t="s">
        <v>3511</v>
      </c>
      <c r="G242" t="s">
        <v>3512</v>
      </c>
      <c r="H242" t="s">
        <v>3513</v>
      </c>
      <c r="I242" t="s">
        <v>3476</v>
      </c>
      <c r="J242" t="s">
        <v>650</v>
      </c>
    </row>
    <row r="243" spans="1:11">
      <c r="A243" t="s">
        <v>1783</v>
      </c>
      <c r="B243" t="s">
        <v>3509</v>
      </c>
      <c r="C243" t="s">
        <v>1784</v>
      </c>
      <c r="D243" t="s">
        <v>3477</v>
      </c>
      <c r="E243" t="s">
        <v>3732</v>
      </c>
      <c r="F243" t="s">
        <v>3511</v>
      </c>
      <c r="G243" t="s">
        <v>3512</v>
      </c>
      <c r="H243" t="s">
        <v>3513</v>
      </c>
      <c r="I243" t="s">
        <v>3476</v>
      </c>
      <c r="J243" t="s">
        <v>650</v>
      </c>
    </row>
    <row r="244" spans="1:11">
      <c r="A244" t="s">
        <v>1783</v>
      </c>
      <c r="B244" t="s">
        <v>3509</v>
      </c>
      <c r="C244" t="s">
        <v>1784</v>
      </c>
      <c r="D244" t="s">
        <v>3479</v>
      </c>
      <c r="E244" t="s">
        <v>3733</v>
      </c>
      <c r="F244" t="s">
        <v>3511</v>
      </c>
      <c r="G244" t="s">
        <v>3512</v>
      </c>
      <c r="H244" t="s">
        <v>3513</v>
      </c>
      <c r="I244" t="s">
        <v>3476</v>
      </c>
      <c r="J244" t="s">
        <v>650</v>
      </c>
    </row>
    <row r="245" spans="1:11">
      <c r="A245" t="s">
        <v>1783</v>
      </c>
      <c r="B245" t="s">
        <v>3509</v>
      </c>
      <c r="C245" t="s">
        <v>1784</v>
      </c>
      <c r="D245" t="s">
        <v>3481</v>
      </c>
      <c r="E245" t="s">
        <v>3734</v>
      </c>
      <c r="F245" t="s">
        <v>3511</v>
      </c>
      <c r="G245" t="s">
        <v>3512</v>
      </c>
      <c r="H245" t="s">
        <v>3513</v>
      </c>
      <c r="I245" t="s">
        <v>3476</v>
      </c>
      <c r="J245" t="s">
        <v>650</v>
      </c>
    </row>
    <row r="246" spans="1:11">
      <c r="A246" t="s">
        <v>1783</v>
      </c>
      <c r="B246" t="s">
        <v>3509</v>
      </c>
      <c r="C246" t="s">
        <v>1784</v>
      </c>
      <c r="D246" t="s">
        <v>3483</v>
      </c>
      <c r="E246" t="s">
        <v>3735</v>
      </c>
      <c r="F246" t="s">
        <v>3511</v>
      </c>
      <c r="G246" t="s">
        <v>3512</v>
      </c>
      <c r="H246" t="s">
        <v>3513</v>
      </c>
      <c r="I246" t="s">
        <v>3476</v>
      </c>
      <c r="J246" t="s">
        <v>650</v>
      </c>
    </row>
    <row r="247" spans="1:11">
      <c r="A247" t="s">
        <v>1783</v>
      </c>
      <c r="B247" t="s">
        <v>3509</v>
      </c>
      <c r="C247" t="s">
        <v>1784</v>
      </c>
      <c r="D247" t="s">
        <v>3518</v>
      </c>
      <c r="E247" t="s">
        <v>3736</v>
      </c>
      <c r="F247" t="s">
        <v>3511</v>
      </c>
      <c r="G247" t="s">
        <v>3512</v>
      </c>
      <c r="H247" t="s">
        <v>3513</v>
      </c>
      <c r="I247" t="s">
        <v>3476</v>
      </c>
      <c r="J247" t="s">
        <v>650</v>
      </c>
      <c r="K247" t="s">
        <v>3520</v>
      </c>
    </row>
    <row r="248" spans="1:11">
      <c r="A248" t="s">
        <v>1785</v>
      </c>
      <c r="B248" t="s">
        <v>3509</v>
      </c>
      <c r="C248" t="s">
        <v>1786</v>
      </c>
      <c r="D248" t="s">
        <v>3471</v>
      </c>
      <c r="E248" t="s">
        <v>3737</v>
      </c>
      <c r="F248" t="s">
        <v>3511</v>
      </c>
      <c r="G248" t="s">
        <v>3512</v>
      </c>
      <c r="H248" t="s">
        <v>3513</v>
      </c>
      <c r="I248" t="s">
        <v>3476</v>
      </c>
      <c r="J248" t="s">
        <v>650</v>
      </c>
    </row>
    <row r="249" spans="1:11">
      <c r="A249" t="s">
        <v>1785</v>
      </c>
      <c r="B249" t="s">
        <v>3509</v>
      </c>
      <c r="C249" t="s">
        <v>1786</v>
      </c>
      <c r="D249" t="s">
        <v>3477</v>
      </c>
      <c r="E249" t="s">
        <v>3738</v>
      </c>
      <c r="F249" t="s">
        <v>3511</v>
      </c>
      <c r="G249" t="s">
        <v>3512</v>
      </c>
      <c r="H249" t="s">
        <v>3513</v>
      </c>
      <c r="I249" t="s">
        <v>3476</v>
      </c>
      <c r="J249" t="s">
        <v>650</v>
      </c>
    </row>
    <row r="250" spans="1:11">
      <c r="A250" t="s">
        <v>1785</v>
      </c>
      <c r="B250" t="s">
        <v>3509</v>
      </c>
      <c r="C250" t="s">
        <v>1786</v>
      </c>
      <c r="D250" t="s">
        <v>3479</v>
      </c>
      <c r="E250" t="s">
        <v>3739</v>
      </c>
      <c r="F250" t="s">
        <v>3511</v>
      </c>
      <c r="G250" t="s">
        <v>3512</v>
      </c>
      <c r="H250" t="s">
        <v>3513</v>
      </c>
      <c r="I250" t="s">
        <v>3476</v>
      </c>
      <c r="J250" t="s">
        <v>650</v>
      </c>
    </row>
    <row r="251" spans="1:11">
      <c r="A251" t="s">
        <v>1785</v>
      </c>
      <c r="B251" t="s">
        <v>3509</v>
      </c>
      <c r="C251" t="s">
        <v>1786</v>
      </c>
      <c r="D251" t="s">
        <v>3481</v>
      </c>
      <c r="E251" t="s">
        <v>3740</v>
      </c>
      <c r="F251" t="s">
        <v>3511</v>
      </c>
      <c r="G251" t="s">
        <v>3512</v>
      </c>
      <c r="H251" t="s">
        <v>3513</v>
      </c>
      <c r="I251" t="s">
        <v>3476</v>
      </c>
      <c r="J251" t="s">
        <v>650</v>
      </c>
    </row>
    <row r="252" spans="1:11">
      <c r="A252" t="s">
        <v>1785</v>
      </c>
      <c r="B252" t="s">
        <v>3509</v>
      </c>
      <c r="C252" t="s">
        <v>1786</v>
      </c>
      <c r="D252" t="s">
        <v>3483</v>
      </c>
      <c r="E252" t="s">
        <v>3741</v>
      </c>
      <c r="F252" t="s">
        <v>3511</v>
      </c>
      <c r="G252" t="s">
        <v>3512</v>
      </c>
      <c r="H252" t="s">
        <v>3513</v>
      </c>
      <c r="I252" t="s">
        <v>3476</v>
      </c>
      <c r="J252" t="s">
        <v>650</v>
      </c>
    </row>
    <row r="253" spans="1:11">
      <c r="A253" t="s">
        <v>1785</v>
      </c>
      <c r="B253" t="s">
        <v>3509</v>
      </c>
      <c r="C253" t="s">
        <v>1786</v>
      </c>
      <c r="D253" t="s">
        <v>3518</v>
      </c>
      <c r="E253" t="s">
        <v>3742</v>
      </c>
      <c r="F253" t="s">
        <v>3511</v>
      </c>
      <c r="G253" t="s">
        <v>3512</v>
      </c>
      <c r="H253" t="s">
        <v>3513</v>
      </c>
      <c r="I253" t="s">
        <v>3476</v>
      </c>
      <c r="J253" t="s">
        <v>650</v>
      </c>
      <c r="K253" t="s">
        <v>3520</v>
      </c>
    </row>
    <row r="254" spans="1:11">
      <c r="A254" t="s">
        <v>1788</v>
      </c>
      <c r="B254" t="s">
        <v>3509</v>
      </c>
      <c r="C254" t="s">
        <v>1789</v>
      </c>
      <c r="D254" t="s">
        <v>3471</v>
      </c>
      <c r="E254" t="s">
        <v>3743</v>
      </c>
      <c r="F254" t="s">
        <v>3511</v>
      </c>
      <c r="G254" t="s">
        <v>3512</v>
      </c>
      <c r="H254" t="s">
        <v>3513</v>
      </c>
      <c r="I254" t="s">
        <v>3476</v>
      </c>
      <c r="J254" t="s">
        <v>650</v>
      </c>
    </row>
    <row r="255" spans="1:11">
      <c r="A255" t="s">
        <v>1788</v>
      </c>
      <c r="B255" t="s">
        <v>3509</v>
      </c>
      <c r="C255" t="s">
        <v>1789</v>
      </c>
      <c r="D255" t="s">
        <v>3477</v>
      </c>
      <c r="E255" t="s">
        <v>3744</v>
      </c>
      <c r="F255" t="s">
        <v>3511</v>
      </c>
      <c r="G255" t="s">
        <v>3512</v>
      </c>
      <c r="H255" t="s">
        <v>3513</v>
      </c>
      <c r="I255" t="s">
        <v>3476</v>
      </c>
      <c r="J255" t="s">
        <v>650</v>
      </c>
    </row>
    <row r="256" spans="1:11">
      <c r="A256" t="s">
        <v>1788</v>
      </c>
      <c r="B256" t="s">
        <v>3509</v>
      </c>
      <c r="C256" t="s">
        <v>1789</v>
      </c>
      <c r="D256" t="s">
        <v>3479</v>
      </c>
      <c r="E256" t="s">
        <v>3745</v>
      </c>
      <c r="F256" t="s">
        <v>3511</v>
      </c>
      <c r="G256" t="s">
        <v>3512</v>
      </c>
      <c r="H256" t="s">
        <v>3513</v>
      </c>
      <c r="I256" t="s">
        <v>3476</v>
      </c>
      <c r="J256" t="s">
        <v>650</v>
      </c>
    </row>
    <row r="257" spans="1:11">
      <c r="A257" t="s">
        <v>1788</v>
      </c>
      <c r="B257" t="s">
        <v>3509</v>
      </c>
      <c r="C257" t="s">
        <v>1789</v>
      </c>
      <c r="D257" t="s">
        <v>3481</v>
      </c>
      <c r="E257" t="s">
        <v>3746</v>
      </c>
      <c r="F257" t="s">
        <v>3511</v>
      </c>
      <c r="G257" t="s">
        <v>3512</v>
      </c>
      <c r="H257" t="s">
        <v>3513</v>
      </c>
      <c r="I257" t="s">
        <v>3476</v>
      </c>
      <c r="J257" t="s">
        <v>650</v>
      </c>
    </row>
    <row r="258" spans="1:11">
      <c r="A258" t="s">
        <v>1788</v>
      </c>
      <c r="B258" t="s">
        <v>3509</v>
      </c>
      <c r="C258" t="s">
        <v>1789</v>
      </c>
      <c r="D258" t="s">
        <v>3483</v>
      </c>
      <c r="E258" t="s">
        <v>3747</v>
      </c>
      <c r="F258" t="s">
        <v>3511</v>
      </c>
      <c r="G258" t="s">
        <v>3512</v>
      </c>
      <c r="H258" t="s">
        <v>3513</v>
      </c>
      <c r="I258" t="s">
        <v>3476</v>
      </c>
      <c r="J258" t="s">
        <v>650</v>
      </c>
    </row>
    <row r="259" spans="1:11">
      <c r="A259" t="s">
        <v>1788</v>
      </c>
      <c r="B259" t="s">
        <v>3509</v>
      </c>
      <c r="C259" t="s">
        <v>1789</v>
      </c>
      <c r="D259" t="s">
        <v>3518</v>
      </c>
      <c r="E259" t="s">
        <v>3748</v>
      </c>
      <c r="F259" t="s">
        <v>3511</v>
      </c>
      <c r="G259" t="s">
        <v>3512</v>
      </c>
      <c r="H259" t="s">
        <v>3513</v>
      </c>
      <c r="I259" t="s">
        <v>3476</v>
      </c>
      <c r="J259" t="s">
        <v>650</v>
      </c>
      <c r="K259" t="s">
        <v>3520</v>
      </c>
    </row>
    <row r="260" spans="1:11">
      <c r="A260" t="s">
        <v>1791</v>
      </c>
      <c r="B260" t="s">
        <v>3509</v>
      </c>
      <c r="C260" t="s">
        <v>1792</v>
      </c>
      <c r="D260" t="s">
        <v>3471</v>
      </c>
      <c r="E260" t="s">
        <v>3749</v>
      </c>
      <c r="F260" t="s">
        <v>3511</v>
      </c>
      <c r="G260" t="s">
        <v>3512</v>
      </c>
      <c r="H260" t="s">
        <v>3513</v>
      </c>
      <c r="I260" t="s">
        <v>3476</v>
      </c>
      <c r="J260" t="s">
        <v>650</v>
      </c>
    </row>
    <row r="261" spans="1:11">
      <c r="A261" t="s">
        <v>1791</v>
      </c>
      <c r="B261" t="s">
        <v>3509</v>
      </c>
      <c r="C261" t="s">
        <v>1792</v>
      </c>
      <c r="D261" t="s">
        <v>3477</v>
      </c>
      <c r="E261" t="s">
        <v>3750</v>
      </c>
      <c r="F261" t="s">
        <v>3511</v>
      </c>
      <c r="G261" t="s">
        <v>3512</v>
      </c>
      <c r="H261" t="s">
        <v>3513</v>
      </c>
      <c r="I261" t="s">
        <v>3476</v>
      </c>
      <c r="J261" t="s">
        <v>650</v>
      </c>
    </row>
    <row r="262" spans="1:11">
      <c r="A262" t="s">
        <v>1791</v>
      </c>
      <c r="B262" t="s">
        <v>3509</v>
      </c>
      <c r="C262" t="s">
        <v>1792</v>
      </c>
      <c r="D262" t="s">
        <v>3479</v>
      </c>
      <c r="E262" t="s">
        <v>3751</v>
      </c>
      <c r="F262" t="s">
        <v>3511</v>
      </c>
      <c r="G262" t="s">
        <v>3512</v>
      </c>
      <c r="H262" t="s">
        <v>3513</v>
      </c>
      <c r="I262" t="s">
        <v>3476</v>
      </c>
      <c r="J262" t="s">
        <v>650</v>
      </c>
    </row>
    <row r="263" spans="1:11">
      <c r="A263" t="s">
        <v>1791</v>
      </c>
      <c r="B263" t="s">
        <v>3509</v>
      </c>
      <c r="C263" t="s">
        <v>1792</v>
      </c>
      <c r="D263" t="s">
        <v>3481</v>
      </c>
      <c r="E263" t="s">
        <v>3752</v>
      </c>
      <c r="F263" t="s">
        <v>3511</v>
      </c>
      <c r="G263" t="s">
        <v>3512</v>
      </c>
      <c r="H263" t="s">
        <v>3513</v>
      </c>
      <c r="I263" t="s">
        <v>3476</v>
      </c>
      <c r="J263" t="s">
        <v>650</v>
      </c>
    </row>
    <row r="264" spans="1:11">
      <c r="A264" t="s">
        <v>1791</v>
      </c>
      <c r="B264" t="s">
        <v>3509</v>
      </c>
      <c r="C264" t="s">
        <v>1792</v>
      </c>
      <c r="D264" t="s">
        <v>3483</v>
      </c>
      <c r="E264" t="s">
        <v>3753</v>
      </c>
      <c r="F264" t="s">
        <v>3511</v>
      </c>
      <c r="G264" t="s">
        <v>3512</v>
      </c>
      <c r="H264" t="s">
        <v>3513</v>
      </c>
      <c r="I264" t="s">
        <v>3476</v>
      </c>
      <c r="J264" t="s">
        <v>650</v>
      </c>
    </row>
    <row r="265" spans="1:11">
      <c r="A265" t="s">
        <v>1791</v>
      </c>
      <c r="B265" t="s">
        <v>3509</v>
      </c>
      <c r="C265" t="s">
        <v>1792</v>
      </c>
      <c r="D265" t="s">
        <v>3518</v>
      </c>
      <c r="E265" t="s">
        <v>3754</v>
      </c>
      <c r="F265" t="s">
        <v>3511</v>
      </c>
      <c r="G265" t="s">
        <v>3512</v>
      </c>
      <c r="H265" t="s">
        <v>3513</v>
      </c>
      <c r="I265" t="s">
        <v>3476</v>
      </c>
      <c r="J265" t="s">
        <v>650</v>
      </c>
      <c r="K265" t="s">
        <v>3520</v>
      </c>
    </row>
    <row r="266" spans="1:11">
      <c r="A266" t="s">
        <v>1793</v>
      </c>
      <c r="B266" t="s">
        <v>3509</v>
      </c>
      <c r="C266" t="s">
        <v>530</v>
      </c>
      <c r="D266" t="s">
        <v>3471</v>
      </c>
      <c r="E266" t="s">
        <v>3755</v>
      </c>
      <c r="F266" t="s">
        <v>3511</v>
      </c>
      <c r="G266" t="s">
        <v>3512</v>
      </c>
      <c r="H266" t="s">
        <v>3513</v>
      </c>
      <c r="I266" t="s">
        <v>3476</v>
      </c>
      <c r="J266" t="s">
        <v>650</v>
      </c>
    </row>
    <row r="267" spans="1:11">
      <c r="A267" t="s">
        <v>1793</v>
      </c>
      <c r="B267" t="s">
        <v>3509</v>
      </c>
      <c r="C267" t="s">
        <v>530</v>
      </c>
      <c r="D267" t="s">
        <v>3477</v>
      </c>
      <c r="E267" t="s">
        <v>3756</v>
      </c>
      <c r="F267" t="s">
        <v>3511</v>
      </c>
      <c r="G267" t="s">
        <v>3512</v>
      </c>
      <c r="H267" t="s">
        <v>3513</v>
      </c>
      <c r="I267" t="s">
        <v>3476</v>
      </c>
      <c r="J267" t="s">
        <v>650</v>
      </c>
    </row>
    <row r="268" spans="1:11">
      <c r="A268" t="s">
        <v>1793</v>
      </c>
      <c r="B268" t="s">
        <v>3509</v>
      </c>
      <c r="C268" t="s">
        <v>530</v>
      </c>
      <c r="D268" t="s">
        <v>3479</v>
      </c>
      <c r="E268" t="s">
        <v>3757</v>
      </c>
      <c r="F268" t="s">
        <v>3511</v>
      </c>
      <c r="G268" t="s">
        <v>3512</v>
      </c>
      <c r="H268" t="s">
        <v>3513</v>
      </c>
      <c r="I268" t="s">
        <v>3476</v>
      </c>
      <c r="J268" t="s">
        <v>650</v>
      </c>
    </row>
    <row r="269" spans="1:11">
      <c r="A269" t="s">
        <v>1793</v>
      </c>
      <c r="B269" t="s">
        <v>3509</v>
      </c>
      <c r="C269" t="s">
        <v>530</v>
      </c>
      <c r="D269" t="s">
        <v>3481</v>
      </c>
      <c r="E269" t="s">
        <v>3758</v>
      </c>
      <c r="F269" t="s">
        <v>3511</v>
      </c>
      <c r="G269" t="s">
        <v>3512</v>
      </c>
      <c r="H269" t="s">
        <v>3513</v>
      </c>
      <c r="I269" t="s">
        <v>3476</v>
      </c>
      <c r="J269" t="s">
        <v>650</v>
      </c>
    </row>
    <row r="270" spans="1:11">
      <c r="A270" t="s">
        <v>1793</v>
      </c>
      <c r="B270" t="s">
        <v>3509</v>
      </c>
      <c r="C270" t="s">
        <v>530</v>
      </c>
      <c r="D270" t="s">
        <v>3483</v>
      </c>
      <c r="E270" t="s">
        <v>3759</v>
      </c>
      <c r="F270" t="s">
        <v>3511</v>
      </c>
      <c r="G270" t="s">
        <v>3512</v>
      </c>
      <c r="H270" t="s">
        <v>3513</v>
      </c>
      <c r="I270" t="s">
        <v>3476</v>
      </c>
      <c r="J270" t="s">
        <v>650</v>
      </c>
    </row>
    <row r="271" spans="1:11">
      <c r="A271" t="s">
        <v>1793</v>
      </c>
      <c r="B271" t="s">
        <v>3509</v>
      </c>
      <c r="C271" t="s">
        <v>530</v>
      </c>
      <c r="D271" t="s">
        <v>3518</v>
      </c>
      <c r="E271" t="s">
        <v>3760</v>
      </c>
      <c r="F271" t="s">
        <v>3511</v>
      </c>
      <c r="G271" t="s">
        <v>3512</v>
      </c>
      <c r="H271" t="s">
        <v>3513</v>
      </c>
      <c r="I271" t="s">
        <v>3476</v>
      </c>
      <c r="J271" t="s">
        <v>650</v>
      </c>
      <c r="K271" t="s">
        <v>3520</v>
      </c>
    </row>
    <row r="272" spans="1:11">
      <c r="A272" t="s">
        <v>1794</v>
      </c>
      <c r="B272" t="s">
        <v>3509</v>
      </c>
      <c r="C272" t="s">
        <v>1795</v>
      </c>
      <c r="D272" t="s">
        <v>3471</v>
      </c>
      <c r="E272" t="s">
        <v>3761</v>
      </c>
      <c r="F272" t="s">
        <v>3511</v>
      </c>
      <c r="G272" t="s">
        <v>3512</v>
      </c>
      <c r="H272" t="s">
        <v>3513</v>
      </c>
      <c r="I272" t="s">
        <v>3476</v>
      </c>
      <c r="J272" t="s">
        <v>650</v>
      </c>
    </row>
    <row r="273" spans="1:11">
      <c r="A273" t="s">
        <v>1794</v>
      </c>
      <c r="B273" t="s">
        <v>3509</v>
      </c>
      <c r="C273" t="s">
        <v>1795</v>
      </c>
      <c r="D273" t="s">
        <v>3477</v>
      </c>
      <c r="E273" t="s">
        <v>3762</v>
      </c>
      <c r="F273" t="s">
        <v>3511</v>
      </c>
      <c r="G273" t="s">
        <v>3512</v>
      </c>
      <c r="H273" t="s">
        <v>3513</v>
      </c>
      <c r="I273" t="s">
        <v>3476</v>
      </c>
      <c r="J273" t="s">
        <v>650</v>
      </c>
    </row>
    <row r="274" spans="1:11">
      <c r="A274" t="s">
        <v>1794</v>
      </c>
      <c r="B274" t="s">
        <v>3509</v>
      </c>
      <c r="C274" t="s">
        <v>1795</v>
      </c>
      <c r="D274" t="s">
        <v>3479</v>
      </c>
      <c r="E274" t="s">
        <v>3763</v>
      </c>
      <c r="F274" t="s">
        <v>3511</v>
      </c>
      <c r="G274" t="s">
        <v>3512</v>
      </c>
      <c r="H274" t="s">
        <v>3513</v>
      </c>
      <c r="I274" t="s">
        <v>3476</v>
      </c>
      <c r="J274" t="s">
        <v>650</v>
      </c>
    </row>
    <row r="275" spans="1:11">
      <c r="A275" t="s">
        <v>1794</v>
      </c>
      <c r="B275" t="s">
        <v>3509</v>
      </c>
      <c r="C275" t="s">
        <v>1795</v>
      </c>
      <c r="D275" t="s">
        <v>3481</v>
      </c>
      <c r="E275" t="s">
        <v>3764</v>
      </c>
      <c r="F275" t="s">
        <v>3511</v>
      </c>
      <c r="G275" t="s">
        <v>3512</v>
      </c>
      <c r="H275" t="s">
        <v>3513</v>
      </c>
      <c r="I275" t="s">
        <v>3476</v>
      </c>
      <c r="J275" t="s">
        <v>650</v>
      </c>
    </row>
    <row r="276" spans="1:11">
      <c r="A276" t="s">
        <v>1794</v>
      </c>
      <c r="B276" t="s">
        <v>3509</v>
      </c>
      <c r="C276" t="s">
        <v>1795</v>
      </c>
      <c r="D276" t="s">
        <v>3483</v>
      </c>
      <c r="E276" t="s">
        <v>3765</v>
      </c>
      <c r="F276" t="s">
        <v>3511</v>
      </c>
      <c r="G276" t="s">
        <v>3512</v>
      </c>
      <c r="H276" t="s">
        <v>3513</v>
      </c>
      <c r="I276" t="s">
        <v>3476</v>
      </c>
      <c r="J276" t="s">
        <v>650</v>
      </c>
    </row>
    <row r="277" spans="1:11">
      <c r="A277" t="s">
        <v>1794</v>
      </c>
      <c r="B277" t="s">
        <v>3509</v>
      </c>
      <c r="C277" t="s">
        <v>1795</v>
      </c>
      <c r="D277" t="s">
        <v>3518</v>
      </c>
      <c r="E277" t="s">
        <v>3766</v>
      </c>
      <c r="F277" t="s">
        <v>3511</v>
      </c>
      <c r="G277" t="s">
        <v>3512</v>
      </c>
      <c r="H277" t="s">
        <v>3513</v>
      </c>
      <c r="I277" t="s">
        <v>3476</v>
      </c>
      <c r="J277" t="s">
        <v>650</v>
      </c>
      <c r="K277" t="s">
        <v>3520</v>
      </c>
    </row>
    <row r="278" spans="1:11">
      <c r="A278" t="s">
        <v>1796</v>
      </c>
      <c r="B278" t="s">
        <v>3509</v>
      </c>
      <c r="C278" t="s">
        <v>1797</v>
      </c>
      <c r="D278" t="s">
        <v>3471</v>
      </c>
      <c r="E278" t="s">
        <v>3767</v>
      </c>
      <c r="F278" t="s">
        <v>3511</v>
      </c>
      <c r="G278" t="s">
        <v>3512</v>
      </c>
      <c r="H278" t="s">
        <v>3513</v>
      </c>
      <c r="I278" t="s">
        <v>3476</v>
      </c>
      <c r="J278" t="s">
        <v>650</v>
      </c>
    </row>
    <row r="279" spans="1:11">
      <c r="A279" t="s">
        <v>1796</v>
      </c>
      <c r="B279" t="s">
        <v>3509</v>
      </c>
      <c r="C279" t="s">
        <v>1797</v>
      </c>
      <c r="D279" t="s">
        <v>3477</v>
      </c>
      <c r="E279" t="s">
        <v>3768</v>
      </c>
      <c r="F279" t="s">
        <v>3511</v>
      </c>
      <c r="G279" t="s">
        <v>3512</v>
      </c>
      <c r="H279" t="s">
        <v>3513</v>
      </c>
      <c r="I279" t="s">
        <v>3476</v>
      </c>
      <c r="J279" t="s">
        <v>650</v>
      </c>
    </row>
    <row r="280" spans="1:11">
      <c r="A280" t="s">
        <v>1796</v>
      </c>
      <c r="B280" t="s">
        <v>3509</v>
      </c>
      <c r="C280" t="s">
        <v>1797</v>
      </c>
      <c r="D280" t="s">
        <v>3479</v>
      </c>
      <c r="E280" t="s">
        <v>3769</v>
      </c>
      <c r="F280" t="s">
        <v>3511</v>
      </c>
      <c r="G280" t="s">
        <v>3512</v>
      </c>
      <c r="H280" t="s">
        <v>3513</v>
      </c>
      <c r="I280" t="s">
        <v>3476</v>
      </c>
      <c r="J280" t="s">
        <v>650</v>
      </c>
    </row>
    <row r="281" spans="1:11">
      <c r="A281" t="s">
        <v>1796</v>
      </c>
      <c r="B281" t="s">
        <v>3509</v>
      </c>
      <c r="C281" t="s">
        <v>1797</v>
      </c>
      <c r="D281" t="s">
        <v>3481</v>
      </c>
      <c r="E281" t="s">
        <v>3770</v>
      </c>
      <c r="F281" t="s">
        <v>3511</v>
      </c>
      <c r="G281" t="s">
        <v>3512</v>
      </c>
      <c r="H281" t="s">
        <v>3513</v>
      </c>
      <c r="I281" t="s">
        <v>3476</v>
      </c>
      <c r="J281" t="s">
        <v>650</v>
      </c>
    </row>
    <row r="282" spans="1:11">
      <c r="A282" t="s">
        <v>1796</v>
      </c>
      <c r="B282" t="s">
        <v>3509</v>
      </c>
      <c r="C282" t="s">
        <v>1797</v>
      </c>
      <c r="D282" t="s">
        <v>3483</v>
      </c>
      <c r="E282" t="s">
        <v>3771</v>
      </c>
      <c r="F282" t="s">
        <v>3511</v>
      </c>
      <c r="G282" t="s">
        <v>3512</v>
      </c>
      <c r="H282" t="s">
        <v>3513</v>
      </c>
      <c r="I282" t="s">
        <v>3476</v>
      </c>
      <c r="J282" t="s">
        <v>650</v>
      </c>
    </row>
    <row r="283" spans="1:11">
      <c r="A283" t="s">
        <v>1796</v>
      </c>
      <c r="B283" t="s">
        <v>3509</v>
      </c>
      <c r="C283" t="s">
        <v>1797</v>
      </c>
      <c r="D283" t="s">
        <v>3518</v>
      </c>
      <c r="E283" t="s">
        <v>3772</v>
      </c>
      <c r="F283" t="s">
        <v>3511</v>
      </c>
      <c r="G283" t="s">
        <v>3512</v>
      </c>
      <c r="H283" t="s">
        <v>3513</v>
      </c>
      <c r="I283" t="s">
        <v>3476</v>
      </c>
      <c r="J283" t="s">
        <v>650</v>
      </c>
      <c r="K283" t="s">
        <v>3520</v>
      </c>
    </row>
    <row r="284" spans="1:11">
      <c r="A284" t="s">
        <v>1798</v>
      </c>
      <c r="B284" t="s">
        <v>3509</v>
      </c>
      <c r="C284" t="s">
        <v>1799</v>
      </c>
      <c r="D284" t="s">
        <v>3471</v>
      </c>
      <c r="E284" t="s">
        <v>3773</v>
      </c>
      <c r="F284" t="s">
        <v>3511</v>
      </c>
      <c r="G284" t="s">
        <v>3512</v>
      </c>
      <c r="H284" t="s">
        <v>3513</v>
      </c>
      <c r="I284" t="s">
        <v>3476</v>
      </c>
      <c r="J284" t="s">
        <v>650</v>
      </c>
    </row>
    <row r="285" spans="1:11">
      <c r="A285" t="s">
        <v>1798</v>
      </c>
      <c r="B285" t="s">
        <v>3509</v>
      </c>
      <c r="C285" t="s">
        <v>1799</v>
      </c>
      <c r="D285" t="s">
        <v>3477</v>
      </c>
      <c r="E285" t="s">
        <v>3774</v>
      </c>
      <c r="F285" t="s">
        <v>3511</v>
      </c>
      <c r="G285" t="s">
        <v>3512</v>
      </c>
      <c r="H285" t="s">
        <v>3513</v>
      </c>
      <c r="I285" t="s">
        <v>3476</v>
      </c>
      <c r="J285" t="s">
        <v>650</v>
      </c>
    </row>
    <row r="286" spans="1:11">
      <c r="A286" t="s">
        <v>1798</v>
      </c>
      <c r="B286" t="s">
        <v>3509</v>
      </c>
      <c r="C286" t="s">
        <v>1799</v>
      </c>
      <c r="D286" t="s">
        <v>3479</v>
      </c>
      <c r="E286" t="s">
        <v>3775</v>
      </c>
      <c r="F286" t="s">
        <v>3511</v>
      </c>
      <c r="G286" t="s">
        <v>3512</v>
      </c>
      <c r="H286" t="s">
        <v>3513</v>
      </c>
      <c r="I286" t="s">
        <v>3476</v>
      </c>
      <c r="J286" t="s">
        <v>650</v>
      </c>
    </row>
    <row r="287" spans="1:11">
      <c r="A287" t="s">
        <v>1798</v>
      </c>
      <c r="B287" t="s">
        <v>3509</v>
      </c>
      <c r="C287" t="s">
        <v>1799</v>
      </c>
      <c r="D287" t="s">
        <v>3481</v>
      </c>
      <c r="E287" t="s">
        <v>3776</v>
      </c>
      <c r="F287" t="s">
        <v>3511</v>
      </c>
      <c r="G287" t="s">
        <v>3512</v>
      </c>
      <c r="H287" t="s">
        <v>3513</v>
      </c>
      <c r="I287" t="s">
        <v>3476</v>
      </c>
      <c r="J287" t="s">
        <v>650</v>
      </c>
    </row>
    <row r="288" spans="1:11">
      <c r="A288" t="s">
        <v>1798</v>
      </c>
      <c r="B288" t="s">
        <v>3509</v>
      </c>
      <c r="C288" t="s">
        <v>1799</v>
      </c>
      <c r="D288" t="s">
        <v>3483</v>
      </c>
      <c r="E288" t="s">
        <v>3777</v>
      </c>
      <c r="F288" t="s">
        <v>3511</v>
      </c>
      <c r="G288" t="s">
        <v>3512</v>
      </c>
      <c r="H288" t="s">
        <v>3513</v>
      </c>
      <c r="I288" t="s">
        <v>3476</v>
      </c>
      <c r="J288" t="s">
        <v>650</v>
      </c>
    </row>
    <row r="289" spans="1:11">
      <c r="A289" t="s">
        <v>1798</v>
      </c>
      <c r="B289" t="s">
        <v>3509</v>
      </c>
      <c r="C289" t="s">
        <v>1799</v>
      </c>
      <c r="D289" t="s">
        <v>3518</v>
      </c>
      <c r="E289" t="s">
        <v>3778</v>
      </c>
      <c r="F289" t="s">
        <v>3511</v>
      </c>
      <c r="G289" t="s">
        <v>3512</v>
      </c>
      <c r="H289" t="s">
        <v>3513</v>
      </c>
      <c r="I289" t="s">
        <v>3476</v>
      </c>
      <c r="J289" t="s">
        <v>650</v>
      </c>
      <c r="K289" t="s">
        <v>3520</v>
      </c>
    </row>
    <row r="290" spans="1:11">
      <c r="A290" t="s">
        <v>1801</v>
      </c>
      <c r="B290" t="s">
        <v>3509</v>
      </c>
      <c r="C290" t="s">
        <v>1802</v>
      </c>
      <c r="D290" t="s">
        <v>3471</v>
      </c>
      <c r="E290" t="s">
        <v>3779</v>
      </c>
      <c r="F290" t="s">
        <v>3511</v>
      </c>
      <c r="G290" t="s">
        <v>3512</v>
      </c>
      <c r="H290" t="s">
        <v>3513</v>
      </c>
      <c r="I290" t="s">
        <v>3476</v>
      </c>
      <c r="J290" t="s">
        <v>650</v>
      </c>
    </row>
    <row r="291" spans="1:11">
      <c r="A291" t="s">
        <v>1801</v>
      </c>
      <c r="B291" t="s">
        <v>3509</v>
      </c>
      <c r="C291" t="s">
        <v>1802</v>
      </c>
      <c r="D291" t="s">
        <v>3477</v>
      </c>
      <c r="E291" t="s">
        <v>3780</v>
      </c>
      <c r="F291" t="s">
        <v>3511</v>
      </c>
      <c r="G291" t="s">
        <v>3512</v>
      </c>
      <c r="H291" t="s">
        <v>3513</v>
      </c>
      <c r="I291" t="s">
        <v>3476</v>
      </c>
      <c r="J291" t="s">
        <v>650</v>
      </c>
    </row>
    <row r="292" spans="1:11">
      <c r="A292" t="s">
        <v>1801</v>
      </c>
      <c r="B292" t="s">
        <v>3509</v>
      </c>
      <c r="C292" t="s">
        <v>1802</v>
      </c>
      <c r="D292" t="s">
        <v>3479</v>
      </c>
      <c r="E292" t="s">
        <v>3781</v>
      </c>
      <c r="F292" t="s">
        <v>3511</v>
      </c>
      <c r="G292" t="s">
        <v>3512</v>
      </c>
      <c r="H292" t="s">
        <v>3513</v>
      </c>
      <c r="I292" t="s">
        <v>3476</v>
      </c>
      <c r="J292" t="s">
        <v>650</v>
      </c>
    </row>
    <row r="293" spans="1:11">
      <c r="A293" t="s">
        <v>1801</v>
      </c>
      <c r="B293" t="s">
        <v>3509</v>
      </c>
      <c r="C293" t="s">
        <v>1802</v>
      </c>
      <c r="D293" t="s">
        <v>3481</v>
      </c>
      <c r="E293" t="s">
        <v>3782</v>
      </c>
      <c r="F293" t="s">
        <v>3511</v>
      </c>
      <c r="G293" t="s">
        <v>3512</v>
      </c>
      <c r="H293" t="s">
        <v>3513</v>
      </c>
      <c r="I293" t="s">
        <v>3476</v>
      </c>
      <c r="J293" t="s">
        <v>650</v>
      </c>
    </row>
    <row r="294" spans="1:11">
      <c r="A294" t="s">
        <v>1801</v>
      </c>
      <c r="B294" t="s">
        <v>3509</v>
      </c>
      <c r="C294" t="s">
        <v>1802</v>
      </c>
      <c r="D294" t="s">
        <v>3483</v>
      </c>
      <c r="E294" t="s">
        <v>3783</v>
      </c>
      <c r="F294" t="s">
        <v>3511</v>
      </c>
      <c r="G294" t="s">
        <v>3512</v>
      </c>
      <c r="H294" t="s">
        <v>3513</v>
      </c>
      <c r="I294" t="s">
        <v>3476</v>
      </c>
      <c r="J294" t="s">
        <v>650</v>
      </c>
    </row>
    <row r="295" spans="1:11">
      <c r="A295" t="s">
        <v>1801</v>
      </c>
      <c r="B295" t="s">
        <v>3509</v>
      </c>
      <c r="C295" t="s">
        <v>1802</v>
      </c>
      <c r="D295" t="s">
        <v>3518</v>
      </c>
      <c r="E295" t="s">
        <v>3784</v>
      </c>
      <c r="F295" t="s">
        <v>3511</v>
      </c>
      <c r="G295" t="s">
        <v>3512</v>
      </c>
      <c r="H295" t="s">
        <v>3513</v>
      </c>
      <c r="I295" t="s">
        <v>3476</v>
      </c>
      <c r="J295" t="s">
        <v>650</v>
      </c>
      <c r="K295" t="s">
        <v>3520</v>
      </c>
    </row>
    <row r="296" spans="1:11">
      <c r="A296" t="s">
        <v>1803</v>
      </c>
      <c r="B296" t="s">
        <v>3509</v>
      </c>
      <c r="C296" t="s">
        <v>1804</v>
      </c>
      <c r="D296" t="s">
        <v>3471</v>
      </c>
      <c r="E296" t="s">
        <v>3785</v>
      </c>
      <c r="F296" t="s">
        <v>3511</v>
      </c>
      <c r="G296" t="s">
        <v>3512</v>
      </c>
      <c r="H296" t="s">
        <v>3513</v>
      </c>
      <c r="I296" t="s">
        <v>3476</v>
      </c>
      <c r="J296" t="s">
        <v>650</v>
      </c>
    </row>
    <row r="297" spans="1:11">
      <c r="A297" t="s">
        <v>1803</v>
      </c>
      <c r="B297" t="s">
        <v>3509</v>
      </c>
      <c r="C297" t="s">
        <v>1804</v>
      </c>
      <c r="D297" t="s">
        <v>3477</v>
      </c>
      <c r="E297" t="s">
        <v>3786</v>
      </c>
      <c r="F297" t="s">
        <v>3511</v>
      </c>
      <c r="G297" t="s">
        <v>3512</v>
      </c>
      <c r="H297" t="s">
        <v>3513</v>
      </c>
      <c r="I297" t="s">
        <v>3476</v>
      </c>
      <c r="J297" t="s">
        <v>650</v>
      </c>
    </row>
    <row r="298" spans="1:11">
      <c r="A298" t="s">
        <v>1803</v>
      </c>
      <c r="B298" t="s">
        <v>3509</v>
      </c>
      <c r="C298" t="s">
        <v>1804</v>
      </c>
      <c r="D298" t="s">
        <v>3479</v>
      </c>
      <c r="E298" t="s">
        <v>3787</v>
      </c>
      <c r="F298" t="s">
        <v>3511</v>
      </c>
      <c r="G298" t="s">
        <v>3512</v>
      </c>
      <c r="H298" t="s">
        <v>3513</v>
      </c>
      <c r="I298" t="s">
        <v>3476</v>
      </c>
      <c r="J298" t="s">
        <v>650</v>
      </c>
    </row>
    <row r="299" spans="1:11">
      <c r="A299" t="s">
        <v>1803</v>
      </c>
      <c r="B299" t="s">
        <v>3509</v>
      </c>
      <c r="C299" t="s">
        <v>1804</v>
      </c>
      <c r="D299" t="s">
        <v>3481</v>
      </c>
      <c r="E299" t="s">
        <v>3788</v>
      </c>
      <c r="F299" t="s">
        <v>3511</v>
      </c>
      <c r="G299" t="s">
        <v>3512</v>
      </c>
      <c r="H299" t="s">
        <v>3513</v>
      </c>
      <c r="I299" t="s">
        <v>3476</v>
      </c>
      <c r="J299" t="s">
        <v>650</v>
      </c>
    </row>
    <row r="300" spans="1:11">
      <c r="A300" t="s">
        <v>1803</v>
      </c>
      <c r="B300" t="s">
        <v>3509</v>
      </c>
      <c r="C300" t="s">
        <v>1804</v>
      </c>
      <c r="D300" t="s">
        <v>3483</v>
      </c>
      <c r="E300" t="s">
        <v>3789</v>
      </c>
      <c r="F300" t="s">
        <v>3511</v>
      </c>
      <c r="G300" t="s">
        <v>3512</v>
      </c>
      <c r="H300" t="s">
        <v>3513</v>
      </c>
      <c r="I300" t="s">
        <v>3476</v>
      </c>
      <c r="J300" t="s">
        <v>650</v>
      </c>
    </row>
    <row r="301" spans="1:11">
      <c r="A301" t="s">
        <v>1803</v>
      </c>
      <c r="B301" t="s">
        <v>3509</v>
      </c>
      <c r="C301" t="s">
        <v>1804</v>
      </c>
      <c r="D301" t="s">
        <v>3518</v>
      </c>
      <c r="E301" t="s">
        <v>3790</v>
      </c>
      <c r="F301" t="s">
        <v>3511</v>
      </c>
      <c r="G301" t="s">
        <v>3512</v>
      </c>
      <c r="H301" t="s">
        <v>3513</v>
      </c>
      <c r="I301" t="s">
        <v>3476</v>
      </c>
      <c r="J301" t="s">
        <v>650</v>
      </c>
      <c r="K301" t="s">
        <v>3520</v>
      </c>
    </row>
    <row r="302" spans="1:11">
      <c r="A302" t="s">
        <v>1805</v>
      </c>
      <c r="B302" t="s">
        <v>3509</v>
      </c>
      <c r="C302" t="inlineStr">
        <is>
          <t xml:space="preserve">Hee-seop Han</t>
        </is>
      </c>
      <c r="D302" t="s">
        <v>3471</v>
      </c>
      <c r="E302" t="s">
        <v>3791</v>
      </c>
      <c r="F302" t="s">
        <v>3511</v>
      </c>
      <c r="G302" t="s">
        <v>3512</v>
      </c>
      <c r="H302" t="s">
        <v>3513</v>
      </c>
      <c r="I302" t="s">
        <v>3476</v>
      </c>
      <c r="J302" t="s">
        <v>650</v>
      </c>
    </row>
    <row r="303" spans="1:11">
      <c r="A303" t="s">
        <v>1805</v>
      </c>
      <c r="B303" t="s">
        <v>3509</v>
      </c>
      <c r="C303" t="inlineStr">
        <is>
          <t xml:space="preserve">Hee-seop Han</t>
        </is>
      </c>
      <c r="D303" t="s">
        <v>3477</v>
      </c>
      <c r="E303" t="s">
        <v>3792</v>
      </c>
      <c r="F303" t="s">
        <v>3511</v>
      </c>
      <c r="G303" t="s">
        <v>3512</v>
      </c>
      <c r="H303" t="s">
        <v>3513</v>
      </c>
      <c r="I303" t="s">
        <v>3476</v>
      </c>
      <c r="J303" t="s">
        <v>650</v>
      </c>
    </row>
    <row r="304" spans="1:11">
      <c r="A304" t="s">
        <v>1805</v>
      </c>
      <c r="B304" t="s">
        <v>3509</v>
      </c>
      <c r="C304" t="inlineStr">
        <is>
          <t xml:space="preserve">Hee-seop Han</t>
        </is>
      </c>
      <c r="D304" t="s">
        <v>3479</v>
      </c>
      <c r="E304" t="s">
        <v>3793</v>
      </c>
      <c r="F304" t="s">
        <v>3511</v>
      </c>
      <c r="G304" t="s">
        <v>3512</v>
      </c>
      <c r="H304" t="s">
        <v>3513</v>
      </c>
      <c r="I304" t="s">
        <v>3476</v>
      </c>
      <c r="J304" t="s">
        <v>650</v>
      </c>
    </row>
    <row r="305" spans="1:11">
      <c r="A305" t="s">
        <v>1805</v>
      </c>
      <c r="B305" t="s">
        <v>3509</v>
      </c>
      <c r="C305" t="inlineStr">
        <is>
          <t xml:space="preserve">Hee-seop Han</t>
        </is>
      </c>
      <c r="D305" t="s">
        <v>3481</v>
      </c>
      <c r="E305" t="s">
        <v>3794</v>
      </c>
      <c r="F305" t="s">
        <v>3511</v>
      </c>
      <c r="G305" t="s">
        <v>3512</v>
      </c>
      <c r="H305" t="s">
        <v>3513</v>
      </c>
      <c r="I305" t="s">
        <v>3476</v>
      </c>
      <c r="J305" t="s">
        <v>650</v>
      </c>
    </row>
    <row r="306" spans="1:11">
      <c r="A306" t="s">
        <v>1805</v>
      </c>
      <c r="B306" t="s">
        <v>3509</v>
      </c>
      <c r="C306" t="inlineStr">
        <is>
          <t xml:space="preserve">Hee-seop Han</t>
        </is>
      </c>
      <c r="D306" t="s">
        <v>3483</v>
      </c>
      <c r="E306" t="s">
        <v>3795</v>
      </c>
      <c r="F306" t="s">
        <v>3511</v>
      </c>
      <c r="G306" t="s">
        <v>3512</v>
      </c>
      <c r="H306" t="s">
        <v>3513</v>
      </c>
      <c r="I306" t="s">
        <v>3476</v>
      </c>
      <c r="J306" t="s">
        <v>650</v>
      </c>
    </row>
    <row r="307" spans="1:11">
      <c r="A307" t="s">
        <v>1805</v>
      </c>
      <c r="B307" t="s">
        <v>3509</v>
      </c>
      <c r="C307" t="inlineStr">
        <is>
          <t xml:space="preserve">Hee-seop Han</t>
        </is>
      </c>
      <c r="D307" t="s">
        <v>3518</v>
      </c>
      <c r="E307" t="s">
        <v>3796</v>
      </c>
      <c r="F307" t="s">
        <v>3511</v>
      </c>
      <c r="G307" t="s">
        <v>3512</v>
      </c>
      <c r="H307" t="s">
        <v>3513</v>
      </c>
      <c r="I307" t="s">
        <v>3476</v>
      </c>
      <c r="J307" t="s">
        <v>650</v>
      </c>
      <c r="K307" t="s">
        <v>3520</v>
      </c>
    </row>
    <row r="308" spans="1:11">
      <c r="A308" t="s">
        <v>1808</v>
      </c>
      <c r="B308" t="s">
        <v>3509</v>
      </c>
      <c r="C308" t="s">
        <v>522</v>
      </c>
      <c r="D308" t="s">
        <v>3471</v>
      </c>
      <c r="E308" t="s">
        <v>3797</v>
      </c>
      <c r="F308" t="s">
        <v>3511</v>
      </c>
      <c r="G308" t="s">
        <v>3512</v>
      </c>
      <c r="H308" t="s">
        <v>3513</v>
      </c>
      <c r="I308" t="s">
        <v>3476</v>
      </c>
      <c r="J308" t="s">
        <v>650</v>
      </c>
    </row>
    <row r="309" spans="1:11">
      <c r="A309" t="s">
        <v>1808</v>
      </c>
      <c r="B309" t="s">
        <v>3509</v>
      </c>
      <c r="C309" t="s">
        <v>522</v>
      </c>
      <c r="D309" t="s">
        <v>3477</v>
      </c>
      <c r="E309" t="s">
        <v>3798</v>
      </c>
      <c r="F309" t="s">
        <v>3511</v>
      </c>
      <c r="G309" t="s">
        <v>3512</v>
      </c>
      <c r="H309" t="s">
        <v>3513</v>
      </c>
      <c r="I309" t="s">
        <v>3476</v>
      </c>
      <c r="J309" t="s">
        <v>650</v>
      </c>
    </row>
    <row r="310" spans="1:11">
      <c r="A310" t="s">
        <v>1808</v>
      </c>
      <c r="B310" t="s">
        <v>3509</v>
      </c>
      <c r="C310" t="s">
        <v>522</v>
      </c>
      <c r="D310" t="s">
        <v>3479</v>
      </c>
      <c r="E310" t="s">
        <v>3799</v>
      </c>
      <c r="F310" t="s">
        <v>3511</v>
      </c>
      <c r="G310" t="s">
        <v>3512</v>
      </c>
      <c r="H310" t="s">
        <v>3513</v>
      </c>
      <c r="I310" t="s">
        <v>3476</v>
      </c>
      <c r="J310" t="s">
        <v>650</v>
      </c>
    </row>
    <row r="311" spans="1:11">
      <c r="A311" t="s">
        <v>1808</v>
      </c>
      <c r="B311" t="s">
        <v>3509</v>
      </c>
      <c r="C311" t="s">
        <v>522</v>
      </c>
      <c r="D311" t="s">
        <v>3481</v>
      </c>
      <c r="E311" t="s">
        <v>3800</v>
      </c>
      <c r="F311" t="s">
        <v>3511</v>
      </c>
      <c r="G311" t="s">
        <v>3512</v>
      </c>
      <c r="H311" t="s">
        <v>3513</v>
      </c>
      <c r="I311" t="s">
        <v>3476</v>
      </c>
      <c r="J311" t="s">
        <v>650</v>
      </c>
    </row>
    <row r="312" spans="1:11">
      <c r="A312" t="s">
        <v>1808</v>
      </c>
      <c r="B312" t="s">
        <v>3509</v>
      </c>
      <c r="C312" t="s">
        <v>522</v>
      </c>
      <c r="D312" t="s">
        <v>3483</v>
      </c>
      <c r="E312" t="s">
        <v>3801</v>
      </c>
      <c r="F312" t="s">
        <v>3511</v>
      </c>
      <c r="G312" t="s">
        <v>3512</v>
      </c>
      <c r="H312" t="s">
        <v>3513</v>
      </c>
      <c r="I312" t="s">
        <v>3476</v>
      </c>
      <c r="J312" t="s">
        <v>650</v>
      </c>
    </row>
    <row r="313" spans="1:11">
      <c r="A313" t="s">
        <v>1808</v>
      </c>
      <c r="B313" t="s">
        <v>3509</v>
      </c>
      <c r="C313" t="s">
        <v>522</v>
      </c>
      <c r="D313" t="s">
        <v>3518</v>
      </c>
      <c r="E313" t="s">
        <v>3802</v>
      </c>
      <c r="F313" t="s">
        <v>3511</v>
      </c>
      <c r="G313" t="s">
        <v>3512</v>
      </c>
      <c r="H313" t="s">
        <v>3513</v>
      </c>
      <c r="I313" t="s">
        <v>3476</v>
      </c>
      <c r="J313" t="s">
        <v>650</v>
      </c>
      <c r="K313" t="s">
        <v>3520</v>
      </c>
    </row>
    <row r="314" spans="1:11">
      <c r="A314" t="s">
        <v>1809</v>
      </c>
      <c r="B314" t="s">
        <v>3509</v>
      </c>
      <c r="C314" t="s">
        <v>1810</v>
      </c>
      <c r="D314" t="s">
        <v>3471</v>
      </c>
      <c r="E314" t="s">
        <v>3803</v>
      </c>
      <c r="F314" t="s">
        <v>3511</v>
      </c>
      <c r="G314" t="s">
        <v>3512</v>
      </c>
      <c r="H314" t="s">
        <v>3513</v>
      </c>
      <c r="I314" t="s">
        <v>3476</v>
      </c>
      <c r="J314" t="s">
        <v>650</v>
      </c>
    </row>
    <row r="315" spans="1:11">
      <c r="A315" t="s">
        <v>1809</v>
      </c>
      <c r="B315" t="s">
        <v>3509</v>
      </c>
      <c r="C315" t="s">
        <v>1810</v>
      </c>
      <c r="D315" t="s">
        <v>3477</v>
      </c>
      <c r="E315" t="s">
        <v>3804</v>
      </c>
      <c r="F315" t="s">
        <v>3511</v>
      </c>
      <c r="G315" t="s">
        <v>3512</v>
      </c>
      <c r="H315" t="s">
        <v>3513</v>
      </c>
      <c r="I315" t="s">
        <v>3476</v>
      </c>
      <c r="J315" t="s">
        <v>650</v>
      </c>
    </row>
    <row r="316" spans="1:11">
      <c r="A316" t="s">
        <v>1809</v>
      </c>
      <c r="B316" t="s">
        <v>3509</v>
      </c>
      <c r="C316" t="s">
        <v>1810</v>
      </c>
      <c r="D316" t="s">
        <v>3479</v>
      </c>
      <c r="E316" t="s">
        <v>3805</v>
      </c>
      <c r="F316" t="s">
        <v>3511</v>
      </c>
      <c r="G316" t="s">
        <v>3512</v>
      </c>
      <c r="H316" t="s">
        <v>3513</v>
      </c>
      <c r="I316" t="s">
        <v>3476</v>
      </c>
      <c r="J316" t="s">
        <v>650</v>
      </c>
    </row>
    <row r="317" spans="1:11">
      <c r="A317" t="s">
        <v>1809</v>
      </c>
      <c r="B317" t="s">
        <v>3509</v>
      </c>
      <c r="C317" t="s">
        <v>1810</v>
      </c>
      <c r="D317" t="s">
        <v>3481</v>
      </c>
      <c r="E317" t="s">
        <v>3806</v>
      </c>
      <c r="F317" t="s">
        <v>3511</v>
      </c>
      <c r="G317" t="s">
        <v>3512</v>
      </c>
      <c r="H317" t="s">
        <v>3513</v>
      </c>
      <c r="I317" t="s">
        <v>3476</v>
      </c>
      <c r="J317" t="s">
        <v>650</v>
      </c>
    </row>
    <row r="318" spans="1:11">
      <c r="A318" t="s">
        <v>1809</v>
      </c>
      <c r="B318" t="s">
        <v>3509</v>
      </c>
      <c r="C318" t="s">
        <v>1810</v>
      </c>
      <c r="D318" t="s">
        <v>3483</v>
      </c>
      <c r="E318" t="s">
        <v>3807</v>
      </c>
      <c r="F318" t="s">
        <v>3511</v>
      </c>
      <c r="G318" t="s">
        <v>3512</v>
      </c>
      <c r="H318" t="s">
        <v>3513</v>
      </c>
      <c r="I318" t="s">
        <v>3476</v>
      </c>
      <c r="J318" t="s">
        <v>650</v>
      </c>
    </row>
    <row r="319" spans="1:11">
      <c r="A319" t="s">
        <v>1809</v>
      </c>
      <c r="B319" t="s">
        <v>3509</v>
      </c>
      <c r="C319" t="s">
        <v>1810</v>
      </c>
      <c r="D319" t="s">
        <v>3518</v>
      </c>
      <c r="E319" t="s">
        <v>3808</v>
      </c>
      <c r="F319" t="s">
        <v>3511</v>
      </c>
      <c r="G319" t="s">
        <v>3512</v>
      </c>
      <c r="H319" t="s">
        <v>3513</v>
      </c>
      <c r="I319" t="s">
        <v>3476</v>
      </c>
      <c r="J319" t="s">
        <v>650</v>
      </c>
      <c r="K319" t="s">
        <v>3520</v>
      </c>
    </row>
    <row r="320" spans="1:11">
      <c r="A320" t="s">
        <v>1811</v>
      </c>
      <c r="B320" t="s">
        <v>3509</v>
      </c>
      <c r="C320" t="s">
        <v>1812</v>
      </c>
      <c r="D320" t="s">
        <v>3471</v>
      </c>
      <c r="E320" t="s">
        <v>3809</v>
      </c>
      <c r="F320" t="s">
        <v>3511</v>
      </c>
      <c r="G320" t="s">
        <v>3512</v>
      </c>
      <c r="H320" t="s">
        <v>3513</v>
      </c>
      <c r="I320" t="s">
        <v>3476</v>
      </c>
      <c r="J320" t="s">
        <v>650</v>
      </c>
    </row>
    <row r="321" spans="1:11">
      <c r="A321" t="s">
        <v>1811</v>
      </c>
      <c r="B321" t="s">
        <v>3509</v>
      </c>
      <c r="C321" t="s">
        <v>1812</v>
      </c>
      <c r="D321" t="s">
        <v>3477</v>
      </c>
      <c r="E321" t="s">
        <v>3810</v>
      </c>
      <c r="F321" t="s">
        <v>3511</v>
      </c>
      <c r="G321" t="s">
        <v>3512</v>
      </c>
      <c r="H321" t="s">
        <v>3513</v>
      </c>
      <c r="I321" t="s">
        <v>3476</v>
      </c>
      <c r="J321" t="s">
        <v>650</v>
      </c>
    </row>
    <row r="322" spans="1:11">
      <c r="A322" t="s">
        <v>1811</v>
      </c>
      <c r="B322" t="s">
        <v>3509</v>
      </c>
      <c r="C322" t="s">
        <v>1812</v>
      </c>
      <c r="D322" t="s">
        <v>3479</v>
      </c>
      <c r="E322" t="s">
        <v>3811</v>
      </c>
      <c r="F322" t="s">
        <v>3511</v>
      </c>
      <c r="G322" t="s">
        <v>3512</v>
      </c>
      <c r="H322" t="s">
        <v>3513</v>
      </c>
      <c r="I322" t="s">
        <v>3476</v>
      </c>
      <c r="J322" t="s">
        <v>650</v>
      </c>
    </row>
    <row r="323" spans="1:11">
      <c r="A323" t="s">
        <v>1811</v>
      </c>
      <c r="B323" t="s">
        <v>3509</v>
      </c>
      <c r="C323" t="s">
        <v>1812</v>
      </c>
      <c r="D323" t="s">
        <v>3481</v>
      </c>
      <c r="E323" t="s">
        <v>3812</v>
      </c>
      <c r="F323" t="s">
        <v>3511</v>
      </c>
      <c r="G323" t="s">
        <v>3512</v>
      </c>
      <c r="H323" t="s">
        <v>3513</v>
      </c>
      <c r="I323" t="s">
        <v>3476</v>
      </c>
      <c r="J323" t="s">
        <v>650</v>
      </c>
    </row>
    <row r="324" spans="1:11">
      <c r="A324" t="s">
        <v>1811</v>
      </c>
      <c r="B324" t="s">
        <v>3509</v>
      </c>
      <c r="C324" t="s">
        <v>1812</v>
      </c>
      <c r="D324" t="s">
        <v>3483</v>
      </c>
      <c r="E324" t="s">
        <v>3813</v>
      </c>
      <c r="F324" t="s">
        <v>3511</v>
      </c>
      <c r="G324" t="s">
        <v>3512</v>
      </c>
      <c r="H324" t="s">
        <v>3513</v>
      </c>
      <c r="I324" t="s">
        <v>3476</v>
      </c>
      <c r="J324" t="s">
        <v>650</v>
      </c>
    </row>
    <row r="325" spans="1:11">
      <c r="A325" t="s">
        <v>1811</v>
      </c>
      <c r="B325" t="s">
        <v>3509</v>
      </c>
      <c r="C325" t="s">
        <v>1812</v>
      </c>
      <c r="D325" t="s">
        <v>3518</v>
      </c>
      <c r="E325" t="s">
        <v>3814</v>
      </c>
      <c r="F325" t="s">
        <v>3511</v>
      </c>
      <c r="G325" t="s">
        <v>3512</v>
      </c>
      <c r="H325" t="s">
        <v>3513</v>
      </c>
      <c r="I325" t="s">
        <v>3476</v>
      </c>
      <c r="J325" t="s">
        <v>650</v>
      </c>
      <c r="K325" t="s">
        <v>3520</v>
      </c>
    </row>
    <row r="326" spans="1:11">
      <c r="A326" t="s">
        <v>1813</v>
      </c>
      <c r="B326" t="s">
        <v>3509</v>
      </c>
      <c r="C326" t="s">
        <v>1814</v>
      </c>
      <c r="D326" t="s">
        <v>3471</v>
      </c>
      <c r="E326" t="s">
        <v>3815</v>
      </c>
      <c r="F326" t="s">
        <v>3511</v>
      </c>
      <c r="G326" t="s">
        <v>3512</v>
      </c>
      <c r="H326" t="s">
        <v>3513</v>
      </c>
      <c r="I326" t="s">
        <v>3476</v>
      </c>
      <c r="J326" t="s">
        <v>650</v>
      </c>
    </row>
    <row r="327" spans="1:11">
      <c r="A327" t="s">
        <v>1813</v>
      </c>
      <c r="B327" t="s">
        <v>3509</v>
      </c>
      <c r="C327" t="s">
        <v>1814</v>
      </c>
      <c r="D327" t="s">
        <v>3477</v>
      </c>
      <c r="E327" t="s">
        <v>3816</v>
      </c>
      <c r="F327" t="s">
        <v>3511</v>
      </c>
      <c r="G327" t="s">
        <v>3512</v>
      </c>
      <c r="H327" t="s">
        <v>3513</v>
      </c>
      <c r="I327" t="s">
        <v>3476</v>
      </c>
      <c r="J327" t="s">
        <v>650</v>
      </c>
    </row>
    <row r="328" spans="1:11">
      <c r="A328" t="s">
        <v>1813</v>
      </c>
      <c r="B328" t="s">
        <v>3509</v>
      </c>
      <c r="C328" t="s">
        <v>1814</v>
      </c>
      <c r="D328" t="s">
        <v>3479</v>
      </c>
      <c r="E328" t="s">
        <v>3817</v>
      </c>
      <c r="F328" t="s">
        <v>3511</v>
      </c>
      <c r="G328" t="s">
        <v>3512</v>
      </c>
      <c r="H328" t="s">
        <v>3513</v>
      </c>
      <c r="I328" t="s">
        <v>3476</v>
      </c>
      <c r="J328" t="s">
        <v>650</v>
      </c>
    </row>
    <row r="329" spans="1:11">
      <c r="A329" t="s">
        <v>1813</v>
      </c>
      <c r="B329" t="s">
        <v>3509</v>
      </c>
      <c r="C329" t="s">
        <v>1814</v>
      </c>
      <c r="D329" t="s">
        <v>3481</v>
      </c>
      <c r="E329" t="s">
        <v>3818</v>
      </c>
      <c r="F329" t="s">
        <v>3511</v>
      </c>
      <c r="G329" t="s">
        <v>3512</v>
      </c>
      <c r="H329" t="s">
        <v>3513</v>
      </c>
      <c r="I329" t="s">
        <v>3476</v>
      </c>
      <c r="J329" t="s">
        <v>650</v>
      </c>
    </row>
    <row r="330" spans="1:11">
      <c r="A330" t="s">
        <v>1813</v>
      </c>
      <c r="B330" t="s">
        <v>3509</v>
      </c>
      <c r="C330" t="s">
        <v>1814</v>
      </c>
      <c r="D330" t="s">
        <v>3483</v>
      </c>
      <c r="E330" t="s">
        <v>3819</v>
      </c>
      <c r="F330" t="s">
        <v>3511</v>
      </c>
      <c r="G330" t="s">
        <v>3512</v>
      </c>
      <c r="H330" t="s">
        <v>3513</v>
      </c>
      <c r="I330" t="s">
        <v>3476</v>
      </c>
      <c r="J330" t="s">
        <v>650</v>
      </c>
    </row>
    <row r="331" spans="1:11">
      <c r="A331" t="s">
        <v>1813</v>
      </c>
      <c r="B331" t="s">
        <v>3509</v>
      </c>
      <c r="C331" t="s">
        <v>1814</v>
      </c>
      <c r="D331" t="s">
        <v>3518</v>
      </c>
      <c r="E331" t="s">
        <v>3820</v>
      </c>
      <c r="F331" t="s">
        <v>3511</v>
      </c>
      <c r="G331" t="s">
        <v>3512</v>
      </c>
      <c r="H331" t="s">
        <v>3513</v>
      </c>
      <c r="I331" t="s">
        <v>3476</v>
      </c>
      <c r="J331" t="s">
        <v>650</v>
      </c>
      <c r="K331" t="s">
        <v>3520</v>
      </c>
    </row>
    <row r="332" spans="1:11">
      <c r="A332" t="s">
        <v>1815</v>
      </c>
      <c r="B332" t="s">
        <v>3509</v>
      </c>
      <c r="C332" t="inlineStr">
        <is>
          <t xml:space="preserve">Hyun-jae Hyeong</t>
        </is>
      </c>
      <c r="D332" t="s">
        <v>3471</v>
      </c>
      <c r="E332" t="s">
        <v>3821</v>
      </c>
      <c r="F332" t="s">
        <v>3511</v>
      </c>
      <c r="G332" t="s">
        <v>3512</v>
      </c>
      <c r="H332" t="s">
        <v>3513</v>
      </c>
      <c r="I332" t="s">
        <v>3476</v>
      </c>
      <c r="J332" t="s">
        <v>650</v>
      </c>
    </row>
    <row r="333" spans="1:11">
      <c r="A333" t="s">
        <v>1815</v>
      </c>
      <c r="B333" t="s">
        <v>3509</v>
      </c>
      <c r="C333" t="inlineStr">
        <is>
          <t xml:space="preserve">Hyun-jae Hyeong</t>
        </is>
      </c>
      <c r="D333" t="s">
        <v>3477</v>
      </c>
      <c r="E333" t="s">
        <v>3822</v>
      </c>
      <c r="F333" t="s">
        <v>3511</v>
      </c>
      <c r="G333" t="s">
        <v>3512</v>
      </c>
      <c r="H333" t="s">
        <v>3513</v>
      </c>
      <c r="I333" t="s">
        <v>3476</v>
      </c>
      <c r="J333" t="s">
        <v>650</v>
      </c>
    </row>
    <row r="334" spans="1:11">
      <c r="A334" t="s">
        <v>1815</v>
      </c>
      <c r="B334" t="s">
        <v>3509</v>
      </c>
      <c r="C334" t="inlineStr">
        <is>
          <t xml:space="preserve">Hyun-jae Hyeong</t>
        </is>
      </c>
      <c r="D334" t="s">
        <v>3479</v>
      </c>
      <c r="E334" t="s">
        <v>3823</v>
      </c>
      <c r="F334" t="s">
        <v>3511</v>
      </c>
      <c r="G334" t="s">
        <v>3512</v>
      </c>
      <c r="H334" t="s">
        <v>3513</v>
      </c>
      <c r="I334" t="s">
        <v>3476</v>
      </c>
      <c r="J334" t="s">
        <v>650</v>
      </c>
    </row>
    <row r="335" spans="1:11">
      <c r="A335" t="s">
        <v>1815</v>
      </c>
      <c r="B335" t="s">
        <v>3509</v>
      </c>
      <c r="C335" t="inlineStr">
        <is>
          <t xml:space="preserve">Hyun-jae Hyeong</t>
        </is>
      </c>
      <c r="D335" t="s">
        <v>3481</v>
      </c>
      <c r="E335" t="s">
        <v>3824</v>
      </c>
      <c r="F335" t="s">
        <v>3511</v>
      </c>
      <c r="G335" t="s">
        <v>3512</v>
      </c>
      <c r="H335" t="s">
        <v>3513</v>
      </c>
      <c r="I335" t="s">
        <v>3476</v>
      </c>
      <c r="J335" t="s">
        <v>650</v>
      </c>
    </row>
    <row r="336" spans="1:11">
      <c r="A336" t="s">
        <v>1815</v>
      </c>
      <c r="B336" t="s">
        <v>3509</v>
      </c>
      <c r="C336" t="inlineStr">
        <is>
          <t xml:space="preserve">Hyun-jae Hyeong</t>
        </is>
      </c>
      <c r="D336" t="s">
        <v>3483</v>
      </c>
      <c r="E336" t="s">
        <v>3825</v>
      </c>
      <c r="F336" t="s">
        <v>3511</v>
      </c>
      <c r="G336" t="s">
        <v>3512</v>
      </c>
      <c r="H336" t="s">
        <v>3513</v>
      </c>
      <c r="I336" t="s">
        <v>3476</v>
      </c>
      <c r="J336" t="s">
        <v>650</v>
      </c>
    </row>
    <row r="337" spans="1:11">
      <c r="A337" t="s">
        <v>1815</v>
      </c>
      <c r="B337" t="s">
        <v>3509</v>
      </c>
      <c r="C337" t="inlineStr">
        <is>
          <t xml:space="preserve">Hyun-jae Hyeong</t>
        </is>
      </c>
      <c r="D337" t="s">
        <v>3518</v>
      </c>
      <c r="E337" t="s">
        <v>3826</v>
      </c>
      <c r="F337" t="s">
        <v>3511</v>
      </c>
      <c r="G337" t="s">
        <v>3512</v>
      </c>
      <c r="H337" t="s">
        <v>3513</v>
      </c>
      <c r="I337" t="s">
        <v>3476</v>
      </c>
      <c r="J337" t="s">
        <v>650</v>
      </c>
      <c r="K337" t="s">
        <v>3520</v>
      </c>
    </row>
    <row r="338" spans="1:11">
      <c r="A338" t="s">
        <v>1817</v>
      </c>
      <c r="B338" t="s">
        <v>3509</v>
      </c>
      <c r="C338" t="s">
        <v>1818</v>
      </c>
      <c r="D338" t="s">
        <v>3471</v>
      </c>
      <c r="E338" t="s">
        <v>3827</v>
      </c>
      <c r="F338" t="s">
        <v>3511</v>
      </c>
      <c r="G338" t="s">
        <v>3512</v>
      </c>
      <c r="H338" t="s">
        <v>3513</v>
      </c>
      <c r="I338" t="s">
        <v>3476</v>
      </c>
      <c r="J338" t="s">
        <v>650</v>
      </c>
    </row>
    <row r="339" spans="1:11">
      <c r="A339" t="s">
        <v>1817</v>
      </c>
      <c r="B339" t="s">
        <v>3509</v>
      </c>
      <c r="C339" t="s">
        <v>1818</v>
      </c>
      <c r="D339" t="s">
        <v>3477</v>
      </c>
      <c r="E339" t="s">
        <v>3828</v>
      </c>
      <c r="F339" t="s">
        <v>3511</v>
      </c>
      <c r="G339" t="s">
        <v>3512</v>
      </c>
      <c r="H339" t="s">
        <v>3513</v>
      </c>
      <c r="I339" t="s">
        <v>3476</v>
      </c>
      <c r="J339" t="s">
        <v>650</v>
      </c>
    </row>
    <row r="340" spans="1:11">
      <c r="A340" t="s">
        <v>1817</v>
      </c>
      <c r="B340" t="s">
        <v>3509</v>
      </c>
      <c r="C340" t="s">
        <v>1818</v>
      </c>
      <c r="D340" t="s">
        <v>3479</v>
      </c>
      <c r="E340" t="s">
        <v>3829</v>
      </c>
      <c r="F340" t="s">
        <v>3511</v>
      </c>
      <c r="G340" t="s">
        <v>3512</v>
      </c>
      <c r="H340" t="s">
        <v>3513</v>
      </c>
      <c r="I340" t="s">
        <v>3476</v>
      </c>
      <c r="J340" t="s">
        <v>650</v>
      </c>
    </row>
    <row r="341" spans="1:11">
      <c r="A341" t="s">
        <v>1817</v>
      </c>
      <c r="B341" t="s">
        <v>3509</v>
      </c>
      <c r="C341" t="s">
        <v>1818</v>
      </c>
      <c r="D341" t="s">
        <v>3481</v>
      </c>
      <c r="E341" t="s">
        <v>3830</v>
      </c>
      <c r="F341" t="s">
        <v>3511</v>
      </c>
      <c r="G341" t="s">
        <v>3512</v>
      </c>
      <c r="H341" t="s">
        <v>3513</v>
      </c>
      <c r="I341" t="s">
        <v>3476</v>
      </c>
      <c r="J341" t="s">
        <v>650</v>
      </c>
    </row>
    <row r="342" spans="1:11">
      <c r="A342" t="s">
        <v>1817</v>
      </c>
      <c r="B342" t="s">
        <v>3509</v>
      </c>
      <c r="C342" t="s">
        <v>1818</v>
      </c>
      <c r="D342" t="s">
        <v>3483</v>
      </c>
      <c r="E342" t="s">
        <v>3831</v>
      </c>
      <c r="F342" t="s">
        <v>3511</v>
      </c>
      <c r="G342" t="s">
        <v>3512</v>
      </c>
      <c r="H342" t="s">
        <v>3513</v>
      </c>
      <c r="I342" t="s">
        <v>3476</v>
      </c>
      <c r="J342" t="s">
        <v>650</v>
      </c>
    </row>
    <row r="343" spans="1:11">
      <c r="A343" t="s">
        <v>1817</v>
      </c>
      <c r="B343" t="s">
        <v>3509</v>
      </c>
      <c r="C343" t="s">
        <v>1818</v>
      </c>
      <c r="D343" t="s">
        <v>3518</v>
      </c>
      <c r="E343" t="s">
        <v>3832</v>
      </c>
      <c r="F343" t="s">
        <v>3511</v>
      </c>
      <c r="G343" t="s">
        <v>3512</v>
      </c>
      <c r="H343" t="s">
        <v>3513</v>
      </c>
      <c r="I343" t="s">
        <v>3476</v>
      </c>
      <c r="J343" t="s">
        <v>650</v>
      </c>
      <c r="K343" t="s">
        <v>3520</v>
      </c>
    </row>
    <row r="344" spans="1:11">
      <c r="A344" t="s">
        <v>1821</v>
      </c>
      <c r="B344" t="s">
        <v>3509</v>
      </c>
      <c r="C344" t="s">
        <v>1822</v>
      </c>
      <c r="D344" t="s">
        <v>3471</v>
      </c>
      <c r="E344" t="s">
        <v>3833</v>
      </c>
      <c r="F344" t="s">
        <v>3511</v>
      </c>
      <c r="G344" t="s">
        <v>3512</v>
      </c>
      <c r="H344" t="s">
        <v>3513</v>
      </c>
      <c r="I344" t="s">
        <v>3476</v>
      </c>
      <c r="J344" t="s">
        <v>650</v>
      </c>
    </row>
    <row r="345" spans="1:11">
      <c r="A345" t="s">
        <v>1821</v>
      </c>
      <c r="B345" t="s">
        <v>3509</v>
      </c>
      <c r="C345" t="s">
        <v>1822</v>
      </c>
      <c r="D345" t="s">
        <v>3477</v>
      </c>
      <c r="E345" t="s">
        <v>3834</v>
      </c>
      <c r="F345" t="s">
        <v>3511</v>
      </c>
      <c r="G345" t="s">
        <v>3512</v>
      </c>
      <c r="H345" t="s">
        <v>3513</v>
      </c>
      <c r="I345" t="s">
        <v>3476</v>
      </c>
      <c r="J345" t="s">
        <v>650</v>
      </c>
    </row>
    <row r="346" spans="1:11">
      <c r="A346" t="s">
        <v>1821</v>
      </c>
      <c r="B346" t="s">
        <v>3509</v>
      </c>
      <c r="C346" t="s">
        <v>1822</v>
      </c>
      <c r="D346" t="s">
        <v>3479</v>
      </c>
      <c r="E346" t="s">
        <v>3835</v>
      </c>
      <c r="F346" t="s">
        <v>3511</v>
      </c>
      <c r="G346" t="s">
        <v>3512</v>
      </c>
      <c r="H346" t="s">
        <v>3513</v>
      </c>
      <c r="I346" t="s">
        <v>3476</v>
      </c>
      <c r="J346" t="s">
        <v>650</v>
      </c>
    </row>
    <row r="347" spans="1:11">
      <c r="A347" t="s">
        <v>1821</v>
      </c>
      <c r="B347" t="s">
        <v>3509</v>
      </c>
      <c r="C347" t="s">
        <v>1822</v>
      </c>
      <c r="D347" t="s">
        <v>3481</v>
      </c>
      <c r="E347" t="s">
        <v>3836</v>
      </c>
      <c r="F347" t="s">
        <v>3511</v>
      </c>
      <c r="G347" t="s">
        <v>3512</v>
      </c>
      <c r="H347" t="s">
        <v>3513</v>
      </c>
      <c r="I347" t="s">
        <v>3476</v>
      </c>
      <c r="J347" t="s">
        <v>650</v>
      </c>
    </row>
    <row r="348" spans="1:11">
      <c r="A348" t="s">
        <v>1821</v>
      </c>
      <c r="B348" t="s">
        <v>3509</v>
      </c>
      <c r="C348" t="s">
        <v>1822</v>
      </c>
      <c r="D348" t="s">
        <v>3483</v>
      </c>
      <c r="E348" t="s">
        <v>3837</v>
      </c>
      <c r="F348" t="s">
        <v>3511</v>
      </c>
      <c r="G348" t="s">
        <v>3512</v>
      </c>
      <c r="H348" t="s">
        <v>3513</v>
      </c>
      <c r="I348" t="s">
        <v>3476</v>
      </c>
      <c r="J348" t="s">
        <v>650</v>
      </c>
    </row>
    <row r="349" spans="1:11">
      <c r="A349" t="s">
        <v>1821</v>
      </c>
      <c r="B349" t="s">
        <v>3509</v>
      </c>
      <c r="C349" t="s">
        <v>1822</v>
      </c>
      <c r="D349" t="s">
        <v>3518</v>
      </c>
      <c r="E349" t="s">
        <v>3838</v>
      </c>
      <c r="F349" t="s">
        <v>3511</v>
      </c>
      <c r="G349" t="s">
        <v>3512</v>
      </c>
      <c r="H349" t="s">
        <v>3513</v>
      </c>
      <c r="I349" t="s">
        <v>3476</v>
      </c>
      <c r="J349" t="s">
        <v>650</v>
      </c>
      <c r="K349" t="s">
        <v>3520</v>
      </c>
    </row>
    <row r="350" spans="1:11">
      <c r="A350" t="s">
        <v>1824</v>
      </c>
      <c r="B350" t="s">
        <v>3509</v>
      </c>
      <c r="C350" t="s">
        <v>1825</v>
      </c>
      <c r="D350" t="s">
        <v>3471</v>
      </c>
      <c r="E350" t="s">
        <v>3839</v>
      </c>
      <c r="F350" t="s">
        <v>3511</v>
      </c>
      <c r="G350" t="s">
        <v>3512</v>
      </c>
      <c r="H350" t="s">
        <v>3513</v>
      </c>
      <c r="I350" t="s">
        <v>3476</v>
      </c>
      <c r="J350" t="s">
        <v>650</v>
      </c>
    </row>
    <row r="351" spans="1:11">
      <c r="A351" t="s">
        <v>1824</v>
      </c>
      <c r="B351" t="s">
        <v>3509</v>
      </c>
      <c r="C351" t="s">
        <v>1825</v>
      </c>
      <c r="D351" t="s">
        <v>3477</v>
      </c>
      <c r="E351" t="s">
        <v>3840</v>
      </c>
      <c r="F351" t="s">
        <v>3511</v>
      </c>
      <c r="G351" t="s">
        <v>3512</v>
      </c>
      <c r="H351" t="s">
        <v>3513</v>
      </c>
      <c r="I351" t="s">
        <v>3476</v>
      </c>
      <c r="J351" t="s">
        <v>650</v>
      </c>
    </row>
    <row r="352" spans="1:11">
      <c r="A352" t="s">
        <v>1824</v>
      </c>
      <c r="B352" t="s">
        <v>3509</v>
      </c>
      <c r="C352" t="s">
        <v>1825</v>
      </c>
      <c r="D352" t="s">
        <v>3479</v>
      </c>
      <c r="E352" t="s">
        <v>3841</v>
      </c>
      <c r="F352" t="s">
        <v>3511</v>
      </c>
      <c r="G352" t="s">
        <v>3512</v>
      </c>
      <c r="H352" t="s">
        <v>3513</v>
      </c>
      <c r="I352" t="s">
        <v>3476</v>
      </c>
      <c r="J352" t="s">
        <v>650</v>
      </c>
    </row>
    <row r="353" spans="1:11">
      <c r="A353" t="s">
        <v>1824</v>
      </c>
      <c r="B353" t="s">
        <v>3509</v>
      </c>
      <c r="C353" t="s">
        <v>1825</v>
      </c>
      <c r="D353" t="s">
        <v>3481</v>
      </c>
      <c r="E353" t="s">
        <v>3842</v>
      </c>
      <c r="F353" t="s">
        <v>3511</v>
      </c>
      <c r="G353" t="s">
        <v>3512</v>
      </c>
      <c r="H353" t="s">
        <v>3513</v>
      </c>
      <c r="I353" t="s">
        <v>3476</v>
      </c>
      <c r="J353" t="s">
        <v>650</v>
      </c>
    </row>
    <row r="354" spans="1:11">
      <c r="A354" t="s">
        <v>1824</v>
      </c>
      <c r="B354" t="s">
        <v>3509</v>
      </c>
      <c r="C354" t="s">
        <v>1825</v>
      </c>
      <c r="D354" t="s">
        <v>3483</v>
      </c>
      <c r="E354" t="s">
        <v>3843</v>
      </c>
      <c r="F354" t="s">
        <v>3511</v>
      </c>
      <c r="G354" t="s">
        <v>3512</v>
      </c>
      <c r="H354" t="s">
        <v>3513</v>
      </c>
      <c r="I354" t="s">
        <v>3476</v>
      </c>
      <c r="J354" t="s">
        <v>650</v>
      </c>
    </row>
    <row r="355" spans="1:11">
      <c r="A355" t="s">
        <v>1824</v>
      </c>
      <c r="B355" t="s">
        <v>3509</v>
      </c>
      <c r="C355" t="s">
        <v>1825</v>
      </c>
      <c r="D355" t="s">
        <v>3518</v>
      </c>
      <c r="E355" t="s">
        <v>3844</v>
      </c>
      <c r="F355" t="s">
        <v>3511</v>
      </c>
      <c r="G355" t="s">
        <v>3512</v>
      </c>
      <c r="H355" t="s">
        <v>3513</v>
      </c>
      <c r="I355" t="s">
        <v>3476</v>
      </c>
      <c r="J355" t="s">
        <v>650</v>
      </c>
      <c r="K355" t="s">
        <v>3520</v>
      </c>
    </row>
    <row r="356" spans="1:11">
      <c r="A356" t="s">
        <v>1828</v>
      </c>
      <c r="B356" t="s">
        <v>3509</v>
      </c>
      <c r="C356" t="s">
        <v>1829</v>
      </c>
      <c r="D356" t="s">
        <v>3471</v>
      </c>
      <c r="E356" t="s">
        <v>3845</v>
      </c>
      <c r="F356" t="s">
        <v>3511</v>
      </c>
      <c r="G356" t="s">
        <v>3512</v>
      </c>
      <c r="H356" t="s">
        <v>3513</v>
      </c>
      <c r="I356" t="s">
        <v>3476</v>
      </c>
      <c r="J356" t="s">
        <v>650</v>
      </c>
    </row>
    <row r="357" spans="1:11">
      <c r="A357" t="s">
        <v>1828</v>
      </c>
      <c r="B357" t="s">
        <v>3509</v>
      </c>
      <c r="C357" t="s">
        <v>1829</v>
      </c>
      <c r="D357" t="s">
        <v>3477</v>
      </c>
      <c r="E357" t="s">
        <v>3846</v>
      </c>
      <c r="F357" t="s">
        <v>3511</v>
      </c>
      <c r="G357" t="s">
        <v>3512</v>
      </c>
      <c r="H357" t="s">
        <v>3513</v>
      </c>
      <c r="I357" t="s">
        <v>3476</v>
      </c>
      <c r="J357" t="s">
        <v>650</v>
      </c>
    </row>
    <row r="358" spans="1:11">
      <c r="A358" t="s">
        <v>1828</v>
      </c>
      <c r="B358" t="s">
        <v>3509</v>
      </c>
      <c r="C358" t="s">
        <v>1829</v>
      </c>
      <c r="D358" t="s">
        <v>3479</v>
      </c>
      <c r="E358" t="s">
        <v>3847</v>
      </c>
      <c r="F358" t="s">
        <v>3511</v>
      </c>
      <c r="G358" t="s">
        <v>3512</v>
      </c>
      <c r="H358" t="s">
        <v>3513</v>
      </c>
      <c r="I358" t="s">
        <v>3476</v>
      </c>
      <c r="J358" t="s">
        <v>650</v>
      </c>
    </row>
    <row r="359" spans="1:11">
      <c r="A359" t="s">
        <v>1828</v>
      </c>
      <c r="B359" t="s">
        <v>3509</v>
      </c>
      <c r="C359" t="s">
        <v>1829</v>
      </c>
      <c r="D359" t="s">
        <v>3481</v>
      </c>
      <c r="E359" t="s">
        <v>3848</v>
      </c>
      <c r="F359" t="s">
        <v>3511</v>
      </c>
      <c r="G359" t="s">
        <v>3512</v>
      </c>
      <c r="H359" t="s">
        <v>3513</v>
      </c>
      <c r="I359" t="s">
        <v>3476</v>
      </c>
      <c r="J359" t="s">
        <v>650</v>
      </c>
    </row>
    <row r="360" spans="1:11">
      <c r="A360" t="s">
        <v>1828</v>
      </c>
      <c r="B360" t="s">
        <v>3509</v>
      </c>
      <c r="C360" t="s">
        <v>1829</v>
      </c>
      <c r="D360" t="s">
        <v>3483</v>
      </c>
      <c r="E360" t="s">
        <v>3849</v>
      </c>
      <c r="F360" t="s">
        <v>3511</v>
      </c>
      <c r="G360" t="s">
        <v>3512</v>
      </c>
      <c r="H360" t="s">
        <v>3513</v>
      </c>
      <c r="I360" t="s">
        <v>3476</v>
      </c>
      <c r="J360" t="s">
        <v>650</v>
      </c>
    </row>
    <row r="361" spans="1:11">
      <c r="A361" t="s">
        <v>1828</v>
      </c>
      <c r="B361" t="s">
        <v>3509</v>
      </c>
      <c r="C361" t="s">
        <v>1829</v>
      </c>
      <c r="D361" t="s">
        <v>3518</v>
      </c>
      <c r="E361" t="s">
        <v>3850</v>
      </c>
      <c r="F361" t="s">
        <v>3511</v>
      </c>
      <c r="G361" t="s">
        <v>3512</v>
      </c>
      <c r="H361" t="s">
        <v>3513</v>
      </c>
      <c r="I361" t="s">
        <v>3476</v>
      </c>
      <c r="J361" t="s">
        <v>650</v>
      </c>
      <c r="K361" t="s">
        <v>3520</v>
      </c>
    </row>
    <row r="362" spans="1:11">
      <c r="A362" t="s">
        <v>1831</v>
      </c>
      <c r="B362" t="s">
        <v>3509</v>
      </c>
      <c r="C362" t="s">
        <v>1832</v>
      </c>
      <c r="D362" t="s">
        <v>3471</v>
      </c>
      <c r="E362" t="s">
        <v>3851</v>
      </c>
      <c r="F362" t="s">
        <v>3511</v>
      </c>
      <c r="G362" t="s">
        <v>3512</v>
      </c>
      <c r="H362" t="s">
        <v>3513</v>
      </c>
      <c r="I362" t="s">
        <v>3476</v>
      </c>
      <c r="J362" t="s">
        <v>650</v>
      </c>
    </row>
    <row r="363" spans="1:11">
      <c r="A363" t="s">
        <v>1831</v>
      </c>
      <c r="B363" t="s">
        <v>3509</v>
      </c>
      <c r="C363" t="s">
        <v>1832</v>
      </c>
      <c r="D363" t="s">
        <v>3477</v>
      </c>
      <c r="E363" t="s">
        <v>3852</v>
      </c>
      <c r="F363" t="s">
        <v>3511</v>
      </c>
      <c r="G363" t="s">
        <v>3512</v>
      </c>
      <c r="H363" t="s">
        <v>3513</v>
      </c>
      <c r="I363" t="s">
        <v>3476</v>
      </c>
      <c r="J363" t="s">
        <v>650</v>
      </c>
    </row>
    <row r="364" spans="1:11">
      <c r="A364" t="s">
        <v>1831</v>
      </c>
      <c r="B364" t="s">
        <v>3509</v>
      </c>
      <c r="C364" t="s">
        <v>1832</v>
      </c>
      <c r="D364" t="s">
        <v>3479</v>
      </c>
      <c r="E364" t="s">
        <v>3853</v>
      </c>
      <c r="F364" t="s">
        <v>3511</v>
      </c>
      <c r="G364" t="s">
        <v>3512</v>
      </c>
      <c r="H364" t="s">
        <v>3513</v>
      </c>
      <c r="I364" t="s">
        <v>3476</v>
      </c>
      <c r="J364" t="s">
        <v>650</v>
      </c>
    </row>
    <row r="365" spans="1:11">
      <c r="A365" t="s">
        <v>1831</v>
      </c>
      <c r="B365" t="s">
        <v>3509</v>
      </c>
      <c r="C365" t="s">
        <v>1832</v>
      </c>
      <c r="D365" t="s">
        <v>3481</v>
      </c>
      <c r="E365" t="s">
        <v>3854</v>
      </c>
      <c r="F365" t="s">
        <v>3511</v>
      </c>
      <c r="G365" t="s">
        <v>3512</v>
      </c>
      <c r="H365" t="s">
        <v>3513</v>
      </c>
      <c r="I365" t="s">
        <v>3476</v>
      </c>
      <c r="J365" t="s">
        <v>650</v>
      </c>
    </row>
    <row r="366" spans="1:11">
      <c r="A366" t="s">
        <v>1831</v>
      </c>
      <c r="B366" t="s">
        <v>3509</v>
      </c>
      <c r="C366" t="s">
        <v>1832</v>
      </c>
      <c r="D366" t="s">
        <v>3483</v>
      </c>
      <c r="E366" t="s">
        <v>3855</v>
      </c>
      <c r="F366" t="s">
        <v>3511</v>
      </c>
      <c r="G366" t="s">
        <v>3512</v>
      </c>
      <c r="H366" t="s">
        <v>3513</v>
      </c>
      <c r="I366" t="s">
        <v>3476</v>
      </c>
      <c r="J366" t="s">
        <v>650</v>
      </c>
    </row>
    <row r="367" spans="1:11">
      <c r="A367" t="s">
        <v>1831</v>
      </c>
      <c r="B367" t="s">
        <v>3509</v>
      </c>
      <c r="C367" t="s">
        <v>1832</v>
      </c>
      <c r="D367" t="s">
        <v>3518</v>
      </c>
      <c r="E367" t="s">
        <v>3856</v>
      </c>
      <c r="F367" t="s">
        <v>3511</v>
      </c>
      <c r="G367" t="s">
        <v>3512</v>
      </c>
      <c r="H367" t="s">
        <v>3513</v>
      </c>
      <c r="I367" t="s">
        <v>3476</v>
      </c>
      <c r="J367" t="s">
        <v>650</v>
      </c>
      <c r="K367" t="s">
        <v>3520</v>
      </c>
    </row>
    <row r="368" spans="1:11">
      <c r="A368" t="s">
        <v>1835</v>
      </c>
      <c r="B368" t="s">
        <v>3509</v>
      </c>
      <c r="C368" t="s">
        <v>1836</v>
      </c>
      <c r="D368" t="s">
        <v>3471</v>
      </c>
      <c r="E368" t="s">
        <v>3857</v>
      </c>
      <c r="F368" t="s">
        <v>3511</v>
      </c>
      <c r="G368" t="s">
        <v>3512</v>
      </c>
      <c r="H368" t="s">
        <v>3513</v>
      </c>
      <c r="I368" t="s">
        <v>3476</v>
      </c>
      <c r="J368" t="s">
        <v>650</v>
      </c>
    </row>
    <row r="369" spans="1:11">
      <c r="A369" t="s">
        <v>1835</v>
      </c>
      <c r="B369" t="s">
        <v>3509</v>
      </c>
      <c r="C369" t="s">
        <v>1836</v>
      </c>
      <c r="D369" t="s">
        <v>3477</v>
      </c>
      <c r="E369" t="s">
        <v>3858</v>
      </c>
      <c r="F369" t="s">
        <v>3511</v>
      </c>
      <c r="G369" t="s">
        <v>3512</v>
      </c>
      <c r="H369" t="s">
        <v>3513</v>
      </c>
      <c r="I369" t="s">
        <v>3476</v>
      </c>
      <c r="J369" t="s">
        <v>650</v>
      </c>
    </row>
    <row r="370" spans="1:11">
      <c r="A370" t="s">
        <v>1835</v>
      </c>
      <c r="B370" t="s">
        <v>3509</v>
      </c>
      <c r="C370" t="s">
        <v>1836</v>
      </c>
      <c r="D370" t="s">
        <v>3479</v>
      </c>
      <c r="E370" t="s">
        <v>3859</v>
      </c>
      <c r="F370" t="s">
        <v>3511</v>
      </c>
      <c r="G370" t="s">
        <v>3512</v>
      </c>
      <c r="H370" t="s">
        <v>3513</v>
      </c>
      <c r="I370" t="s">
        <v>3476</v>
      </c>
      <c r="J370" t="s">
        <v>650</v>
      </c>
    </row>
    <row r="371" spans="1:11">
      <c r="A371" t="s">
        <v>1835</v>
      </c>
      <c r="B371" t="s">
        <v>3509</v>
      </c>
      <c r="C371" t="s">
        <v>1836</v>
      </c>
      <c r="D371" t="s">
        <v>3481</v>
      </c>
      <c r="E371" t="s">
        <v>3860</v>
      </c>
      <c r="F371" t="s">
        <v>3511</v>
      </c>
      <c r="G371" t="s">
        <v>3512</v>
      </c>
      <c r="H371" t="s">
        <v>3513</v>
      </c>
      <c r="I371" t="s">
        <v>3476</v>
      </c>
      <c r="J371" t="s">
        <v>650</v>
      </c>
    </row>
    <row r="372" spans="1:11">
      <c r="A372" t="s">
        <v>1835</v>
      </c>
      <c r="B372" t="s">
        <v>3509</v>
      </c>
      <c r="C372" t="s">
        <v>1836</v>
      </c>
      <c r="D372" t="s">
        <v>3483</v>
      </c>
      <c r="E372" t="s">
        <v>3861</v>
      </c>
      <c r="F372" t="s">
        <v>3511</v>
      </c>
      <c r="G372" t="s">
        <v>3512</v>
      </c>
      <c r="H372" t="s">
        <v>3513</v>
      </c>
      <c r="I372" t="s">
        <v>3476</v>
      </c>
      <c r="J372" t="s">
        <v>650</v>
      </c>
    </row>
    <row r="373" spans="1:11">
      <c r="A373" t="s">
        <v>1835</v>
      </c>
      <c r="B373" t="s">
        <v>3509</v>
      </c>
      <c r="C373" t="s">
        <v>1836</v>
      </c>
      <c r="D373" t="s">
        <v>3518</v>
      </c>
      <c r="E373" t="s">
        <v>3862</v>
      </c>
      <c r="F373" t="s">
        <v>3511</v>
      </c>
      <c r="G373" t="s">
        <v>3512</v>
      </c>
      <c r="H373" t="s">
        <v>3513</v>
      </c>
      <c r="I373" t="s">
        <v>3476</v>
      </c>
      <c r="J373" t="s">
        <v>650</v>
      </c>
      <c r="K373" t="s">
        <v>3520</v>
      </c>
    </row>
    <row r="374" spans="1:11">
      <c r="A374" t="s">
        <v>1837</v>
      </c>
      <c r="B374" t="s">
        <v>3509</v>
      </c>
      <c r="C374" t="s">
        <v>1838</v>
      </c>
      <c r="D374" t="s">
        <v>3471</v>
      </c>
      <c r="E374" t="s">
        <v>3863</v>
      </c>
      <c r="F374" t="s">
        <v>3511</v>
      </c>
      <c r="G374" t="s">
        <v>3512</v>
      </c>
      <c r="H374" t="s">
        <v>3513</v>
      </c>
      <c r="I374" t="s">
        <v>3476</v>
      </c>
      <c r="J374" t="s">
        <v>650</v>
      </c>
    </row>
    <row r="375" spans="1:11">
      <c r="A375" t="s">
        <v>1837</v>
      </c>
      <c r="B375" t="s">
        <v>3509</v>
      </c>
      <c r="C375" t="s">
        <v>1838</v>
      </c>
      <c r="D375" t="s">
        <v>3477</v>
      </c>
      <c r="E375" t="s">
        <v>3864</v>
      </c>
      <c r="F375" t="s">
        <v>3511</v>
      </c>
      <c r="G375" t="s">
        <v>3512</v>
      </c>
      <c r="H375" t="s">
        <v>3513</v>
      </c>
      <c r="I375" t="s">
        <v>3476</v>
      </c>
      <c r="J375" t="s">
        <v>650</v>
      </c>
    </row>
    <row r="376" spans="1:11">
      <c r="A376" t="s">
        <v>1837</v>
      </c>
      <c r="B376" t="s">
        <v>3509</v>
      </c>
      <c r="C376" t="s">
        <v>1838</v>
      </c>
      <c r="D376" t="s">
        <v>3479</v>
      </c>
      <c r="E376" t="s">
        <v>3865</v>
      </c>
      <c r="F376" t="s">
        <v>3511</v>
      </c>
      <c r="G376" t="s">
        <v>3512</v>
      </c>
      <c r="H376" t="s">
        <v>3513</v>
      </c>
      <c r="I376" t="s">
        <v>3476</v>
      </c>
      <c r="J376" t="s">
        <v>650</v>
      </c>
    </row>
    <row r="377" spans="1:11">
      <c r="A377" t="s">
        <v>1837</v>
      </c>
      <c r="B377" t="s">
        <v>3509</v>
      </c>
      <c r="C377" t="s">
        <v>1838</v>
      </c>
      <c r="D377" t="s">
        <v>3481</v>
      </c>
      <c r="E377" t="s">
        <v>3866</v>
      </c>
      <c r="F377" t="s">
        <v>3511</v>
      </c>
      <c r="G377" t="s">
        <v>3512</v>
      </c>
      <c r="H377" t="s">
        <v>3513</v>
      </c>
      <c r="I377" t="s">
        <v>3476</v>
      </c>
      <c r="J377" t="s">
        <v>650</v>
      </c>
    </row>
    <row r="378" spans="1:11">
      <c r="A378" t="s">
        <v>1837</v>
      </c>
      <c r="B378" t="s">
        <v>3509</v>
      </c>
      <c r="C378" t="s">
        <v>1838</v>
      </c>
      <c r="D378" t="s">
        <v>3483</v>
      </c>
      <c r="E378" t="s">
        <v>3867</v>
      </c>
      <c r="F378" t="s">
        <v>3511</v>
      </c>
      <c r="G378" t="s">
        <v>3512</v>
      </c>
      <c r="H378" t="s">
        <v>3513</v>
      </c>
      <c r="I378" t="s">
        <v>3476</v>
      </c>
      <c r="J378" t="s">
        <v>650</v>
      </c>
    </row>
    <row r="379" spans="1:11">
      <c r="A379" t="s">
        <v>1837</v>
      </c>
      <c r="B379" t="s">
        <v>3509</v>
      </c>
      <c r="C379" t="s">
        <v>1838</v>
      </c>
      <c r="D379" t="s">
        <v>3518</v>
      </c>
      <c r="E379" t="s">
        <v>3868</v>
      </c>
      <c r="F379" t="s">
        <v>3511</v>
      </c>
      <c r="G379" t="s">
        <v>3512</v>
      </c>
      <c r="H379" t="s">
        <v>3513</v>
      </c>
      <c r="I379" t="s">
        <v>3476</v>
      </c>
      <c r="J379" t="s">
        <v>650</v>
      </c>
      <c r="K379" t="s">
        <v>3520</v>
      </c>
    </row>
    <row r="380" spans="1:11">
      <c r="A380" t="s">
        <v>1840</v>
      </c>
      <c r="B380" t="s">
        <v>3509</v>
      </c>
      <c r="C380" t="inlineStr">
        <is>
          <t xml:space="preserve">Tae-jun Jung</t>
        </is>
      </c>
      <c r="D380" t="s">
        <v>3471</v>
      </c>
      <c r="E380" t="s">
        <v>3869</v>
      </c>
      <c r="F380" t="s">
        <v>3511</v>
      </c>
      <c r="G380" t="s">
        <v>3512</v>
      </c>
      <c r="H380" t="s">
        <v>3513</v>
      </c>
      <c r="I380" t="s">
        <v>3476</v>
      </c>
      <c r="J380" t="s">
        <v>650</v>
      </c>
    </row>
    <row r="381" spans="1:11">
      <c r="A381" t="s">
        <v>1840</v>
      </c>
      <c r="B381" t="s">
        <v>3509</v>
      </c>
      <c r="C381" t="inlineStr">
        <is>
          <t xml:space="preserve">Tae-jun Jung</t>
        </is>
      </c>
      <c r="D381" t="s">
        <v>3477</v>
      </c>
      <c r="E381" t="s">
        <v>3870</v>
      </c>
      <c r="F381" t="s">
        <v>3511</v>
      </c>
      <c r="G381" t="s">
        <v>3512</v>
      </c>
      <c r="H381" t="s">
        <v>3513</v>
      </c>
      <c r="I381" t="s">
        <v>3476</v>
      </c>
      <c r="J381" t="s">
        <v>650</v>
      </c>
    </row>
    <row r="382" spans="1:11">
      <c r="A382" t="s">
        <v>1840</v>
      </c>
      <c r="B382" t="s">
        <v>3509</v>
      </c>
      <c r="C382" t="inlineStr">
        <is>
          <t xml:space="preserve">Tae-jun Jung</t>
        </is>
      </c>
      <c r="D382" t="s">
        <v>3479</v>
      </c>
      <c r="E382" t="s">
        <v>3871</v>
      </c>
      <c r="F382" t="s">
        <v>3511</v>
      </c>
      <c r="G382" t="s">
        <v>3512</v>
      </c>
      <c r="H382" t="s">
        <v>3513</v>
      </c>
      <c r="I382" t="s">
        <v>3476</v>
      </c>
      <c r="J382" t="s">
        <v>650</v>
      </c>
    </row>
    <row r="383" spans="1:11">
      <c r="A383" t="s">
        <v>1840</v>
      </c>
      <c r="B383" t="s">
        <v>3509</v>
      </c>
      <c r="C383" t="inlineStr">
        <is>
          <t xml:space="preserve">Tae-jun Jung</t>
        </is>
      </c>
      <c r="D383" t="s">
        <v>3481</v>
      </c>
      <c r="E383" t="s">
        <v>3872</v>
      </c>
      <c r="F383" t="s">
        <v>3511</v>
      </c>
      <c r="G383" t="s">
        <v>3512</v>
      </c>
      <c r="H383" t="s">
        <v>3513</v>
      </c>
      <c r="I383" t="s">
        <v>3476</v>
      </c>
      <c r="J383" t="s">
        <v>650</v>
      </c>
    </row>
    <row r="384" spans="1:11">
      <c r="A384" t="s">
        <v>1840</v>
      </c>
      <c r="B384" t="s">
        <v>3509</v>
      </c>
      <c r="C384" t="inlineStr">
        <is>
          <t xml:space="preserve">Tae-jun Jung</t>
        </is>
      </c>
      <c r="D384" t="s">
        <v>3483</v>
      </c>
      <c r="E384" t="s">
        <v>3873</v>
      </c>
      <c r="F384" t="s">
        <v>3511</v>
      </c>
      <c r="G384" t="s">
        <v>3512</v>
      </c>
      <c r="H384" t="s">
        <v>3513</v>
      </c>
      <c r="I384" t="s">
        <v>3476</v>
      </c>
      <c r="J384" t="s">
        <v>650</v>
      </c>
    </row>
    <row r="385" spans="1:11">
      <c r="A385" t="s">
        <v>1840</v>
      </c>
      <c r="B385" t="s">
        <v>3509</v>
      </c>
      <c r="C385" t="inlineStr">
        <is>
          <t xml:space="preserve">Tae-jun Jung</t>
        </is>
      </c>
      <c r="D385" t="s">
        <v>3518</v>
      </c>
      <c r="E385" t="s">
        <v>3874</v>
      </c>
      <c r="F385" t="s">
        <v>3511</v>
      </c>
      <c r="G385" t="s">
        <v>3512</v>
      </c>
      <c r="H385" t="s">
        <v>3513</v>
      </c>
      <c r="I385" t="s">
        <v>3476</v>
      </c>
      <c r="J385" t="s">
        <v>650</v>
      </c>
      <c r="K385" t="s">
        <v>3520</v>
      </c>
    </row>
    <row r="386" spans="1:11">
      <c r="A386" t="s">
        <v>1842</v>
      </c>
      <c r="B386" t="s">
        <v>3509</v>
      </c>
      <c r="C386" t="inlineStr">
        <is>
          <t xml:space="preserve">Jyurou Nishihara</t>
        </is>
      </c>
      <c r="D386" t="s">
        <v>3471</v>
      </c>
      <c r="E386" t="s">
        <v>3875</v>
      </c>
      <c r="F386" t="s">
        <v>3511</v>
      </c>
      <c r="G386" t="s">
        <v>3512</v>
      </c>
      <c r="H386" t="s">
        <v>3513</v>
      </c>
      <c r="I386" t="s">
        <v>3476</v>
      </c>
      <c r="J386" t="s">
        <v>650</v>
      </c>
    </row>
    <row r="387" spans="1:11">
      <c r="A387" t="s">
        <v>1842</v>
      </c>
      <c r="B387" t="s">
        <v>3509</v>
      </c>
      <c r="C387" t="inlineStr">
        <is>
          <t xml:space="preserve">Jyurou Nishihara</t>
        </is>
      </c>
      <c r="D387" t="s">
        <v>3477</v>
      </c>
      <c r="E387" t="s">
        <v>3876</v>
      </c>
      <c r="F387" t="s">
        <v>3511</v>
      </c>
      <c r="G387" t="s">
        <v>3512</v>
      </c>
      <c r="H387" t="s">
        <v>3513</v>
      </c>
      <c r="I387" t="s">
        <v>3476</v>
      </c>
      <c r="J387" t="s">
        <v>650</v>
      </c>
    </row>
    <row r="388" spans="1:11">
      <c r="A388" t="s">
        <v>1842</v>
      </c>
      <c r="B388" t="s">
        <v>3509</v>
      </c>
      <c r="C388" t="inlineStr">
        <is>
          <t xml:space="preserve">Jyurou Nishihara</t>
        </is>
      </c>
      <c r="D388" t="s">
        <v>3479</v>
      </c>
      <c r="E388" t="s">
        <v>3877</v>
      </c>
      <c r="F388" t="s">
        <v>3511</v>
      </c>
      <c r="G388" t="s">
        <v>3512</v>
      </c>
      <c r="H388" t="s">
        <v>3513</v>
      </c>
      <c r="I388" t="s">
        <v>3476</v>
      </c>
      <c r="J388" t="s">
        <v>650</v>
      </c>
    </row>
    <row r="389" spans="1:11">
      <c r="A389" t="s">
        <v>1842</v>
      </c>
      <c r="B389" t="s">
        <v>3509</v>
      </c>
      <c r="C389" t="inlineStr">
        <is>
          <t xml:space="preserve">Jyurou Nishihara</t>
        </is>
      </c>
      <c r="D389" t="s">
        <v>3481</v>
      </c>
      <c r="E389" t="s">
        <v>3878</v>
      </c>
      <c r="F389" t="s">
        <v>3511</v>
      </c>
      <c r="G389" t="s">
        <v>3512</v>
      </c>
      <c r="H389" t="s">
        <v>3513</v>
      </c>
      <c r="I389" t="s">
        <v>3476</v>
      </c>
      <c r="J389" t="s">
        <v>650</v>
      </c>
    </row>
    <row r="390" spans="1:11">
      <c r="A390" t="s">
        <v>1842</v>
      </c>
      <c r="B390" t="s">
        <v>3509</v>
      </c>
      <c r="C390" t="inlineStr">
        <is>
          <t xml:space="preserve">Jyurou Nishihara</t>
        </is>
      </c>
      <c r="D390" t="s">
        <v>3483</v>
      </c>
      <c r="E390" t="s">
        <v>3879</v>
      </c>
      <c r="F390" t="s">
        <v>3511</v>
      </c>
      <c r="G390" t="s">
        <v>3512</v>
      </c>
      <c r="H390" t="s">
        <v>3513</v>
      </c>
      <c r="I390" t="s">
        <v>3476</v>
      </c>
      <c r="J390" t="s">
        <v>650</v>
      </c>
    </row>
    <row r="391" spans="1:11">
      <c r="A391" t="s">
        <v>1842</v>
      </c>
      <c r="B391" t="s">
        <v>3509</v>
      </c>
      <c r="C391" t="inlineStr">
        <is>
          <t xml:space="preserve">Jyurou Nishihara</t>
        </is>
      </c>
      <c r="D391" t="s">
        <v>3518</v>
      </c>
      <c r="E391" t="s">
        <v>3880</v>
      </c>
      <c r="F391" t="s">
        <v>3511</v>
      </c>
      <c r="G391" t="s">
        <v>3512</v>
      </c>
      <c r="H391" t="s">
        <v>3513</v>
      </c>
      <c r="I391" t="s">
        <v>3476</v>
      </c>
      <c r="J391" t="s">
        <v>650</v>
      </c>
      <c r="K391" t="s">
        <v>3520</v>
      </c>
    </row>
    <row r="392" spans="1:11">
      <c r="A392" t="s">
        <v>1843</v>
      </c>
      <c r="B392" t="s">
        <v>3509</v>
      </c>
      <c r="C392" t="s">
        <v>1844</v>
      </c>
      <c r="D392" t="s">
        <v>3471</v>
      </c>
      <c r="E392" t="s">
        <v>3881</v>
      </c>
      <c r="F392" t="s">
        <v>3511</v>
      </c>
      <c r="G392" t="s">
        <v>3512</v>
      </c>
      <c r="H392" t="s">
        <v>3513</v>
      </c>
      <c r="I392" t="s">
        <v>3476</v>
      </c>
      <c r="J392" t="s">
        <v>650</v>
      </c>
    </row>
    <row r="393" spans="1:11">
      <c r="A393" t="s">
        <v>1843</v>
      </c>
      <c r="B393" t="s">
        <v>3509</v>
      </c>
      <c r="C393" t="s">
        <v>1844</v>
      </c>
      <c r="D393" t="s">
        <v>3477</v>
      </c>
      <c r="E393" t="s">
        <v>3882</v>
      </c>
      <c r="F393" t="s">
        <v>3511</v>
      </c>
      <c r="G393" t="s">
        <v>3512</v>
      </c>
      <c r="H393" t="s">
        <v>3513</v>
      </c>
      <c r="I393" t="s">
        <v>3476</v>
      </c>
      <c r="J393" t="s">
        <v>650</v>
      </c>
    </row>
    <row r="394" spans="1:11">
      <c r="A394" t="s">
        <v>1843</v>
      </c>
      <c r="B394" t="s">
        <v>3509</v>
      </c>
      <c r="C394" t="s">
        <v>1844</v>
      </c>
      <c r="D394" t="s">
        <v>3479</v>
      </c>
      <c r="E394" t="s">
        <v>3883</v>
      </c>
      <c r="F394" t="s">
        <v>3511</v>
      </c>
      <c r="G394" t="s">
        <v>3512</v>
      </c>
      <c r="H394" t="s">
        <v>3513</v>
      </c>
      <c r="I394" t="s">
        <v>3476</v>
      </c>
      <c r="J394" t="s">
        <v>650</v>
      </c>
    </row>
    <row r="395" spans="1:11">
      <c r="A395" t="s">
        <v>1843</v>
      </c>
      <c r="B395" t="s">
        <v>3509</v>
      </c>
      <c r="C395" t="s">
        <v>1844</v>
      </c>
      <c r="D395" t="s">
        <v>3481</v>
      </c>
      <c r="E395" t="s">
        <v>3884</v>
      </c>
      <c r="F395" t="s">
        <v>3511</v>
      </c>
      <c r="G395" t="s">
        <v>3512</v>
      </c>
      <c r="H395" t="s">
        <v>3513</v>
      </c>
      <c r="I395" t="s">
        <v>3476</v>
      </c>
      <c r="J395" t="s">
        <v>650</v>
      </c>
    </row>
    <row r="396" spans="1:11">
      <c r="A396" t="s">
        <v>1843</v>
      </c>
      <c r="B396" t="s">
        <v>3509</v>
      </c>
      <c r="C396" t="s">
        <v>1844</v>
      </c>
      <c r="D396" t="s">
        <v>3483</v>
      </c>
      <c r="E396" t="s">
        <v>3885</v>
      </c>
      <c r="F396" t="s">
        <v>3511</v>
      </c>
      <c r="G396" t="s">
        <v>3512</v>
      </c>
      <c r="H396" t="s">
        <v>3513</v>
      </c>
      <c r="I396" t="s">
        <v>3476</v>
      </c>
      <c r="J396" t="s">
        <v>650</v>
      </c>
    </row>
    <row r="397" spans="1:11">
      <c r="A397" t="s">
        <v>1843</v>
      </c>
      <c r="B397" t="s">
        <v>3509</v>
      </c>
      <c r="C397" t="s">
        <v>1844</v>
      </c>
      <c r="D397" t="s">
        <v>3518</v>
      </c>
      <c r="E397" t="s">
        <v>3886</v>
      </c>
      <c r="F397" t="s">
        <v>3511</v>
      </c>
      <c r="G397" t="s">
        <v>3512</v>
      </c>
      <c r="H397" t="s">
        <v>3513</v>
      </c>
      <c r="I397" t="s">
        <v>3476</v>
      </c>
      <c r="J397" t="s">
        <v>650</v>
      </c>
      <c r="K397" t="s">
        <v>3520</v>
      </c>
    </row>
    <row r="398" spans="1:11">
      <c r="A398" t="s">
        <v>1847</v>
      </c>
      <c r="B398" t="s">
        <v>3509</v>
      </c>
      <c r="C398" t="s">
        <v>1848</v>
      </c>
      <c r="D398" t="s">
        <v>3471</v>
      </c>
      <c r="E398" t="s">
        <v>3887</v>
      </c>
      <c r="F398" t="s">
        <v>3511</v>
      </c>
      <c r="G398" t="s">
        <v>3512</v>
      </c>
      <c r="H398" t="s">
        <v>3513</v>
      </c>
      <c r="I398" t="s">
        <v>3476</v>
      </c>
      <c r="J398" t="s">
        <v>650</v>
      </c>
    </row>
    <row r="399" spans="1:11">
      <c r="A399" t="s">
        <v>1847</v>
      </c>
      <c r="B399" t="s">
        <v>3509</v>
      </c>
      <c r="C399" t="s">
        <v>1848</v>
      </c>
      <c r="D399" t="s">
        <v>3477</v>
      </c>
      <c r="E399" t="s">
        <v>3888</v>
      </c>
      <c r="F399" t="s">
        <v>3511</v>
      </c>
      <c r="G399" t="s">
        <v>3512</v>
      </c>
      <c r="H399" t="s">
        <v>3513</v>
      </c>
      <c r="I399" t="s">
        <v>3476</v>
      </c>
      <c r="J399" t="s">
        <v>650</v>
      </c>
    </row>
    <row r="400" spans="1:11">
      <c r="A400" t="s">
        <v>1847</v>
      </c>
      <c r="B400" t="s">
        <v>3509</v>
      </c>
      <c r="C400" t="s">
        <v>1848</v>
      </c>
      <c r="D400" t="s">
        <v>3479</v>
      </c>
      <c r="E400" t="s">
        <v>3889</v>
      </c>
      <c r="F400" t="s">
        <v>3511</v>
      </c>
      <c r="G400" t="s">
        <v>3512</v>
      </c>
      <c r="H400" t="s">
        <v>3513</v>
      </c>
      <c r="I400" t="s">
        <v>3476</v>
      </c>
      <c r="J400" t="s">
        <v>650</v>
      </c>
    </row>
    <row r="401" spans="1:11">
      <c r="A401" t="s">
        <v>1847</v>
      </c>
      <c r="B401" t="s">
        <v>3509</v>
      </c>
      <c r="C401" t="s">
        <v>1848</v>
      </c>
      <c r="D401" t="s">
        <v>3481</v>
      </c>
      <c r="E401" t="s">
        <v>3890</v>
      </c>
      <c r="F401" t="s">
        <v>3511</v>
      </c>
      <c r="G401" t="s">
        <v>3512</v>
      </c>
      <c r="H401" t="s">
        <v>3513</v>
      </c>
      <c r="I401" t="s">
        <v>3476</v>
      </c>
      <c r="J401" t="s">
        <v>650</v>
      </c>
    </row>
    <row r="402" spans="1:11">
      <c r="A402" t="s">
        <v>1847</v>
      </c>
      <c r="B402" t="s">
        <v>3509</v>
      </c>
      <c r="C402" t="s">
        <v>1848</v>
      </c>
      <c r="D402" t="s">
        <v>3483</v>
      </c>
      <c r="E402" t="s">
        <v>3891</v>
      </c>
      <c r="F402" t="s">
        <v>3511</v>
      </c>
      <c r="G402" t="s">
        <v>3512</v>
      </c>
      <c r="H402" t="s">
        <v>3513</v>
      </c>
      <c r="I402" t="s">
        <v>3476</v>
      </c>
      <c r="J402" t="s">
        <v>650</v>
      </c>
    </row>
    <row r="403" spans="1:11">
      <c r="A403" t="s">
        <v>1847</v>
      </c>
      <c r="B403" t="s">
        <v>3509</v>
      </c>
      <c r="C403" t="s">
        <v>1848</v>
      </c>
      <c r="D403" t="s">
        <v>3518</v>
      </c>
      <c r="E403" t="s">
        <v>3892</v>
      </c>
      <c r="F403" t="s">
        <v>3511</v>
      </c>
      <c r="G403" t="s">
        <v>3512</v>
      </c>
      <c r="H403" t="s">
        <v>3513</v>
      </c>
      <c r="I403" t="s">
        <v>3476</v>
      </c>
      <c r="J403" t="s">
        <v>650</v>
      </c>
      <c r="K403" t="s">
        <v>3520</v>
      </c>
    </row>
    <row r="404" spans="1:11">
      <c r="A404" t="s">
        <v>1849</v>
      </c>
      <c r="B404" t="s">
        <v>3509</v>
      </c>
      <c r="C404" t="s">
        <v>1850</v>
      </c>
      <c r="D404" t="s">
        <v>3471</v>
      </c>
      <c r="E404" t="s">
        <v>3893</v>
      </c>
      <c r="F404" t="s">
        <v>3511</v>
      </c>
      <c r="G404" t="s">
        <v>3512</v>
      </c>
      <c r="H404" t="s">
        <v>3513</v>
      </c>
      <c r="I404" t="s">
        <v>3476</v>
      </c>
      <c r="J404" t="s">
        <v>650</v>
      </c>
    </row>
    <row r="405" spans="1:11">
      <c r="A405" t="s">
        <v>1849</v>
      </c>
      <c r="B405" t="s">
        <v>3509</v>
      </c>
      <c r="C405" t="s">
        <v>1850</v>
      </c>
      <c r="D405" t="s">
        <v>3477</v>
      </c>
      <c r="E405" t="s">
        <v>3894</v>
      </c>
      <c r="F405" t="s">
        <v>3511</v>
      </c>
      <c r="G405" t="s">
        <v>3512</v>
      </c>
      <c r="H405" t="s">
        <v>3513</v>
      </c>
      <c r="I405" t="s">
        <v>3476</v>
      </c>
      <c r="J405" t="s">
        <v>650</v>
      </c>
    </row>
    <row r="406" spans="1:11">
      <c r="A406" t="s">
        <v>1849</v>
      </c>
      <c r="B406" t="s">
        <v>3509</v>
      </c>
      <c r="C406" t="s">
        <v>1850</v>
      </c>
      <c r="D406" t="s">
        <v>3479</v>
      </c>
      <c r="E406" t="s">
        <v>3895</v>
      </c>
      <c r="F406" t="s">
        <v>3511</v>
      </c>
      <c r="G406" t="s">
        <v>3512</v>
      </c>
      <c r="H406" t="s">
        <v>3513</v>
      </c>
      <c r="I406" t="s">
        <v>3476</v>
      </c>
      <c r="J406" t="s">
        <v>650</v>
      </c>
    </row>
    <row r="407" spans="1:11">
      <c r="A407" t="s">
        <v>1849</v>
      </c>
      <c r="B407" t="s">
        <v>3509</v>
      </c>
      <c r="C407" t="s">
        <v>1850</v>
      </c>
      <c r="D407" t="s">
        <v>3481</v>
      </c>
      <c r="E407" t="s">
        <v>3896</v>
      </c>
      <c r="F407" t="s">
        <v>3511</v>
      </c>
      <c r="G407" t="s">
        <v>3512</v>
      </c>
      <c r="H407" t="s">
        <v>3513</v>
      </c>
      <c r="I407" t="s">
        <v>3476</v>
      </c>
      <c r="J407" t="s">
        <v>650</v>
      </c>
    </row>
    <row r="408" spans="1:11">
      <c r="A408" t="s">
        <v>1849</v>
      </c>
      <c r="B408" t="s">
        <v>3509</v>
      </c>
      <c r="C408" t="s">
        <v>1850</v>
      </c>
      <c r="D408" t="s">
        <v>3483</v>
      </c>
      <c r="E408" t="s">
        <v>3897</v>
      </c>
      <c r="F408" t="s">
        <v>3511</v>
      </c>
      <c r="G408" t="s">
        <v>3512</v>
      </c>
      <c r="H408" t="s">
        <v>3513</v>
      </c>
      <c r="I408" t="s">
        <v>3476</v>
      </c>
      <c r="J408" t="s">
        <v>650</v>
      </c>
    </row>
    <row r="409" spans="1:11">
      <c r="A409" t="s">
        <v>1849</v>
      </c>
      <c r="B409" t="s">
        <v>3509</v>
      </c>
      <c r="C409" t="s">
        <v>1850</v>
      </c>
      <c r="D409" t="s">
        <v>3518</v>
      </c>
      <c r="E409" t="s">
        <v>3898</v>
      </c>
      <c r="F409" t="s">
        <v>3511</v>
      </c>
      <c r="G409" t="s">
        <v>3512</v>
      </c>
      <c r="H409" t="s">
        <v>3513</v>
      </c>
      <c r="I409" t="s">
        <v>3476</v>
      </c>
      <c r="J409" t="s">
        <v>650</v>
      </c>
      <c r="K409" t="s">
        <v>3520</v>
      </c>
    </row>
    <row r="410" spans="1:11">
      <c r="A410" t="s">
        <v>1852</v>
      </c>
      <c r="B410" t="s">
        <v>3509</v>
      </c>
      <c r="C410" t="s">
        <v>1853</v>
      </c>
      <c r="D410" t="s">
        <v>3471</v>
      </c>
      <c r="E410" t="s">
        <v>3899</v>
      </c>
      <c r="F410" t="s">
        <v>3511</v>
      </c>
      <c r="G410" t="s">
        <v>3512</v>
      </c>
      <c r="H410" t="s">
        <v>3513</v>
      </c>
      <c r="I410" t="s">
        <v>3476</v>
      </c>
      <c r="J410" t="s">
        <v>650</v>
      </c>
    </row>
    <row r="411" spans="1:11">
      <c r="A411" t="s">
        <v>1852</v>
      </c>
      <c r="B411" t="s">
        <v>3509</v>
      </c>
      <c r="C411" t="s">
        <v>1853</v>
      </c>
      <c r="D411" t="s">
        <v>3477</v>
      </c>
      <c r="E411" t="s">
        <v>3900</v>
      </c>
      <c r="F411" t="s">
        <v>3511</v>
      </c>
      <c r="G411" t="s">
        <v>3512</v>
      </c>
      <c r="H411" t="s">
        <v>3513</v>
      </c>
      <c r="I411" t="s">
        <v>3476</v>
      </c>
      <c r="J411" t="s">
        <v>650</v>
      </c>
    </row>
    <row r="412" spans="1:11">
      <c r="A412" t="s">
        <v>1852</v>
      </c>
      <c r="B412" t="s">
        <v>3509</v>
      </c>
      <c r="C412" t="s">
        <v>1853</v>
      </c>
      <c r="D412" t="s">
        <v>3479</v>
      </c>
      <c r="E412" t="s">
        <v>3901</v>
      </c>
      <c r="F412" t="s">
        <v>3511</v>
      </c>
      <c r="G412" t="s">
        <v>3512</v>
      </c>
      <c r="H412" t="s">
        <v>3513</v>
      </c>
      <c r="I412" t="s">
        <v>3476</v>
      </c>
      <c r="J412" t="s">
        <v>650</v>
      </c>
    </row>
    <row r="413" spans="1:11">
      <c r="A413" t="s">
        <v>1852</v>
      </c>
      <c r="B413" t="s">
        <v>3509</v>
      </c>
      <c r="C413" t="s">
        <v>1853</v>
      </c>
      <c r="D413" t="s">
        <v>3481</v>
      </c>
      <c r="E413" t="s">
        <v>3902</v>
      </c>
      <c r="F413" t="s">
        <v>3511</v>
      </c>
      <c r="G413" t="s">
        <v>3512</v>
      </c>
      <c r="H413" t="s">
        <v>3513</v>
      </c>
      <c r="I413" t="s">
        <v>3476</v>
      </c>
      <c r="J413" t="s">
        <v>650</v>
      </c>
    </row>
    <row r="414" spans="1:11">
      <c r="A414" t="s">
        <v>1852</v>
      </c>
      <c r="B414" t="s">
        <v>3509</v>
      </c>
      <c r="C414" t="s">
        <v>1853</v>
      </c>
      <c r="D414" t="s">
        <v>3483</v>
      </c>
      <c r="E414" t="s">
        <v>3903</v>
      </c>
      <c r="F414" t="s">
        <v>3511</v>
      </c>
      <c r="G414" t="s">
        <v>3512</v>
      </c>
      <c r="H414" t="s">
        <v>3513</v>
      </c>
      <c r="I414" t="s">
        <v>3476</v>
      </c>
      <c r="J414" t="s">
        <v>650</v>
      </c>
    </row>
    <row r="415" spans="1:11">
      <c r="A415" t="s">
        <v>1852</v>
      </c>
      <c r="B415" t="s">
        <v>3509</v>
      </c>
      <c r="C415" t="s">
        <v>1853</v>
      </c>
      <c r="D415" t="s">
        <v>3518</v>
      </c>
      <c r="E415" t="s">
        <v>3904</v>
      </c>
      <c r="F415" t="s">
        <v>3511</v>
      </c>
      <c r="G415" t="s">
        <v>3512</v>
      </c>
      <c r="H415" t="s">
        <v>3513</v>
      </c>
      <c r="I415" t="s">
        <v>3476</v>
      </c>
      <c r="J415" t="s">
        <v>650</v>
      </c>
      <c r="K415" t="s">
        <v>3520</v>
      </c>
    </row>
    <row r="416" spans="1:11">
      <c r="A416" t="s">
        <v>1854</v>
      </c>
      <c r="B416" t="s">
        <v>3509</v>
      </c>
      <c r="C416" t="s">
        <v>512</v>
      </c>
      <c r="D416" t="s">
        <v>3471</v>
      </c>
      <c r="E416" t="s">
        <v>3905</v>
      </c>
      <c r="F416" t="s">
        <v>3511</v>
      </c>
      <c r="G416" t="s">
        <v>3512</v>
      </c>
      <c r="H416" t="s">
        <v>3513</v>
      </c>
      <c r="I416" t="s">
        <v>3476</v>
      </c>
      <c r="J416" t="s">
        <v>650</v>
      </c>
    </row>
    <row r="417" spans="1:11">
      <c r="A417" t="s">
        <v>1854</v>
      </c>
      <c r="B417" t="s">
        <v>3509</v>
      </c>
      <c r="C417" t="s">
        <v>512</v>
      </c>
      <c r="D417" t="s">
        <v>3477</v>
      </c>
      <c r="E417" t="s">
        <v>3906</v>
      </c>
      <c r="F417" t="s">
        <v>3511</v>
      </c>
      <c r="G417" t="s">
        <v>3512</v>
      </c>
      <c r="H417" t="s">
        <v>3513</v>
      </c>
      <c r="I417" t="s">
        <v>3476</v>
      </c>
      <c r="J417" t="s">
        <v>650</v>
      </c>
    </row>
    <row r="418" spans="1:11">
      <c r="A418" t="s">
        <v>1854</v>
      </c>
      <c r="B418" t="s">
        <v>3509</v>
      </c>
      <c r="C418" t="s">
        <v>512</v>
      </c>
      <c r="D418" t="s">
        <v>3479</v>
      </c>
      <c r="E418" t="s">
        <v>3907</v>
      </c>
      <c r="F418" t="s">
        <v>3511</v>
      </c>
      <c r="G418" t="s">
        <v>3512</v>
      </c>
      <c r="H418" t="s">
        <v>3513</v>
      </c>
      <c r="I418" t="s">
        <v>3476</v>
      </c>
      <c r="J418" t="s">
        <v>650</v>
      </c>
    </row>
    <row r="419" spans="1:11">
      <c r="A419" t="s">
        <v>1854</v>
      </c>
      <c r="B419" t="s">
        <v>3509</v>
      </c>
      <c r="C419" t="s">
        <v>512</v>
      </c>
      <c r="D419" t="s">
        <v>3481</v>
      </c>
      <c r="E419" t="s">
        <v>3908</v>
      </c>
      <c r="F419" t="s">
        <v>3511</v>
      </c>
      <c r="G419" t="s">
        <v>3512</v>
      </c>
      <c r="H419" t="s">
        <v>3513</v>
      </c>
      <c r="I419" t="s">
        <v>3476</v>
      </c>
      <c r="J419" t="s">
        <v>650</v>
      </c>
    </row>
    <row r="420" spans="1:11">
      <c r="A420" t="s">
        <v>1854</v>
      </c>
      <c r="B420" t="s">
        <v>3509</v>
      </c>
      <c r="C420" t="s">
        <v>512</v>
      </c>
      <c r="D420" t="s">
        <v>3483</v>
      </c>
      <c r="E420" t="s">
        <v>3909</v>
      </c>
      <c r="F420" t="s">
        <v>3511</v>
      </c>
      <c r="G420" t="s">
        <v>3512</v>
      </c>
      <c r="H420" t="s">
        <v>3513</v>
      </c>
      <c r="I420" t="s">
        <v>3476</v>
      </c>
      <c r="J420" t="s">
        <v>650</v>
      </c>
    </row>
    <row r="421" spans="1:11">
      <c r="A421" t="s">
        <v>1854</v>
      </c>
      <c r="B421" t="s">
        <v>3509</v>
      </c>
      <c r="C421" t="s">
        <v>512</v>
      </c>
      <c r="D421" t="s">
        <v>3518</v>
      </c>
      <c r="E421" t="s">
        <v>3910</v>
      </c>
      <c r="F421" t="s">
        <v>3511</v>
      </c>
      <c r="G421" t="s">
        <v>3512</v>
      </c>
      <c r="H421" t="s">
        <v>3513</v>
      </c>
      <c r="I421" t="s">
        <v>3476</v>
      </c>
      <c r="J421" t="s">
        <v>650</v>
      </c>
      <c r="K421" t="s">
        <v>3520</v>
      </c>
    </row>
    <row r="422" spans="1:11">
      <c r="A422" t="s">
        <v>1855</v>
      </c>
      <c r="B422" t="s">
        <v>3509</v>
      </c>
      <c r="C422" t="s">
        <v>1856</v>
      </c>
      <c r="D422" t="s">
        <v>3471</v>
      </c>
      <c r="E422" t="s">
        <v>3911</v>
      </c>
      <c r="F422" t="s">
        <v>3511</v>
      </c>
      <c r="G422" t="s">
        <v>3512</v>
      </c>
      <c r="H422" t="s">
        <v>3513</v>
      </c>
      <c r="I422" t="s">
        <v>3476</v>
      </c>
      <c r="J422" t="s">
        <v>650</v>
      </c>
    </row>
    <row r="423" spans="1:11">
      <c r="A423" t="s">
        <v>1855</v>
      </c>
      <c r="B423" t="s">
        <v>3509</v>
      </c>
      <c r="C423" t="s">
        <v>1856</v>
      </c>
      <c r="D423" t="s">
        <v>3477</v>
      </c>
      <c r="E423" t="s">
        <v>3912</v>
      </c>
      <c r="F423" t="s">
        <v>3511</v>
      </c>
      <c r="G423" t="s">
        <v>3512</v>
      </c>
      <c r="H423" t="s">
        <v>3513</v>
      </c>
      <c r="I423" t="s">
        <v>3476</v>
      </c>
      <c r="J423" t="s">
        <v>650</v>
      </c>
    </row>
    <row r="424" spans="1:11">
      <c r="A424" t="s">
        <v>1855</v>
      </c>
      <c r="B424" t="s">
        <v>3509</v>
      </c>
      <c r="C424" t="s">
        <v>1856</v>
      </c>
      <c r="D424" t="s">
        <v>3479</v>
      </c>
      <c r="E424" t="s">
        <v>3913</v>
      </c>
      <c r="F424" t="s">
        <v>3511</v>
      </c>
      <c r="G424" t="s">
        <v>3512</v>
      </c>
      <c r="H424" t="s">
        <v>3513</v>
      </c>
      <c r="I424" t="s">
        <v>3476</v>
      </c>
      <c r="J424" t="s">
        <v>650</v>
      </c>
    </row>
    <row r="425" spans="1:11">
      <c r="A425" t="s">
        <v>1855</v>
      </c>
      <c r="B425" t="s">
        <v>3509</v>
      </c>
      <c r="C425" t="s">
        <v>1856</v>
      </c>
      <c r="D425" t="s">
        <v>3481</v>
      </c>
      <c r="E425" t="s">
        <v>3914</v>
      </c>
      <c r="F425" t="s">
        <v>3511</v>
      </c>
      <c r="G425" t="s">
        <v>3512</v>
      </c>
      <c r="H425" t="s">
        <v>3513</v>
      </c>
      <c r="I425" t="s">
        <v>3476</v>
      </c>
      <c r="J425" t="s">
        <v>650</v>
      </c>
    </row>
    <row r="426" spans="1:11">
      <c r="A426" t="s">
        <v>1855</v>
      </c>
      <c r="B426" t="s">
        <v>3509</v>
      </c>
      <c r="C426" t="s">
        <v>1856</v>
      </c>
      <c r="D426" t="s">
        <v>3483</v>
      </c>
      <c r="E426" t="s">
        <v>3915</v>
      </c>
      <c r="F426" t="s">
        <v>3511</v>
      </c>
      <c r="G426" t="s">
        <v>3512</v>
      </c>
      <c r="H426" t="s">
        <v>3513</v>
      </c>
      <c r="I426" t="s">
        <v>3476</v>
      </c>
      <c r="J426" t="s">
        <v>650</v>
      </c>
    </row>
    <row r="427" spans="1:11">
      <c r="A427" t="s">
        <v>1855</v>
      </c>
      <c r="B427" t="s">
        <v>3509</v>
      </c>
      <c r="C427" t="s">
        <v>1856</v>
      </c>
      <c r="D427" t="s">
        <v>3518</v>
      </c>
      <c r="E427" t="s">
        <v>3916</v>
      </c>
      <c r="F427" t="s">
        <v>3511</v>
      </c>
      <c r="G427" t="s">
        <v>3512</v>
      </c>
      <c r="H427" t="s">
        <v>3513</v>
      </c>
      <c r="I427" t="s">
        <v>3476</v>
      </c>
      <c r="J427" t="s">
        <v>650</v>
      </c>
      <c r="K427" t="s">
        <v>3520</v>
      </c>
    </row>
    <row r="428" spans="1:11">
      <c r="A428" t="s">
        <v>1857</v>
      </c>
      <c r="B428" t="s">
        <v>3509</v>
      </c>
      <c r="C428" t="s">
        <v>1858</v>
      </c>
      <c r="D428" t="s">
        <v>3471</v>
      </c>
      <c r="E428" t="s">
        <v>3917</v>
      </c>
      <c r="F428" t="s">
        <v>3511</v>
      </c>
      <c r="G428" t="s">
        <v>3512</v>
      </c>
      <c r="H428" t="s">
        <v>3513</v>
      </c>
      <c r="I428" t="s">
        <v>3476</v>
      </c>
      <c r="J428" t="s">
        <v>650</v>
      </c>
    </row>
    <row r="429" spans="1:11">
      <c r="A429" t="s">
        <v>1857</v>
      </c>
      <c r="B429" t="s">
        <v>3509</v>
      </c>
      <c r="C429" t="s">
        <v>1858</v>
      </c>
      <c r="D429" t="s">
        <v>3477</v>
      </c>
      <c r="E429" t="s">
        <v>3918</v>
      </c>
      <c r="F429" t="s">
        <v>3511</v>
      </c>
      <c r="G429" t="s">
        <v>3512</v>
      </c>
      <c r="H429" t="s">
        <v>3513</v>
      </c>
      <c r="I429" t="s">
        <v>3476</v>
      </c>
      <c r="J429" t="s">
        <v>650</v>
      </c>
    </row>
    <row r="430" spans="1:11">
      <c r="A430" t="s">
        <v>1857</v>
      </c>
      <c r="B430" t="s">
        <v>3509</v>
      </c>
      <c r="C430" t="s">
        <v>1858</v>
      </c>
      <c r="D430" t="s">
        <v>3479</v>
      </c>
      <c r="E430" t="s">
        <v>3919</v>
      </c>
      <c r="F430" t="s">
        <v>3511</v>
      </c>
      <c r="G430" t="s">
        <v>3512</v>
      </c>
      <c r="H430" t="s">
        <v>3513</v>
      </c>
      <c r="I430" t="s">
        <v>3476</v>
      </c>
      <c r="J430" t="s">
        <v>650</v>
      </c>
    </row>
    <row r="431" spans="1:11">
      <c r="A431" t="s">
        <v>1857</v>
      </c>
      <c r="B431" t="s">
        <v>3509</v>
      </c>
      <c r="C431" t="s">
        <v>1858</v>
      </c>
      <c r="D431" t="s">
        <v>3481</v>
      </c>
      <c r="E431" t="s">
        <v>3920</v>
      </c>
      <c r="F431" t="s">
        <v>3511</v>
      </c>
      <c r="G431" t="s">
        <v>3512</v>
      </c>
      <c r="H431" t="s">
        <v>3513</v>
      </c>
      <c r="I431" t="s">
        <v>3476</v>
      </c>
      <c r="J431" t="s">
        <v>650</v>
      </c>
    </row>
    <row r="432" spans="1:11">
      <c r="A432" t="s">
        <v>1857</v>
      </c>
      <c r="B432" t="s">
        <v>3509</v>
      </c>
      <c r="C432" t="s">
        <v>1858</v>
      </c>
      <c r="D432" t="s">
        <v>3483</v>
      </c>
      <c r="E432" t="s">
        <v>3921</v>
      </c>
      <c r="F432" t="s">
        <v>3511</v>
      </c>
      <c r="G432" t="s">
        <v>3512</v>
      </c>
      <c r="H432" t="s">
        <v>3513</v>
      </c>
      <c r="I432" t="s">
        <v>3476</v>
      </c>
      <c r="J432" t="s">
        <v>650</v>
      </c>
    </row>
    <row r="433" spans="1:11">
      <c r="A433" t="s">
        <v>1857</v>
      </c>
      <c r="B433" t="s">
        <v>3509</v>
      </c>
      <c r="C433" t="s">
        <v>1858</v>
      </c>
      <c r="D433" t="s">
        <v>3518</v>
      </c>
      <c r="E433" t="s">
        <v>3922</v>
      </c>
      <c r="F433" t="s">
        <v>3511</v>
      </c>
      <c r="G433" t="s">
        <v>3512</v>
      </c>
      <c r="H433" t="s">
        <v>3513</v>
      </c>
      <c r="I433" t="s">
        <v>3476</v>
      </c>
      <c r="J433" t="s">
        <v>650</v>
      </c>
      <c r="K433" t="s">
        <v>3520</v>
      </c>
    </row>
    <row r="434" spans="1:11">
      <c r="A434" t="s">
        <v>1860</v>
      </c>
      <c r="B434" t="s">
        <v>3509</v>
      </c>
      <c r="C434" t="s">
        <v>1861</v>
      </c>
      <c r="D434" t="s">
        <v>3471</v>
      </c>
      <c r="E434" t="s">
        <v>3923</v>
      </c>
      <c r="F434" t="s">
        <v>3511</v>
      </c>
      <c r="G434" t="s">
        <v>3512</v>
      </c>
      <c r="H434" t="s">
        <v>3513</v>
      </c>
      <c r="I434" t="s">
        <v>3476</v>
      </c>
      <c r="J434" t="s">
        <v>650</v>
      </c>
    </row>
    <row r="435" spans="1:11">
      <c r="A435" t="s">
        <v>1860</v>
      </c>
      <c r="B435" t="s">
        <v>3509</v>
      </c>
      <c r="C435" t="s">
        <v>1861</v>
      </c>
      <c r="D435" t="s">
        <v>3477</v>
      </c>
      <c r="E435" t="s">
        <v>3924</v>
      </c>
      <c r="F435" t="s">
        <v>3511</v>
      </c>
      <c r="G435" t="s">
        <v>3512</v>
      </c>
      <c r="H435" t="s">
        <v>3513</v>
      </c>
      <c r="I435" t="s">
        <v>3476</v>
      </c>
      <c r="J435" t="s">
        <v>650</v>
      </c>
    </row>
    <row r="436" spans="1:11">
      <c r="A436" t="s">
        <v>1860</v>
      </c>
      <c r="B436" t="s">
        <v>3509</v>
      </c>
      <c r="C436" t="s">
        <v>1861</v>
      </c>
      <c r="D436" t="s">
        <v>3479</v>
      </c>
      <c r="E436" t="s">
        <v>3925</v>
      </c>
      <c r="F436" t="s">
        <v>3511</v>
      </c>
      <c r="G436" t="s">
        <v>3512</v>
      </c>
      <c r="H436" t="s">
        <v>3513</v>
      </c>
      <c r="I436" t="s">
        <v>3476</v>
      </c>
      <c r="J436" t="s">
        <v>650</v>
      </c>
    </row>
    <row r="437" spans="1:11">
      <c r="A437" t="s">
        <v>1860</v>
      </c>
      <c r="B437" t="s">
        <v>3509</v>
      </c>
      <c r="C437" t="s">
        <v>1861</v>
      </c>
      <c r="D437" t="s">
        <v>3481</v>
      </c>
      <c r="E437" t="s">
        <v>3926</v>
      </c>
      <c r="F437" t="s">
        <v>3511</v>
      </c>
      <c r="G437" t="s">
        <v>3512</v>
      </c>
      <c r="H437" t="s">
        <v>3513</v>
      </c>
      <c r="I437" t="s">
        <v>3476</v>
      </c>
      <c r="J437" t="s">
        <v>650</v>
      </c>
    </row>
    <row r="438" spans="1:11">
      <c r="A438" t="s">
        <v>1860</v>
      </c>
      <c r="B438" t="s">
        <v>3509</v>
      </c>
      <c r="C438" t="s">
        <v>1861</v>
      </c>
      <c r="D438" t="s">
        <v>3483</v>
      </c>
      <c r="E438" t="s">
        <v>3927</v>
      </c>
      <c r="F438" t="s">
        <v>3511</v>
      </c>
      <c r="G438" t="s">
        <v>3512</v>
      </c>
      <c r="H438" t="s">
        <v>3513</v>
      </c>
      <c r="I438" t="s">
        <v>3476</v>
      </c>
      <c r="J438" t="s">
        <v>650</v>
      </c>
    </row>
    <row r="439" spans="1:11">
      <c r="A439" t="s">
        <v>1860</v>
      </c>
      <c r="B439" t="s">
        <v>3509</v>
      </c>
      <c r="C439" t="s">
        <v>1861</v>
      </c>
      <c r="D439" t="s">
        <v>3518</v>
      </c>
      <c r="E439" t="s">
        <v>3928</v>
      </c>
      <c r="F439" t="s">
        <v>3511</v>
      </c>
      <c r="G439" t="s">
        <v>3512</v>
      </c>
      <c r="H439" t="s">
        <v>3513</v>
      </c>
      <c r="I439" t="s">
        <v>3476</v>
      </c>
      <c r="J439" t="s">
        <v>650</v>
      </c>
      <c r="K439" t="s">
        <v>3520</v>
      </c>
    </row>
    <row r="440" spans="1:11">
      <c r="A440" t="s">
        <v>1862</v>
      </c>
      <c r="B440" t="s">
        <v>3509</v>
      </c>
      <c r="C440" t="s">
        <v>1863</v>
      </c>
      <c r="D440" t="s">
        <v>3471</v>
      </c>
      <c r="E440" t="s">
        <v>3929</v>
      </c>
      <c r="F440" t="s">
        <v>3511</v>
      </c>
      <c r="G440" t="s">
        <v>3512</v>
      </c>
      <c r="H440" t="s">
        <v>3513</v>
      </c>
      <c r="I440" t="s">
        <v>3476</v>
      </c>
      <c r="J440" t="s">
        <v>650</v>
      </c>
    </row>
    <row r="441" spans="1:11">
      <c r="A441" t="s">
        <v>1862</v>
      </c>
      <c r="B441" t="s">
        <v>3509</v>
      </c>
      <c r="C441" t="s">
        <v>1863</v>
      </c>
      <c r="D441" t="s">
        <v>3477</v>
      </c>
      <c r="E441" t="s">
        <v>3930</v>
      </c>
      <c r="F441" t="s">
        <v>3511</v>
      </c>
      <c r="G441" t="s">
        <v>3512</v>
      </c>
      <c r="H441" t="s">
        <v>3513</v>
      </c>
      <c r="I441" t="s">
        <v>3476</v>
      </c>
      <c r="J441" t="s">
        <v>650</v>
      </c>
    </row>
    <row r="442" spans="1:11">
      <c r="A442" t="s">
        <v>1862</v>
      </c>
      <c r="B442" t="s">
        <v>3509</v>
      </c>
      <c r="C442" t="s">
        <v>1863</v>
      </c>
      <c r="D442" t="s">
        <v>3479</v>
      </c>
      <c r="E442" t="s">
        <v>3931</v>
      </c>
      <c r="F442" t="s">
        <v>3511</v>
      </c>
      <c r="G442" t="s">
        <v>3512</v>
      </c>
      <c r="H442" t="s">
        <v>3513</v>
      </c>
      <c r="I442" t="s">
        <v>3476</v>
      </c>
      <c r="J442" t="s">
        <v>650</v>
      </c>
    </row>
    <row r="443" spans="1:11">
      <c r="A443" t="s">
        <v>1862</v>
      </c>
      <c r="B443" t="s">
        <v>3509</v>
      </c>
      <c r="C443" t="s">
        <v>1863</v>
      </c>
      <c r="D443" t="s">
        <v>3481</v>
      </c>
      <c r="E443" t="s">
        <v>3932</v>
      </c>
      <c r="F443" t="s">
        <v>3511</v>
      </c>
      <c r="G443" t="s">
        <v>3512</v>
      </c>
      <c r="H443" t="s">
        <v>3513</v>
      </c>
      <c r="I443" t="s">
        <v>3476</v>
      </c>
      <c r="J443" t="s">
        <v>650</v>
      </c>
    </row>
    <row r="444" spans="1:11">
      <c r="A444" t="s">
        <v>1862</v>
      </c>
      <c r="B444" t="s">
        <v>3509</v>
      </c>
      <c r="C444" t="s">
        <v>1863</v>
      </c>
      <c r="D444" t="s">
        <v>3483</v>
      </c>
      <c r="E444" t="s">
        <v>3933</v>
      </c>
      <c r="F444" t="s">
        <v>3511</v>
      </c>
      <c r="G444" t="s">
        <v>3512</v>
      </c>
      <c r="H444" t="s">
        <v>3513</v>
      </c>
      <c r="I444" t="s">
        <v>3476</v>
      </c>
      <c r="J444" t="s">
        <v>650</v>
      </c>
    </row>
    <row r="445" spans="1:11">
      <c r="A445" t="s">
        <v>1862</v>
      </c>
      <c r="B445" t="s">
        <v>3509</v>
      </c>
      <c r="C445" t="s">
        <v>1863</v>
      </c>
      <c r="D445" t="s">
        <v>3518</v>
      </c>
      <c r="E445" t="s">
        <v>3934</v>
      </c>
      <c r="F445" t="s">
        <v>3511</v>
      </c>
      <c r="G445" t="s">
        <v>3512</v>
      </c>
      <c r="H445" t="s">
        <v>3513</v>
      </c>
      <c r="I445" t="s">
        <v>3476</v>
      </c>
      <c r="J445" t="s">
        <v>650</v>
      </c>
      <c r="K445" t="s">
        <v>3520</v>
      </c>
    </row>
    <row r="446" spans="1:11">
      <c r="A446" t="s">
        <v>1864</v>
      </c>
      <c r="B446" t="s">
        <v>3509</v>
      </c>
      <c r="C446" t="s">
        <v>1865</v>
      </c>
      <c r="D446" t="s">
        <v>3471</v>
      </c>
      <c r="E446" t="s">
        <v>3935</v>
      </c>
      <c r="F446" t="s">
        <v>3511</v>
      </c>
      <c r="G446" t="s">
        <v>3512</v>
      </c>
      <c r="H446" t="s">
        <v>3513</v>
      </c>
      <c r="I446" t="s">
        <v>3476</v>
      </c>
      <c r="J446" t="s">
        <v>650</v>
      </c>
    </row>
    <row r="447" spans="1:11">
      <c r="A447" t="s">
        <v>1864</v>
      </c>
      <c r="B447" t="s">
        <v>3509</v>
      </c>
      <c r="C447" t="s">
        <v>1865</v>
      </c>
      <c r="D447" t="s">
        <v>3477</v>
      </c>
      <c r="E447" t="s">
        <v>3936</v>
      </c>
      <c r="F447" t="s">
        <v>3511</v>
      </c>
      <c r="G447" t="s">
        <v>3512</v>
      </c>
      <c r="H447" t="s">
        <v>3513</v>
      </c>
      <c r="I447" t="s">
        <v>3476</v>
      </c>
      <c r="J447" t="s">
        <v>650</v>
      </c>
    </row>
    <row r="448" spans="1:11">
      <c r="A448" t="s">
        <v>1864</v>
      </c>
      <c r="B448" t="s">
        <v>3509</v>
      </c>
      <c r="C448" t="s">
        <v>1865</v>
      </c>
      <c r="D448" t="s">
        <v>3479</v>
      </c>
      <c r="E448" t="s">
        <v>3937</v>
      </c>
      <c r="F448" t="s">
        <v>3511</v>
      </c>
      <c r="G448" t="s">
        <v>3512</v>
      </c>
      <c r="H448" t="s">
        <v>3513</v>
      </c>
      <c r="I448" t="s">
        <v>3476</v>
      </c>
      <c r="J448" t="s">
        <v>650</v>
      </c>
    </row>
    <row r="449" spans="1:11">
      <c r="A449" t="s">
        <v>1864</v>
      </c>
      <c r="B449" t="s">
        <v>3509</v>
      </c>
      <c r="C449" t="s">
        <v>1865</v>
      </c>
      <c r="D449" t="s">
        <v>3481</v>
      </c>
      <c r="E449" t="s">
        <v>3938</v>
      </c>
      <c r="F449" t="s">
        <v>3511</v>
      </c>
      <c r="G449" t="s">
        <v>3512</v>
      </c>
      <c r="H449" t="s">
        <v>3513</v>
      </c>
      <c r="I449" t="s">
        <v>3476</v>
      </c>
      <c r="J449" t="s">
        <v>650</v>
      </c>
    </row>
    <row r="450" spans="1:11">
      <c r="A450" t="s">
        <v>1864</v>
      </c>
      <c r="B450" t="s">
        <v>3509</v>
      </c>
      <c r="C450" t="s">
        <v>1865</v>
      </c>
      <c r="D450" t="s">
        <v>3483</v>
      </c>
      <c r="E450" t="s">
        <v>3939</v>
      </c>
      <c r="F450" t="s">
        <v>3511</v>
      </c>
      <c r="G450" t="s">
        <v>3512</v>
      </c>
      <c r="H450" t="s">
        <v>3513</v>
      </c>
      <c r="I450" t="s">
        <v>3476</v>
      </c>
      <c r="J450" t="s">
        <v>650</v>
      </c>
    </row>
    <row r="451" spans="1:11">
      <c r="A451" t="s">
        <v>1864</v>
      </c>
      <c r="B451" t="s">
        <v>3509</v>
      </c>
      <c r="C451" t="s">
        <v>1865</v>
      </c>
      <c r="D451" t="s">
        <v>3518</v>
      </c>
      <c r="E451" t="s">
        <v>3940</v>
      </c>
      <c r="F451" t="s">
        <v>3511</v>
      </c>
      <c r="G451" t="s">
        <v>3512</v>
      </c>
      <c r="H451" t="s">
        <v>3513</v>
      </c>
      <c r="I451" t="s">
        <v>3476</v>
      </c>
      <c r="J451" t="s">
        <v>650</v>
      </c>
      <c r="K451" t="s">
        <v>3520</v>
      </c>
    </row>
    <row r="452" spans="1:11">
      <c r="A452" t="s">
        <v>1867</v>
      </c>
      <c r="B452" t="s">
        <v>3509</v>
      </c>
      <c r="C452" t="s">
        <v>1868</v>
      </c>
      <c r="D452" t="s">
        <v>3471</v>
      </c>
      <c r="E452" t="s">
        <v>3941</v>
      </c>
      <c r="F452" t="s">
        <v>3511</v>
      </c>
      <c r="G452" t="s">
        <v>3512</v>
      </c>
      <c r="H452" t="s">
        <v>3513</v>
      </c>
      <c r="I452" t="s">
        <v>3476</v>
      </c>
      <c r="J452" t="s">
        <v>650</v>
      </c>
    </row>
    <row r="453" spans="1:11">
      <c r="A453" t="s">
        <v>1867</v>
      </c>
      <c r="B453" t="s">
        <v>3509</v>
      </c>
      <c r="C453" t="s">
        <v>1868</v>
      </c>
      <c r="D453" t="s">
        <v>3477</v>
      </c>
      <c r="E453" t="s">
        <v>3942</v>
      </c>
      <c r="F453" t="s">
        <v>3511</v>
      </c>
      <c r="G453" t="s">
        <v>3512</v>
      </c>
      <c r="H453" t="s">
        <v>3513</v>
      </c>
      <c r="I453" t="s">
        <v>3476</v>
      </c>
      <c r="J453" t="s">
        <v>650</v>
      </c>
    </row>
    <row r="454" spans="1:11">
      <c r="A454" t="s">
        <v>1867</v>
      </c>
      <c r="B454" t="s">
        <v>3509</v>
      </c>
      <c r="C454" t="s">
        <v>1868</v>
      </c>
      <c r="D454" t="s">
        <v>3479</v>
      </c>
      <c r="E454" t="s">
        <v>3943</v>
      </c>
      <c r="F454" t="s">
        <v>3511</v>
      </c>
      <c r="G454" t="s">
        <v>3512</v>
      </c>
      <c r="H454" t="s">
        <v>3513</v>
      </c>
      <c r="I454" t="s">
        <v>3476</v>
      </c>
      <c r="J454" t="s">
        <v>650</v>
      </c>
    </row>
    <row r="455" spans="1:11">
      <c r="A455" t="s">
        <v>1867</v>
      </c>
      <c r="B455" t="s">
        <v>3509</v>
      </c>
      <c r="C455" t="s">
        <v>1868</v>
      </c>
      <c r="D455" t="s">
        <v>3481</v>
      </c>
      <c r="E455" t="s">
        <v>3944</v>
      </c>
      <c r="F455" t="s">
        <v>3511</v>
      </c>
      <c r="G455" t="s">
        <v>3512</v>
      </c>
      <c r="H455" t="s">
        <v>3513</v>
      </c>
      <c r="I455" t="s">
        <v>3476</v>
      </c>
      <c r="J455" t="s">
        <v>650</v>
      </c>
    </row>
    <row r="456" spans="1:11">
      <c r="A456" t="s">
        <v>1867</v>
      </c>
      <c r="B456" t="s">
        <v>3509</v>
      </c>
      <c r="C456" t="s">
        <v>1868</v>
      </c>
      <c r="D456" t="s">
        <v>3483</v>
      </c>
      <c r="E456" t="s">
        <v>3945</v>
      </c>
      <c r="F456" t="s">
        <v>3511</v>
      </c>
      <c r="G456" t="s">
        <v>3512</v>
      </c>
      <c r="H456" t="s">
        <v>3513</v>
      </c>
      <c r="I456" t="s">
        <v>3476</v>
      </c>
      <c r="J456" t="s">
        <v>650</v>
      </c>
    </row>
    <row r="457" spans="1:11">
      <c r="A457" t="s">
        <v>1867</v>
      </c>
      <c r="B457" t="s">
        <v>3509</v>
      </c>
      <c r="C457" t="s">
        <v>1868</v>
      </c>
      <c r="D457" t="s">
        <v>3518</v>
      </c>
      <c r="E457" t="s">
        <v>3946</v>
      </c>
      <c r="F457" t="s">
        <v>3511</v>
      </c>
      <c r="G457" t="s">
        <v>3512</v>
      </c>
      <c r="H457" t="s">
        <v>3513</v>
      </c>
      <c r="I457" t="s">
        <v>3476</v>
      </c>
      <c r="J457" t="s">
        <v>650</v>
      </c>
      <c r="K457" t="s">
        <v>3520</v>
      </c>
    </row>
    <row r="458" spans="1:11">
      <c r="A458" t="s">
        <v>1870</v>
      </c>
      <c r="B458" t="s">
        <v>3509</v>
      </c>
      <c r="C458" t="s">
        <v>1871</v>
      </c>
      <c r="D458" t="s">
        <v>3471</v>
      </c>
      <c r="E458" t="s">
        <v>3947</v>
      </c>
      <c r="F458" t="s">
        <v>3511</v>
      </c>
      <c r="G458" t="s">
        <v>3512</v>
      </c>
      <c r="H458" t="s">
        <v>3513</v>
      </c>
      <c r="I458" t="s">
        <v>3476</v>
      </c>
      <c r="J458" t="s">
        <v>650</v>
      </c>
    </row>
    <row r="459" spans="1:11">
      <c r="A459" t="s">
        <v>1870</v>
      </c>
      <c r="B459" t="s">
        <v>3509</v>
      </c>
      <c r="C459" t="s">
        <v>1871</v>
      </c>
      <c r="D459" t="s">
        <v>3477</v>
      </c>
      <c r="E459" t="s">
        <v>3948</v>
      </c>
      <c r="F459" t="s">
        <v>3511</v>
      </c>
      <c r="G459" t="s">
        <v>3512</v>
      </c>
      <c r="H459" t="s">
        <v>3513</v>
      </c>
      <c r="I459" t="s">
        <v>3476</v>
      </c>
      <c r="J459" t="s">
        <v>650</v>
      </c>
    </row>
    <row r="460" spans="1:11">
      <c r="A460" t="s">
        <v>1870</v>
      </c>
      <c r="B460" t="s">
        <v>3509</v>
      </c>
      <c r="C460" t="s">
        <v>1871</v>
      </c>
      <c r="D460" t="s">
        <v>3479</v>
      </c>
      <c r="E460" t="s">
        <v>3949</v>
      </c>
      <c r="F460" t="s">
        <v>3511</v>
      </c>
      <c r="G460" t="s">
        <v>3512</v>
      </c>
      <c r="H460" t="s">
        <v>3513</v>
      </c>
      <c r="I460" t="s">
        <v>3476</v>
      </c>
      <c r="J460" t="s">
        <v>650</v>
      </c>
    </row>
    <row r="461" spans="1:11">
      <c r="A461" t="s">
        <v>1870</v>
      </c>
      <c r="B461" t="s">
        <v>3509</v>
      </c>
      <c r="C461" t="s">
        <v>1871</v>
      </c>
      <c r="D461" t="s">
        <v>3481</v>
      </c>
      <c r="E461" t="s">
        <v>3950</v>
      </c>
      <c r="F461" t="s">
        <v>3511</v>
      </c>
      <c r="G461" t="s">
        <v>3512</v>
      </c>
      <c r="H461" t="s">
        <v>3513</v>
      </c>
      <c r="I461" t="s">
        <v>3476</v>
      </c>
      <c r="J461" t="s">
        <v>650</v>
      </c>
    </row>
    <row r="462" spans="1:11">
      <c r="A462" t="s">
        <v>1870</v>
      </c>
      <c r="B462" t="s">
        <v>3509</v>
      </c>
      <c r="C462" t="s">
        <v>1871</v>
      </c>
      <c r="D462" t="s">
        <v>3483</v>
      </c>
      <c r="E462" t="s">
        <v>3951</v>
      </c>
      <c r="F462" t="s">
        <v>3511</v>
      </c>
      <c r="G462" t="s">
        <v>3512</v>
      </c>
      <c r="H462" t="s">
        <v>3513</v>
      </c>
      <c r="I462" t="s">
        <v>3476</v>
      </c>
      <c r="J462" t="s">
        <v>650</v>
      </c>
    </row>
    <row r="463" spans="1:11">
      <c r="A463" t="s">
        <v>1870</v>
      </c>
      <c r="B463" t="s">
        <v>3509</v>
      </c>
      <c r="C463" t="s">
        <v>1871</v>
      </c>
      <c r="D463" t="s">
        <v>3518</v>
      </c>
      <c r="E463" t="s">
        <v>3952</v>
      </c>
      <c r="F463" t="s">
        <v>3511</v>
      </c>
      <c r="G463" t="s">
        <v>3512</v>
      </c>
      <c r="H463" t="s">
        <v>3513</v>
      </c>
      <c r="I463" t="s">
        <v>3476</v>
      </c>
      <c r="J463" t="s">
        <v>650</v>
      </c>
      <c r="K463" t="s">
        <v>3520</v>
      </c>
    </row>
    <row r="464" spans="1:11">
      <c r="A464" t="s">
        <v>1874</v>
      </c>
      <c r="B464" t="s">
        <v>3509</v>
      </c>
      <c r="C464" t="s">
        <v>1875</v>
      </c>
      <c r="D464" t="s">
        <v>3471</v>
      </c>
      <c r="E464" t="s">
        <v>3953</v>
      </c>
      <c r="F464" t="s">
        <v>3511</v>
      </c>
      <c r="G464" t="s">
        <v>3512</v>
      </c>
      <c r="H464" t="s">
        <v>3513</v>
      </c>
      <c r="I464" t="s">
        <v>3476</v>
      </c>
      <c r="J464" t="s">
        <v>650</v>
      </c>
    </row>
    <row r="465" spans="1:11">
      <c r="A465" t="s">
        <v>1874</v>
      </c>
      <c r="B465" t="s">
        <v>3509</v>
      </c>
      <c r="C465" t="s">
        <v>1875</v>
      </c>
      <c r="D465" t="s">
        <v>3477</v>
      </c>
      <c r="E465" t="s">
        <v>3954</v>
      </c>
      <c r="F465" t="s">
        <v>3511</v>
      </c>
      <c r="G465" t="s">
        <v>3512</v>
      </c>
      <c r="H465" t="s">
        <v>3513</v>
      </c>
      <c r="I465" t="s">
        <v>3476</v>
      </c>
      <c r="J465" t="s">
        <v>650</v>
      </c>
    </row>
    <row r="466" spans="1:11">
      <c r="A466" t="s">
        <v>1874</v>
      </c>
      <c r="B466" t="s">
        <v>3509</v>
      </c>
      <c r="C466" t="s">
        <v>1875</v>
      </c>
      <c r="D466" t="s">
        <v>3479</v>
      </c>
      <c r="E466" t="s">
        <v>3955</v>
      </c>
      <c r="F466" t="s">
        <v>3511</v>
      </c>
      <c r="G466" t="s">
        <v>3512</v>
      </c>
      <c r="H466" t="s">
        <v>3513</v>
      </c>
      <c r="I466" t="s">
        <v>3476</v>
      </c>
      <c r="J466" t="s">
        <v>650</v>
      </c>
    </row>
    <row r="467" spans="1:11">
      <c r="A467" t="s">
        <v>1874</v>
      </c>
      <c r="B467" t="s">
        <v>3509</v>
      </c>
      <c r="C467" t="s">
        <v>1875</v>
      </c>
      <c r="D467" t="s">
        <v>3481</v>
      </c>
      <c r="E467" t="s">
        <v>3956</v>
      </c>
      <c r="F467" t="s">
        <v>3511</v>
      </c>
      <c r="G467" t="s">
        <v>3512</v>
      </c>
      <c r="H467" t="s">
        <v>3513</v>
      </c>
      <c r="I467" t="s">
        <v>3476</v>
      </c>
      <c r="J467" t="s">
        <v>650</v>
      </c>
    </row>
    <row r="468" spans="1:11">
      <c r="A468" t="s">
        <v>1874</v>
      </c>
      <c r="B468" t="s">
        <v>3509</v>
      </c>
      <c r="C468" t="s">
        <v>1875</v>
      </c>
      <c r="D468" t="s">
        <v>3483</v>
      </c>
      <c r="E468" t="s">
        <v>3957</v>
      </c>
      <c r="F468" t="s">
        <v>3511</v>
      </c>
      <c r="G468" t="s">
        <v>3512</v>
      </c>
      <c r="H468" t="s">
        <v>3513</v>
      </c>
      <c r="I468" t="s">
        <v>3476</v>
      </c>
      <c r="J468" t="s">
        <v>650</v>
      </c>
    </row>
    <row r="469" spans="1:11">
      <c r="A469" t="s">
        <v>1874</v>
      </c>
      <c r="B469" t="s">
        <v>3509</v>
      </c>
      <c r="C469" t="s">
        <v>1875</v>
      </c>
      <c r="D469" t="s">
        <v>3518</v>
      </c>
      <c r="E469" t="s">
        <v>3958</v>
      </c>
      <c r="F469" t="s">
        <v>3511</v>
      </c>
      <c r="G469" t="s">
        <v>3512</v>
      </c>
      <c r="H469" t="s">
        <v>3513</v>
      </c>
      <c r="I469" t="s">
        <v>3476</v>
      </c>
      <c r="J469" t="s">
        <v>650</v>
      </c>
      <c r="K469" t="s">
        <v>3520</v>
      </c>
    </row>
    <row r="470" spans="1:11">
      <c r="A470" t="s">
        <v>1876</v>
      </c>
      <c r="B470" t="s">
        <v>3509</v>
      </c>
      <c r="C470" t="s">
        <v>1877</v>
      </c>
      <c r="D470" t="s">
        <v>3471</v>
      </c>
      <c r="E470" t="s">
        <v>3959</v>
      </c>
      <c r="F470" t="s">
        <v>3511</v>
      </c>
      <c r="G470" t="s">
        <v>3512</v>
      </c>
      <c r="H470" t="s">
        <v>3513</v>
      </c>
      <c r="I470" t="s">
        <v>3476</v>
      </c>
      <c r="J470" t="s">
        <v>650</v>
      </c>
    </row>
    <row r="471" spans="1:11">
      <c r="A471" t="s">
        <v>1876</v>
      </c>
      <c r="B471" t="s">
        <v>3509</v>
      </c>
      <c r="C471" t="s">
        <v>1877</v>
      </c>
      <c r="D471" t="s">
        <v>3477</v>
      </c>
      <c r="E471" t="s">
        <v>3960</v>
      </c>
      <c r="F471" t="s">
        <v>3511</v>
      </c>
      <c r="G471" t="s">
        <v>3512</v>
      </c>
      <c r="H471" t="s">
        <v>3513</v>
      </c>
      <c r="I471" t="s">
        <v>3476</v>
      </c>
      <c r="J471" t="s">
        <v>650</v>
      </c>
    </row>
    <row r="472" spans="1:11">
      <c r="A472" t="s">
        <v>1876</v>
      </c>
      <c r="B472" t="s">
        <v>3509</v>
      </c>
      <c r="C472" t="s">
        <v>1877</v>
      </c>
      <c r="D472" t="s">
        <v>3479</v>
      </c>
      <c r="E472" t="s">
        <v>3961</v>
      </c>
      <c r="F472" t="s">
        <v>3511</v>
      </c>
      <c r="G472" t="s">
        <v>3512</v>
      </c>
      <c r="H472" t="s">
        <v>3513</v>
      </c>
      <c r="I472" t="s">
        <v>3476</v>
      </c>
      <c r="J472" t="s">
        <v>650</v>
      </c>
    </row>
    <row r="473" spans="1:11">
      <c r="A473" t="s">
        <v>1876</v>
      </c>
      <c r="B473" t="s">
        <v>3509</v>
      </c>
      <c r="C473" t="s">
        <v>1877</v>
      </c>
      <c r="D473" t="s">
        <v>3481</v>
      </c>
      <c r="E473" t="s">
        <v>3962</v>
      </c>
      <c r="F473" t="s">
        <v>3511</v>
      </c>
      <c r="G473" t="s">
        <v>3512</v>
      </c>
      <c r="H473" t="s">
        <v>3513</v>
      </c>
      <c r="I473" t="s">
        <v>3476</v>
      </c>
      <c r="J473" t="s">
        <v>650</v>
      </c>
    </row>
    <row r="474" spans="1:11">
      <c r="A474" t="s">
        <v>1876</v>
      </c>
      <c r="B474" t="s">
        <v>3509</v>
      </c>
      <c r="C474" t="s">
        <v>1877</v>
      </c>
      <c r="D474" t="s">
        <v>3483</v>
      </c>
      <c r="E474" t="s">
        <v>3963</v>
      </c>
      <c r="F474" t="s">
        <v>3511</v>
      </c>
      <c r="G474" t="s">
        <v>3512</v>
      </c>
      <c r="H474" t="s">
        <v>3513</v>
      </c>
      <c r="I474" t="s">
        <v>3476</v>
      </c>
      <c r="J474" t="s">
        <v>650</v>
      </c>
    </row>
    <row r="475" spans="1:11">
      <c r="A475" t="s">
        <v>1876</v>
      </c>
      <c r="B475" t="s">
        <v>3509</v>
      </c>
      <c r="C475" t="s">
        <v>1877</v>
      </c>
      <c r="D475" t="s">
        <v>3518</v>
      </c>
      <c r="E475" t="s">
        <v>3964</v>
      </c>
      <c r="F475" t="s">
        <v>3511</v>
      </c>
      <c r="G475" t="s">
        <v>3512</v>
      </c>
      <c r="H475" t="s">
        <v>3513</v>
      </c>
      <c r="I475" t="s">
        <v>3476</v>
      </c>
      <c r="J475" t="s">
        <v>650</v>
      </c>
      <c r="K475" t="s">
        <v>3520</v>
      </c>
    </row>
    <row r="476" spans="1:11">
      <c r="A476" t="s">
        <v>1878</v>
      </c>
      <c r="B476" t="s">
        <v>3509</v>
      </c>
      <c r="C476" t="s">
        <v>1879</v>
      </c>
      <c r="D476" t="s">
        <v>3471</v>
      </c>
      <c r="E476" t="s">
        <v>3965</v>
      </c>
      <c r="F476" t="s">
        <v>3511</v>
      </c>
      <c r="G476" t="s">
        <v>3512</v>
      </c>
      <c r="H476" t="s">
        <v>3513</v>
      </c>
      <c r="I476" t="s">
        <v>3476</v>
      </c>
      <c r="J476" t="s">
        <v>650</v>
      </c>
    </row>
    <row r="477" spans="1:11">
      <c r="A477" t="s">
        <v>1878</v>
      </c>
      <c r="B477" t="s">
        <v>3509</v>
      </c>
      <c r="C477" t="s">
        <v>1879</v>
      </c>
      <c r="D477" t="s">
        <v>3477</v>
      </c>
      <c r="E477" t="s">
        <v>3966</v>
      </c>
      <c r="F477" t="s">
        <v>3511</v>
      </c>
      <c r="G477" t="s">
        <v>3512</v>
      </c>
      <c r="H477" t="s">
        <v>3513</v>
      </c>
      <c r="I477" t="s">
        <v>3476</v>
      </c>
      <c r="J477" t="s">
        <v>650</v>
      </c>
    </row>
    <row r="478" spans="1:11">
      <c r="A478" t="s">
        <v>1878</v>
      </c>
      <c r="B478" t="s">
        <v>3509</v>
      </c>
      <c r="C478" t="s">
        <v>1879</v>
      </c>
      <c r="D478" t="s">
        <v>3479</v>
      </c>
      <c r="E478" t="s">
        <v>3967</v>
      </c>
      <c r="F478" t="s">
        <v>3511</v>
      </c>
      <c r="G478" t="s">
        <v>3512</v>
      </c>
      <c r="H478" t="s">
        <v>3513</v>
      </c>
      <c r="I478" t="s">
        <v>3476</v>
      </c>
      <c r="J478" t="s">
        <v>650</v>
      </c>
    </row>
    <row r="479" spans="1:11">
      <c r="A479" t="s">
        <v>1878</v>
      </c>
      <c r="B479" t="s">
        <v>3509</v>
      </c>
      <c r="C479" t="s">
        <v>1879</v>
      </c>
      <c r="D479" t="s">
        <v>3481</v>
      </c>
      <c r="E479" t="s">
        <v>3968</v>
      </c>
      <c r="F479" t="s">
        <v>3511</v>
      </c>
      <c r="G479" t="s">
        <v>3512</v>
      </c>
      <c r="H479" t="s">
        <v>3513</v>
      </c>
      <c r="I479" t="s">
        <v>3476</v>
      </c>
      <c r="J479" t="s">
        <v>650</v>
      </c>
    </row>
    <row r="480" spans="1:11">
      <c r="A480" t="s">
        <v>1878</v>
      </c>
      <c r="B480" t="s">
        <v>3509</v>
      </c>
      <c r="C480" t="s">
        <v>1879</v>
      </c>
      <c r="D480" t="s">
        <v>3483</v>
      </c>
      <c r="E480" t="s">
        <v>3969</v>
      </c>
      <c r="F480" t="s">
        <v>3511</v>
      </c>
      <c r="G480" t="s">
        <v>3512</v>
      </c>
      <c r="H480" t="s">
        <v>3513</v>
      </c>
      <c r="I480" t="s">
        <v>3476</v>
      </c>
      <c r="J480" t="s">
        <v>650</v>
      </c>
    </row>
    <row r="481" spans="1:11">
      <c r="A481" t="s">
        <v>1878</v>
      </c>
      <c r="B481" t="s">
        <v>3509</v>
      </c>
      <c r="C481" t="s">
        <v>1879</v>
      </c>
      <c r="D481" t="s">
        <v>3518</v>
      </c>
      <c r="E481" t="s">
        <v>3970</v>
      </c>
      <c r="F481" t="s">
        <v>3511</v>
      </c>
      <c r="G481" t="s">
        <v>3512</v>
      </c>
      <c r="H481" t="s">
        <v>3513</v>
      </c>
      <c r="I481" t="s">
        <v>3476</v>
      </c>
      <c r="J481" t="s">
        <v>650</v>
      </c>
      <c r="K481" t="s">
        <v>3520</v>
      </c>
    </row>
    <row r="482" spans="1:11">
      <c r="A482" t="s">
        <v>1880</v>
      </c>
      <c r="B482" t="s">
        <v>3509</v>
      </c>
      <c r="C482" t="s">
        <v>1881</v>
      </c>
      <c r="D482" t="s">
        <v>3471</v>
      </c>
      <c r="E482" t="s">
        <v>3971</v>
      </c>
      <c r="F482" t="s">
        <v>3511</v>
      </c>
      <c r="G482" t="s">
        <v>3512</v>
      </c>
      <c r="H482" t="s">
        <v>3513</v>
      </c>
      <c r="I482" t="s">
        <v>3476</v>
      </c>
      <c r="J482" t="s">
        <v>650</v>
      </c>
    </row>
    <row r="483" spans="1:11">
      <c r="A483" t="s">
        <v>1880</v>
      </c>
      <c r="B483" t="s">
        <v>3509</v>
      </c>
      <c r="C483" t="s">
        <v>1881</v>
      </c>
      <c r="D483" t="s">
        <v>3477</v>
      </c>
      <c r="E483" t="s">
        <v>3972</v>
      </c>
      <c r="F483" t="s">
        <v>3511</v>
      </c>
      <c r="G483" t="s">
        <v>3512</v>
      </c>
      <c r="H483" t="s">
        <v>3513</v>
      </c>
      <c r="I483" t="s">
        <v>3476</v>
      </c>
      <c r="J483" t="s">
        <v>650</v>
      </c>
    </row>
    <row r="484" spans="1:11">
      <c r="A484" t="s">
        <v>1880</v>
      </c>
      <c r="B484" t="s">
        <v>3509</v>
      </c>
      <c r="C484" t="s">
        <v>1881</v>
      </c>
      <c r="D484" t="s">
        <v>3479</v>
      </c>
      <c r="E484" t="s">
        <v>3973</v>
      </c>
      <c r="F484" t="s">
        <v>3511</v>
      </c>
      <c r="G484" t="s">
        <v>3512</v>
      </c>
      <c r="H484" t="s">
        <v>3513</v>
      </c>
      <c r="I484" t="s">
        <v>3476</v>
      </c>
      <c r="J484" t="s">
        <v>650</v>
      </c>
    </row>
    <row r="485" spans="1:11">
      <c r="A485" t="s">
        <v>1880</v>
      </c>
      <c r="B485" t="s">
        <v>3509</v>
      </c>
      <c r="C485" t="s">
        <v>1881</v>
      </c>
      <c r="D485" t="s">
        <v>3481</v>
      </c>
      <c r="E485" t="s">
        <v>3974</v>
      </c>
      <c r="F485" t="s">
        <v>3511</v>
      </c>
      <c r="G485" t="s">
        <v>3512</v>
      </c>
      <c r="H485" t="s">
        <v>3513</v>
      </c>
      <c r="I485" t="s">
        <v>3476</v>
      </c>
      <c r="J485" t="s">
        <v>650</v>
      </c>
    </row>
    <row r="486" spans="1:11">
      <c r="A486" t="s">
        <v>1880</v>
      </c>
      <c r="B486" t="s">
        <v>3509</v>
      </c>
      <c r="C486" t="s">
        <v>1881</v>
      </c>
      <c r="D486" t="s">
        <v>3483</v>
      </c>
      <c r="E486" t="s">
        <v>3975</v>
      </c>
      <c r="F486" t="s">
        <v>3511</v>
      </c>
      <c r="G486" t="s">
        <v>3512</v>
      </c>
      <c r="H486" t="s">
        <v>3513</v>
      </c>
      <c r="I486" t="s">
        <v>3476</v>
      </c>
      <c r="J486" t="s">
        <v>650</v>
      </c>
    </row>
    <row r="487" spans="1:11">
      <c r="A487" t="s">
        <v>1880</v>
      </c>
      <c r="B487" t="s">
        <v>3509</v>
      </c>
      <c r="C487" t="s">
        <v>1881</v>
      </c>
      <c r="D487" t="s">
        <v>3518</v>
      </c>
      <c r="E487" t="s">
        <v>3976</v>
      </c>
      <c r="F487" t="s">
        <v>3511</v>
      </c>
      <c r="G487" t="s">
        <v>3512</v>
      </c>
      <c r="H487" t="s">
        <v>3513</v>
      </c>
      <c r="I487" t="s">
        <v>3476</v>
      </c>
      <c r="J487" t="s">
        <v>650</v>
      </c>
      <c r="K487" t="s">
        <v>3520</v>
      </c>
    </row>
    <row r="488" spans="1:11">
      <c r="A488" t="s">
        <v>1883</v>
      </c>
      <c r="B488" t="s">
        <v>3509</v>
      </c>
      <c r="C488" t="s">
        <v>1884</v>
      </c>
      <c r="D488" t="s">
        <v>3471</v>
      </c>
      <c r="E488" t="s">
        <v>3977</v>
      </c>
      <c r="F488" t="s">
        <v>3511</v>
      </c>
      <c r="G488" t="s">
        <v>3512</v>
      </c>
      <c r="H488" t="s">
        <v>3513</v>
      </c>
      <c r="I488" t="s">
        <v>3476</v>
      </c>
      <c r="J488" t="s">
        <v>650</v>
      </c>
    </row>
    <row r="489" spans="1:11">
      <c r="A489" t="s">
        <v>1883</v>
      </c>
      <c r="B489" t="s">
        <v>3509</v>
      </c>
      <c r="C489" t="s">
        <v>1884</v>
      </c>
      <c r="D489" t="s">
        <v>3477</v>
      </c>
      <c r="E489" t="s">
        <v>3978</v>
      </c>
      <c r="F489" t="s">
        <v>3511</v>
      </c>
      <c r="G489" t="s">
        <v>3512</v>
      </c>
      <c r="H489" t="s">
        <v>3513</v>
      </c>
      <c r="I489" t="s">
        <v>3476</v>
      </c>
      <c r="J489" t="s">
        <v>650</v>
      </c>
    </row>
    <row r="490" spans="1:11">
      <c r="A490" t="s">
        <v>1883</v>
      </c>
      <c r="B490" t="s">
        <v>3509</v>
      </c>
      <c r="C490" t="s">
        <v>1884</v>
      </c>
      <c r="D490" t="s">
        <v>3479</v>
      </c>
      <c r="E490" t="s">
        <v>3979</v>
      </c>
      <c r="F490" t="s">
        <v>3511</v>
      </c>
      <c r="G490" t="s">
        <v>3512</v>
      </c>
      <c r="H490" t="s">
        <v>3513</v>
      </c>
      <c r="I490" t="s">
        <v>3476</v>
      </c>
      <c r="J490" t="s">
        <v>650</v>
      </c>
    </row>
    <row r="491" spans="1:11">
      <c r="A491" t="s">
        <v>1883</v>
      </c>
      <c r="B491" t="s">
        <v>3509</v>
      </c>
      <c r="C491" t="s">
        <v>1884</v>
      </c>
      <c r="D491" t="s">
        <v>3481</v>
      </c>
      <c r="E491" t="s">
        <v>3980</v>
      </c>
      <c r="F491" t="s">
        <v>3511</v>
      </c>
      <c r="G491" t="s">
        <v>3512</v>
      </c>
      <c r="H491" t="s">
        <v>3513</v>
      </c>
      <c r="I491" t="s">
        <v>3476</v>
      </c>
      <c r="J491" t="s">
        <v>650</v>
      </c>
    </row>
    <row r="492" spans="1:11">
      <c r="A492" t="s">
        <v>1883</v>
      </c>
      <c r="B492" t="s">
        <v>3509</v>
      </c>
      <c r="C492" t="s">
        <v>1884</v>
      </c>
      <c r="D492" t="s">
        <v>3483</v>
      </c>
      <c r="E492" t="s">
        <v>3981</v>
      </c>
      <c r="F492" t="s">
        <v>3511</v>
      </c>
      <c r="G492" t="s">
        <v>3512</v>
      </c>
      <c r="H492" t="s">
        <v>3513</v>
      </c>
      <c r="I492" t="s">
        <v>3476</v>
      </c>
      <c r="J492" t="s">
        <v>650</v>
      </c>
    </row>
    <row r="493" spans="1:11">
      <c r="A493" t="s">
        <v>1883</v>
      </c>
      <c r="B493" t="s">
        <v>3509</v>
      </c>
      <c r="C493" t="s">
        <v>1884</v>
      </c>
      <c r="D493" t="s">
        <v>3518</v>
      </c>
      <c r="E493" t="s">
        <v>3982</v>
      </c>
      <c r="F493" t="s">
        <v>3511</v>
      </c>
      <c r="G493" t="s">
        <v>3512</v>
      </c>
      <c r="H493" t="s">
        <v>3513</v>
      </c>
      <c r="I493" t="s">
        <v>3476</v>
      </c>
      <c r="J493" t="s">
        <v>650</v>
      </c>
      <c r="K493" t="s">
        <v>3520</v>
      </c>
    </row>
    <row r="494" spans="1:11">
      <c r="A494" t="s">
        <v>1886</v>
      </c>
      <c r="B494" t="s">
        <v>3509</v>
      </c>
      <c r="C494" t="s">
        <v>1887</v>
      </c>
      <c r="D494" t="s">
        <v>3471</v>
      </c>
      <c r="E494" t="s">
        <v>3983</v>
      </c>
      <c r="F494" t="s">
        <v>3511</v>
      </c>
      <c r="G494" t="s">
        <v>3512</v>
      </c>
      <c r="H494" t="s">
        <v>3513</v>
      </c>
      <c r="I494" t="s">
        <v>3476</v>
      </c>
      <c r="J494" t="s">
        <v>650</v>
      </c>
    </row>
    <row r="495" spans="1:11">
      <c r="A495" t="s">
        <v>1886</v>
      </c>
      <c r="B495" t="s">
        <v>3509</v>
      </c>
      <c r="C495" t="s">
        <v>1887</v>
      </c>
      <c r="D495" t="s">
        <v>3477</v>
      </c>
      <c r="E495" t="s">
        <v>3984</v>
      </c>
      <c r="F495" t="s">
        <v>3511</v>
      </c>
      <c r="G495" t="s">
        <v>3512</v>
      </c>
      <c r="H495" t="s">
        <v>3513</v>
      </c>
      <c r="I495" t="s">
        <v>3476</v>
      </c>
      <c r="J495" t="s">
        <v>650</v>
      </c>
    </row>
    <row r="496" spans="1:11">
      <c r="A496" t="s">
        <v>1886</v>
      </c>
      <c r="B496" t="s">
        <v>3509</v>
      </c>
      <c r="C496" t="s">
        <v>1887</v>
      </c>
      <c r="D496" t="s">
        <v>3479</v>
      </c>
      <c r="E496" t="s">
        <v>3985</v>
      </c>
      <c r="F496" t="s">
        <v>3511</v>
      </c>
      <c r="G496" t="s">
        <v>3512</v>
      </c>
      <c r="H496" t="s">
        <v>3513</v>
      </c>
      <c r="I496" t="s">
        <v>3476</v>
      </c>
      <c r="J496" t="s">
        <v>650</v>
      </c>
    </row>
    <row r="497" spans="1:11">
      <c r="A497" t="s">
        <v>1886</v>
      </c>
      <c r="B497" t="s">
        <v>3509</v>
      </c>
      <c r="C497" t="s">
        <v>1887</v>
      </c>
      <c r="D497" t="s">
        <v>3481</v>
      </c>
      <c r="E497" t="s">
        <v>3986</v>
      </c>
      <c r="F497" t="s">
        <v>3511</v>
      </c>
      <c r="G497" t="s">
        <v>3512</v>
      </c>
      <c r="H497" t="s">
        <v>3513</v>
      </c>
      <c r="I497" t="s">
        <v>3476</v>
      </c>
      <c r="J497" t="s">
        <v>650</v>
      </c>
    </row>
    <row r="498" spans="1:11">
      <c r="A498" t="s">
        <v>1886</v>
      </c>
      <c r="B498" t="s">
        <v>3509</v>
      </c>
      <c r="C498" t="s">
        <v>1887</v>
      </c>
      <c r="D498" t="s">
        <v>3483</v>
      </c>
      <c r="E498" t="s">
        <v>3987</v>
      </c>
      <c r="F498" t="s">
        <v>3511</v>
      </c>
      <c r="G498" t="s">
        <v>3512</v>
      </c>
      <c r="H498" t="s">
        <v>3513</v>
      </c>
      <c r="I498" t="s">
        <v>3476</v>
      </c>
      <c r="J498" t="s">
        <v>650</v>
      </c>
    </row>
    <row r="499" spans="1:11">
      <c r="A499" t="s">
        <v>1886</v>
      </c>
      <c r="B499" t="s">
        <v>3509</v>
      </c>
      <c r="C499" t="s">
        <v>1887</v>
      </c>
      <c r="D499" t="s">
        <v>3518</v>
      </c>
      <c r="E499" t="s">
        <v>3988</v>
      </c>
      <c r="F499" t="s">
        <v>3511</v>
      </c>
      <c r="G499" t="s">
        <v>3512</v>
      </c>
      <c r="H499" t="s">
        <v>3513</v>
      </c>
      <c r="I499" t="s">
        <v>3476</v>
      </c>
      <c r="J499" t="s">
        <v>650</v>
      </c>
      <c r="K499" t="s">
        <v>3520</v>
      </c>
    </row>
    <row r="500" spans="1:11">
      <c r="A500" t="s">
        <v>1888</v>
      </c>
      <c r="B500" t="s">
        <v>3509</v>
      </c>
      <c r="C500" t="s">
        <v>1889</v>
      </c>
      <c r="D500" t="s">
        <v>3471</v>
      </c>
      <c r="E500" t="s">
        <v>3989</v>
      </c>
      <c r="F500" t="s">
        <v>3511</v>
      </c>
      <c r="G500" t="s">
        <v>3512</v>
      </c>
      <c r="H500" t="s">
        <v>3513</v>
      </c>
      <c r="I500" t="s">
        <v>3476</v>
      </c>
      <c r="J500" t="s">
        <v>650</v>
      </c>
    </row>
    <row r="501" spans="1:11">
      <c r="A501" t="s">
        <v>1888</v>
      </c>
      <c r="B501" t="s">
        <v>3509</v>
      </c>
      <c r="C501" t="s">
        <v>1889</v>
      </c>
      <c r="D501" t="s">
        <v>3477</v>
      </c>
      <c r="E501" t="s">
        <v>3990</v>
      </c>
      <c r="F501" t="s">
        <v>3511</v>
      </c>
      <c r="G501" t="s">
        <v>3512</v>
      </c>
      <c r="H501" t="s">
        <v>3513</v>
      </c>
      <c r="I501" t="s">
        <v>3476</v>
      </c>
      <c r="J501" t="s">
        <v>650</v>
      </c>
    </row>
    <row r="502" spans="1:11">
      <c r="A502" t="s">
        <v>1888</v>
      </c>
      <c r="B502" t="s">
        <v>3509</v>
      </c>
      <c r="C502" t="s">
        <v>1889</v>
      </c>
      <c r="D502" t="s">
        <v>3479</v>
      </c>
      <c r="E502" t="s">
        <v>3991</v>
      </c>
      <c r="F502" t="s">
        <v>3511</v>
      </c>
      <c r="G502" t="s">
        <v>3512</v>
      </c>
      <c r="H502" t="s">
        <v>3513</v>
      </c>
      <c r="I502" t="s">
        <v>3476</v>
      </c>
      <c r="J502" t="s">
        <v>650</v>
      </c>
    </row>
    <row r="503" spans="1:11">
      <c r="A503" t="s">
        <v>1888</v>
      </c>
      <c r="B503" t="s">
        <v>3509</v>
      </c>
      <c r="C503" t="s">
        <v>1889</v>
      </c>
      <c r="D503" t="s">
        <v>3481</v>
      </c>
      <c r="E503" t="s">
        <v>3992</v>
      </c>
      <c r="F503" t="s">
        <v>3511</v>
      </c>
      <c r="G503" t="s">
        <v>3512</v>
      </c>
      <c r="H503" t="s">
        <v>3513</v>
      </c>
      <c r="I503" t="s">
        <v>3476</v>
      </c>
      <c r="J503" t="s">
        <v>650</v>
      </c>
    </row>
    <row r="504" spans="1:11">
      <c r="A504" t="s">
        <v>1888</v>
      </c>
      <c r="B504" t="s">
        <v>3509</v>
      </c>
      <c r="C504" t="s">
        <v>1889</v>
      </c>
      <c r="D504" t="s">
        <v>3483</v>
      </c>
      <c r="E504" t="s">
        <v>3993</v>
      </c>
      <c r="F504" t="s">
        <v>3511</v>
      </c>
      <c r="G504" t="s">
        <v>3512</v>
      </c>
      <c r="H504" t="s">
        <v>3513</v>
      </c>
      <c r="I504" t="s">
        <v>3476</v>
      </c>
      <c r="J504" t="s">
        <v>650</v>
      </c>
    </row>
    <row r="505" spans="1:11">
      <c r="A505" t="s">
        <v>1888</v>
      </c>
      <c r="B505" t="s">
        <v>3509</v>
      </c>
      <c r="C505" t="s">
        <v>1889</v>
      </c>
      <c r="D505" t="s">
        <v>3518</v>
      </c>
      <c r="E505" t="s">
        <v>3994</v>
      </c>
      <c r="F505" t="s">
        <v>3511</v>
      </c>
      <c r="G505" t="s">
        <v>3512</v>
      </c>
      <c r="H505" t="s">
        <v>3513</v>
      </c>
      <c r="I505" t="s">
        <v>3476</v>
      </c>
      <c r="J505" t="s">
        <v>650</v>
      </c>
      <c r="K505" t="s">
        <v>3520</v>
      </c>
    </row>
    <row r="506" spans="1:11">
      <c r="A506" t="s">
        <v>1890</v>
      </c>
      <c r="B506" t="s">
        <v>3509</v>
      </c>
      <c r="C506" t="s">
        <v>1891</v>
      </c>
      <c r="D506" t="s">
        <v>3471</v>
      </c>
      <c r="E506" t="s">
        <v>3995</v>
      </c>
      <c r="F506" t="s">
        <v>3511</v>
      </c>
      <c r="G506" t="s">
        <v>3512</v>
      </c>
      <c r="H506" t="s">
        <v>3513</v>
      </c>
      <c r="I506" t="s">
        <v>3476</v>
      </c>
      <c r="J506" t="s">
        <v>650</v>
      </c>
    </row>
    <row r="507" spans="1:11">
      <c r="A507" t="s">
        <v>1890</v>
      </c>
      <c r="B507" t="s">
        <v>3509</v>
      </c>
      <c r="C507" t="s">
        <v>1891</v>
      </c>
      <c r="D507" t="s">
        <v>3477</v>
      </c>
      <c r="E507" t="s">
        <v>3996</v>
      </c>
      <c r="F507" t="s">
        <v>3511</v>
      </c>
      <c r="G507" t="s">
        <v>3512</v>
      </c>
      <c r="H507" t="s">
        <v>3513</v>
      </c>
      <c r="I507" t="s">
        <v>3476</v>
      </c>
      <c r="J507" t="s">
        <v>650</v>
      </c>
    </row>
    <row r="508" spans="1:11">
      <c r="A508" t="s">
        <v>1890</v>
      </c>
      <c r="B508" t="s">
        <v>3509</v>
      </c>
      <c r="C508" t="s">
        <v>1891</v>
      </c>
      <c r="D508" t="s">
        <v>3479</v>
      </c>
      <c r="E508" t="s">
        <v>3997</v>
      </c>
      <c r="F508" t="s">
        <v>3511</v>
      </c>
      <c r="G508" t="s">
        <v>3512</v>
      </c>
      <c r="H508" t="s">
        <v>3513</v>
      </c>
      <c r="I508" t="s">
        <v>3476</v>
      </c>
      <c r="J508" t="s">
        <v>650</v>
      </c>
    </row>
    <row r="509" spans="1:11">
      <c r="A509" t="s">
        <v>1890</v>
      </c>
      <c r="B509" t="s">
        <v>3509</v>
      </c>
      <c r="C509" t="s">
        <v>1891</v>
      </c>
      <c r="D509" t="s">
        <v>3481</v>
      </c>
      <c r="E509" t="s">
        <v>3998</v>
      </c>
      <c r="F509" t="s">
        <v>3511</v>
      </c>
      <c r="G509" t="s">
        <v>3512</v>
      </c>
      <c r="H509" t="s">
        <v>3513</v>
      </c>
      <c r="I509" t="s">
        <v>3476</v>
      </c>
      <c r="J509" t="s">
        <v>650</v>
      </c>
    </row>
    <row r="510" spans="1:11">
      <c r="A510" t="s">
        <v>1890</v>
      </c>
      <c r="B510" t="s">
        <v>3509</v>
      </c>
      <c r="C510" t="s">
        <v>1891</v>
      </c>
      <c r="D510" t="s">
        <v>3483</v>
      </c>
      <c r="E510" t="s">
        <v>3999</v>
      </c>
      <c r="F510" t="s">
        <v>3511</v>
      </c>
      <c r="G510" t="s">
        <v>3512</v>
      </c>
      <c r="H510" t="s">
        <v>3513</v>
      </c>
      <c r="I510" t="s">
        <v>3476</v>
      </c>
      <c r="J510" t="s">
        <v>650</v>
      </c>
    </row>
    <row r="511" spans="1:11">
      <c r="A511" t="s">
        <v>1890</v>
      </c>
      <c r="B511" t="s">
        <v>3509</v>
      </c>
      <c r="C511" t="s">
        <v>1891</v>
      </c>
      <c r="D511" t="s">
        <v>3518</v>
      </c>
      <c r="E511" t="s">
        <v>4000</v>
      </c>
      <c r="F511" t="s">
        <v>3511</v>
      </c>
      <c r="G511" t="s">
        <v>3512</v>
      </c>
      <c r="H511" t="s">
        <v>3513</v>
      </c>
      <c r="I511" t="s">
        <v>3476</v>
      </c>
      <c r="J511" t="s">
        <v>650</v>
      </c>
      <c r="K511" t="s">
        <v>3520</v>
      </c>
    </row>
    <row r="512" spans="1:11">
      <c r="A512" t="s">
        <v>1892</v>
      </c>
      <c r="B512" t="s">
        <v>3509</v>
      </c>
      <c r="C512" t="s">
        <v>1893</v>
      </c>
      <c r="D512" t="s">
        <v>3471</v>
      </c>
      <c r="E512" t="s">
        <v>4001</v>
      </c>
      <c r="F512" t="s">
        <v>3511</v>
      </c>
      <c r="G512" t="s">
        <v>3512</v>
      </c>
      <c r="H512" t="s">
        <v>3513</v>
      </c>
      <c r="I512" t="s">
        <v>3476</v>
      </c>
      <c r="J512" t="s">
        <v>650</v>
      </c>
    </row>
    <row r="513" spans="1:11">
      <c r="A513" t="s">
        <v>1892</v>
      </c>
      <c r="B513" t="s">
        <v>3509</v>
      </c>
      <c r="C513" t="s">
        <v>1893</v>
      </c>
      <c r="D513" t="s">
        <v>3477</v>
      </c>
      <c r="E513" t="s">
        <v>4002</v>
      </c>
      <c r="F513" t="s">
        <v>3511</v>
      </c>
      <c r="G513" t="s">
        <v>3512</v>
      </c>
      <c r="H513" t="s">
        <v>3513</v>
      </c>
      <c r="I513" t="s">
        <v>3476</v>
      </c>
      <c r="J513" t="s">
        <v>650</v>
      </c>
    </row>
    <row r="514" spans="1:11">
      <c r="A514" t="s">
        <v>1892</v>
      </c>
      <c r="B514" t="s">
        <v>3509</v>
      </c>
      <c r="C514" t="s">
        <v>1893</v>
      </c>
      <c r="D514" t="s">
        <v>3479</v>
      </c>
      <c r="E514" t="s">
        <v>4003</v>
      </c>
      <c r="F514" t="s">
        <v>3511</v>
      </c>
      <c r="G514" t="s">
        <v>3512</v>
      </c>
      <c r="H514" t="s">
        <v>3513</v>
      </c>
      <c r="I514" t="s">
        <v>3476</v>
      </c>
      <c r="J514" t="s">
        <v>650</v>
      </c>
    </row>
    <row r="515" spans="1:11">
      <c r="A515" t="s">
        <v>1892</v>
      </c>
      <c r="B515" t="s">
        <v>3509</v>
      </c>
      <c r="C515" t="s">
        <v>1893</v>
      </c>
      <c r="D515" t="s">
        <v>3481</v>
      </c>
      <c r="E515" t="s">
        <v>4004</v>
      </c>
      <c r="F515" t="s">
        <v>3511</v>
      </c>
      <c r="G515" t="s">
        <v>3512</v>
      </c>
      <c r="H515" t="s">
        <v>3513</v>
      </c>
      <c r="I515" t="s">
        <v>3476</v>
      </c>
      <c r="J515" t="s">
        <v>650</v>
      </c>
    </row>
    <row r="516" spans="1:11">
      <c r="A516" t="s">
        <v>1892</v>
      </c>
      <c r="B516" t="s">
        <v>3509</v>
      </c>
      <c r="C516" t="s">
        <v>1893</v>
      </c>
      <c r="D516" t="s">
        <v>3483</v>
      </c>
      <c r="E516" t="s">
        <v>4005</v>
      </c>
      <c r="F516" t="s">
        <v>3511</v>
      </c>
      <c r="G516" t="s">
        <v>3512</v>
      </c>
      <c r="H516" t="s">
        <v>3513</v>
      </c>
      <c r="I516" t="s">
        <v>3476</v>
      </c>
      <c r="J516" t="s">
        <v>650</v>
      </c>
    </row>
    <row r="517" spans="1:11">
      <c r="A517" t="s">
        <v>1892</v>
      </c>
      <c r="B517" t="s">
        <v>3509</v>
      </c>
      <c r="C517" t="s">
        <v>1893</v>
      </c>
      <c r="D517" t="s">
        <v>3518</v>
      </c>
      <c r="E517" t="s">
        <v>4006</v>
      </c>
      <c r="F517" t="s">
        <v>3511</v>
      </c>
      <c r="G517" t="s">
        <v>3512</v>
      </c>
      <c r="H517" t="s">
        <v>3513</v>
      </c>
      <c r="I517" t="s">
        <v>3476</v>
      </c>
      <c r="J517" t="s">
        <v>650</v>
      </c>
      <c r="K517" t="s">
        <v>3520</v>
      </c>
    </row>
    <row r="518" spans="1:11">
      <c r="A518" t="s">
        <v>1895</v>
      </c>
      <c r="B518" t="s">
        <v>3509</v>
      </c>
      <c r="C518" t="s">
        <v>1896</v>
      </c>
      <c r="D518" t="s">
        <v>3471</v>
      </c>
      <c r="E518" t="s">
        <v>4007</v>
      </c>
      <c r="F518" t="s">
        <v>3511</v>
      </c>
      <c r="G518" t="s">
        <v>3512</v>
      </c>
      <c r="H518" t="s">
        <v>3513</v>
      </c>
      <c r="I518" t="s">
        <v>3476</v>
      </c>
      <c r="J518" t="s">
        <v>650</v>
      </c>
    </row>
    <row r="519" spans="1:11">
      <c r="A519" t="s">
        <v>1895</v>
      </c>
      <c r="B519" t="s">
        <v>3509</v>
      </c>
      <c r="C519" t="s">
        <v>1896</v>
      </c>
      <c r="D519" t="s">
        <v>3477</v>
      </c>
      <c r="E519" t="s">
        <v>4008</v>
      </c>
      <c r="F519" t="s">
        <v>3511</v>
      </c>
      <c r="G519" t="s">
        <v>3512</v>
      </c>
      <c r="H519" t="s">
        <v>3513</v>
      </c>
      <c r="I519" t="s">
        <v>3476</v>
      </c>
      <c r="J519" t="s">
        <v>650</v>
      </c>
    </row>
    <row r="520" spans="1:11">
      <c r="A520" t="s">
        <v>1895</v>
      </c>
      <c r="B520" t="s">
        <v>3509</v>
      </c>
      <c r="C520" t="s">
        <v>1896</v>
      </c>
      <c r="D520" t="s">
        <v>3479</v>
      </c>
      <c r="E520" t="s">
        <v>4009</v>
      </c>
      <c r="F520" t="s">
        <v>3511</v>
      </c>
      <c r="G520" t="s">
        <v>3512</v>
      </c>
      <c r="H520" t="s">
        <v>3513</v>
      </c>
      <c r="I520" t="s">
        <v>3476</v>
      </c>
      <c r="J520" t="s">
        <v>650</v>
      </c>
    </row>
    <row r="521" spans="1:11">
      <c r="A521" t="s">
        <v>1895</v>
      </c>
      <c r="B521" t="s">
        <v>3509</v>
      </c>
      <c r="C521" t="s">
        <v>1896</v>
      </c>
      <c r="D521" t="s">
        <v>3481</v>
      </c>
      <c r="E521" t="s">
        <v>4010</v>
      </c>
      <c r="F521" t="s">
        <v>3511</v>
      </c>
      <c r="G521" t="s">
        <v>3512</v>
      </c>
      <c r="H521" t="s">
        <v>3513</v>
      </c>
      <c r="I521" t="s">
        <v>3476</v>
      </c>
      <c r="J521" t="s">
        <v>650</v>
      </c>
    </row>
    <row r="522" spans="1:11">
      <c r="A522" t="s">
        <v>1895</v>
      </c>
      <c r="B522" t="s">
        <v>3509</v>
      </c>
      <c r="C522" t="s">
        <v>1896</v>
      </c>
      <c r="D522" t="s">
        <v>3483</v>
      </c>
      <c r="E522" t="s">
        <v>4011</v>
      </c>
      <c r="F522" t="s">
        <v>3511</v>
      </c>
      <c r="G522" t="s">
        <v>3512</v>
      </c>
      <c r="H522" t="s">
        <v>3513</v>
      </c>
      <c r="I522" t="s">
        <v>3476</v>
      </c>
      <c r="J522" t="s">
        <v>650</v>
      </c>
    </row>
    <row r="523" spans="1:11">
      <c r="A523" t="s">
        <v>1895</v>
      </c>
      <c r="B523" t="s">
        <v>3509</v>
      </c>
      <c r="C523" t="s">
        <v>1896</v>
      </c>
      <c r="D523" t="s">
        <v>3518</v>
      </c>
      <c r="E523" t="s">
        <v>4012</v>
      </c>
      <c r="F523" t="s">
        <v>3511</v>
      </c>
      <c r="G523" t="s">
        <v>3512</v>
      </c>
      <c r="H523" t="s">
        <v>3513</v>
      </c>
      <c r="I523" t="s">
        <v>3476</v>
      </c>
      <c r="J523" t="s">
        <v>650</v>
      </c>
      <c r="K523" t="s">
        <v>3520</v>
      </c>
    </row>
    <row r="524" spans="1:11">
      <c r="A524" t="s">
        <v>1899</v>
      </c>
      <c r="B524" t="s">
        <v>3509</v>
      </c>
      <c r="C524" t="s">
        <v>1900</v>
      </c>
      <c r="D524" t="s">
        <v>3471</v>
      </c>
      <c r="E524" t="s">
        <v>4013</v>
      </c>
      <c r="F524" t="s">
        <v>3511</v>
      </c>
      <c r="G524" t="s">
        <v>3512</v>
      </c>
      <c r="H524" t="s">
        <v>3513</v>
      </c>
      <c r="I524" t="s">
        <v>3476</v>
      </c>
      <c r="J524" t="s">
        <v>650</v>
      </c>
    </row>
    <row r="525" spans="1:11">
      <c r="A525" t="s">
        <v>1899</v>
      </c>
      <c r="B525" t="s">
        <v>3509</v>
      </c>
      <c r="C525" t="s">
        <v>1900</v>
      </c>
      <c r="D525" t="s">
        <v>3477</v>
      </c>
      <c r="E525" t="s">
        <v>4014</v>
      </c>
      <c r="F525" t="s">
        <v>3511</v>
      </c>
      <c r="G525" t="s">
        <v>3512</v>
      </c>
      <c r="H525" t="s">
        <v>3513</v>
      </c>
      <c r="I525" t="s">
        <v>3476</v>
      </c>
      <c r="J525" t="s">
        <v>650</v>
      </c>
    </row>
    <row r="526" spans="1:11">
      <c r="A526" t="s">
        <v>1899</v>
      </c>
      <c r="B526" t="s">
        <v>3509</v>
      </c>
      <c r="C526" t="s">
        <v>1900</v>
      </c>
      <c r="D526" t="s">
        <v>3479</v>
      </c>
      <c r="E526" t="s">
        <v>4015</v>
      </c>
      <c r="F526" t="s">
        <v>3511</v>
      </c>
      <c r="G526" t="s">
        <v>3512</v>
      </c>
      <c r="H526" t="s">
        <v>3513</v>
      </c>
      <c r="I526" t="s">
        <v>3476</v>
      </c>
      <c r="J526" t="s">
        <v>650</v>
      </c>
    </row>
    <row r="527" spans="1:11">
      <c r="A527" t="s">
        <v>1899</v>
      </c>
      <c r="B527" t="s">
        <v>3509</v>
      </c>
      <c r="C527" t="s">
        <v>1900</v>
      </c>
      <c r="D527" t="s">
        <v>3481</v>
      </c>
      <c r="E527" t="s">
        <v>4016</v>
      </c>
      <c r="F527" t="s">
        <v>3511</v>
      </c>
      <c r="G527" t="s">
        <v>3512</v>
      </c>
      <c r="H527" t="s">
        <v>3513</v>
      </c>
      <c r="I527" t="s">
        <v>3476</v>
      </c>
      <c r="J527" t="s">
        <v>650</v>
      </c>
    </row>
    <row r="528" spans="1:11">
      <c r="A528" t="s">
        <v>1899</v>
      </c>
      <c r="B528" t="s">
        <v>3509</v>
      </c>
      <c r="C528" t="s">
        <v>1900</v>
      </c>
      <c r="D528" t="s">
        <v>3483</v>
      </c>
      <c r="E528" t="s">
        <v>4017</v>
      </c>
      <c r="F528" t="s">
        <v>3511</v>
      </c>
      <c r="G528" t="s">
        <v>3512</v>
      </c>
      <c r="H528" t="s">
        <v>3513</v>
      </c>
      <c r="I528" t="s">
        <v>3476</v>
      </c>
      <c r="J528" t="s">
        <v>650</v>
      </c>
    </row>
    <row r="529" spans="1:11">
      <c r="A529" t="s">
        <v>1899</v>
      </c>
      <c r="B529" t="s">
        <v>3509</v>
      </c>
      <c r="C529" t="s">
        <v>1900</v>
      </c>
      <c r="D529" t="s">
        <v>3518</v>
      </c>
      <c r="E529" t="s">
        <v>4018</v>
      </c>
      <c r="F529" t="s">
        <v>3511</v>
      </c>
      <c r="G529" t="s">
        <v>3512</v>
      </c>
      <c r="H529" t="s">
        <v>3513</v>
      </c>
      <c r="I529" t="s">
        <v>3476</v>
      </c>
      <c r="J529" t="s">
        <v>650</v>
      </c>
      <c r="K529" t="s">
        <v>3520</v>
      </c>
    </row>
    <row r="530" spans="1:11">
      <c r="A530" t="s">
        <v>1901</v>
      </c>
      <c r="B530" t="s">
        <v>3509</v>
      </c>
      <c r="C530" t="s">
        <v>1902</v>
      </c>
      <c r="D530" t="s">
        <v>3471</v>
      </c>
      <c r="E530" t="s">
        <v>4019</v>
      </c>
      <c r="F530" t="s">
        <v>3511</v>
      </c>
      <c r="G530" t="s">
        <v>3512</v>
      </c>
      <c r="H530" t="s">
        <v>3513</v>
      </c>
      <c r="I530" t="s">
        <v>3476</v>
      </c>
      <c r="J530" t="s">
        <v>650</v>
      </c>
    </row>
    <row r="531" spans="1:11">
      <c r="A531" t="s">
        <v>1901</v>
      </c>
      <c r="B531" t="s">
        <v>3509</v>
      </c>
      <c r="C531" t="s">
        <v>1902</v>
      </c>
      <c r="D531" t="s">
        <v>3477</v>
      </c>
      <c r="E531" t="s">
        <v>4020</v>
      </c>
      <c r="F531" t="s">
        <v>3511</v>
      </c>
      <c r="G531" t="s">
        <v>3512</v>
      </c>
      <c r="H531" t="s">
        <v>3513</v>
      </c>
      <c r="I531" t="s">
        <v>3476</v>
      </c>
      <c r="J531" t="s">
        <v>650</v>
      </c>
    </row>
    <row r="532" spans="1:11">
      <c r="A532" t="s">
        <v>1901</v>
      </c>
      <c r="B532" t="s">
        <v>3509</v>
      </c>
      <c r="C532" t="s">
        <v>1902</v>
      </c>
      <c r="D532" t="s">
        <v>3479</v>
      </c>
      <c r="E532" t="s">
        <v>4021</v>
      </c>
      <c r="F532" t="s">
        <v>3511</v>
      </c>
      <c r="G532" t="s">
        <v>3512</v>
      </c>
      <c r="H532" t="s">
        <v>3513</v>
      </c>
      <c r="I532" t="s">
        <v>3476</v>
      </c>
      <c r="J532" t="s">
        <v>650</v>
      </c>
    </row>
    <row r="533" spans="1:11">
      <c r="A533" t="s">
        <v>1901</v>
      </c>
      <c r="B533" t="s">
        <v>3509</v>
      </c>
      <c r="C533" t="s">
        <v>1902</v>
      </c>
      <c r="D533" t="s">
        <v>3481</v>
      </c>
      <c r="E533" t="s">
        <v>4022</v>
      </c>
      <c r="F533" t="s">
        <v>3511</v>
      </c>
      <c r="G533" t="s">
        <v>3512</v>
      </c>
      <c r="H533" t="s">
        <v>3513</v>
      </c>
      <c r="I533" t="s">
        <v>3476</v>
      </c>
      <c r="J533" t="s">
        <v>650</v>
      </c>
    </row>
    <row r="534" spans="1:11">
      <c r="A534" t="s">
        <v>1901</v>
      </c>
      <c r="B534" t="s">
        <v>3509</v>
      </c>
      <c r="C534" t="s">
        <v>1902</v>
      </c>
      <c r="D534" t="s">
        <v>3483</v>
      </c>
      <c r="E534" t="s">
        <v>4023</v>
      </c>
      <c r="F534" t="s">
        <v>3511</v>
      </c>
      <c r="G534" t="s">
        <v>3512</v>
      </c>
      <c r="H534" t="s">
        <v>3513</v>
      </c>
      <c r="I534" t="s">
        <v>3476</v>
      </c>
      <c r="J534" t="s">
        <v>650</v>
      </c>
    </row>
    <row r="535" spans="1:11">
      <c r="A535" t="s">
        <v>1901</v>
      </c>
      <c r="B535" t="s">
        <v>3509</v>
      </c>
      <c r="C535" t="s">
        <v>1902</v>
      </c>
      <c r="D535" t="s">
        <v>3518</v>
      </c>
      <c r="E535" t="s">
        <v>4024</v>
      </c>
      <c r="F535" t="s">
        <v>3511</v>
      </c>
      <c r="G535" t="s">
        <v>3512</v>
      </c>
      <c r="H535" t="s">
        <v>3513</v>
      </c>
      <c r="I535" t="s">
        <v>3476</v>
      </c>
      <c r="J535" t="s">
        <v>650</v>
      </c>
      <c r="K535" t="s">
        <v>3520</v>
      </c>
    </row>
    <row r="536" spans="1:11">
      <c r="A536" t="s">
        <v>1903</v>
      </c>
      <c r="B536" t="s">
        <v>3509</v>
      </c>
      <c r="C536" t="s">
        <v>1904</v>
      </c>
      <c r="D536" t="s">
        <v>3471</v>
      </c>
      <c r="E536" t="s">
        <v>4025</v>
      </c>
      <c r="F536" t="s">
        <v>3511</v>
      </c>
      <c r="G536" t="s">
        <v>3512</v>
      </c>
      <c r="H536" t="s">
        <v>3513</v>
      </c>
      <c r="I536" t="s">
        <v>3476</v>
      </c>
      <c r="J536" t="s">
        <v>650</v>
      </c>
    </row>
    <row r="537" spans="1:11">
      <c r="A537" t="s">
        <v>1903</v>
      </c>
      <c r="B537" t="s">
        <v>3509</v>
      </c>
      <c r="C537" t="s">
        <v>1904</v>
      </c>
      <c r="D537" t="s">
        <v>3477</v>
      </c>
      <c r="E537" t="s">
        <v>4026</v>
      </c>
      <c r="F537" t="s">
        <v>3511</v>
      </c>
      <c r="G537" t="s">
        <v>3512</v>
      </c>
      <c r="H537" t="s">
        <v>3513</v>
      </c>
      <c r="I537" t="s">
        <v>3476</v>
      </c>
      <c r="J537" t="s">
        <v>650</v>
      </c>
    </row>
    <row r="538" spans="1:11">
      <c r="A538" t="s">
        <v>1903</v>
      </c>
      <c r="B538" t="s">
        <v>3509</v>
      </c>
      <c r="C538" t="s">
        <v>1904</v>
      </c>
      <c r="D538" t="s">
        <v>3479</v>
      </c>
      <c r="E538" t="s">
        <v>4027</v>
      </c>
      <c r="F538" t="s">
        <v>3511</v>
      </c>
      <c r="G538" t="s">
        <v>3512</v>
      </c>
      <c r="H538" t="s">
        <v>3513</v>
      </c>
      <c r="I538" t="s">
        <v>3476</v>
      </c>
      <c r="J538" t="s">
        <v>650</v>
      </c>
    </row>
    <row r="539" spans="1:11">
      <c r="A539" t="s">
        <v>1903</v>
      </c>
      <c r="B539" t="s">
        <v>3509</v>
      </c>
      <c r="C539" t="s">
        <v>1904</v>
      </c>
      <c r="D539" t="s">
        <v>3481</v>
      </c>
      <c r="E539" t="s">
        <v>4028</v>
      </c>
      <c r="F539" t="s">
        <v>3511</v>
      </c>
      <c r="G539" t="s">
        <v>3512</v>
      </c>
      <c r="H539" t="s">
        <v>3513</v>
      </c>
      <c r="I539" t="s">
        <v>3476</v>
      </c>
      <c r="J539" t="s">
        <v>650</v>
      </c>
    </row>
    <row r="540" spans="1:11">
      <c r="A540" t="s">
        <v>1903</v>
      </c>
      <c r="B540" t="s">
        <v>3509</v>
      </c>
      <c r="C540" t="s">
        <v>1904</v>
      </c>
      <c r="D540" t="s">
        <v>3483</v>
      </c>
      <c r="E540" t="s">
        <v>4029</v>
      </c>
      <c r="F540" t="s">
        <v>3511</v>
      </c>
      <c r="G540" t="s">
        <v>3512</v>
      </c>
      <c r="H540" t="s">
        <v>3513</v>
      </c>
      <c r="I540" t="s">
        <v>3476</v>
      </c>
      <c r="J540" t="s">
        <v>650</v>
      </c>
    </row>
    <row r="541" spans="1:11">
      <c r="A541" t="s">
        <v>1903</v>
      </c>
      <c r="B541" t="s">
        <v>3509</v>
      </c>
      <c r="C541" t="s">
        <v>1904</v>
      </c>
      <c r="D541" t="s">
        <v>3518</v>
      </c>
      <c r="E541" t="s">
        <v>4030</v>
      </c>
      <c r="F541" t="s">
        <v>3511</v>
      </c>
      <c r="G541" t="s">
        <v>3512</v>
      </c>
      <c r="H541" t="s">
        <v>3513</v>
      </c>
      <c r="I541" t="s">
        <v>3476</v>
      </c>
      <c r="J541" t="s">
        <v>650</v>
      </c>
      <c r="K541" t="s">
        <v>3520</v>
      </c>
    </row>
    <row r="542" spans="1:11">
      <c r="A542" t="s">
        <v>1905</v>
      </c>
      <c r="B542" t="s">
        <v>3509</v>
      </c>
      <c r="C542" t="s">
        <v>1906</v>
      </c>
      <c r="D542" t="s">
        <v>3471</v>
      </c>
      <c r="E542" t="s">
        <v>4031</v>
      </c>
      <c r="F542" t="s">
        <v>3511</v>
      </c>
      <c r="G542" t="s">
        <v>3512</v>
      </c>
      <c r="H542" t="s">
        <v>3513</v>
      </c>
      <c r="I542" t="s">
        <v>3476</v>
      </c>
      <c r="J542" t="s">
        <v>650</v>
      </c>
    </row>
    <row r="543" spans="1:11">
      <c r="A543" t="s">
        <v>1905</v>
      </c>
      <c r="B543" t="s">
        <v>3509</v>
      </c>
      <c r="C543" t="s">
        <v>1906</v>
      </c>
      <c r="D543" t="s">
        <v>3477</v>
      </c>
      <c r="E543" t="s">
        <v>4032</v>
      </c>
      <c r="F543" t="s">
        <v>3511</v>
      </c>
      <c r="G543" t="s">
        <v>3512</v>
      </c>
      <c r="H543" t="s">
        <v>3513</v>
      </c>
      <c r="I543" t="s">
        <v>3476</v>
      </c>
      <c r="J543" t="s">
        <v>650</v>
      </c>
    </row>
    <row r="544" spans="1:11">
      <c r="A544" t="s">
        <v>1905</v>
      </c>
      <c r="B544" t="s">
        <v>3509</v>
      </c>
      <c r="C544" t="s">
        <v>1906</v>
      </c>
      <c r="D544" t="s">
        <v>3479</v>
      </c>
      <c r="E544" t="s">
        <v>4033</v>
      </c>
      <c r="F544" t="s">
        <v>3511</v>
      </c>
      <c r="G544" t="s">
        <v>3512</v>
      </c>
      <c r="H544" t="s">
        <v>3513</v>
      </c>
      <c r="I544" t="s">
        <v>3476</v>
      </c>
      <c r="J544" t="s">
        <v>650</v>
      </c>
    </row>
    <row r="545" spans="1:11">
      <c r="A545" t="s">
        <v>1905</v>
      </c>
      <c r="B545" t="s">
        <v>3509</v>
      </c>
      <c r="C545" t="s">
        <v>1906</v>
      </c>
      <c r="D545" t="s">
        <v>3481</v>
      </c>
      <c r="E545" t="s">
        <v>4034</v>
      </c>
      <c r="F545" t="s">
        <v>3511</v>
      </c>
      <c r="G545" t="s">
        <v>3512</v>
      </c>
      <c r="H545" t="s">
        <v>3513</v>
      </c>
      <c r="I545" t="s">
        <v>3476</v>
      </c>
      <c r="J545" t="s">
        <v>650</v>
      </c>
    </row>
    <row r="546" spans="1:11">
      <c r="A546" t="s">
        <v>1905</v>
      </c>
      <c r="B546" t="s">
        <v>3509</v>
      </c>
      <c r="C546" t="s">
        <v>1906</v>
      </c>
      <c r="D546" t="s">
        <v>3483</v>
      </c>
      <c r="E546" t="s">
        <v>4035</v>
      </c>
      <c r="F546" t="s">
        <v>3511</v>
      </c>
      <c r="G546" t="s">
        <v>3512</v>
      </c>
      <c r="H546" t="s">
        <v>3513</v>
      </c>
      <c r="I546" t="s">
        <v>3476</v>
      </c>
      <c r="J546" t="s">
        <v>650</v>
      </c>
    </row>
    <row r="547" spans="1:11">
      <c r="A547" t="s">
        <v>1905</v>
      </c>
      <c r="B547" t="s">
        <v>3509</v>
      </c>
      <c r="C547" t="s">
        <v>1906</v>
      </c>
      <c r="D547" t="s">
        <v>3518</v>
      </c>
      <c r="E547" t="s">
        <v>4036</v>
      </c>
      <c r="F547" t="s">
        <v>3511</v>
      </c>
      <c r="G547" t="s">
        <v>3512</v>
      </c>
      <c r="H547" t="s">
        <v>3513</v>
      </c>
      <c r="I547" t="s">
        <v>3476</v>
      </c>
      <c r="J547" t="s">
        <v>650</v>
      </c>
      <c r="K547" t="s">
        <v>3520</v>
      </c>
    </row>
    <row r="548" spans="1:11">
      <c r="A548" t="s">
        <v>1907</v>
      </c>
      <c r="B548" t="s">
        <v>3509</v>
      </c>
      <c r="C548" t="s">
        <v>1908</v>
      </c>
      <c r="D548" t="s">
        <v>3471</v>
      </c>
      <c r="E548" t="s">
        <v>4037</v>
      </c>
      <c r="F548" t="s">
        <v>3511</v>
      </c>
      <c r="G548" t="s">
        <v>3512</v>
      </c>
      <c r="H548" t="s">
        <v>3513</v>
      </c>
      <c r="I548" t="s">
        <v>3476</v>
      </c>
      <c r="J548" t="s">
        <v>650</v>
      </c>
    </row>
    <row r="549" spans="1:11">
      <c r="A549" t="s">
        <v>1907</v>
      </c>
      <c r="B549" t="s">
        <v>3509</v>
      </c>
      <c r="C549" t="s">
        <v>1908</v>
      </c>
      <c r="D549" t="s">
        <v>3477</v>
      </c>
      <c r="E549" t="s">
        <v>4038</v>
      </c>
      <c r="F549" t="s">
        <v>3511</v>
      </c>
      <c r="G549" t="s">
        <v>3512</v>
      </c>
      <c r="H549" t="s">
        <v>3513</v>
      </c>
      <c r="I549" t="s">
        <v>3476</v>
      </c>
      <c r="J549" t="s">
        <v>650</v>
      </c>
    </row>
    <row r="550" spans="1:11">
      <c r="A550" t="s">
        <v>1907</v>
      </c>
      <c r="B550" t="s">
        <v>3509</v>
      </c>
      <c r="C550" t="s">
        <v>1908</v>
      </c>
      <c r="D550" t="s">
        <v>3479</v>
      </c>
      <c r="E550" t="s">
        <v>4039</v>
      </c>
      <c r="F550" t="s">
        <v>3511</v>
      </c>
      <c r="G550" t="s">
        <v>3512</v>
      </c>
      <c r="H550" t="s">
        <v>3513</v>
      </c>
      <c r="I550" t="s">
        <v>3476</v>
      </c>
      <c r="J550" t="s">
        <v>650</v>
      </c>
    </row>
    <row r="551" spans="1:11">
      <c r="A551" t="s">
        <v>1907</v>
      </c>
      <c r="B551" t="s">
        <v>3509</v>
      </c>
      <c r="C551" t="s">
        <v>1908</v>
      </c>
      <c r="D551" t="s">
        <v>3481</v>
      </c>
      <c r="E551" t="s">
        <v>4040</v>
      </c>
      <c r="F551" t="s">
        <v>3511</v>
      </c>
      <c r="G551" t="s">
        <v>3512</v>
      </c>
      <c r="H551" t="s">
        <v>3513</v>
      </c>
      <c r="I551" t="s">
        <v>3476</v>
      </c>
      <c r="J551" t="s">
        <v>650</v>
      </c>
    </row>
    <row r="552" spans="1:11">
      <c r="A552" t="s">
        <v>1907</v>
      </c>
      <c r="B552" t="s">
        <v>3509</v>
      </c>
      <c r="C552" t="s">
        <v>1908</v>
      </c>
      <c r="D552" t="s">
        <v>3483</v>
      </c>
      <c r="E552" t="s">
        <v>4041</v>
      </c>
      <c r="F552" t="s">
        <v>3511</v>
      </c>
      <c r="G552" t="s">
        <v>3512</v>
      </c>
      <c r="H552" t="s">
        <v>3513</v>
      </c>
      <c r="I552" t="s">
        <v>3476</v>
      </c>
      <c r="J552" t="s">
        <v>650</v>
      </c>
    </row>
    <row r="553" spans="1:11">
      <c r="A553" t="s">
        <v>1907</v>
      </c>
      <c r="B553" t="s">
        <v>3509</v>
      </c>
      <c r="C553" t="s">
        <v>1908</v>
      </c>
      <c r="D553" t="s">
        <v>3518</v>
      </c>
      <c r="E553" t="s">
        <v>4042</v>
      </c>
      <c r="F553" t="s">
        <v>3511</v>
      </c>
      <c r="G553" t="s">
        <v>3512</v>
      </c>
      <c r="H553" t="s">
        <v>3513</v>
      </c>
      <c r="I553" t="s">
        <v>3476</v>
      </c>
      <c r="J553" t="s">
        <v>650</v>
      </c>
      <c r="K553" t="s">
        <v>3520</v>
      </c>
    </row>
    <row r="554" spans="1:11">
      <c r="A554" t="s">
        <v>1910</v>
      </c>
      <c r="B554" t="s">
        <v>3509</v>
      </c>
      <c r="C554" t="s">
        <v>1911</v>
      </c>
      <c r="D554" t="s">
        <v>3471</v>
      </c>
      <c r="E554" t="s">
        <v>4043</v>
      </c>
      <c r="F554" t="s">
        <v>3511</v>
      </c>
      <c r="G554" t="s">
        <v>3512</v>
      </c>
      <c r="H554" t="s">
        <v>3513</v>
      </c>
      <c r="I554" t="s">
        <v>3476</v>
      </c>
      <c r="J554" t="s">
        <v>650</v>
      </c>
    </row>
    <row r="555" spans="1:11">
      <c r="A555" t="s">
        <v>1910</v>
      </c>
      <c r="B555" t="s">
        <v>3509</v>
      </c>
      <c r="C555" t="s">
        <v>1911</v>
      </c>
      <c r="D555" t="s">
        <v>3477</v>
      </c>
      <c r="E555" t="s">
        <v>4044</v>
      </c>
      <c r="F555" t="s">
        <v>3511</v>
      </c>
      <c r="G555" t="s">
        <v>3512</v>
      </c>
      <c r="H555" t="s">
        <v>3513</v>
      </c>
      <c r="I555" t="s">
        <v>3476</v>
      </c>
      <c r="J555" t="s">
        <v>650</v>
      </c>
    </row>
    <row r="556" spans="1:11">
      <c r="A556" t="s">
        <v>1910</v>
      </c>
      <c r="B556" t="s">
        <v>3509</v>
      </c>
      <c r="C556" t="s">
        <v>1911</v>
      </c>
      <c r="D556" t="s">
        <v>3479</v>
      </c>
      <c r="E556" t="s">
        <v>4045</v>
      </c>
      <c r="F556" t="s">
        <v>3511</v>
      </c>
      <c r="G556" t="s">
        <v>3512</v>
      </c>
      <c r="H556" t="s">
        <v>3513</v>
      </c>
      <c r="I556" t="s">
        <v>3476</v>
      </c>
      <c r="J556" t="s">
        <v>650</v>
      </c>
    </row>
    <row r="557" spans="1:11">
      <c r="A557" t="s">
        <v>1910</v>
      </c>
      <c r="B557" t="s">
        <v>3509</v>
      </c>
      <c r="C557" t="s">
        <v>1911</v>
      </c>
      <c r="D557" t="s">
        <v>3481</v>
      </c>
      <c r="E557" t="s">
        <v>4046</v>
      </c>
      <c r="F557" t="s">
        <v>3511</v>
      </c>
      <c r="G557" t="s">
        <v>3512</v>
      </c>
      <c r="H557" t="s">
        <v>3513</v>
      </c>
      <c r="I557" t="s">
        <v>3476</v>
      </c>
      <c r="J557" t="s">
        <v>650</v>
      </c>
    </row>
    <row r="558" spans="1:11">
      <c r="A558" t="s">
        <v>1910</v>
      </c>
      <c r="B558" t="s">
        <v>3509</v>
      </c>
      <c r="C558" t="s">
        <v>1911</v>
      </c>
      <c r="D558" t="s">
        <v>3483</v>
      </c>
      <c r="E558" t="s">
        <v>4047</v>
      </c>
      <c r="F558" t="s">
        <v>3511</v>
      </c>
      <c r="G558" t="s">
        <v>3512</v>
      </c>
      <c r="H558" t="s">
        <v>3513</v>
      </c>
      <c r="I558" t="s">
        <v>3476</v>
      </c>
      <c r="J558" t="s">
        <v>650</v>
      </c>
    </row>
    <row r="559" spans="1:11">
      <c r="A559" t="s">
        <v>1910</v>
      </c>
      <c r="B559" t="s">
        <v>3509</v>
      </c>
      <c r="C559" t="s">
        <v>1911</v>
      </c>
      <c r="D559" t="s">
        <v>3518</v>
      </c>
      <c r="E559" t="s">
        <v>4048</v>
      </c>
      <c r="F559" t="s">
        <v>3511</v>
      </c>
      <c r="G559" t="s">
        <v>3512</v>
      </c>
      <c r="H559" t="s">
        <v>3513</v>
      </c>
      <c r="I559" t="s">
        <v>3476</v>
      </c>
      <c r="J559" t="s">
        <v>650</v>
      </c>
      <c r="K559" t="s">
        <v>3520</v>
      </c>
    </row>
    <row r="560" spans="1:11">
      <c r="A560" t="s">
        <v>1912</v>
      </c>
      <c r="B560" t="s">
        <v>3509</v>
      </c>
      <c r="C560" t="s">
        <v>1913</v>
      </c>
      <c r="D560" t="s">
        <v>3471</v>
      </c>
      <c r="E560" t="s">
        <v>4049</v>
      </c>
      <c r="F560" t="s">
        <v>3511</v>
      </c>
      <c r="G560" t="s">
        <v>3512</v>
      </c>
      <c r="H560" t="s">
        <v>3513</v>
      </c>
      <c r="I560" t="s">
        <v>3476</v>
      </c>
      <c r="J560" t="s">
        <v>650</v>
      </c>
    </row>
    <row r="561" spans="1:11">
      <c r="A561" t="s">
        <v>1912</v>
      </c>
      <c r="B561" t="s">
        <v>3509</v>
      </c>
      <c r="C561" t="s">
        <v>1913</v>
      </c>
      <c r="D561" t="s">
        <v>3477</v>
      </c>
      <c r="E561" t="s">
        <v>4050</v>
      </c>
      <c r="F561" t="s">
        <v>3511</v>
      </c>
      <c r="G561" t="s">
        <v>3512</v>
      </c>
      <c r="H561" t="s">
        <v>3513</v>
      </c>
      <c r="I561" t="s">
        <v>3476</v>
      </c>
      <c r="J561" t="s">
        <v>650</v>
      </c>
    </row>
    <row r="562" spans="1:11">
      <c r="A562" t="s">
        <v>1912</v>
      </c>
      <c r="B562" t="s">
        <v>3509</v>
      </c>
      <c r="C562" t="s">
        <v>1913</v>
      </c>
      <c r="D562" t="s">
        <v>3479</v>
      </c>
      <c r="E562" t="s">
        <v>4051</v>
      </c>
      <c r="F562" t="s">
        <v>3511</v>
      </c>
      <c r="G562" t="s">
        <v>3512</v>
      </c>
      <c r="H562" t="s">
        <v>3513</v>
      </c>
      <c r="I562" t="s">
        <v>3476</v>
      </c>
      <c r="J562" t="s">
        <v>650</v>
      </c>
    </row>
    <row r="563" spans="1:11">
      <c r="A563" t="s">
        <v>1912</v>
      </c>
      <c r="B563" t="s">
        <v>3509</v>
      </c>
      <c r="C563" t="s">
        <v>1913</v>
      </c>
      <c r="D563" t="s">
        <v>3481</v>
      </c>
      <c r="E563" t="s">
        <v>4052</v>
      </c>
      <c r="F563" t="s">
        <v>3511</v>
      </c>
      <c r="G563" t="s">
        <v>3512</v>
      </c>
      <c r="H563" t="s">
        <v>3513</v>
      </c>
      <c r="I563" t="s">
        <v>3476</v>
      </c>
      <c r="J563" t="s">
        <v>650</v>
      </c>
    </row>
    <row r="564" spans="1:11">
      <c r="A564" t="s">
        <v>1912</v>
      </c>
      <c r="B564" t="s">
        <v>3509</v>
      </c>
      <c r="C564" t="s">
        <v>1913</v>
      </c>
      <c r="D564" t="s">
        <v>3483</v>
      </c>
      <c r="E564" t="s">
        <v>4053</v>
      </c>
      <c r="F564" t="s">
        <v>3511</v>
      </c>
      <c r="G564" t="s">
        <v>3512</v>
      </c>
      <c r="H564" t="s">
        <v>3513</v>
      </c>
      <c r="I564" t="s">
        <v>3476</v>
      </c>
      <c r="J564" t="s">
        <v>650</v>
      </c>
    </row>
    <row r="565" spans="1:11">
      <c r="A565" t="s">
        <v>1912</v>
      </c>
      <c r="B565" t="s">
        <v>3509</v>
      </c>
      <c r="C565" t="s">
        <v>1913</v>
      </c>
      <c r="D565" t="s">
        <v>3518</v>
      </c>
      <c r="E565" t="s">
        <v>4054</v>
      </c>
      <c r="F565" t="s">
        <v>3511</v>
      </c>
      <c r="G565" t="s">
        <v>3512</v>
      </c>
      <c r="H565" t="s">
        <v>3513</v>
      </c>
      <c r="I565" t="s">
        <v>3476</v>
      </c>
      <c r="J565" t="s">
        <v>650</v>
      </c>
      <c r="K565" t="s">
        <v>3520</v>
      </c>
    </row>
    <row r="566" spans="1:11">
      <c r="A566" t="s">
        <v>1914</v>
      </c>
      <c r="B566" t="s">
        <v>3509</v>
      </c>
      <c r="C566" t="s">
        <v>1915</v>
      </c>
      <c r="D566" t="s">
        <v>3471</v>
      </c>
      <c r="E566" t="s">
        <v>4055</v>
      </c>
      <c r="F566" t="s">
        <v>3511</v>
      </c>
      <c r="G566" t="s">
        <v>3512</v>
      </c>
      <c r="H566" t="s">
        <v>3513</v>
      </c>
      <c r="I566" t="s">
        <v>3476</v>
      </c>
      <c r="J566" t="s">
        <v>650</v>
      </c>
    </row>
    <row r="567" spans="1:11">
      <c r="A567" t="s">
        <v>1914</v>
      </c>
      <c r="B567" t="s">
        <v>3509</v>
      </c>
      <c r="C567" t="s">
        <v>1915</v>
      </c>
      <c r="D567" t="s">
        <v>3477</v>
      </c>
      <c r="E567" t="s">
        <v>4056</v>
      </c>
      <c r="F567" t="s">
        <v>3511</v>
      </c>
      <c r="G567" t="s">
        <v>3512</v>
      </c>
      <c r="H567" t="s">
        <v>3513</v>
      </c>
      <c r="I567" t="s">
        <v>3476</v>
      </c>
      <c r="J567" t="s">
        <v>650</v>
      </c>
    </row>
    <row r="568" spans="1:11">
      <c r="A568" t="s">
        <v>1914</v>
      </c>
      <c r="B568" t="s">
        <v>3509</v>
      </c>
      <c r="C568" t="s">
        <v>1915</v>
      </c>
      <c r="D568" t="s">
        <v>3479</v>
      </c>
      <c r="E568" t="s">
        <v>4057</v>
      </c>
      <c r="F568" t="s">
        <v>3511</v>
      </c>
      <c r="G568" t="s">
        <v>3512</v>
      </c>
      <c r="H568" t="s">
        <v>3513</v>
      </c>
      <c r="I568" t="s">
        <v>3476</v>
      </c>
      <c r="J568" t="s">
        <v>650</v>
      </c>
    </row>
    <row r="569" spans="1:11">
      <c r="A569" t="s">
        <v>1914</v>
      </c>
      <c r="B569" t="s">
        <v>3509</v>
      </c>
      <c r="C569" t="s">
        <v>1915</v>
      </c>
      <c r="D569" t="s">
        <v>3481</v>
      </c>
      <c r="E569" t="s">
        <v>4058</v>
      </c>
      <c r="F569" t="s">
        <v>3511</v>
      </c>
      <c r="G569" t="s">
        <v>3512</v>
      </c>
      <c r="H569" t="s">
        <v>3513</v>
      </c>
      <c r="I569" t="s">
        <v>3476</v>
      </c>
      <c r="J569" t="s">
        <v>650</v>
      </c>
    </row>
    <row r="570" spans="1:11">
      <c r="A570" t="s">
        <v>1914</v>
      </c>
      <c r="B570" t="s">
        <v>3509</v>
      </c>
      <c r="C570" t="s">
        <v>1915</v>
      </c>
      <c r="D570" t="s">
        <v>3483</v>
      </c>
      <c r="E570" t="s">
        <v>4059</v>
      </c>
      <c r="F570" t="s">
        <v>3511</v>
      </c>
      <c r="G570" t="s">
        <v>3512</v>
      </c>
      <c r="H570" t="s">
        <v>3513</v>
      </c>
      <c r="I570" t="s">
        <v>3476</v>
      </c>
      <c r="J570" t="s">
        <v>650</v>
      </c>
    </row>
    <row r="571" spans="1:11">
      <c r="A571" t="s">
        <v>1914</v>
      </c>
      <c r="B571" t="s">
        <v>3509</v>
      </c>
      <c r="C571" t="s">
        <v>1915</v>
      </c>
      <c r="D571" t="s">
        <v>3518</v>
      </c>
      <c r="E571" t="s">
        <v>4060</v>
      </c>
      <c r="F571" t="s">
        <v>3511</v>
      </c>
      <c r="G571" t="s">
        <v>3512</v>
      </c>
      <c r="H571" t="s">
        <v>3513</v>
      </c>
      <c r="I571" t="s">
        <v>3476</v>
      </c>
      <c r="J571" t="s">
        <v>650</v>
      </c>
      <c r="K571" t="s">
        <v>3520</v>
      </c>
    </row>
    <row r="572" spans="1:11">
      <c r="A572" t="s">
        <v>1916</v>
      </c>
      <c r="B572" t="s">
        <v>3509</v>
      </c>
      <c r="C572" t="s">
        <v>1917</v>
      </c>
      <c r="D572" t="s">
        <v>3471</v>
      </c>
      <c r="E572" t="s">
        <v>4061</v>
      </c>
      <c r="F572" t="s">
        <v>3511</v>
      </c>
      <c r="G572" t="s">
        <v>3512</v>
      </c>
      <c r="H572" t="s">
        <v>3513</v>
      </c>
      <c r="I572" t="s">
        <v>3476</v>
      </c>
      <c r="J572" t="s">
        <v>650</v>
      </c>
    </row>
    <row r="573" spans="1:11">
      <c r="A573" t="s">
        <v>1916</v>
      </c>
      <c r="B573" t="s">
        <v>3509</v>
      </c>
      <c r="C573" t="s">
        <v>1917</v>
      </c>
      <c r="D573" t="s">
        <v>3477</v>
      </c>
      <c r="E573" t="s">
        <v>4062</v>
      </c>
      <c r="F573" t="s">
        <v>3511</v>
      </c>
      <c r="G573" t="s">
        <v>3512</v>
      </c>
      <c r="H573" t="s">
        <v>3513</v>
      </c>
      <c r="I573" t="s">
        <v>3476</v>
      </c>
      <c r="J573" t="s">
        <v>650</v>
      </c>
    </row>
    <row r="574" spans="1:11">
      <c r="A574" t="s">
        <v>1916</v>
      </c>
      <c r="B574" t="s">
        <v>3509</v>
      </c>
      <c r="C574" t="s">
        <v>1917</v>
      </c>
      <c r="D574" t="s">
        <v>3479</v>
      </c>
      <c r="E574" t="s">
        <v>4063</v>
      </c>
      <c r="F574" t="s">
        <v>3511</v>
      </c>
      <c r="G574" t="s">
        <v>3512</v>
      </c>
      <c r="H574" t="s">
        <v>3513</v>
      </c>
      <c r="I574" t="s">
        <v>3476</v>
      </c>
      <c r="J574" t="s">
        <v>650</v>
      </c>
    </row>
    <row r="575" spans="1:11">
      <c r="A575" t="s">
        <v>1916</v>
      </c>
      <c r="B575" t="s">
        <v>3509</v>
      </c>
      <c r="C575" t="s">
        <v>1917</v>
      </c>
      <c r="D575" t="s">
        <v>3481</v>
      </c>
      <c r="E575" t="s">
        <v>4064</v>
      </c>
      <c r="F575" t="s">
        <v>3511</v>
      </c>
      <c r="G575" t="s">
        <v>3512</v>
      </c>
      <c r="H575" t="s">
        <v>3513</v>
      </c>
      <c r="I575" t="s">
        <v>3476</v>
      </c>
      <c r="J575" t="s">
        <v>650</v>
      </c>
    </row>
    <row r="576" spans="1:11">
      <c r="A576" t="s">
        <v>1916</v>
      </c>
      <c r="B576" t="s">
        <v>3509</v>
      </c>
      <c r="C576" t="s">
        <v>1917</v>
      </c>
      <c r="D576" t="s">
        <v>3483</v>
      </c>
      <c r="E576" t="s">
        <v>4065</v>
      </c>
      <c r="F576" t="s">
        <v>3511</v>
      </c>
      <c r="G576" t="s">
        <v>3512</v>
      </c>
      <c r="H576" t="s">
        <v>3513</v>
      </c>
      <c r="I576" t="s">
        <v>3476</v>
      </c>
      <c r="J576" t="s">
        <v>650</v>
      </c>
    </row>
    <row r="577" spans="1:11">
      <c r="A577" t="s">
        <v>1916</v>
      </c>
      <c r="B577" t="s">
        <v>3509</v>
      </c>
      <c r="C577" t="s">
        <v>1917</v>
      </c>
      <c r="D577" t="s">
        <v>3518</v>
      </c>
      <c r="E577" t="s">
        <v>4066</v>
      </c>
      <c r="F577" t="s">
        <v>3511</v>
      </c>
      <c r="G577" t="s">
        <v>3512</v>
      </c>
      <c r="H577" t="s">
        <v>3513</v>
      </c>
      <c r="I577" t="s">
        <v>3476</v>
      </c>
      <c r="J577" t="s">
        <v>650</v>
      </c>
      <c r="K577" t="s">
        <v>3520</v>
      </c>
    </row>
    <row r="578" spans="1:11">
      <c r="A578" t="s">
        <v>1918</v>
      </c>
      <c r="B578" t="s">
        <v>3509</v>
      </c>
      <c r="C578" t="s">
        <v>1919</v>
      </c>
      <c r="D578" t="s">
        <v>3471</v>
      </c>
      <c r="E578" t="s">
        <v>4067</v>
      </c>
      <c r="F578" t="s">
        <v>3511</v>
      </c>
      <c r="G578" t="s">
        <v>3512</v>
      </c>
      <c r="H578" t="s">
        <v>3513</v>
      </c>
      <c r="I578" t="s">
        <v>3476</v>
      </c>
      <c r="J578" t="s">
        <v>650</v>
      </c>
    </row>
    <row r="579" spans="1:11">
      <c r="A579" t="s">
        <v>1918</v>
      </c>
      <c r="B579" t="s">
        <v>3509</v>
      </c>
      <c r="C579" t="s">
        <v>1919</v>
      </c>
      <c r="D579" t="s">
        <v>3477</v>
      </c>
      <c r="E579" t="s">
        <v>4068</v>
      </c>
      <c r="F579" t="s">
        <v>3511</v>
      </c>
      <c r="G579" t="s">
        <v>3512</v>
      </c>
      <c r="H579" t="s">
        <v>3513</v>
      </c>
      <c r="I579" t="s">
        <v>3476</v>
      </c>
      <c r="J579" t="s">
        <v>650</v>
      </c>
    </row>
    <row r="580" spans="1:11">
      <c r="A580" t="s">
        <v>1918</v>
      </c>
      <c r="B580" t="s">
        <v>3509</v>
      </c>
      <c r="C580" t="s">
        <v>1919</v>
      </c>
      <c r="D580" t="s">
        <v>3479</v>
      </c>
      <c r="E580" t="s">
        <v>4069</v>
      </c>
      <c r="F580" t="s">
        <v>3511</v>
      </c>
      <c r="G580" t="s">
        <v>3512</v>
      </c>
      <c r="H580" t="s">
        <v>3513</v>
      </c>
      <c r="I580" t="s">
        <v>3476</v>
      </c>
      <c r="J580" t="s">
        <v>650</v>
      </c>
    </row>
    <row r="581" spans="1:11">
      <c r="A581" t="s">
        <v>1918</v>
      </c>
      <c r="B581" t="s">
        <v>3509</v>
      </c>
      <c r="C581" t="s">
        <v>1919</v>
      </c>
      <c r="D581" t="s">
        <v>3481</v>
      </c>
      <c r="E581" t="s">
        <v>4070</v>
      </c>
      <c r="F581" t="s">
        <v>3511</v>
      </c>
      <c r="G581" t="s">
        <v>3512</v>
      </c>
      <c r="H581" t="s">
        <v>3513</v>
      </c>
      <c r="I581" t="s">
        <v>3476</v>
      </c>
      <c r="J581" t="s">
        <v>650</v>
      </c>
    </row>
    <row r="582" spans="1:11">
      <c r="A582" t="s">
        <v>1918</v>
      </c>
      <c r="B582" t="s">
        <v>3509</v>
      </c>
      <c r="C582" t="s">
        <v>1919</v>
      </c>
      <c r="D582" t="s">
        <v>3483</v>
      </c>
      <c r="E582" t="s">
        <v>4071</v>
      </c>
      <c r="F582" t="s">
        <v>3511</v>
      </c>
      <c r="G582" t="s">
        <v>3512</v>
      </c>
      <c r="H582" t="s">
        <v>3513</v>
      </c>
      <c r="I582" t="s">
        <v>3476</v>
      </c>
      <c r="J582" t="s">
        <v>650</v>
      </c>
    </row>
    <row r="583" spans="1:11">
      <c r="A583" t="s">
        <v>1918</v>
      </c>
      <c r="B583" t="s">
        <v>3509</v>
      </c>
      <c r="C583" t="s">
        <v>1919</v>
      </c>
      <c r="D583" t="s">
        <v>3518</v>
      </c>
      <c r="E583" t="s">
        <v>4072</v>
      </c>
      <c r="F583" t="s">
        <v>3511</v>
      </c>
      <c r="G583" t="s">
        <v>3512</v>
      </c>
      <c r="H583" t="s">
        <v>3513</v>
      </c>
      <c r="I583" t="s">
        <v>3476</v>
      </c>
      <c r="J583" t="s">
        <v>650</v>
      </c>
      <c r="K583" t="s">
        <v>3520</v>
      </c>
    </row>
    <row r="584" spans="1:11">
      <c r="A584" t="s">
        <v>1921</v>
      </c>
      <c r="B584" t="s">
        <v>3509</v>
      </c>
      <c r="C584" t="s">
        <v>1922</v>
      </c>
      <c r="D584" t="s">
        <v>3471</v>
      </c>
      <c r="E584" t="s">
        <v>4073</v>
      </c>
      <c r="F584" t="s">
        <v>3511</v>
      </c>
      <c r="G584" t="s">
        <v>3512</v>
      </c>
      <c r="H584" t="s">
        <v>3513</v>
      </c>
      <c r="I584" t="s">
        <v>3476</v>
      </c>
      <c r="J584" t="s">
        <v>650</v>
      </c>
    </row>
    <row r="585" spans="1:11">
      <c r="A585" t="s">
        <v>1921</v>
      </c>
      <c r="B585" t="s">
        <v>3509</v>
      </c>
      <c r="C585" t="s">
        <v>1922</v>
      </c>
      <c r="D585" t="s">
        <v>3477</v>
      </c>
      <c r="E585" t="s">
        <v>4074</v>
      </c>
      <c r="F585" t="s">
        <v>3511</v>
      </c>
      <c r="G585" t="s">
        <v>3512</v>
      </c>
      <c r="H585" t="s">
        <v>3513</v>
      </c>
      <c r="I585" t="s">
        <v>3476</v>
      </c>
      <c r="J585" t="s">
        <v>650</v>
      </c>
    </row>
    <row r="586" spans="1:11">
      <c r="A586" t="s">
        <v>1921</v>
      </c>
      <c r="B586" t="s">
        <v>3509</v>
      </c>
      <c r="C586" t="s">
        <v>1922</v>
      </c>
      <c r="D586" t="s">
        <v>3479</v>
      </c>
      <c r="E586" t="s">
        <v>4075</v>
      </c>
      <c r="F586" t="s">
        <v>3511</v>
      </c>
      <c r="G586" t="s">
        <v>3512</v>
      </c>
      <c r="H586" t="s">
        <v>3513</v>
      </c>
      <c r="I586" t="s">
        <v>3476</v>
      </c>
      <c r="J586" t="s">
        <v>650</v>
      </c>
    </row>
    <row r="587" spans="1:11">
      <c r="A587" t="s">
        <v>1921</v>
      </c>
      <c r="B587" t="s">
        <v>3509</v>
      </c>
      <c r="C587" t="s">
        <v>1922</v>
      </c>
      <c r="D587" t="s">
        <v>3481</v>
      </c>
      <c r="E587" t="s">
        <v>4076</v>
      </c>
      <c r="F587" t="s">
        <v>3511</v>
      </c>
      <c r="G587" t="s">
        <v>3512</v>
      </c>
      <c r="H587" t="s">
        <v>3513</v>
      </c>
      <c r="I587" t="s">
        <v>3476</v>
      </c>
      <c r="J587" t="s">
        <v>650</v>
      </c>
    </row>
    <row r="588" spans="1:11">
      <c r="A588" t="s">
        <v>1921</v>
      </c>
      <c r="B588" t="s">
        <v>3509</v>
      </c>
      <c r="C588" t="s">
        <v>1922</v>
      </c>
      <c r="D588" t="s">
        <v>3483</v>
      </c>
      <c r="E588" t="s">
        <v>4077</v>
      </c>
      <c r="F588" t="s">
        <v>3511</v>
      </c>
      <c r="G588" t="s">
        <v>3512</v>
      </c>
      <c r="H588" t="s">
        <v>3513</v>
      </c>
      <c r="I588" t="s">
        <v>3476</v>
      </c>
      <c r="J588" t="s">
        <v>650</v>
      </c>
    </row>
    <row r="589" spans="1:11">
      <c r="A589" t="s">
        <v>1921</v>
      </c>
      <c r="B589" t="s">
        <v>3509</v>
      </c>
      <c r="C589" t="s">
        <v>1922</v>
      </c>
      <c r="D589" t="s">
        <v>3518</v>
      </c>
      <c r="E589" t="s">
        <v>4078</v>
      </c>
      <c r="F589" t="s">
        <v>3511</v>
      </c>
      <c r="G589" t="s">
        <v>3512</v>
      </c>
      <c r="H589" t="s">
        <v>3513</v>
      </c>
      <c r="I589" t="s">
        <v>3476</v>
      </c>
      <c r="J589" t="s">
        <v>650</v>
      </c>
      <c r="K589" t="s">
        <v>3520</v>
      </c>
    </row>
    <row r="590" spans="1:11">
      <c r="A590" t="s">
        <v>1923</v>
      </c>
      <c r="B590" t="s">
        <v>3509</v>
      </c>
      <c r="C590" t="s">
        <v>1924</v>
      </c>
      <c r="D590" t="s">
        <v>3471</v>
      </c>
      <c r="E590" t="s">
        <v>4079</v>
      </c>
      <c r="F590" t="s">
        <v>3511</v>
      </c>
      <c r="G590" t="s">
        <v>3512</v>
      </c>
      <c r="H590" t="s">
        <v>3513</v>
      </c>
      <c r="I590" t="s">
        <v>3476</v>
      </c>
      <c r="J590" t="s">
        <v>650</v>
      </c>
    </row>
    <row r="591" spans="1:11">
      <c r="A591" t="s">
        <v>1923</v>
      </c>
      <c r="B591" t="s">
        <v>3509</v>
      </c>
      <c r="C591" t="s">
        <v>1924</v>
      </c>
      <c r="D591" t="s">
        <v>3477</v>
      </c>
      <c r="E591" t="s">
        <v>4080</v>
      </c>
      <c r="F591" t="s">
        <v>3511</v>
      </c>
      <c r="G591" t="s">
        <v>3512</v>
      </c>
      <c r="H591" t="s">
        <v>3513</v>
      </c>
      <c r="I591" t="s">
        <v>3476</v>
      </c>
      <c r="J591" t="s">
        <v>650</v>
      </c>
    </row>
    <row r="592" spans="1:11">
      <c r="A592" t="s">
        <v>1923</v>
      </c>
      <c r="B592" t="s">
        <v>3509</v>
      </c>
      <c r="C592" t="s">
        <v>1924</v>
      </c>
      <c r="D592" t="s">
        <v>3479</v>
      </c>
      <c r="E592" t="s">
        <v>4081</v>
      </c>
      <c r="F592" t="s">
        <v>3511</v>
      </c>
      <c r="G592" t="s">
        <v>3512</v>
      </c>
      <c r="H592" t="s">
        <v>3513</v>
      </c>
      <c r="I592" t="s">
        <v>3476</v>
      </c>
      <c r="J592" t="s">
        <v>650</v>
      </c>
    </row>
    <row r="593" spans="1:11">
      <c r="A593" t="s">
        <v>1923</v>
      </c>
      <c r="B593" t="s">
        <v>3509</v>
      </c>
      <c r="C593" t="s">
        <v>1924</v>
      </c>
      <c r="D593" t="s">
        <v>3481</v>
      </c>
      <c r="E593" t="s">
        <v>4082</v>
      </c>
      <c r="F593" t="s">
        <v>3511</v>
      </c>
      <c r="G593" t="s">
        <v>3512</v>
      </c>
      <c r="H593" t="s">
        <v>3513</v>
      </c>
      <c r="I593" t="s">
        <v>3476</v>
      </c>
      <c r="J593" t="s">
        <v>650</v>
      </c>
    </row>
    <row r="594" spans="1:11">
      <c r="A594" t="s">
        <v>1923</v>
      </c>
      <c r="B594" t="s">
        <v>3509</v>
      </c>
      <c r="C594" t="s">
        <v>1924</v>
      </c>
      <c r="D594" t="s">
        <v>3483</v>
      </c>
      <c r="E594" t="s">
        <v>4083</v>
      </c>
      <c r="F594" t="s">
        <v>3511</v>
      </c>
      <c r="G594" t="s">
        <v>3512</v>
      </c>
      <c r="H594" t="s">
        <v>3513</v>
      </c>
      <c r="I594" t="s">
        <v>3476</v>
      </c>
      <c r="J594" t="s">
        <v>650</v>
      </c>
    </row>
    <row r="595" spans="1:11">
      <c r="A595" t="s">
        <v>1923</v>
      </c>
      <c r="B595" t="s">
        <v>3509</v>
      </c>
      <c r="C595" t="s">
        <v>1924</v>
      </c>
      <c r="D595" t="s">
        <v>3518</v>
      </c>
      <c r="E595" t="s">
        <v>4084</v>
      </c>
      <c r="F595" t="s">
        <v>3511</v>
      </c>
      <c r="G595" t="s">
        <v>3512</v>
      </c>
      <c r="H595" t="s">
        <v>3513</v>
      </c>
      <c r="I595" t="s">
        <v>3476</v>
      </c>
      <c r="J595" t="s">
        <v>650</v>
      </c>
      <c r="K595" t="s">
        <v>3520</v>
      </c>
    </row>
    <row r="596" spans="1:11">
      <c r="A596" t="s">
        <v>1925</v>
      </c>
      <c r="B596" t="s">
        <v>3509</v>
      </c>
      <c r="C596" t="s">
        <v>1926</v>
      </c>
      <c r="D596" t="s">
        <v>3471</v>
      </c>
      <c r="E596" t="s">
        <v>4085</v>
      </c>
      <c r="F596" t="s">
        <v>3511</v>
      </c>
      <c r="G596" t="s">
        <v>3512</v>
      </c>
      <c r="H596" t="s">
        <v>3513</v>
      </c>
      <c r="I596" t="s">
        <v>3476</v>
      </c>
      <c r="J596" t="s">
        <v>650</v>
      </c>
    </row>
    <row r="597" spans="1:11">
      <c r="A597" t="s">
        <v>1925</v>
      </c>
      <c r="B597" t="s">
        <v>3509</v>
      </c>
      <c r="C597" t="s">
        <v>1926</v>
      </c>
      <c r="D597" t="s">
        <v>3477</v>
      </c>
      <c r="E597" t="s">
        <v>4086</v>
      </c>
      <c r="F597" t="s">
        <v>3511</v>
      </c>
      <c r="G597" t="s">
        <v>3512</v>
      </c>
      <c r="H597" t="s">
        <v>3513</v>
      </c>
      <c r="I597" t="s">
        <v>3476</v>
      </c>
      <c r="J597" t="s">
        <v>650</v>
      </c>
    </row>
    <row r="598" spans="1:11">
      <c r="A598" t="s">
        <v>1925</v>
      </c>
      <c r="B598" t="s">
        <v>3509</v>
      </c>
      <c r="C598" t="s">
        <v>1926</v>
      </c>
      <c r="D598" t="s">
        <v>3479</v>
      </c>
      <c r="E598" t="s">
        <v>4087</v>
      </c>
      <c r="F598" t="s">
        <v>3511</v>
      </c>
      <c r="G598" t="s">
        <v>3512</v>
      </c>
      <c r="H598" t="s">
        <v>3513</v>
      </c>
      <c r="I598" t="s">
        <v>3476</v>
      </c>
      <c r="J598" t="s">
        <v>650</v>
      </c>
    </row>
    <row r="599" spans="1:11">
      <c r="A599" t="s">
        <v>1925</v>
      </c>
      <c r="B599" t="s">
        <v>3509</v>
      </c>
      <c r="C599" t="s">
        <v>1926</v>
      </c>
      <c r="D599" t="s">
        <v>3481</v>
      </c>
      <c r="E599" t="s">
        <v>4088</v>
      </c>
      <c r="F599" t="s">
        <v>3511</v>
      </c>
      <c r="G599" t="s">
        <v>3512</v>
      </c>
      <c r="H599" t="s">
        <v>3513</v>
      </c>
      <c r="I599" t="s">
        <v>3476</v>
      </c>
      <c r="J599" t="s">
        <v>650</v>
      </c>
    </row>
    <row r="600" spans="1:11">
      <c r="A600" t="s">
        <v>1925</v>
      </c>
      <c r="B600" t="s">
        <v>3509</v>
      </c>
      <c r="C600" t="s">
        <v>1926</v>
      </c>
      <c r="D600" t="s">
        <v>3483</v>
      </c>
      <c r="E600" t="s">
        <v>4089</v>
      </c>
      <c r="F600" t="s">
        <v>3511</v>
      </c>
      <c r="G600" t="s">
        <v>3512</v>
      </c>
      <c r="H600" t="s">
        <v>3513</v>
      </c>
      <c r="I600" t="s">
        <v>3476</v>
      </c>
      <c r="J600" t="s">
        <v>650</v>
      </c>
    </row>
    <row r="601" spans="1:11">
      <c r="A601" t="s">
        <v>1925</v>
      </c>
      <c r="B601" t="s">
        <v>3509</v>
      </c>
      <c r="C601" t="s">
        <v>1926</v>
      </c>
      <c r="D601" t="s">
        <v>3518</v>
      </c>
      <c r="E601" t="s">
        <v>4090</v>
      </c>
      <c r="F601" t="s">
        <v>3511</v>
      </c>
      <c r="G601" t="s">
        <v>3512</v>
      </c>
      <c r="H601" t="s">
        <v>3513</v>
      </c>
      <c r="I601" t="s">
        <v>3476</v>
      </c>
      <c r="J601" t="s">
        <v>650</v>
      </c>
      <c r="K601" t="s">
        <v>3520</v>
      </c>
    </row>
    <row r="602" spans="1:11">
      <c r="A602" t="s">
        <v>1927</v>
      </c>
      <c r="B602" t="s">
        <v>3509</v>
      </c>
      <c r="C602" t="s">
        <v>1928</v>
      </c>
      <c r="D602" t="s">
        <v>3471</v>
      </c>
      <c r="E602" t="s">
        <v>4091</v>
      </c>
      <c r="F602" t="s">
        <v>3511</v>
      </c>
      <c r="G602" t="s">
        <v>3512</v>
      </c>
      <c r="H602" t="s">
        <v>3513</v>
      </c>
      <c r="I602" t="s">
        <v>3476</v>
      </c>
      <c r="J602" t="s">
        <v>650</v>
      </c>
    </row>
    <row r="603" spans="1:11">
      <c r="A603" t="s">
        <v>1927</v>
      </c>
      <c r="B603" t="s">
        <v>3509</v>
      </c>
      <c r="C603" t="s">
        <v>1928</v>
      </c>
      <c r="D603" t="s">
        <v>3477</v>
      </c>
      <c r="E603" t="s">
        <v>4092</v>
      </c>
      <c r="F603" t="s">
        <v>3511</v>
      </c>
      <c r="G603" t="s">
        <v>3512</v>
      </c>
      <c r="H603" t="s">
        <v>3513</v>
      </c>
      <c r="I603" t="s">
        <v>3476</v>
      </c>
      <c r="J603" t="s">
        <v>650</v>
      </c>
    </row>
    <row r="604" spans="1:11">
      <c r="A604" t="s">
        <v>1927</v>
      </c>
      <c r="B604" t="s">
        <v>3509</v>
      </c>
      <c r="C604" t="s">
        <v>1928</v>
      </c>
      <c r="D604" t="s">
        <v>3479</v>
      </c>
      <c r="E604" t="s">
        <v>4093</v>
      </c>
      <c r="F604" t="s">
        <v>3511</v>
      </c>
      <c r="G604" t="s">
        <v>3512</v>
      </c>
      <c r="H604" t="s">
        <v>3513</v>
      </c>
      <c r="I604" t="s">
        <v>3476</v>
      </c>
      <c r="J604" t="s">
        <v>650</v>
      </c>
    </row>
    <row r="605" spans="1:11">
      <c r="A605" t="s">
        <v>1927</v>
      </c>
      <c r="B605" t="s">
        <v>3509</v>
      </c>
      <c r="C605" t="s">
        <v>1928</v>
      </c>
      <c r="D605" t="s">
        <v>3481</v>
      </c>
      <c r="E605" t="s">
        <v>4094</v>
      </c>
      <c r="F605" t="s">
        <v>3511</v>
      </c>
      <c r="G605" t="s">
        <v>3512</v>
      </c>
      <c r="H605" t="s">
        <v>3513</v>
      </c>
      <c r="I605" t="s">
        <v>3476</v>
      </c>
      <c r="J605" t="s">
        <v>650</v>
      </c>
    </row>
    <row r="606" spans="1:11">
      <c r="A606" t="s">
        <v>1927</v>
      </c>
      <c r="B606" t="s">
        <v>3509</v>
      </c>
      <c r="C606" t="s">
        <v>1928</v>
      </c>
      <c r="D606" t="s">
        <v>3483</v>
      </c>
      <c r="E606" t="s">
        <v>4095</v>
      </c>
      <c r="F606" t="s">
        <v>3511</v>
      </c>
      <c r="G606" t="s">
        <v>3512</v>
      </c>
      <c r="H606" t="s">
        <v>3513</v>
      </c>
      <c r="I606" t="s">
        <v>3476</v>
      </c>
      <c r="J606" t="s">
        <v>650</v>
      </c>
    </row>
    <row r="607" spans="1:11">
      <c r="A607" t="s">
        <v>1927</v>
      </c>
      <c r="B607" t="s">
        <v>3509</v>
      </c>
      <c r="C607" t="s">
        <v>1928</v>
      </c>
      <c r="D607" t="s">
        <v>3518</v>
      </c>
      <c r="E607" t="s">
        <v>4096</v>
      </c>
      <c r="F607" t="s">
        <v>3511</v>
      </c>
      <c r="G607" t="s">
        <v>3512</v>
      </c>
      <c r="H607" t="s">
        <v>3513</v>
      </c>
      <c r="I607" t="s">
        <v>3476</v>
      </c>
      <c r="J607" t="s">
        <v>650</v>
      </c>
      <c r="K607" t="s">
        <v>3520</v>
      </c>
    </row>
    <row r="608" spans="1:11">
      <c r="A608" t="s">
        <v>1929</v>
      </c>
      <c r="B608" t="s">
        <v>3509</v>
      </c>
      <c r="C608" t="s">
        <v>1930</v>
      </c>
      <c r="D608" t="s">
        <v>3471</v>
      </c>
      <c r="E608" t="s">
        <v>4097</v>
      </c>
      <c r="F608" t="s">
        <v>3511</v>
      </c>
      <c r="G608" t="s">
        <v>3512</v>
      </c>
      <c r="H608" t="s">
        <v>3513</v>
      </c>
      <c r="I608" t="s">
        <v>3476</v>
      </c>
      <c r="J608" t="s">
        <v>650</v>
      </c>
    </row>
    <row r="609" spans="1:11">
      <c r="A609" t="s">
        <v>1929</v>
      </c>
      <c r="B609" t="s">
        <v>3509</v>
      </c>
      <c r="C609" t="s">
        <v>1930</v>
      </c>
      <c r="D609" t="s">
        <v>3477</v>
      </c>
      <c r="E609" t="s">
        <v>4098</v>
      </c>
      <c r="F609" t="s">
        <v>3511</v>
      </c>
      <c r="G609" t="s">
        <v>3512</v>
      </c>
      <c r="H609" t="s">
        <v>3513</v>
      </c>
      <c r="I609" t="s">
        <v>3476</v>
      </c>
      <c r="J609" t="s">
        <v>650</v>
      </c>
    </row>
    <row r="610" spans="1:11">
      <c r="A610" t="s">
        <v>1929</v>
      </c>
      <c r="B610" t="s">
        <v>3509</v>
      </c>
      <c r="C610" t="s">
        <v>1930</v>
      </c>
      <c r="D610" t="s">
        <v>3479</v>
      </c>
      <c r="E610" t="s">
        <v>4099</v>
      </c>
      <c r="F610" t="s">
        <v>3511</v>
      </c>
      <c r="G610" t="s">
        <v>3512</v>
      </c>
      <c r="H610" t="s">
        <v>3513</v>
      </c>
      <c r="I610" t="s">
        <v>3476</v>
      </c>
      <c r="J610" t="s">
        <v>650</v>
      </c>
    </row>
    <row r="611" spans="1:11">
      <c r="A611" t="s">
        <v>1929</v>
      </c>
      <c r="B611" t="s">
        <v>3509</v>
      </c>
      <c r="C611" t="s">
        <v>1930</v>
      </c>
      <c r="D611" t="s">
        <v>3481</v>
      </c>
      <c r="E611" t="s">
        <v>4100</v>
      </c>
      <c r="F611" t="s">
        <v>3511</v>
      </c>
      <c r="G611" t="s">
        <v>3512</v>
      </c>
      <c r="H611" t="s">
        <v>3513</v>
      </c>
      <c r="I611" t="s">
        <v>3476</v>
      </c>
      <c r="J611" t="s">
        <v>650</v>
      </c>
    </row>
    <row r="612" spans="1:11">
      <c r="A612" t="s">
        <v>1929</v>
      </c>
      <c r="B612" t="s">
        <v>3509</v>
      </c>
      <c r="C612" t="s">
        <v>1930</v>
      </c>
      <c r="D612" t="s">
        <v>3483</v>
      </c>
      <c r="E612" t="s">
        <v>4101</v>
      </c>
      <c r="F612" t="s">
        <v>3511</v>
      </c>
      <c r="G612" t="s">
        <v>3512</v>
      </c>
      <c r="H612" t="s">
        <v>3513</v>
      </c>
      <c r="I612" t="s">
        <v>3476</v>
      </c>
      <c r="J612" t="s">
        <v>650</v>
      </c>
    </row>
    <row r="613" spans="1:11">
      <c r="A613" t="s">
        <v>1929</v>
      </c>
      <c r="B613" t="s">
        <v>3509</v>
      </c>
      <c r="C613" t="s">
        <v>1930</v>
      </c>
      <c r="D613" t="s">
        <v>3518</v>
      </c>
      <c r="E613" t="s">
        <v>4102</v>
      </c>
      <c r="F613" t="s">
        <v>3511</v>
      </c>
      <c r="G613" t="s">
        <v>3512</v>
      </c>
      <c r="H613" t="s">
        <v>3513</v>
      </c>
      <c r="I613" t="s">
        <v>3476</v>
      </c>
      <c r="J613" t="s">
        <v>650</v>
      </c>
      <c r="K613" t="s">
        <v>3520</v>
      </c>
    </row>
    <row r="614" spans="1:11">
      <c r="A614" t="s">
        <v>1931</v>
      </c>
      <c r="B614" t="s">
        <v>3509</v>
      </c>
      <c r="C614" t="inlineStr">
        <is>
          <t xml:space="preserve">Lee-min Seong</t>
        </is>
      </c>
      <c r="D614" t="s">
        <v>3471</v>
      </c>
      <c r="E614" t="s">
        <v>4103</v>
      </c>
      <c r="F614" t="s">
        <v>3511</v>
      </c>
      <c r="G614" t="s">
        <v>3512</v>
      </c>
      <c r="H614" t="s">
        <v>3513</v>
      </c>
      <c r="I614" t="s">
        <v>3476</v>
      </c>
      <c r="J614" t="s">
        <v>650</v>
      </c>
    </row>
    <row r="615" spans="1:11">
      <c r="A615" t="s">
        <v>1931</v>
      </c>
      <c r="B615" t="s">
        <v>3509</v>
      </c>
      <c r="C615" t="inlineStr">
        <is>
          <t xml:space="preserve">Lee-min Seong</t>
        </is>
      </c>
      <c r="D615" t="s">
        <v>3477</v>
      </c>
      <c r="E615" t="s">
        <v>4104</v>
      </c>
      <c r="F615" t="s">
        <v>3511</v>
      </c>
      <c r="G615" t="s">
        <v>3512</v>
      </c>
      <c r="H615" t="s">
        <v>3513</v>
      </c>
      <c r="I615" t="s">
        <v>3476</v>
      </c>
      <c r="J615" t="s">
        <v>650</v>
      </c>
    </row>
    <row r="616" spans="1:11">
      <c r="A616" t="s">
        <v>1931</v>
      </c>
      <c r="B616" t="s">
        <v>3509</v>
      </c>
      <c r="C616" t="inlineStr">
        <is>
          <t xml:space="preserve">Lee-min Seong</t>
        </is>
      </c>
      <c r="D616" t="s">
        <v>3479</v>
      </c>
      <c r="E616" t="s">
        <v>4105</v>
      </c>
      <c r="F616" t="s">
        <v>3511</v>
      </c>
      <c r="G616" t="s">
        <v>3512</v>
      </c>
      <c r="H616" t="s">
        <v>3513</v>
      </c>
      <c r="I616" t="s">
        <v>3476</v>
      </c>
      <c r="J616" t="s">
        <v>650</v>
      </c>
    </row>
    <row r="617" spans="1:11">
      <c r="A617" t="s">
        <v>1931</v>
      </c>
      <c r="B617" t="s">
        <v>3509</v>
      </c>
      <c r="C617" t="inlineStr">
        <is>
          <t xml:space="preserve">Lee-min Seong</t>
        </is>
      </c>
      <c r="D617" t="s">
        <v>3481</v>
      </c>
      <c r="E617" t="s">
        <v>4106</v>
      </c>
      <c r="F617" t="s">
        <v>3511</v>
      </c>
      <c r="G617" t="s">
        <v>3512</v>
      </c>
      <c r="H617" t="s">
        <v>3513</v>
      </c>
      <c r="I617" t="s">
        <v>3476</v>
      </c>
      <c r="J617" t="s">
        <v>650</v>
      </c>
    </row>
    <row r="618" spans="1:11">
      <c r="A618" t="s">
        <v>1931</v>
      </c>
      <c r="B618" t="s">
        <v>3509</v>
      </c>
      <c r="C618" t="inlineStr">
        <is>
          <t xml:space="preserve">Lee-min Seong</t>
        </is>
      </c>
      <c r="D618" t="s">
        <v>3483</v>
      </c>
      <c r="E618" t="s">
        <v>4107</v>
      </c>
      <c r="F618" t="s">
        <v>3511</v>
      </c>
      <c r="G618" t="s">
        <v>3512</v>
      </c>
      <c r="H618" t="s">
        <v>3513</v>
      </c>
      <c r="I618" t="s">
        <v>3476</v>
      </c>
      <c r="J618" t="s">
        <v>650</v>
      </c>
    </row>
    <row r="619" spans="1:11">
      <c r="A619" t="s">
        <v>1931</v>
      </c>
      <c r="B619" t="s">
        <v>3509</v>
      </c>
      <c r="C619" t="inlineStr">
        <is>
          <t xml:space="preserve">Lee-min Seong</t>
        </is>
      </c>
      <c r="D619" t="s">
        <v>3518</v>
      </c>
      <c r="E619" t="s">
        <v>4108</v>
      </c>
      <c r="F619" t="s">
        <v>3511</v>
      </c>
      <c r="G619" t="s">
        <v>3512</v>
      </c>
      <c r="H619" t="s">
        <v>3513</v>
      </c>
      <c r="I619" t="s">
        <v>3476</v>
      </c>
      <c r="J619" t="s">
        <v>650</v>
      </c>
      <c r="K619" t="s">
        <v>3520</v>
      </c>
    </row>
    <row r="620" spans="1:11">
      <c r="A620" t="s">
        <v>1933</v>
      </c>
      <c r="B620" t="s">
        <v>3509</v>
      </c>
      <c r="C620" t="s">
        <v>1934</v>
      </c>
      <c r="D620" t="s">
        <v>3471</v>
      </c>
      <c r="E620" t="s">
        <v>4109</v>
      </c>
      <c r="F620" t="s">
        <v>3511</v>
      </c>
      <c r="G620" t="s">
        <v>3512</v>
      </c>
      <c r="H620" t="s">
        <v>3513</v>
      </c>
      <c r="I620" t="s">
        <v>3476</v>
      </c>
      <c r="J620" t="s">
        <v>650</v>
      </c>
    </row>
    <row r="621" spans="1:11">
      <c r="A621" t="s">
        <v>1933</v>
      </c>
      <c r="B621" t="s">
        <v>3509</v>
      </c>
      <c r="C621" t="s">
        <v>1934</v>
      </c>
      <c r="D621" t="s">
        <v>3477</v>
      </c>
      <c r="E621" t="s">
        <v>4110</v>
      </c>
      <c r="F621" t="s">
        <v>3511</v>
      </c>
      <c r="G621" t="s">
        <v>3512</v>
      </c>
      <c r="H621" t="s">
        <v>3513</v>
      </c>
      <c r="I621" t="s">
        <v>3476</v>
      </c>
      <c r="J621" t="s">
        <v>650</v>
      </c>
    </row>
    <row r="622" spans="1:11">
      <c r="A622" t="s">
        <v>1933</v>
      </c>
      <c r="B622" t="s">
        <v>3509</v>
      </c>
      <c r="C622" t="s">
        <v>1934</v>
      </c>
      <c r="D622" t="s">
        <v>3479</v>
      </c>
      <c r="E622" t="s">
        <v>4111</v>
      </c>
      <c r="F622" t="s">
        <v>3511</v>
      </c>
      <c r="G622" t="s">
        <v>3512</v>
      </c>
      <c r="H622" t="s">
        <v>3513</v>
      </c>
      <c r="I622" t="s">
        <v>3476</v>
      </c>
      <c r="J622" t="s">
        <v>650</v>
      </c>
    </row>
    <row r="623" spans="1:11">
      <c r="A623" t="s">
        <v>1933</v>
      </c>
      <c r="B623" t="s">
        <v>3509</v>
      </c>
      <c r="C623" t="s">
        <v>1934</v>
      </c>
      <c r="D623" t="s">
        <v>3481</v>
      </c>
      <c r="E623" t="s">
        <v>4112</v>
      </c>
      <c r="F623" t="s">
        <v>3511</v>
      </c>
      <c r="G623" t="s">
        <v>3512</v>
      </c>
      <c r="H623" t="s">
        <v>3513</v>
      </c>
      <c r="I623" t="s">
        <v>3476</v>
      </c>
      <c r="J623" t="s">
        <v>650</v>
      </c>
    </row>
    <row r="624" spans="1:11">
      <c r="A624" t="s">
        <v>1933</v>
      </c>
      <c r="B624" t="s">
        <v>3509</v>
      </c>
      <c r="C624" t="s">
        <v>1934</v>
      </c>
      <c r="D624" t="s">
        <v>3483</v>
      </c>
      <c r="E624" t="s">
        <v>4113</v>
      </c>
      <c r="F624" t="s">
        <v>3511</v>
      </c>
      <c r="G624" t="s">
        <v>3512</v>
      </c>
      <c r="H624" t="s">
        <v>3513</v>
      </c>
      <c r="I624" t="s">
        <v>3476</v>
      </c>
      <c r="J624" t="s">
        <v>650</v>
      </c>
    </row>
    <row r="625" spans="1:11">
      <c r="A625" t="s">
        <v>1933</v>
      </c>
      <c r="B625" t="s">
        <v>3509</v>
      </c>
      <c r="C625" t="s">
        <v>1934</v>
      </c>
      <c r="D625" t="s">
        <v>3518</v>
      </c>
      <c r="E625" t="s">
        <v>4114</v>
      </c>
      <c r="F625" t="s">
        <v>3511</v>
      </c>
      <c r="G625" t="s">
        <v>3512</v>
      </c>
      <c r="H625" t="s">
        <v>3513</v>
      </c>
      <c r="I625" t="s">
        <v>3476</v>
      </c>
      <c r="J625" t="s">
        <v>650</v>
      </c>
      <c r="K625" t="s">
        <v>3520</v>
      </c>
    </row>
    <row r="626" spans="1:11">
      <c r="A626" t="s">
        <v>1935</v>
      </c>
      <c r="B626" t="s">
        <v>3509</v>
      </c>
      <c r="C626" t="s">
        <v>1936</v>
      </c>
      <c r="D626" t="s">
        <v>3471</v>
      </c>
      <c r="E626" t="s">
        <v>4115</v>
      </c>
      <c r="F626" t="s">
        <v>3511</v>
      </c>
      <c r="G626" t="s">
        <v>3512</v>
      </c>
      <c r="H626" t="s">
        <v>3513</v>
      </c>
      <c r="I626" t="s">
        <v>3476</v>
      </c>
      <c r="J626" t="s">
        <v>650</v>
      </c>
    </row>
    <row r="627" spans="1:11">
      <c r="A627" t="s">
        <v>1935</v>
      </c>
      <c r="B627" t="s">
        <v>3509</v>
      </c>
      <c r="C627" t="s">
        <v>1936</v>
      </c>
      <c r="D627" t="s">
        <v>3477</v>
      </c>
      <c r="E627" t="s">
        <v>4116</v>
      </c>
      <c r="F627" t="s">
        <v>3511</v>
      </c>
      <c r="G627" t="s">
        <v>3512</v>
      </c>
      <c r="H627" t="s">
        <v>3513</v>
      </c>
      <c r="I627" t="s">
        <v>3476</v>
      </c>
      <c r="J627" t="s">
        <v>650</v>
      </c>
    </row>
    <row r="628" spans="1:11">
      <c r="A628" t="s">
        <v>1935</v>
      </c>
      <c r="B628" t="s">
        <v>3509</v>
      </c>
      <c r="C628" t="s">
        <v>1936</v>
      </c>
      <c r="D628" t="s">
        <v>3479</v>
      </c>
      <c r="E628" t="s">
        <v>4117</v>
      </c>
      <c r="F628" t="s">
        <v>3511</v>
      </c>
      <c r="G628" t="s">
        <v>3512</v>
      </c>
      <c r="H628" t="s">
        <v>3513</v>
      </c>
      <c r="I628" t="s">
        <v>3476</v>
      </c>
      <c r="J628" t="s">
        <v>650</v>
      </c>
    </row>
    <row r="629" spans="1:11">
      <c r="A629" t="s">
        <v>1935</v>
      </c>
      <c r="B629" t="s">
        <v>3509</v>
      </c>
      <c r="C629" t="s">
        <v>1936</v>
      </c>
      <c r="D629" t="s">
        <v>3481</v>
      </c>
      <c r="E629" t="s">
        <v>4118</v>
      </c>
      <c r="F629" t="s">
        <v>3511</v>
      </c>
      <c r="G629" t="s">
        <v>3512</v>
      </c>
      <c r="H629" t="s">
        <v>3513</v>
      </c>
      <c r="I629" t="s">
        <v>3476</v>
      </c>
      <c r="J629" t="s">
        <v>650</v>
      </c>
    </row>
    <row r="630" spans="1:11">
      <c r="A630" t="s">
        <v>1935</v>
      </c>
      <c r="B630" t="s">
        <v>3509</v>
      </c>
      <c r="C630" t="s">
        <v>1936</v>
      </c>
      <c r="D630" t="s">
        <v>3483</v>
      </c>
      <c r="E630" t="s">
        <v>4119</v>
      </c>
      <c r="F630" t="s">
        <v>3511</v>
      </c>
      <c r="G630" t="s">
        <v>3512</v>
      </c>
      <c r="H630" t="s">
        <v>3513</v>
      </c>
      <c r="I630" t="s">
        <v>3476</v>
      </c>
      <c r="J630" t="s">
        <v>650</v>
      </c>
    </row>
    <row r="631" spans="1:11">
      <c r="A631" t="s">
        <v>1935</v>
      </c>
      <c r="B631" t="s">
        <v>3509</v>
      </c>
      <c r="C631" t="s">
        <v>1936</v>
      </c>
      <c r="D631" t="s">
        <v>3518</v>
      </c>
      <c r="E631" t="s">
        <v>4120</v>
      </c>
      <c r="F631" t="s">
        <v>3511</v>
      </c>
      <c r="G631" t="s">
        <v>3512</v>
      </c>
      <c r="H631" t="s">
        <v>3513</v>
      </c>
      <c r="I631" t="s">
        <v>3476</v>
      </c>
      <c r="J631" t="s">
        <v>650</v>
      </c>
      <c r="K631" t="s">
        <v>3520</v>
      </c>
    </row>
    <row r="632" spans="1:11">
      <c r="A632" t="s">
        <v>1937</v>
      </c>
      <c r="B632" t="s">
        <v>3509</v>
      </c>
      <c r="C632" t="s">
        <v>1938</v>
      </c>
      <c r="D632" t="s">
        <v>3471</v>
      </c>
      <c r="E632" t="s">
        <v>4121</v>
      </c>
      <c r="F632" t="s">
        <v>3511</v>
      </c>
      <c r="G632" t="s">
        <v>3512</v>
      </c>
      <c r="H632" t="s">
        <v>3513</v>
      </c>
      <c r="I632" t="s">
        <v>3476</v>
      </c>
      <c r="J632" t="s">
        <v>650</v>
      </c>
    </row>
    <row r="633" spans="1:11">
      <c r="A633" t="s">
        <v>1937</v>
      </c>
      <c r="B633" t="s">
        <v>3509</v>
      </c>
      <c r="C633" t="s">
        <v>1938</v>
      </c>
      <c r="D633" t="s">
        <v>3477</v>
      </c>
      <c r="E633" t="s">
        <v>4122</v>
      </c>
      <c r="F633" t="s">
        <v>3511</v>
      </c>
      <c r="G633" t="s">
        <v>3512</v>
      </c>
      <c r="H633" t="s">
        <v>3513</v>
      </c>
      <c r="I633" t="s">
        <v>3476</v>
      </c>
      <c r="J633" t="s">
        <v>650</v>
      </c>
    </row>
    <row r="634" spans="1:11">
      <c r="A634" t="s">
        <v>1937</v>
      </c>
      <c r="B634" t="s">
        <v>3509</v>
      </c>
      <c r="C634" t="s">
        <v>1938</v>
      </c>
      <c r="D634" t="s">
        <v>3479</v>
      </c>
      <c r="E634" t="s">
        <v>4123</v>
      </c>
      <c r="F634" t="s">
        <v>3511</v>
      </c>
      <c r="G634" t="s">
        <v>3512</v>
      </c>
      <c r="H634" t="s">
        <v>3513</v>
      </c>
      <c r="I634" t="s">
        <v>3476</v>
      </c>
      <c r="J634" t="s">
        <v>650</v>
      </c>
    </row>
    <row r="635" spans="1:11">
      <c r="A635" t="s">
        <v>1937</v>
      </c>
      <c r="B635" t="s">
        <v>3509</v>
      </c>
      <c r="C635" t="s">
        <v>1938</v>
      </c>
      <c r="D635" t="s">
        <v>3481</v>
      </c>
      <c r="E635" t="s">
        <v>4124</v>
      </c>
      <c r="F635" t="s">
        <v>3511</v>
      </c>
      <c r="G635" t="s">
        <v>3512</v>
      </c>
      <c r="H635" t="s">
        <v>3513</v>
      </c>
      <c r="I635" t="s">
        <v>3476</v>
      </c>
      <c r="J635" t="s">
        <v>650</v>
      </c>
    </row>
    <row r="636" spans="1:11">
      <c r="A636" t="s">
        <v>1937</v>
      </c>
      <c r="B636" t="s">
        <v>3509</v>
      </c>
      <c r="C636" t="s">
        <v>1938</v>
      </c>
      <c r="D636" t="s">
        <v>3483</v>
      </c>
      <c r="E636" t="s">
        <v>4125</v>
      </c>
      <c r="F636" t="s">
        <v>3511</v>
      </c>
      <c r="G636" t="s">
        <v>3512</v>
      </c>
      <c r="H636" t="s">
        <v>3513</v>
      </c>
      <c r="I636" t="s">
        <v>3476</v>
      </c>
      <c r="J636" t="s">
        <v>650</v>
      </c>
    </row>
    <row r="637" spans="1:11">
      <c r="A637" t="s">
        <v>1937</v>
      </c>
      <c r="B637" t="s">
        <v>3509</v>
      </c>
      <c r="C637" t="s">
        <v>1938</v>
      </c>
      <c r="D637" t="s">
        <v>3518</v>
      </c>
      <c r="E637" t="s">
        <v>4126</v>
      </c>
      <c r="F637" t="s">
        <v>3511</v>
      </c>
      <c r="G637" t="s">
        <v>3512</v>
      </c>
      <c r="H637" t="s">
        <v>3513</v>
      </c>
      <c r="I637" t="s">
        <v>3476</v>
      </c>
      <c r="J637" t="s">
        <v>650</v>
      </c>
      <c r="K637" t="s">
        <v>3520</v>
      </c>
    </row>
    <row r="638" spans="1:11">
      <c r="A638" t="s">
        <v>1939</v>
      </c>
      <c r="B638" t="s">
        <v>3509</v>
      </c>
      <c r="C638" t="s">
        <v>1940</v>
      </c>
      <c r="D638" t="s">
        <v>3471</v>
      </c>
      <c r="E638" t="s">
        <v>4127</v>
      </c>
      <c r="F638" t="s">
        <v>3511</v>
      </c>
      <c r="G638" t="s">
        <v>3512</v>
      </c>
      <c r="H638" t="s">
        <v>3513</v>
      </c>
      <c r="I638" t="s">
        <v>3476</v>
      </c>
      <c r="J638" t="s">
        <v>650</v>
      </c>
    </row>
    <row r="639" spans="1:11">
      <c r="A639" t="s">
        <v>1939</v>
      </c>
      <c r="B639" t="s">
        <v>3509</v>
      </c>
      <c r="C639" t="s">
        <v>1940</v>
      </c>
      <c r="D639" t="s">
        <v>3477</v>
      </c>
      <c r="E639" t="s">
        <v>4128</v>
      </c>
      <c r="F639" t="s">
        <v>3511</v>
      </c>
      <c r="G639" t="s">
        <v>3512</v>
      </c>
      <c r="H639" t="s">
        <v>3513</v>
      </c>
      <c r="I639" t="s">
        <v>3476</v>
      </c>
      <c r="J639" t="s">
        <v>650</v>
      </c>
    </row>
    <row r="640" spans="1:11">
      <c r="A640" t="s">
        <v>1939</v>
      </c>
      <c r="B640" t="s">
        <v>3509</v>
      </c>
      <c r="C640" t="s">
        <v>1940</v>
      </c>
      <c r="D640" t="s">
        <v>3479</v>
      </c>
      <c r="E640" t="s">
        <v>4129</v>
      </c>
      <c r="F640" t="s">
        <v>3511</v>
      </c>
      <c r="G640" t="s">
        <v>3512</v>
      </c>
      <c r="H640" t="s">
        <v>3513</v>
      </c>
      <c r="I640" t="s">
        <v>3476</v>
      </c>
      <c r="J640" t="s">
        <v>650</v>
      </c>
    </row>
    <row r="641" spans="1:11">
      <c r="A641" t="s">
        <v>1939</v>
      </c>
      <c r="B641" t="s">
        <v>3509</v>
      </c>
      <c r="C641" t="s">
        <v>1940</v>
      </c>
      <c r="D641" t="s">
        <v>3481</v>
      </c>
      <c r="E641" t="s">
        <v>4130</v>
      </c>
      <c r="F641" t="s">
        <v>3511</v>
      </c>
      <c r="G641" t="s">
        <v>3512</v>
      </c>
      <c r="H641" t="s">
        <v>3513</v>
      </c>
      <c r="I641" t="s">
        <v>3476</v>
      </c>
      <c r="J641" t="s">
        <v>650</v>
      </c>
    </row>
    <row r="642" spans="1:11">
      <c r="A642" t="s">
        <v>1939</v>
      </c>
      <c r="B642" t="s">
        <v>3509</v>
      </c>
      <c r="C642" t="s">
        <v>1940</v>
      </c>
      <c r="D642" t="s">
        <v>3483</v>
      </c>
      <c r="E642" t="s">
        <v>4131</v>
      </c>
      <c r="F642" t="s">
        <v>3511</v>
      </c>
      <c r="G642" t="s">
        <v>3512</v>
      </c>
      <c r="H642" t="s">
        <v>3513</v>
      </c>
      <c r="I642" t="s">
        <v>3476</v>
      </c>
      <c r="J642" t="s">
        <v>650</v>
      </c>
    </row>
    <row r="643" spans="1:11">
      <c r="A643" t="s">
        <v>1939</v>
      </c>
      <c r="B643" t="s">
        <v>3509</v>
      </c>
      <c r="C643" t="s">
        <v>1940</v>
      </c>
      <c r="D643" t="s">
        <v>3518</v>
      </c>
      <c r="E643" t="s">
        <v>4132</v>
      </c>
      <c r="F643" t="s">
        <v>3511</v>
      </c>
      <c r="G643" t="s">
        <v>3512</v>
      </c>
      <c r="H643" t="s">
        <v>3513</v>
      </c>
      <c r="I643" t="s">
        <v>3476</v>
      </c>
      <c r="J643" t="s">
        <v>650</v>
      </c>
      <c r="K643" t="s">
        <v>3520</v>
      </c>
    </row>
    <row r="644" spans="1:11">
      <c r="A644" t="s">
        <v>1941</v>
      </c>
      <c r="B644" t="s">
        <v>3509</v>
      </c>
      <c r="C644" t="s">
        <v>1942</v>
      </c>
      <c r="D644" t="s">
        <v>3471</v>
      </c>
      <c r="E644" t="s">
        <v>4133</v>
      </c>
      <c r="F644" t="s">
        <v>3511</v>
      </c>
      <c r="G644" t="s">
        <v>3512</v>
      </c>
      <c r="H644" t="s">
        <v>3513</v>
      </c>
      <c r="I644" t="s">
        <v>3476</v>
      </c>
      <c r="J644" t="s">
        <v>650</v>
      </c>
    </row>
    <row r="645" spans="1:11">
      <c r="A645" t="s">
        <v>1941</v>
      </c>
      <c r="B645" t="s">
        <v>3509</v>
      </c>
      <c r="C645" t="s">
        <v>1942</v>
      </c>
      <c r="D645" t="s">
        <v>3477</v>
      </c>
      <c r="E645" t="s">
        <v>4134</v>
      </c>
      <c r="F645" t="s">
        <v>3511</v>
      </c>
      <c r="G645" t="s">
        <v>3512</v>
      </c>
      <c r="H645" t="s">
        <v>3513</v>
      </c>
      <c r="I645" t="s">
        <v>3476</v>
      </c>
      <c r="J645" t="s">
        <v>650</v>
      </c>
    </row>
    <row r="646" spans="1:11">
      <c r="A646" t="s">
        <v>1941</v>
      </c>
      <c r="B646" t="s">
        <v>3509</v>
      </c>
      <c r="C646" t="s">
        <v>1942</v>
      </c>
      <c r="D646" t="s">
        <v>3479</v>
      </c>
      <c r="E646" t="s">
        <v>4135</v>
      </c>
      <c r="F646" t="s">
        <v>3511</v>
      </c>
      <c r="G646" t="s">
        <v>3512</v>
      </c>
      <c r="H646" t="s">
        <v>3513</v>
      </c>
      <c r="I646" t="s">
        <v>3476</v>
      </c>
      <c r="J646" t="s">
        <v>650</v>
      </c>
    </row>
    <row r="647" spans="1:11">
      <c r="A647" t="s">
        <v>1941</v>
      </c>
      <c r="B647" t="s">
        <v>3509</v>
      </c>
      <c r="C647" t="s">
        <v>1942</v>
      </c>
      <c r="D647" t="s">
        <v>3481</v>
      </c>
      <c r="E647" t="s">
        <v>4136</v>
      </c>
      <c r="F647" t="s">
        <v>3511</v>
      </c>
      <c r="G647" t="s">
        <v>3512</v>
      </c>
      <c r="H647" t="s">
        <v>3513</v>
      </c>
      <c r="I647" t="s">
        <v>3476</v>
      </c>
      <c r="J647" t="s">
        <v>650</v>
      </c>
    </row>
    <row r="648" spans="1:11">
      <c r="A648" t="s">
        <v>1941</v>
      </c>
      <c r="B648" t="s">
        <v>3509</v>
      </c>
      <c r="C648" t="s">
        <v>1942</v>
      </c>
      <c r="D648" t="s">
        <v>3483</v>
      </c>
      <c r="E648" t="s">
        <v>4137</v>
      </c>
      <c r="F648" t="s">
        <v>3511</v>
      </c>
      <c r="G648" t="s">
        <v>3512</v>
      </c>
      <c r="H648" t="s">
        <v>3513</v>
      </c>
      <c r="I648" t="s">
        <v>3476</v>
      </c>
      <c r="J648" t="s">
        <v>650</v>
      </c>
    </row>
    <row r="649" spans="1:11">
      <c r="A649" t="s">
        <v>1941</v>
      </c>
      <c r="B649" t="s">
        <v>3509</v>
      </c>
      <c r="C649" t="s">
        <v>1942</v>
      </c>
      <c r="D649" t="s">
        <v>3518</v>
      </c>
      <c r="E649" t="s">
        <v>4138</v>
      </c>
      <c r="F649" t="s">
        <v>3511</v>
      </c>
      <c r="G649" t="s">
        <v>3512</v>
      </c>
      <c r="H649" t="s">
        <v>3513</v>
      </c>
      <c r="I649" t="s">
        <v>3476</v>
      </c>
      <c r="J649" t="s">
        <v>650</v>
      </c>
      <c r="K649" t="s">
        <v>3520</v>
      </c>
    </row>
    <row r="650" spans="1:11">
      <c r="A650" t="s">
        <v>1945</v>
      </c>
      <c r="B650" t="s">
        <v>3509</v>
      </c>
      <c r="C650" t="s">
        <v>1946</v>
      </c>
      <c r="D650" t="s">
        <v>3471</v>
      </c>
      <c r="E650" t="s">
        <v>4139</v>
      </c>
      <c r="F650" t="s">
        <v>3511</v>
      </c>
      <c r="G650" t="s">
        <v>3512</v>
      </c>
      <c r="H650" t="s">
        <v>3513</v>
      </c>
      <c r="I650" t="s">
        <v>3476</v>
      </c>
      <c r="J650" t="s">
        <v>650</v>
      </c>
    </row>
    <row r="651" spans="1:11">
      <c r="A651" t="s">
        <v>1945</v>
      </c>
      <c r="B651" t="s">
        <v>3509</v>
      </c>
      <c r="C651" t="s">
        <v>1946</v>
      </c>
      <c r="D651" t="s">
        <v>3477</v>
      </c>
      <c r="E651" t="s">
        <v>4140</v>
      </c>
      <c r="F651" t="s">
        <v>3511</v>
      </c>
      <c r="G651" t="s">
        <v>3512</v>
      </c>
      <c r="H651" t="s">
        <v>3513</v>
      </c>
      <c r="I651" t="s">
        <v>3476</v>
      </c>
      <c r="J651" t="s">
        <v>650</v>
      </c>
    </row>
    <row r="652" spans="1:11">
      <c r="A652" t="s">
        <v>1945</v>
      </c>
      <c r="B652" t="s">
        <v>3509</v>
      </c>
      <c r="C652" t="s">
        <v>1946</v>
      </c>
      <c r="D652" t="s">
        <v>3479</v>
      </c>
      <c r="E652" t="s">
        <v>4141</v>
      </c>
      <c r="F652" t="s">
        <v>3511</v>
      </c>
      <c r="G652" t="s">
        <v>3512</v>
      </c>
      <c r="H652" t="s">
        <v>3513</v>
      </c>
      <c r="I652" t="s">
        <v>3476</v>
      </c>
      <c r="J652" t="s">
        <v>650</v>
      </c>
    </row>
    <row r="653" spans="1:11">
      <c r="A653" t="s">
        <v>1945</v>
      </c>
      <c r="B653" t="s">
        <v>3509</v>
      </c>
      <c r="C653" t="s">
        <v>1946</v>
      </c>
      <c r="D653" t="s">
        <v>3481</v>
      </c>
      <c r="E653" t="s">
        <v>4142</v>
      </c>
      <c r="F653" t="s">
        <v>3511</v>
      </c>
      <c r="G653" t="s">
        <v>3512</v>
      </c>
      <c r="H653" t="s">
        <v>3513</v>
      </c>
      <c r="I653" t="s">
        <v>3476</v>
      </c>
      <c r="J653" t="s">
        <v>650</v>
      </c>
    </row>
    <row r="654" spans="1:11">
      <c r="A654" t="s">
        <v>1945</v>
      </c>
      <c r="B654" t="s">
        <v>3509</v>
      </c>
      <c r="C654" t="s">
        <v>1946</v>
      </c>
      <c r="D654" t="s">
        <v>3483</v>
      </c>
      <c r="E654" t="s">
        <v>4143</v>
      </c>
      <c r="F654" t="s">
        <v>3511</v>
      </c>
      <c r="G654" t="s">
        <v>3512</v>
      </c>
      <c r="H654" t="s">
        <v>3513</v>
      </c>
      <c r="I654" t="s">
        <v>3476</v>
      </c>
      <c r="J654" t="s">
        <v>650</v>
      </c>
    </row>
    <row r="655" spans="1:11">
      <c r="A655" t="s">
        <v>1945</v>
      </c>
      <c r="B655" t="s">
        <v>3509</v>
      </c>
      <c r="C655" t="s">
        <v>1946</v>
      </c>
      <c r="D655" t="s">
        <v>3518</v>
      </c>
      <c r="E655" t="s">
        <v>4144</v>
      </c>
      <c r="F655" t="s">
        <v>3511</v>
      </c>
      <c r="G655" t="s">
        <v>3512</v>
      </c>
      <c r="H655" t="s">
        <v>3513</v>
      </c>
      <c r="I655" t="s">
        <v>3476</v>
      </c>
      <c r="J655" t="s">
        <v>650</v>
      </c>
      <c r="K655" t="s">
        <v>3520</v>
      </c>
    </row>
    <row r="656" spans="1:11">
      <c r="A656" t="s">
        <v>1947</v>
      </c>
      <c r="B656" t="s">
        <v>3509</v>
      </c>
      <c r="C656" t="s">
        <v>1948</v>
      </c>
      <c r="D656" t="s">
        <v>3471</v>
      </c>
      <c r="E656" t="s">
        <v>4145</v>
      </c>
      <c r="F656" t="s">
        <v>3511</v>
      </c>
      <c r="G656" t="s">
        <v>3512</v>
      </c>
      <c r="H656" t="s">
        <v>3513</v>
      </c>
      <c r="I656" t="s">
        <v>3476</v>
      </c>
      <c r="J656" t="s">
        <v>650</v>
      </c>
    </row>
    <row r="657" spans="1:11">
      <c r="A657" t="s">
        <v>1947</v>
      </c>
      <c r="B657" t="s">
        <v>3509</v>
      </c>
      <c r="C657" t="s">
        <v>1948</v>
      </c>
      <c r="D657" t="s">
        <v>3477</v>
      </c>
      <c r="E657" t="s">
        <v>4146</v>
      </c>
      <c r="F657" t="s">
        <v>3511</v>
      </c>
      <c r="G657" t="s">
        <v>3512</v>
      </c>
      <c r="H657" t="s">
        <v>3513</v>
      </c>
      <c r="I657" t="s">
        <v>3476</v>
      </c>
      <c r="J657" t="s">
        <v>650</v>
      </c>
    </row>
    <row r="658" spans="1:11">
      <c r="A658" t="s">
        <v>1947</v>
      </c>
      <c r="B658" t="s">
        <v>3509</v>
      </c>
      <c r="C658" t="s">
        <v>1948</v>
      </c>
      <c r="D658" t="s">
        <v>3479</v>
      </c>
      <c r="E658" t="s">
        <v>4147</v>
      </c>
      <c r="F658" t="s">
        <v>3511</v>
      </c>
      <c r="G658" t="s">
        <v>3512</v>
      </c>
      <c r="H658" t="s">
        <v>3513</v>
      </c>
      <c r="I658" t="s">
        <v>3476</v>
      </c>
      <c r="J658" t="s">
        <v>650</v>
      </c>
    </row>
    <row r="659" spans="1:11">
      <c r="A659" t="s">
        <v>1947</v>
      </c>
      <c r="B659" t="s">
        <v>3509</v>
      </c>
      <c r="C659" t="s">
        <v>1948</v>
      </c>
      <c r="D659" t="s">
        <v>3481</v>
      </c>
      <c r="E659" t="s">
        <v>4148</v>
      </c>
      <c r="F659" t="s">
        <v>3511</v>
      </c>
      <c r="G659" t="s">
        <v>3512</v>
      </c>
      <c r="H659" t="s">
        <v>3513</v>
      </c>
      <c r="I659" t="s">
        <v>3476</v>
      </c>
      <c r="J659" t="s">
        <v>650</v>
      </c>
    </row>
    <row r="660" spans="1:11">
      <c r="A660" t="s">
        <v>1947</v>
      </c>
      <c r="B660" t="s">
        <v>3509</v>
      </c>
      <c r="C660" t="s">
        <v>1948</v>
      </c>
      <c r="D660" t="s">
        <v>3483</v>
      </c>
      <c r="E660" t="s">
        <v>4149</v>
      </c>
      <c r="F660" t="s">
        <v>3511</v>
      </c>
      <c r="G660" t="s">
        <v>3512</v>
      </c>
      <c r="H660" t="s">
        <v>3513</v>
      </c>
      <c r="I660" t="s">
        <v>3476</v>
      </c>
      <c r="J660" t="s">
        <v>650</v>
      </c>
    </row>
    <row r="661" spans="1:11">
      <c r="A661" t="s">
        <v>1947</v>
      </c>
      <c r="B661" t="s">
        <v>3509</v>
      </c>
      <c r="C661" t="s">
        <v>1948</v>
      </c>
      <c r="D661" t="s">
        <v>3518</v>
      </c>
      <c r="E661" t="s">
        <v>4150</v>
      </c>
      <c r="F661" t="s">
        <v>3511</v>
      </c>
      <c r="G661" t="s">
        <v>3512</v>
      </c>
      <c r="H661" t="s">
        <v>3513</v>
      </c>
      <c r="I661" t="s">
        <v>3476</v>
      </c>
      <c r="J661" t="s">
        <v>650</v>
      </c>
      <c r="K661" t="s">
        <v>3520</v>
      </c>
    </row>
    <row r="662" spans="1:11">
      <c r="A662" t="s">
        <v>1950</v>
      </c>
      <c r="B662" t="s">
        <v>3509</v>
      </c>
      <c r="C662" t="s">
        <v>1951</v>
      </c>
      <c r="D662" t="s">
        <v>3471</v>
      </c>
      <c r="E662" t="s">
        <v>4151</v>
      </c>
      <c r="F662" t="s">
        <v>3511</v>
      </c>
      <c r="G662" t="s">
        <v>3512</v>
      </c>
      <c r="H662" t="s">
        <v>3513</v>
      </c>
      <c r="I662" t="s">
        <v>3476</v>
      </c>
      <c r="J662" t="s">
        <v>650</v>
      </c>
    </row>
    <row r="663" spans="1:11">
      <c r="A663" t="s">
        <v>1950</v>
      </c>
      <c r="B663" t="s">
        <v>3509</v>
      </c>
      <c r="C663" t="s">
        <v>1951</v>
      </c>
      <c r="D663" t="s">
        <v>3477</v>
      </c>
      <c r="E663" t="s">
        <v>4152</v>
      </c>
      <c r="F663" t="s">
        <v>3511</v>
      </c>
      <c r="G663" t="s">
        <v>3512</v>
      </c>
      <c r="H663" t="s">
        <v>3513</v>
      </c>
      <c r="I663" t="s">
        <v>3476</v>
      </c>
      <c r="J663" t="s">
        <v>650</v>
      </c>
    </row>
    <row r="664" spans="1:11">
      <c r="A664" t="s">
        <v>1950</v>
      </c>
      <c r="B664" t="s">
        <v>3509</v>
      </c>
      <c r="C664" t="s">
        <v>1951</v>
      </c>
      <c r="D664" t="s">
        <v>3479</v>
      </c>
      <c r="E664" t="s">
        <v>4153</v>
      </c>
      <c r="F664" t="s">
        <v>3511</v>
      </c>
      <c r="G664" t="s">
        <v>3512</v>
      </c>
      <c r="H664" t="s">
        <v>3513</v>
      </c>
      <c r="I664" t="s">
        <v>3476</v>
      </c>
      <c r="J664" t="s">
        <v>650</v>
      </c>
    </row>
    <row r="665" spans="1:11">
      <c r="A665" t="s">
        <v>1950</v>
      </c>
      <c r="B665" t="s">
        <v>3509</v>
      </c>
      <c r="C665" t="s">
        <v>1951</v>
      </c>
      <c r="D665" t="s">
        <v>3481</v>
      </c>
      <c r="E665" t="s">
        <v>4154</v>
      </c>
      <c r="F665" t="s">
        <v>3511</v>
      </c>
      <c r="G665" t="s">
        <v>3512</v>
      </c>
      <c r="H665" t="s">
        <v>3513</v>
      </c>
      <c r="I665" t="s">
        <v>3476</v>
      </c>
      <c r="J665" t="s">
        <v>650</v>
      </c>
    </row>
    <row r="666" spans="1:11">
      <c r="A666" t="s">
        <v>1950</v>
      </c>
      <c r="B666" t="s">
        <v>3509</v>
      </c>
      <c r="C666" t="s">
        <v>1951</v>
      </c>
      <c r="D666" t="s">
        <v>3483</v>
      </c>
      <c r="E666" t="s">
        <v>4155</v>
      </c>
      <c r="F666" t="s">
        <v>3511</v>
      </c>
      <c r="G666" t="s">
        <v>3512</v>
      </c>
      <c r="H666" t="s">
        <v>3513</v>
      </c>
      <c r="I666" t="s">
        <v>3476</v>
      </c>
      <c r="J666" t="s">
        <v>650</v>
      </c>
    </row>
    <row r="667" spans="1:11">
      <c r="A667" t="s">
        <v>1950</v>
      </c>
      <c r="B667" t="s">
        <v>3509</v>
      </c>
      <c r="C667" t="s">
        <v>1951</v>
      </c>
      <c r="D667" t="s">
        <v>3518</v>
      </c>
      <c r="E667" t="s">
        <v>4156</v>
      </c>
      <c r="F667" t="s">
        <v>3511</v>
      </c>
      <c r="G667" t="s">
        <v>3512</v>
      </c>
      <c r="H667" t="s">
        <v>3513</v>
      </c>
      <c r="I667" t="s">
        <v>3476</v>
      </c>
      <c r="J667" t="s">
        <v>650</v>
      </c>
      <c r="K667" t="s">
        <v>3520</v>
      </c>
    </row>
    <row r="668" spans="1:11">
      <c r="A668" t="s">
        <v>1953</v>
      </c>
      <c r="B668" t="s">
        <v>3509</v>
      </c>
      <c r="C668" t="s">
        <v>4157</v>
      </c>
      <c r="D668" t="s">
        <v>3471</v>
      </c>
      <c r="E668" t="s">
        <v>4158</v>
      </c>
      <c r="F668" t="s">
        <v>3511</v>
      </c>
      <c r="G668" t="s">
        <v>3512</v>
      </c>
      <c r="H668" t="s">
        <v>3513</v>
      </c>
      <c r="I668" t="s">
        <v>3476</v>
      </c>
      <c r="J668" t="s">
        <v>650</v>
      </c>
    </row>
    <row r="669" spans="1:11">
      <c r="A669" t="s">
        <v>1953</v>
      </c>
      <c r="B669" t="s">
        <v>3509</v>
      </c>
      <c r="C669" t="s">
        <v>4157</v>
      </c>
      <c r="D669" t="s">
        <v>3477</v>
      </c>
      <c r="E669" t="s">
        <v>4159</v>
      </c>
      <c r="F669" t="s">
        <v>3511</v>
      </c>
      <c r="G669" t="s">
        <v>3512</v>
      </c>
      <c r="H669" t="s">
        <v>3513</v>
      </c>
      <c r="I669" t="s">
        <v>3476</v>
      </c>
      <c r="J669" t="s">
        <v>650</v>
      </c>
    </row>
    <row r="670" spans="1:11">
      <c r="A670" t="s">
        <v>1953</v>
      </c>
      <c r="B670" t="s">
        <v>3509</v>
      </c>
      <c r="C670" t="s">
        <v>4157</v>
      </c>
      <c r="D670" t="s">
        <v>3479</v>
      </c>
      <c r="E670" t="s">
        <v>4160</v>
      </c>
      <c r="F670" t="s">
        <v>3511</v>
      </c>
      <c r="G670" t="s">
        <v>3512</v>
      </c>
      <c r="H670" t="s">
        <v>3513</v>
      </c>
      <c r="I670" t="s">
        <v>3476</v>
      </c>
      <c r="J670" t="s">
        <v>650</v>
      </c>
    </row>
    <row r="671" spans="1:11">
      <c r="A671" t="s">
        <v>1953</v>
      </c>
      <c r="B671" t="s">
        <v>3509</v>
      </c>
      <c r="C671" t="s">
        <v>4157</v>
      </c>
      <c r="D671" t="s">
        <v>3481</v>
      </c>
      <c r="E671" t="s">
        <v>4161</v>
      </c>
      <c r="F671" t="s">
        <v>3511</v>
      </c>
      <c r="G671" t="s">
        <v>3512</v>
      </c>
      <c r="H671" t="s">
        <v>3513</v>
      </c>
      <c r="I671" t="s">
        <v>3476</v>
      </c>
      <c r="J671" t="s">
        <v>650</v>
      </c>
    </row>
    <row r="672" spans="1:11">
      <c r="A672" t="s">
        <v>1953</v>
      </c>
      <c r="B672" t="s">
        <v>3509</v>
      </c>
      <c r="C672" t="s">
        <v>4157</v>
      </c>
      <c r="D672" t="s">
        <v>3483</v>
      </c>
      <c r="E672" t="s">
        <v>4162</v>
      </c>
      <c r="F672" t="s">
        <v>3511</v>
      </c>
      <c r="G672" t="s">
        <v>3512</v>
      </c>
      <c r="H672" t="s">
        <v>3513</v>
      </c>
      <c r="I672" t="s">
        <v>3476</v>
      </c>
      <c r="J672" t="s">
        <v>650</v>
      </c>
    </row>
    <row r="673" spans="1:11">
      <c r="A673" t="s">
        <v>1953</v>
      </c>
      <c r="B673" t="s">
        <v>3509</v>
      </c>
      <c r="C673" t="s">
        <v>4157</v>
      </c>
      <c r="D673" t="s">
        <v>3518</v>
      </c>
      <c r="E673" t="s">
        <v>4163</v>
      </c>
      <c r="F673" t="s">
        <v>3511</v>
      </c>
      <c r="G673" t="s">
        <v>3512</v>
      </c>
      <c r="H673" t="s">
        <v>3513</v>
      </c>
      <c r="I673" t="s">
        <v>3476</v>
      </c>
      <c r="J673" t="s">
        <v>650</v>
      </c>
      <c r="K673" t="s">
        <v>3520</v>
      </c>
    </row>
    <row r="674" spans="1:11">
      <c r="A674" t="s">
        <v>1957</v>
      </c>
      <c r="B674" t="s">
        <v>3509</v>
      </c>
      <c r="C674" t="s">
        <v>4164</v>
      </c>
      <c r="D674" t="s">
        <v>3471</v>
      </c>
      <c r="E674" t="s">
        <v>4165</v>
      </c>
      <c r="F674" t="s">
        <v>3511</v>
      </c>
      <c r="G674" t="s">
        <v>3512</v>
      </c>
      <c r="H674" t="s">
        <v>3513</v>
      </c>
      <c r="I674" t="s">
        <v>3476</v>
      </c>
      <c r="J674" t="s">
        <v>650</v>
      </c>
    </row>
    <row r="675" spans="1:11">
      <c r="A675" t="s">
        <v>1957</v>
      </c>
      <c r="B675" t="s">
        <v>3509</v>
      </c>
      <c r="C675" t="s">
        <v>4164</v>
      </c>
      <c r="D675" t="s">
        <v>3477</v>
      </c>
      <c r="E675" t="s">
        <v>4166</v>
      </c>
      <c r="F675" t="s">
        <v>3511</v>
      </c>
      <c r="G675" t="s">
        <v>3512</v>
      </c>
      <c r="H675" t="s">
        <v>3513</v>
      </c>
      <c r="I675" t="s">
        <v>3476</v>
      </c>
      <c r="J675" t="s">
        <v>650</v>
      </c>
    </row>
    <row r="676" spans="1:11">
      <c r="A676" t="s">
        <v>1957</v>
      </c>
      <c r="B676" t="s">
        <v>3509</v>
      </c>
      <c r="C676" t="s">
        <v>4164</v>
      </c>
      <c r="D676" t="s">
        <v>3479</v>
      </c>
      <c r="E676" t="s">
        <v>4167</v>
      </c>
      <c r="F676" t="s">
        <v>3511</v>
      </c>
      <c r="G676" t="s">
        <v>3512</v>
      </c>
      <c r="H676" t="s">
        <v>3513</v>
      </c>
      <c r="I676" t="s">
        <v>3476</v>
      </c>
      <c r="J676" t="s">
        <v>650</v>
      </c>
    </row>
    <row r="677" spans="1:11">
      <c r="A677" t="s">
        <v>1957</v>
      </c>
      <c r="B677" t="s">
        <v>3509</v>
      </c>
      <c r="C677" t="s">
        <v>4164</v>
      </c>
      <c r="D677" t="s">
        <v>3481</v>
      </c>
      <c r="E677" t="s">
        <v>4168</v>
      </c>
      <c r="F677" t="s">
        <v>3511</v>
      </c>
      <c r="G677" t="s">
        <v>3512</v>
      </c>
      <c r="H677" t="s">
        <v>3513</v>
      </c>
      <c r="I677" t="s">
        <v>3476</v>
      </c>
      <c r="J677" t="s">
        <v>650</v>
      </c>
    </row>
    <row r="678" spans="1:11">
      <c r="A678" t="s">
        <v>1957</v>
      </c>
      <c r="B678" t="s">
        <v>3509</v>
      </c>
      <c r="C678" t="s">
        <v>4164</v>
      </c>
      <c r="D678" t="s">
        <v>3483</v>
      </c>
      <c r="E678" t="s">
        <v>4169</v>
      </c>
      <c r="F678" t="s">
        <v>3511</v>
      </c>
      <c r="G678" t="s">
        <v>3512</v>
      </c>
      <c r="H678" t="s">
        <v>3513</v>
      </c>
      <c r="I678" t="s">
        <v>3476</v>
      </c>
      <c r="J678" t="s">
        <v>650</v>
      </c>
    </row>
    <row r="679" spans="1:11">
      <c r="A679" t="s">
        <v>1957</v>
      </c>
      <c r="B679" t="s">
        <v>3509</v>
      </c>
      <c r="C679" t="s">
        <v>4164</v>
      </c>
      <c r="D679" t="s">
        <v>3518</v>
      </c>
      <c r="E679" t="s">
        <v>4170</v>
      </c>
      <c r="F679" t="s">
        <v>3511</v>
      </c>
      <c r="G679" t="s">
        <v>3512</v>
      </c>
      <c r="H679" t="s">
        <v>3513</v>
      </c>
      <c r="I679" t="s">
        <v>3476</v>
      </c>
      <c r="J679" t="s">
        <v>650</v>
      </c>
      <c r="K679" t="s">
        <v>3520</v>
      </c>
    </row>
    <row r="680" spans="1:11">
      <c r="A680" t="s">
        <v>1961</v>
      </c>
      <c r="B680" t="s">
        <v>3509</v>
      </c>
      <c r="C680" t="s">
        <v>1962</v>
      </c>
      <c r="D680" t="s">
        <v>3471</v>
      </c>
      <c r="E680" t="s">
        <v>4171</v>
      </c>
      <c r="F680" t="s">
        <v>3511</v>
      </c>
      <c r="G680" t="s">
        <v>3512</v>
      </c>
      <c r="H680" t="s">
        <v>3513</v>
      </c>
      <c r="I680" t="s">
        <v>3476</v>
      </c>
      <c r="J680" t="s">
        <v>650</v>
      </c>
    </row>
    <row r="681" spans="1:11">
      <c r="A681" t="s">
        <v>1961</v>
      </c>
      <c r="B681" t="s">
        <v>3509</v>
      </c>
      <c r="C681" t="s">
        <v>1962</v>
      </c>
      <c r="D681" t="s">
        <v>3477</v>
      </c>
      <c r="E681" t="s">
        <v>4172</v>
      </c>
      <c r="F681" t="s">
        <v>3511</v>
      </c>
      <c r="G681" t="s">
        <v>3512</v>
      </c>
      <c r="H681" t="s">
        <v>3513</v>
      </c>
      <c r="I681" t="s">
        <v>3476</v>
      </c>
      <c r="J681" t="s">
        <v>650</v>
      </c>
    </row>
    <row r="682" spans="1:11">
      <c r="A682" t="s">
        <v>1961</v>
      </c>
      <c r="B682" t="s">
        <v>3509</v>
      </c>
      <c r="C682" t="s">
        <v>1962</v>
      </c>
      <c r="D682" t="s">
        <v>3479</v>
      </c>
      <c r="E682" t="s">
        <v>4173</v>
      </c>
      <c r="F682" t="s">
        <v>3511</v>
      </c>
      <c r="G682" t="s">
        <v>3512</v>
      </c>
      <c r="H682" t="s">
        <v>3513</v>
      </c>
      <c r="I682" t="s">
        <v>3476</v>
      </c>
      <c r="J682" t="s">
        <v>650</v>
      </c>
    </row>
    <row r="683" spans="1:11">
      <c r="A683" t="s">
        <v>1961</v>
      </c>
      <c r="B683" t="s">
        <v>3509</v>
      </c>
      <c r="C683" t="s">
        <v>1962</v>
      </c>
      <c r="D683" t="s">
        <v>3481</v>
      </c>
      <c r="E683" t="s">
        <v>4174</v>
      </c>
      <c r="F683" t="s">
        <v>3511</v>
      </c>
      <c r="G683" t="s">
        <v>3512</v>
      </c>
      <c r="H683" t="s">
        <v>3513</v>
      </c>
      <c r="I683" t="s">
        <v>3476</v>
      </c>
      <c r="J683" t="s">
        <v>650</v>
      </c>
    </row>
    <row r="684" spans="1:11">
      <c r="A684" t="s">
        <v>1961</v>
      </c>
      <c r="B684" t="s">
        <v>3509</v>
      </c>
      <c r="C684" t="s">
        <v>1962</v>
      </c>
      <c r="D684" t="s">
        <v>3483</v>
      </c>
      <c r="E684" t="s">
        <v>4175</v>
      </c>
      <c r="F684" t="s">
        <v>3511</v>
      </c>
      <c r="G684" t="s">
        <v>3512</v>
      </c>
      <c r="H684" t="s">
        <v>3513</v>
      </c>
      <c r="I684" t="s">
        <v>3476</v>
      </c>
      <c r="J684" t="s">
        <v>650</v>
      </c>
    </row>
    <row r="685" spans="1:11">
      <c r="A685" t="s">
        <v>1961</v>
      </c>
      <c r="B685" t="s">
        <v>3509</v>
      </c>
      <c r="C685" t="s">
        <v>1962</v>
      </c>
      <c r="D685" t="s">
        <v>3518</v>
      </c>
      <c r="E685" t="s">
        <v>4176</v>
      </c>
      <c r="F685" t="s">
        <v>3511</v>
      </c>
      <c r="G685" t="s">
        <v>3512</v>
      </c>
      <c r="H685" t="s">
        <v>3513</v>
      </c>
      <c r="I685" t="s">
        <v>3476</v>
      </c>
      <c r="J685" t="s">
        <v>650</v>
      </c>
      <c r="K685" t="s">
        <v>3520</v>
      </c>
    </row>
    <row r="686" spans="1:11">
      <c r="A686" t="s">
        <v>1963</v>
      </c>
      <c r="B686" t="s">
        <v>3509</v>
      </c>
      <c r="C686" t="s">
        <v>1964</v>
      </c>
      <c r="D686" t="s">
        <v>3471</v>
      </c>
      <c r="E686" t="s">
        <v>4177</v>
      </c>
      <c r="F686" t="s">
        <v>3511</v>
      </c>
      <c r="G686" t="s">
        <v>3512</v>
      </c>
      <c r="H686" t="s">
        <v>3513</v>
      </c>
      <c r="I686" t="s">
        <v>3476</v>
      </c>
      <c r="J686" t="s">
        <v>650</v>
      </c>
    </row>
    <row r="687" spans="1:11">
      <c r="A687" t="s">
        <v>1963</v>
      </c>
      <c r="B687" t="s">
        <v>3509</v>
      </c>
      <c r="C687" t="s">
        <v>1964</v>
      </c>
      <c r="D687" t="s">
        <v>3477</v>
      </c>
      <c r="E687" t="s">
        <v>4178</v>
      </c>
      <c r="F687" t="s">
        <v>3511</v>
      </c>
      <c r="G687" t="s">
        <v>3512</v>
      </c>
      <c r="H687" t="s">
        <v>3513</v>
      </c>
      <c r="I687" t="s">
        <v>3476</v>
      </c>
      <c r="J687" t="s">
        <v>650</v>
      </c>
    </row>
    <row r="688" spans="1:11">
      <c r="A688" t="s">
        <v>1963</v>
      </c>
      <c r="B688" t="s">
        <v>3509</v>
      </c>
      <c r="C688" t="s">
        <v>1964</v>
      </c>
      <c r="D688" t="s">
        <v>3479</v>
      </c>
      <c r="E688" t="s">
        <v>4179</v>
      </c>
      <c r="F688" t="s">
        <v>3511</v>
      </c>
      <c r="G688" t="s">
        <v>3512</v>
      </c>
      <c r="H688" t="s">
        <v>3513</v>
      </c>
      <c r="I688" t="s">
        <v>3476</v>
      </c>
      <c r="J688" t="s">
        <v>650</v>
      </c>
    </row>
    <row r="689" spans="1:11">
      <c r="A689" t="s">
        <v>1963</v>
      </c>
      <c r="B689" t="s">
        <v>3509</v>
      </c>
      <c r="C689" t="s">
        <v>1964</v>
      </c>
      <c r="D689" t="s">
        <v>3481</v>
      </c>
      <c r="E689" t="s">
        <v>4180</v>
      </c>
      <c r="F689" t="s">
        <v>3511</v>
      </c>
      <c r="G689" t="s">
        <v>3512</v>
      </c>
      <c r="H689" t="s">
        <v>3513</v>
      </c>
      <c r="I689" t="s">
        <v>3476</v>
      </c>
      <c r="J689" t="s">
        <v>650</v>
      </c>
    </row>
    <row r="690" spans="1:11">
      <c r="A690" t="s">
        <v>1963</v>
      </c>
      <c r="B690" t="s">
        <v>3509</v>
      </c>
      <c r="C690" t="s">
        <v>1964</v>
      </c>
      <c r="D690" t="s">
        <v>3483</v>
      </c>
      <c r="E690" t="s">
        <v>4181</v>
      </c>
      <c r="F690" t="s">
        <v>3511</v>
      </c>
      <c r="G690" t="s">
        <v>3512</v>
      </c>
      <c r="H690" t="s">
        <v>3513</v>
      </c>
      <c r="I690" t="s">
        <v>3476</v>
      </c>
      <c r="J690" t="s">
        <v>650</v>
      </c>
    </row>
    <row r="691" spans="1:11">
      <c r="A691" t="s">
        <v>1963</v>
      </c>
      <c r="B691" t="s">
        <v>3509</v>
      </c>
      <c r="C691" t="s">
        <v>1964</v>
      </c>
      <c r="D691" t="s">
        <v>3518</v>
      </c>
      <c r="E691" t="s">
        <v>4182</v>
      </c>
      <c r="F691" t="s">
        <v>3511</v>
      </c>
      <c r="G691" t="s">
        <v>3512</v>
      </c>
      <c r="H691" t="s">
        <v>3513</v>
      </c>
      <c r="I691" t="s">
        <v>3476</v>
      </c>
      <c r="J691" t="s">
        <v>650</v>
      </c>
      <c r="K691" t="s">
        <v>3520</v>
      </c>
    </row>
    <row r="692" spans="1:11">
      <c r="A692" t="s">
        <v>1966</v>
      </c>
      <c r="B692" t="s">
        <v>3509</v>
      </c>
      <c r="C692" t="s">
        <v>1967</v>
      </c>
      <c r="D692" t="s">
        <v>3471</v>
      </c>
      <c r="E692" t="s">
        <v>4183</v>
      </c>
      <c r="F692" t="s">
        <v>3511</v>
      </c>
      <c r="G692" t="s">
        <v>3512</v>
      </c>
      <c r="H692" t="s">
        <v>3513</v>
      </c>
      <c r="I692" t="s">
        <v>3476</v>
      </c>
      <c r="J692" t="s">
        <v>650</v>
      </c>
    </row>
    <row r="693" spans="1:11">
      <c r="A693" t="s">
        <v>1966</v>
      </c>
      <c r="B693" t="s">
        <v>3509</v>
      </c>
      <c r="C693" t="s">
        <v>1967</v>
      </c>
      <c r="D693" t="s">
        <v>3477</v>
      </c>
      <c r="E693" t="s">
        <v>4184</v>
      </c>
      <c r="F693" t="s">
        <v>3511</v>
      </c>
      <c r="G693" t="s">
        <v>3512</v>
      </c>
      <c r="H693" t="s">
        <v>3513</v>
      </c>
      <c r="I693" t="s">
        <v>3476</v>
      </c>
      <c r="J693" t="s">
        <v>650</v>
      </c>
    </row>
    <row r="694" spans="1:11">
      <c r="A694" t="s">
        <v>1966</v>
      </c>
      <c r="B694" t="s">
        <v>3509</v>
      </c>
      <c r="C694" t="s">
        <v>1967</v>
      </c>
      <c r="D694" t="s">
        <v>3479</v>
      </c>
      <c r="E694" t="s">
        <v>4185</v>
      </c>
      <c r="F694" t="s">
        <v>3511</v>
      </c>
      <c r="G694" t="s">
        <v>3512</v>
      </c>
      <c r="H694" t="s">
        <v>3513</v>
      </c>
      <c r="I694" t="s">
        <v>3476</v>
      </c>
      <c r="J694" t="s">
        <v>650</v>
      </c>
    </row>
    <row r="695" spans="1:11">
      <c r="A695" t="s">
        <v>1966</v>
      </c>
      <c r="B695" t="s">
        <v>3509</v>
      </c>
      <c r="C695" t="s">
        <v>1967</v>
      </c>
      <c r="D695" t="s">
        <v>3481</v>
      </c>
      <c r="E695" t="s">
        <v>4186</v>
      </c>
      <c r="F695" t="s">
        <v>3511</v>
      </c>
      <c r="G695" t="s">
        <v>3512</v>
      </c>
      <c r="H695" t="s">
        <v>3513</v>
      </c>
      <c r="I695" t="s">
        <v>3476</v>
      </c>
      <c r="J695" t="s">
        <v>650</v>
      </c>
    </row>
    <row r="696" spans="1:11">
      <c r="A696" t="s">
        <v>1966</v>
      </c>
      <c r="B696" t="s">
        <v>3509</v>
      </c>
      <c r="C696" t="s">
        <v>1967</v>
      </c>
      <c r="D696" t="s">
        <v>3483</v>
      </c>
      <c r="E696" t="s">
        <v>4187</v>
      </c>
      <c r="F696" t="s">
        <v>3511</v>
      </c>
      <c r="G696" t="s">
        <v>3512</v>
      </c>
      <c r="H696" t="s">
        <v>3513</v>
      </c>
      <c r="I696" t="s">
        <v>3476</v>
      </c>
      <c r="J696" t="s">
        <v>650</v>
      </c>
    </row>
    <row r="697" spans="1:11">
      <c r="A697" t="s">
        <v>1966</v>
      </c>
      <c r="B697" t="s">
        <v>3509</v>
      </c>
      <c r="C697" t="s">
        <v>1967</v>
      </c>
      <c r="D697" t="s">
        <v>3518</v>
      </c>
      <c r="E697" t="s">
        <v>4188</v>
      </c>
      <c r="F697" t="s">
        <v>3511</v>
      </c>
      <c r="G697" t="s">
        <v>3512</v>
      </c>
      <c r="H697" t="s">
        <v>3513</v>
      </c>
      <c r="I697" t="s">
        <v>3476</v>
      </c>
      <c r="J697" t="s">
        <v>650</v>
      </c>
      <c r="K697" t="s">
        <v>3520</v>
      </c>
    </row>
    <row r="698" spans="1:11">
      <c r="A698" t="s">
        <v>1968</v>
      </c>
      <c r="B698" t="s">
        <v>3509</v>
      </c>
      <c r="C698" t="s">
        <v>1969</v>
      </c>
      <c r="D698" t="s">
        <v>3471</v>
      </c>
      <c r="E698" t="s">
        <v>4189</v>
      </c>
      <c r="F698" t="s">
        <v>3511</v>
      </c>
      <c r="G698" t="s">
        <v>3512</v>
      </c>
      <c r="H698" t="s">
        <v>3513</v>
      </c>
      <c r="I698" t="s">
        <v>3476</v>
      </c>
      <c r="J698" t="s">
        <v>650</v>
      </c>
    </row>
    <row r="699" spans="1:11">
      <c r="A699" t="s">
        <v>1968</v>
      </c>
      <c r="B699" t="s">
        <v>3509</v>
      </c>
      <c r="C699" t="s">
        <v>1969</v>
      </c>
      <c r="D699" t="s">
        <v>3477</v>
      </c>
      <c r="E699" t="s">
        <v>4190</v>
      </c>
      <c r="F699" t="s">
        <v>3511</v>
      </c>
      <c r="G699" t="s">
        <v>3512</v>
      </c>
      <c r="H699" t="s">
        <v>3513</v>
      </c>
      <c r="I699" t="s">
        <v>3476</v>
      </c>
      <c r="J699" t="s">
        <v>650</v>
      </c>
    </row>
    <row r="700" spans="1:11">
      <c r="A700" t="s">
        <v>1968</v>
      </c>
      <c r="B700" t="s">
        <v>3509</v>
      </c>
      <c r="C700" t="s">
        <v>1969</v>
      </c>
      <c r="D700" t="s">
        <v>3479</v>
      </c>
      <c r="E700" t="s">
        <v>4191</v>
      </c>
      <c r="F700" t="s">
        <v>3511</v>
      </c>
      <c r="G700" t="s">
        <v>3512</v>
      </c>
      <c r="H700" t="s">
        <v>3513</v>
      </c>
      <c r="I700" t="s">
        <v>3476</v>
      </c>
      <c r="J700" t="s">
        <v>650</v>
      </c>
    </row>
    <row r="701" spans="1:11">
      <c r="A701" t="s">
        <v>1968</v>
      </c>
      <c r="B701" t="s">
        <v>3509</v>
      </c>
      <c r="C701" t="s">
        <v>1969</v>
      </c>
      <c r="D701" t="s">
        <v>3481</v>
      </c>
      <c r="E701" t="s">
        <v>4192</v>
      </c>
      <c r="F701" t="s">
        <v>3511</v>
      </c>
      <c r="G701" t="s">
        <v>3512</v>
      </c>
      <c r="H701" t="s">
        <v>3513</v>
      </c>
      <c r="I701" t="s">
        <v>3476</v>
      </c>
      <c r="J701" t="s">
        <v>650</v>
      </c>
    </row>
    <row r="702" spans="1:11">
      <c r="A702" t="s">
        <v>1968</v>
      </c>
      <c r="B702" t="s">
        <v>3509</v>
      </c>
      <c r="C702" t="s">
        <v>1969</v>
      </c>
      <c r="D702" t="s">
        <v>3483</v>
      </c>
      <c r="E702" t="s">
        <v>4193</v>
      </c>
      <c r="F702" t="s">
        <v>3511</v>
      </c>
      <c r="G702" t="s">
        <v>3512</v>
      </c>
      <c r="H702" t="s">
        <v>3513</v>
      </c>
      <c r="I702" t="s">
        <v>3476</v>
      </c>
      <c r="J702" t="s">
        <v>650</v>
      </c>
    </row>
    <row r="703" spans="1:11">
      <c r="A703" t="s">
        <v>1968</v>
      </c>
      <c r="B703" t="s">
        <v>3509</v>
      </c>
      <c r="C703" t="s">
        <v>1969</v>
      </c>
      <c r="D703" t="s">
        <v>3518</v>
      </c>
      <c r="E703" t="s">
        <v>4194</v>
      </c>
      <c r="F703" t="s">
        <v>3511</v>
      </c>
      <c r="G703" t="s">
        <v>3512</v>
      </c>
      <c r="H703" t="s">
        <v>3513</v>
      </c>
      <c r="I703" t="s">
        <v>3476</v>
      </c>
      <c r="J703" t="s">
        <v>650</v>
      </c>
      <c r="K703" t="s">
        <v>3520</v>
      </c>
    </row>
    <row r="704" spans="1:11">
      <c r="A704" t="s">
        <v>1970</v>
      </c>
      <c r="B704" t="s">
        <v>3509</v>
      </c>
      <c r="C704" t="s">
        <v>1971</v>
      </c>
      <c r="D704" t="s">
        <v>3471</v>
      </c>
      <c r="E704" t="s">
        <v>4195</v>
      </c>
      <c r="F704" t="s">
        <v>3511</v>
      </c>
      <c r="G704" t="s">
        <v>3512</v>
      </c>
      <c r="H704" t="s">
        <v>3513</v>
      </c>
      <c r="I704" t="s">
        <v>3476</v>
      </c>
      <c r="J704" t="s">
        <v>650</v>
      </c>
    </row>
    <row r="705" spans="1:11">
      <c r="A705" t="s">
        <v>1970</v>
      </c>
      <c r="B705" t="s">
        <v>3509</v>
      </c>
      <c r="C705" t="s">
        <v>1971</v>
      </c>
      <c r="D705" t="s">
        <v>3477</v>
      </c>
      <c r="E705" t="s">
        <v>4196</v>
      </c>
      <c r="F705" t="s">
        <v>3511</v>
      </c>
      <c r="G705" t="s">
        <v>3512</v>
      </c>
      <c r="H705" t="s">
        <v>3513</v>
      </c>
      <c r="I705" t="s">
        <v>3476</v>
      </c>
      <c r="J705" t="s">
        <v>650</v>
      </c>
    </row>
    <row r="706" spans="1:11">
      <c r="A706" t="s">
        <v>1970</v>
      </c>
      <c r="B706" t="s">
        <v>3509</v>
      </c>
      <c r="C706" t="s">
        <v>1971</v>
      </c>
      <c r="D706" t="s">
        <v>3479</v>
      </c>
      <c r="E706" t="s">
        <v>4197</v>
      </c>
      <c r="F706" t="s">
        <v>3511</v>
      </c>
      <c r="G706" t="s">
        <v>3512</v>
      </c>
      <c r="H706" t="s">
        <v>3513</v>
      </c>
      <c r="I706" t="s">
        <v>3476</v>
      </c>
      <c r="J706" t="s">
        <v>650</v>
      </c>
    </row>
    <row r="707" spans="1:11">
      <c r="A707" t="s">
        <v>1970</v>
      </c>
      <c r="B707" t="s">
        <v>3509</v>
      </c>
      <c r="C707" t="s">
        <v>1971</v>
      </c>
      <c r="D707" t="s">
        <v>3481</v>
      </c>
      <c r="E707" t="s">
        <v>4198</v>
      </c>
      <c r="F707" t="s">
        <v>3511</v>
      </c>
      <c r="G707" t="s">
        <v>3512</v>
      </c>
      <c r="H707" t="s">
        <v>3513</v>
      </c>
      <c r="I707" t="s">
        <v>3476</v>
      </c>
      <c r="J707" t="s">
        <v>650</v>
      </c>
    </row>
    <row r="708" spans="1:11">
      <c r="A708" t="s">
        <v>1970</v>
      </c>
      <c r="B708" t="s">
        <v>3509</v>
      </c>
      <c r="C708" t="s">
        <v>1971</v>
      </c>
      <c r="D708" t="s">
        <v>3483</v>
      </c>
      <c r="E708" t="s">
        <v>4199</v>
      </c>
      <c r="F708" t="s">
        <v>3511</v>
      </c>
      <c r="G708" t="s">
        <v>3512</v>
      </c>
      <c r="H708" t="s">
        <v>3513</v>
      </c>
      <c r="I708" t="s">
        <v>3476</v>
      </c>
      <c r="J708" t="s">
        <v>650</v>
      </c>
    </row>
    <row r="709" spans="1:11">
      <c r="A709" t="s">
        <v>1970</v>
      </c>
      <c r="B709" t="s">
        <v>3509</v>
      </c>
      <c r="C709" t="s">
        <v>1971</v>
      </c>
      <c r="D709" t="s">
        <v>3518</v>
      </c>
      <c r="E709" t="s">
        <v>4200</v>
      </c>
      <c r="F709" t="s">
        <v>3511</v>
      </c>
      <c r="G709" t="s">
        <v>3512</v>
      </c>
      <c r="H709" t="s">
        <v>3513</v>
      </c>
      <c r="I709" t="s">
        <v>3476</v>
      </c>
      <c r="J709" t="s">
        <v>650</v>
      </c>
      <c r="K709" t="s">
        <v>3520</v>
      </c>
    </row>
    <row r="710" spans="1:11">
      <c r="A710" t="s">
        <v>1972</v>
      </c>
      <c r="B710" t="s">
        <v>3509</v>
      </c>
      <c r="C710" t="s">
        <v>1973</v>
      </c>
      <c r="D710" t="s">
        <v>3471</v>
      </c>
      <c r="E710" t="s">
        <v>4201</v>
      </c>
      <c r="F710" t="s">
        <v>3511</v>
      </c>
      <c r="G710" t="s">
        <v>3512</v>
      </c>
      <c r="H710" t="s">
        <v>3513</v>
      </c>
      <c r="I710" t="s">
        <v>3476</v>
      </c>
      <c r="J710" t="s">
        <v>650</v>
      </c>
    </row>
    <row r="711" spans="1:11">
      <c r="A711" t="s">
        <v>1972</v>
      </c>
      <c r="B711" t="s">
        <v>3509</v>
      </c>
      <c r="C711" t="s">
        <v>1973</v>
      </c>
      <c r="D711" t="s">
        <v>3477</v>
      </c>
      <c r="E711" t="s">
        <v>4202</v>
      </c>
      <c r="F711" t="s">
        <v>3511</v>
      </c>
      <c r="G711" t="s">
        <v>3512</v>
      </c>
      <c r="H711" t="s">
        <v>3513</v>
      </c>
      <c r="I711" t="s">
        <v>3476</v>
      </c>
      <c r="J711" t="s">
        <v>650</v>
      </c>
    </row>
    <row r="712" spans="1:11">
      <c r="A712" t="s">
        <v>1972</v>
      </c>
      <c r="B712" t="s">
        <v>3509</v>
      </c>
      <c r="C712" t="s">
        <v>1973</v>
      </c>
      <c r="D712" t="s">
        <v>3479</v>
      </c>
      <c r="E712" t="s">
        <v>4203</v>
      </c>
      <c r="F712" t="s">
        <v>3511</v>
      </c>
      <c r="G712" t="s">
        <v>3512</v>
      </c>
      <c r="H712" t="s">
        <v>3513</v>
      </c>
      <c r="I712" t="s">
        <v>3476</v>
      </c>
      <c r="J712" t="s">
        <v>650</v>
      </c>
    </row>
    <row r="713" spans="1:11">
      <c r="A713" t="s">
        <v>1972</v>
      </c>
      <c r="B713" t="s">
        <v>3509</v>
      </c>
      <c r="C713" t="s">
        <v>1973</v>
      </c>
      <c r="D713" t="s">
        <v>3481</v>
      </c>
      <c r="E713" t="s">
        <v>4204</v>
      </c>
      <c r="F713" t="s">
        <v>3511</v>
      </c>
      <c r="G713" t="s">
        <v>3512</v>
      </c>
      <c r="H713" t="s">
        <v>3513</v>
      </c>
      <c r="I713" t="s">
        <v>3476</v>
      </c>
      <c r="J713" t="s">
        <v>650</v>
      </c>
    </row>
    <row r="714" spans="1:11">
      <c r="A714" t="s">
        <v>1972</v>
      </c>
      <c r="B714" t="s">
        <v>3509</v>
      </c>
      <c r="C714" t="s">
        <v>1973</v>
      </c>
      <c r="D714" t="s">
        <v>3483</v>
      </c>
      <c r="E714" t="s">
        <v>4205</v>
      </c>
      <c r="F714" t="s">
        <v>3511</v>
      </c>
      <c r="G714" t="s">
        <v>3512</v>
      </c>
      <c r="H714" t="s">
        <v>3513</v>
      </c>
      <c r="I714" t="s">
        <v>3476</v>
      </c>
      <c r="J714" t="s">
        <v>650</v>
      </c>
    </row>
    <row r="715" spans="1:11">
      <c r="A715" t="s">
        <v>1972</v>
      </c>
      <c r="B715" t="s">
        <v>3509</v>
      </c>
      <c r="C715" t="s">
        <v>1973</v>
      </c>
      <c r="D715" t="s">
        <v>3518</v>
      </c>
      <c r="E715" t="s">
        <v>4206</v>
      </c>
      <c r="F715" t="s">
        <v>3511</v>
      </c>
      <c r="G715" t="s">
        <v>3512</v>
      </c>
      <c r="H715" t="s">
        <v>3513</v>
      </c>
      <c r="I715" t="s">
        <v>3476</v>
      </c>
      <c r="J715" t="s">
        <v>650</v>
      </c>
      <c r="K715" t="s">
        <v>3520</v>
      </c>
    </row>
    <row r="716" spans="1:11">
      <c r="A716" t="s">
        <v>1974</v>
      </c>
      <c r="B716" t="s">
        <v>3509</v>
      </c>
      <c r="C716" t="s">
        <v>1975</v>
      </c>
      <c r="D716" t="s">
        <v>3471</v>
      </c>
      <c r="E716" t="s">
        <v>4207</v>
      </c>
      <c r="F716" t="s">
        <v>3511</v>
      </c>
      <c r="G716" t="s">
        <v>3512</v>
      </c>
      <c r="H716" t="s">
        <v>3513</v>
      </c>
      <c r="I716" t="s">
        <v>3476</v>
      </c>
      <c r="J716" t="s">
        <v>650</v>
      </c>
    </row>
    <row r="717" spans="1:11">
      <c r="A717" t="s">
        <v>1974</v>
      </c>
      <c r="B717" t="s">
        <v>3509</v>
      </c>
      <c r="C717" t="s">
        <v>1975</v>
      </c>
      <c r="D717" t="s">
        <v>3477</v>
      </c>
      <c r="E717" t="s">
        <v>4208</v>
      </c>
      <c r="F717" t="s">
        <v>3511</v>
      </c>
      <c r="G717" t="s">
        <v>3512</v>
      </c>
      <c r="H717" t="s">
        <v>3513</v>
      </c>
      <c r="I717" t="s">
        <v>3476</v>
      </c>
      <c r="J717" t="s">
        <v>650</v>
      </c>
    </row>
    <row r="718" spans="1:11">
      <c r="A718" t="s">
        <v>1974</v>
      </c>
      <c r="B718" t="s">
        <v>3509</v>
      </c>
      <c r="C718" t="s">
        <v>1975</v>
      </c>
      <c r="D718" t="s">
        <v>3479</v>
      </c>
      <c r="E718" t="s">
        <v>4209</v>
      </c>
      <c r="F718" t="s">
        <v>3511</v>
      </c>
      <c r="G718" t="s">
        <v>3512</v>
      </c>
      <c r="H718" t="s">
        <v>3513</v>
      </c>
      <c r="I718" t="s">
        <v>3476</v>
      </c>
      <c r="J718" t="s">
        <v>650</v>
      </c>
    </row>
    <row r="719" spans="1:11">
      <c r="A719" t="s">
        <v>1974</v>
      </c>
      <c r="B719" t="s">
        <v>3509</v>
      </c>
      <c r="C719" t="s">
        <v>1975</v>
      </c>
      <c r="D719" t="s">
        <v>3481</v>
      </c>
      <c r="E719" t="s">
        <v>4210</v>
      </c>
      <c r="F719" t="s">
        <v>3511</v>
      </c>
      <c r="G719" t="s">
        <v>3512</v>
      </c>
      <c r="H719" t="s">
        <v>3513</v>
      </c>
      <c r="I719" t="s">
        <v>3476</v>
      </c>
      <c r="J719" t="s">
        <v>650</v>
      </c>
    </row>
    <row r="720" spans="1:11">
      <c r="A720" t="s">
        <v>1974</v>
      </c>
      <c r="B720" t="s">
        <v>3509</v>
      </c>
      <c r="C720" t="s">
        <v>1975</v>
      </c>
      <c r="D720" t="s">
        <v>3483</v>
      </c>
      <c r="E720" t="s">
        <v>4211</v>
      </c>
      <c r="F720" t="s">
        <v>3511</v>
      </c>
      <c r="G720" t="s">
        <v>3512</v>
      </c>
      <c r="H720" t="s">
        <v>3513</v>
      </c>
      <c r="I720" t="s">
        <v>3476</v>
      </c>
      <c r="J720" t="s">
        <v>650</v>
      </c>
    </row>
    <row r="721" spans="1:11">
      <c r="A721" t="s">
        <v>1974</v>
      </c>
      <c r="B721" t="s">
        <v>3509</v>
      </c>
      <c r="C721" t="s">
        <v>1975</v>
      </c>
      <c r="D721" t="s">
        <v>3518</v>
      </c>
      <c r="E721" t="s">
        <v>4212</v>
      </c>
      <c r="F721" t="s">
        <v>3511</v>
      </c>
      <c r="G721" t="s">
        <v>3512</v>
      </c>
      <c r="H721" t="s">
        <v>3513</v>
      </c>
      <c r="I721" t="s">
        <v>3476</v>
      </c>
      <c r="J721" t="s">
        <v>650</v>
      </c>
      <c r="K721" t="s">
        <v>3520</v>
      </c>
    </row>
    <row r="722" spans="1:11">
      <c r="A722" t="s">
        <v>1976</v>
      </c>
      <c r="B722" t="s">
        <v>3509</v>
      </c>
      <c r="C722" t="s">
        <v>1977</v>
      </c>
      <c r="D722" t="s">
        <v>3471</v>
      </c>
      <c r="E722" t="s">
        <v>4213</v>
      </c>
      <c r="F722" t="s">
        <v>3511</v>
      </c>
      <c r="G722" t="s">
        <v>3512</v>
      </c>
      <c r="H722" t="s">
        <v>3513</v>
      </c>
      <c r="I722" t="s">
        <v>3476</v>
      </c>
      <c r="J722" t="s">
        <v>650</v>
      </c>
    </row>
    <row r="723" spans="1:11">
      <c r="A723" t="s">
        <v>1976</v>
      </c>
      <c r="B723" t="s">
        <v>3509</v>
      </c>
      <c r="C723" t="s">
        <v>1977</v>
      </c>
      <c r="D723" t="s">
        <v>3477</v>
      </c>
      <c r="E723" t="s">
        <v>4214</v>
      </c>
      <c r="F723" t="s">
        <v>3511</v>
      </c>
      <c r="G723" t="s">
        <v>3512</v>
      </c>
      <c r="H723" t="s">
        <v>3513</v>
      </c>
      <c r="I723" t="s">
        <v>3476</v>
      </c>
      <c r="J723" t="s">
        <v>650</v>
      </c>
    </row>
    <row r="724" spans="1:11">
      <c r="A724" t="s">
        <v>1976</v>
      </c>
      <c r="B724" t="s">
        <v>3509</v>
      </c>
      <c r="C724" t="s">
        <v>1977</v>
      </c>
      <c r="D724" t="s">
        <v>3479</v>
      </c>
      <c r="E724" t="s">
        <v>4215</v>
      </c>
      <c r="F724" t="s">
        <v>3511</v>
      </c>
      <c r="G724" t="s">
        <v>3512</v>
      </c>
      <c r="H724" t="s">
        <v>3513</v>
      </c>
      <c r="I724" t="s">
        <v>3476</v>
      </c>
      <c r="J724" t="s">
        <v>650</v>
      </c>
    </row>
    <row r="725" spans="1:11">
      <c r="A725" t="s">
        <v>1976</v>
      </c>
      <c r="B725" t="s">
        <v>3509</v>
      </c>
      <c r="C725" t="s">
        <v>1977</v>
      </c>
      <c r="D725" t="s">
        <v>3481</v>
      </c>
      <c r="E725" t="s">
        <v>4216</v>
      </c>
      <c r="F725" t="s">
        <v>3511</v>
      </c>
      <c r="G725" t="s">
        <v>3512</v>
      </c>
      <c r="H725" t="s">
        <v>3513</v>
      </c>
      <c r="I725" t="s">
        <v>3476</v>
      </c>
      <c r="J725" t="s">
        <v>650</v>
      </c>
    </row>
    <row r="726" spans="1:11">
      <c r="A726" t="s">
        <v>1976</v>
      </c>
      <c r="B726" t="s">
        <v>3509</v>
      </c>
      <c r="C726" t="s">
        <v>1977</v>
      </c>
      <c r="D726" t="s">
        <v>3483</v>
      </c>
      <c r="E726" t="s">
        <v>4217</v>
      </c>
      <c r="F726" t="s">
        <v>3511</v>
      </c>
      <c r="G726" t="s">
        <v>3512</v>
      </c>
      <c r="H726" t="s">
        <v>3513</v>
      </c>
      <c r="I726" t="s">
        <v>3476</v>
      </c>
      <c r="J726" t="s">
        <v>650</v>
      </c>
    </row>
    <row r="727" spans="1:11">
      <c r="A727" t="s">
        <v>1976</v>
      </c>
      <c r="B727" t="s">
        <v>3509</v>
      </c>
      <c r="C727" t="s">
        <v>1977</v>
      </c>
      <c r="D727" t="s">
        <v>3518</v>
      </c>
      <c r="E727" t="s">
        <v>4218</v>
      </c>
      <c r="F727" t="s">
        <v>3511</v>
      </c>
      <c r="G727" t="s">
        <v>3512</v>
      </c>
      <c r="H727" t="s">
        <v>3513</v>
      </c>
      <c r="I727" t="s">
        <v>3476</v>
      </c>
      <c r="J727" t="s">
        <v>650</v>
      </c>
      <c r="K727" t="s">
        <v>3520</v>
      </c>
    </row>
    <row r="728" spans="1:11">
      <c r="A728" t="s">
        <v>1981</v>
      </c>
      <c r="B728" t="s">
        <v>3509</v>
      </c>
      <c r="C728" t="s">
        <v>1982</v>
      </c>
      <c r="D728" t="s">
        <v>3471</v>
      </c>
      <c r="E728" t="s">
        <v>4219</v>
      </c>
      <c r="F728" t="s">
        <v>3511</v>
      </c>
      <c r="G728" t="s">
        <v>3512</v>
      </c>
      <c r="H728" t="s">
        <v>3513</v>
      </c>
      <c r="I728" t="s">
        <v>3476</v>
      </c>
      <c r="J728" t="s">
        <v>650</v>
      </c>
    </row>
    <row r="729" spans="1:11">
      <c r="A729" t="s">
        <v>1981</v>
      </c>
      <c r="B729" t="s">
        <v>3509</v>
      </c>
      <c r="C729" t="s">
        <v>1982</v>
      </c>
      <c r="D729" t="s">
        <v>3477</v>
      </c>
      <c r="E729" t="s">
        <v>4220</v>
      </c>
      <c r="F729" t="s">
        <v>3511</v>
      </c>
      <c r="G729" t="s">
        <v>3512</v>
      </c>
      <c r="H729" t="s">
        <v>3513</v>
      </c>
      <c r="I729" t="s">
        <v>3476</v>
      </c>
      <c r="J729" t="s">
        <v>650</v>
      </c>
    </row>
    <row r="730" spans="1:11">
      <c r="A730" t="s">
        <v>1981</v>
      </c>
      <c r="B730" t="s">
        <v>3509</v>
      </c>
      <c r="C730" t="s">
        <v>1982</v>
      </c>
      <c r="D730" t="s">
        <v>3479</v>
      </c>
      <c r="E730" t="s">
        <v>4221</v>
      </c>
      <c r="F730" t="s">
        <v>3511</v>
      </c>
      <c r="G730" t="s">
        <v>3512</v>
      </c>
      <c r="H730" t="s">
        <v>3513</v>
      </c>
      <c r="I730" t="s">
        <v>3476</v>
      </c>
      <c r="J730" t="s">
        <v>650</v>
      </c>
    </row>
    <row r="731" spans="1:11">
      <c r="A731" t="s">
        <v>1981</v>
      </c>
      <c r="B731" t="s">
        <v>3509</v>
      </c>
      <c r="C731" t="s">
        <v>1982</v>
      </c>
      <c r="D731" t="s">
        <v>3481</v>
      </c>
      <c r="E731" t="s">
        <v>4222</v>
      </c>
      <c r="F731" t="s">
        <v>3511</v>
      </c>
      <c r="G731" t="s">
        <v>3512</v>
      </c>
      <c r="H731" t="s">
        <v>3513</v>
      </c>
      <c r="I731" t="s">
        <v>3476</v>
      </c>
      <c r="J731" t="s">
        <v>650</v>
      </c>
    </row>
    <row r="732" spans="1:11">
      <c r="A732" t="s">
        <v>1981</v>
      </c>
      <c r="B732" t="s">
        <v>3509</v>
      </c>
      <c r="C732" t="s">
        <v>1982</v>
      </c>
      <c r="D732" t="s">
        <v>3483</v>
      </c>
      <c r="E732" t="s">
        <v>4223</v>
      </c>
      <c r="F732" t="s">
        <v>3511</v>
      </c>
      <c r="G732" t="s">
        <v>3512</v>
      </c>
      <c r="H732" t="s">
        <v>3513</v>
      </c>
      <c r="I732" t="s">
        <v>3476</v>
      </c>
      <c r="J732" t="s">
        <v>650</v>
      </c>
    </row>
    <row r="733" spans="1:11">
      <c r="A733" t="s">
        <v>1981</v>
      </c>
      <c r="B733" t="s">
        <v>3509</v>
      </c>
      <c r="C733" t="s">
        <v>1982</v>
      </c>
      <c r="D733" t="s">
        <v>3518</v>
      </c>
      <c r="E733" t="s">
        <v>4224</v>
      </c>
      <c r="F733" t="s">
        <v>3511</v>
      </c>
      <c r="G733" t="s">
        <v>3512</v>
      </c>
      <c r="H733" t="s">
        <v>3513</v>
      </c>
      <c r="I733" t="s">
        <v>3476</v>
      </c>
      <c r="J733" t="s">
        <v>650</v>
      </c>
      <c r="K733" t="s">
        <v>3520</v>
      </c>
    </row>
    <row r="734" spans="1:11">
      <c r="A734" t="s">
        <v>1983</v>
      </c>
      <c r="B734" t="s">
        <v>3509</v>
      </c>
      <c r="C734" t="s">
        <v>1984</v>
      </c>
      <c r="D734" t="s">
        <v>3471</v>
      </c>
      <c r="E734" t="s">
        <v>4225</v>
      </c>
      <c r="F734" t="s">
        <v>3511</v>
      </c>
      <c r="G734" t="s">
        <v>3512</v>
      </c>
      <c r="H734" t="s">
        <v>3513</v>
      </c>
      <c r="I734" t="s">
        <v>3476</v>
      </c>
      <c r="J734" t="s">
        <v>650</v>
      </c>
    </row>
    <row r="735" spans="1:11">
      <c r="A735" t="s">
        <v>1983</v>
      </c>
      <c r="B735" t="s">
        <v>3509</v>
      </c>
      <c r="C735" t="s">
        <v>1984</v>
      </c>
      <c r="D735" t="s">
        <v>3477</v>
      </c>
      <c r="E735" t="s">
        <v>4226</v>
      </c>
      <c r="F735" t="s">
        <v>3511</v>
      </c>
      <c r="G735" t="s">
        <v>3512</v>
      </c>
      <c r="H735" t="s">
        <v>3513</v>
      </c>
      <c r="I735" t="s">
        <v>3476</v>
      </c>
      <c r="J735" t="s">
        <v>650</v>
      </c>
    </row>
    <row r="736" spans="1:11">
      <c r="A736" t="s">
        <v>1983</v>
      </c>
      <c r="B736" t="s">
        <v>3509</v>
      </c>
      <c r="C736" t="s">
        <v>1984</v>
      </c>
      <c r="D736" t="s">
        <v>3479</v>
      </c>
      <c r="E736" t="s">
        <v>4227</v>
      </c>
      <c r="F736" t="s">
        <v>3511</v>
      </c>
      <c r="G736" t="s">
        <v>3512</v>
      </c>
      <c r="H736" t="s">
        <v>3513</v>
      </c>
      <c r="I736" t="s">
        <v>3476</v>
      </c>
      <c r="J736" t="s">
        <v>650</v>
      </c>
    </row>
    <row r="737" spans="1:11">
      <c r="A737" t="s">
        <v>1983</v>
      </c>
      <c r="B737" t="s">
        <v>3509</v>
      </c>
      <c r="C737" t="s">
        <v>1984</v>
      </c>
      <c r="D737" t="s">
        <v>3481</v>
      </c>
      <c r="E737" t="s">
        <v>4228</v>
      </c>
      <c r="F737" t="s">
        <v>3511</v>
      </c>
      <c r="G737" t="s">
        <v>3512</v>
      </c>
      <c r="H737" t="s">
        <v>3513</v>
      </c>
      <c r="I737" t="s">
        <v>3476</v>
      </c>
      <c r="J737" t="s">
        <v>650</v>
      </c>
    </row>
    <row r="738" spans="1:11">
      <c r="A738" t="s">
        <v>1983</v>
      </c>
      <c r="B738" t="s">
        <v>3509</v>
      </c>
      <c r="C738" t="s">
        <v>1984</v>
      </c>
      <c r="D738" t="s">
        <v>3483</v>
      </c>
      <c r="E738" t="s">
        <v>4229</v>
      </c>
      <c r="F738" t="s">
        <v>3511</v>
      </c>
      <c r="G738" t="s">
        <v>3512</v>
      </c>
      <c r="H738" t="s">
        <v>3513</v>
      </c>
      <c r="I738" t="s">
        <v>3476</v>
      </c>
      <c r="J738" t="s">
        <v>650</v>
      </c>
    </row>
    <row r="739" spans="1:11">
      <c r="A739" t="s">
        <v>1983</v>
      </c>
      <c r="B739" t="s">
        <v>3509</v>
      </c>
      <c r="C739" t="s">
        <v>1984</v>
      </c>
      <c r="D739" t="s">
        <v>3518</v>
      </c>
      <c r="E739" t="s">
        <v>4230</v>
      </c>
      <c r="F739" t="s">
        <v>3511</v>
      </c>
      <c r="G739" t="s">
        <v>3512</v>
      </c>
      <c r="H739" t="s">
        <v>3513</v>
      </c>
      <c r="I739" t="s">
        <v>3476</v>
      </c>
      <c r="J739" t="s">
        <v>650</v>
      </c>
      <c r="K739" t="s">
        <v>3520</v>
      </c>
    </row>
    <row r="740" spans="1:11">
      <c r="A740" t="s">
        <v>1985</v>
      </c>
      <c r="B740" t="s">
        <v>3509</v>
      </c>
      <c r="C740" t="s">
        <v>1986</v>
      </c>
      <c r="D740" t="s">
        <v>3471</v>
      </c>
      <c r="E740" t="s">
        <v>4231</v>
      </c>
      <c r="F740" t="s">
        <v>3511</v>
      </c>
      <c r="G740" t="s">
        <v>3512</v>
      </c>
      <c r="H740" t="s">
        <v>3513</v>
      </c>
      <c r="I740" t="s">
        <v>3476</v>
      </c>
      <c r="J740" t="s">
        <v>650</v>
      </c>
    </row>
    <row r="741" spans="1:11">
      <c r="A741" t="s">
        <v>1985</v>
      </c>
      <c r="B741" t="s">
        <v>3509</v>
      </c>
      <c r="C741" t="s">
        <v>1986</v>
      </c>
      <c r="D741" t="s">
        <v>3477</v>
      </c>
      <c r="E741" t="s">
        <v>4232</v>
      </c>
      <c r="F741" t="s">
        <v>3511</v>
      </c>
      <c r="G741" t="s">
        <v>3512</v>
      </c>
      <c r="H741" t="s">
        <v>3513</v>
      </c>
      <c r="I741" t="s">
        <v>3476</v>
      </c>
      <c r="J741" t="s">
        <v>650</v>
      </c>
    </row>
    <row r="742" spans="1:11">
      <c r="A742" t="s">
        <v>1985</v>
      </c>
      <c r="B742" t="s">
        <v>3509</v>
      </c>
      <c r="C742" t="s">
        <v>1986</v>
      </c>
      <c r="D742" t="s">
        <v>3479</v>
      </c>
      <c r="E742" t="s">
        <v>4233</v>
      </c>
      <c r="F742" t="s">
        <v>3511</v>
      </c>
      <c r="G742" t="s">
        <v>3512</v>
      </c>
      <c r="H742" t="s">
        <v>3513</v>
      </c>
      <c r="I742" t="s">
        <v>3476</v>
      </c>
      <c r="J742" t="s">
        <v>650</v>
      </c>
    </row>
    <row r="743" spans="1:11">
      <c r="A743" t="s">
        <v>1985</v>
      </c>
      <c r="B743" t="s">
        <v>3509</v>
      </c>
      <c r="C743" t="s">
        <v>1986</v>
      </c>
      <c r="D743" t="s">
        <v>3481</v>
      </c>
      <c r="E743" t="s">
        <v>4234</v>
      </c>
      <c r="F743" t="s">
        <v>3511</v>
      </c>
      <c r="G743" t="s">
        <v>3512</v>
      </c>
      <c r="H743" t="s">
        <v>3513</v>
      </c>
      <c r="I743" t="s">
        <v>3476</v>
      </c>
      <c r="J743" t="s">
        <v>650</v>
      </c>
    </row>
    <row r="744" spans="1:11">
      <c r="A744" t="s">
        <v>1985</v>
      </c>
      <c r="B744" t="s">
        <v>3509</v>
      </c>
      <c r="C744" t="s">
        <v>1986</v>
      </c>
      <c r="D744" t="s">
        <v>3483</v>
      </c>
      <c r="E744" t="s">
        <v>4235</v>
      </c>
      <c r="F744" t="s">
        <v>3511</v>
      </c>
      <c r="G744" t="s">
        <v>3512</v>
      </c>
      <c r="H744" t="s">
        <v>3513</v>
      </c>
      <c r="I744" t="s">
        <v>3476</v>
      </c>
      <c r="J744" t="s">
        <v>650</v>
      </c>
    </row>
    <row r="745" spans="1:11">
      <c r="A745" t="s">
        <v>1985</v>
      </c>
      <c r="B745" t="s">
        <v>3509</v>
      </c>
      <c r="C745" t="s">
        <v>1986</v>
      </c>
      <c r="D745" t="s">
        <v>3518</v>
      </c>
      <c r="E745" t="s">
        <v>4236</v>
      </c>
      <c r="F745" t="s">
        <v>3511</v>
      </c>
      <c r="G745" t="s">
        <v>3512</v>
      </c>
      <c r="H745" t="s">
        <v>3513</v>
      </c>
      <c r="I745" t="s">
        <v>3476</v>
      </c>
      <c r="J745" t="s">
        <v>650</v>
      </c>
      <c r="K745" t="s">
        <v>3520</v>
      </c>
    </row>
    <row r="746" spans="1:11">
      <c r="A746" t="s">
        <v>1987</v>
      </c>
      <c r="B746" t="s">
        <v>3509</v>
      </c>
      <c r="C746" t="s">
        <v>1988</v>
      </c>
      <c r="D746" t="s">
        <v>3471</v>
      </c>
      <c r="E746" t="s">
        <v>4237</v>
      </c>
      <c r="F746" t="s">
        <v>3511</v>
      </c>
      <c r="G746" t="s">
        <v>3512</v>
      </c>
      <c r="H746" t="s">
        <v>3513</v>
      </c>
      <c r="I746" t="s">
        <v>3476</v>
      </c>
      <c r="J746" t="s">
        <v>650</v>
      </c>
    </row>
    <row r="747" spans="1:11">
      <c r="A747" t="s">
        <v>1987</v>
      </c>
      <c r="B747" t="s">
        <v>3509</v>
      </c>
      <c r="C747" t="s">
        <v>1988</v>
      </c>
      <c r="D747" t="s">
        <v>3477</v>
      </c>
      <c r="E747" t="s">
        <v>4238</v>
      </c>
      <c r="F747" t="s">
        <v>3511</v>
      </c>
      <c r="G747" t="s">
        <v>3512</v>
      </c>
      <c r="H747" t="s">
        <v>3513</v>
      </c>
      <c r="I747" t="s">
        <v>3476</v>
      </c>
      <c r="J747" t="s">
        <v>650</v>
      </c>
    </row>
    <row r="748" spans="1:11">
      <c r="A748" t="s">
        <v>1987</v>
      </c>
      <c r="B748" t="s">
        <v>3509</v>
      </c>
      <c r="C748" t="s">
        <v>1988</v>
      </c>
      <c r="D748" t="s">
        <v>3479</v>
      </c>
      <c r="E748" t="s">
        <v>4239</v>
      </c>
      <c r="F748" t="s">
        <v>3511</v>
      </c>
      <c r="G748" t="s">
        <v>3512</v>
      </c>
      <c r="H748" t="s">
        <v>3513</v>
      </c>
      <c r="I748" t="s">
        <v>3476</v>
      </c>
      <c r="J748" t="s">
        <v>650</v>
      </c>
    </row>
    <row r="749" spans="1:11">
      <c r="A749" t="s">
        <v>1987</v>
      </c>
      <c r="B749" t="s">
        <v>3509</v>
      </c>
      <c r="C749" t="s">
        <v>1988</v>
      </c>
      <c r="D749" t="s">
        <v>3481</v>
      </c>
      <c r="E749" t="s">
        <v>4240</v>
      </c>
      <c r="F749" t="s">
        <v>3511</v>
      </c>
      <c r="G749" t="s">
        <v>3512</v>
      </c>
      <c r="H749" t="s">
        <v>3513</v>
      </c>
      <c r="I749" t="s">
        <v>3476</v>
      </c>
      <c r="J749" t="s">
        <v>650</v>
      </c>
    </row>
    <row r="750" spans="1:11">
      <c r="A750" t="s">
        <v>1987</v>
      </c>
      <c r="B750" t="s">
        <v>3509</v>
      </c>
      <c r="C750" t="s">
        <v>1988</v>
      </c>
      <c r="D750" t="s">
        <v>3483</v>
      </c>
      <c r="E750" t="s">
        <v>4241</v>
      </c>
      <c r="F750" t="s">
        <v>3511</v>
      </c>
      <c r="G750" t="s">
        <v>3512</v>
      </c>
      <c r="H750" t="s">
        <v>3513</v>
      </c>
      <c r="I750" t="s">
        <v>3476</v>
      </c>
      <c r="J750" t="s">
        <v>650</v>
      </c>
    </row>
    <row r="751" spans="1:11">
      <c r="A751" t="s">
        <v>1987</v>
      </c>
      <c r="B751" t="s">
        <v>3509</v>
      </c>
      <c r="C751" t="s">
        <v>1988</v>
      </c>
      <c r="D751" t="s">
        <v>3518</v>
      </c>
      <c r="E751" t="s">
        <v>4242</v>
      </c>
      <c r="F751" t="s">
        <v>3511</v>
      </c>
      <c r="G751" t="s">
        <v>3512</v>
      </c>
      <c r="H751" t="s">
        <v>3513</v>
      </c>
      <c r="I751" t="s">
        <v>3476</v>
      </c>
      <c r="J751" t="s">
        <v>650</v>
      </c>
      <c r="K751" t="s">
        <v>3520</v>
      </c>
    </row>
    <row r="752" spans="1:11">
      <c r="A752" t="s">
        <v>1989</v>
      </c>
      <c r="B752" t="s">
        <v>3509</v>
      </c>
      <c r="C752" t="s">
        <v>1990</v>
      </c>
      <c r="D752" t="s">
        <v>3471</v>
      </c>
      <c r="E752" t="s">
        <v>4243</v>
      </c>
      <c r="F752" t="s">
        <v>3511</v>
      </c>
      <c r="G752" t="s">
        <v>3512</v>
      </c>
      <c r="H752" t="s">
        <v>3513</v>
      </c>
      <c r="I752" t="s">
        <v>3476</v>
      </c>
      <c r="J752" t="s">
        <v>650</v>
      </c>
    </row>
    <row r="753" spans="1:11">
      <c r="A753" t="s">
        <v>1989</v>
      </c>
      <c r="B753" t="s">
        <v>3509</v>
      </c>
      <c r="C753" t="s">
        <v>1990</v>
      </c>
      <c r="D753" t="s">
        <v>3477</v>
      </c>
      <c r="E753" t="s">
        <v>4244</v>
      </c>
      <c r="F753" t="s">
        <v>3511</v>
      </c>
      <c r="G753" t="s">
        <v>3512</v>
      </c>
      <c r="H753" t="s">
        <v>3513</v>
      </c>
      <c r="I753" t="s">
        <v>3476</v>
      </c>
      <c r="J753" t="s">
        <v>650</v>
      </c>
    </row>
    <row r="754" spans="1:11">
      <c r="A754" t="s">
        <v>1989</v>
      </c>
      <c r="B754" t="s">
        <v>3509</v>
      </c>
      <c r="C754" t="s">
        <v>1990</v>
      </c>
      <c r="D754" t="s">
        <v>3479</v>
      </c>
      <c r="E754" t="s">
        <v>4245</v>
      </c>
      <c r="F754" t="s">
        <v>3511</v>
      </c>
      <c r="G754" t="s">
        <v>3512</v>
      </c>
      <c r="H754" t="s">
        <v>3513</v>
      </c>
      <c r="I754" t="s">
        <v>3476</v>
      </c>
      <c r="J754" t="s">
        <v>650</v>
      </c>
    </row>
    <row r="755" spans="1:11">
      <c r="A755" t="s">
        <v>1989</v>
      </c>
      <c r="B755" t="s">
        <v>3509</v>
      </c>
      <c r="C755" t="s">
        <v>1990</v>
      </c>
      <c r="D755" t="s">
        <v>3481</v>
      </c>
      <c r="E755" t="s">
        <v>4246</v>
      </c>
      <c r="F755" t="s">
        <v>3511</v>
      </c>
      <c r="G755" t="s">
        <v>3512</v>
      </c>
      <c r="H755" t="s">
        <v>3513</v>
      </c>
      <c r="I755" t="s">
        <v>3476</v>
      </c>
      <c r="J755" t="s">
        <v>650</v>
      </c>
    </row>
    <row r="756" spans="1:11">
      <c r="A756" t="s">
        <v>1989</v>
      </c>
      <c r="B756" t="s">
        <v>3509</v>
      </c>
      <c r="C756" t="s">
        <v>1990</v>
      </c>
      <c r="D756" t="s">
        <v>3483</v>
      </c>
      <c r="E756" t="s">
        <v>4247</v>
      </c>
      <c r="F756" t="s">
        <v>3511</v>
      </c>
      <c r="G756" t="s">
        <v>3512</v>
      </c>
      <c r="H756" t="s">
        <v>3513</v>
      </c>
      <c r="I756" t="s">
        <v>3476</v>
      </c>
      <c r="J756" t="s">
        <v>650</v>
      </c>
    </row>
    <row r="757" spans="1:11">
      <c r="A757" t="s">
        <v>1989</v>
      </c>
      <c r="B757" t="s">
        <v>3509</v>
      </c>
      <c r="C757" t="s">
        <v>1990</v>
      </c>
      <c r="D757" t="s">
        <v>3518</v>
      </c>
      <c r="E757" t="s">
        <v>4248</v>
      </c>
      <c r="F757" t="s">
        <v>3511</v>
      </c>
      <c r="G757" t="s">
        <v>3512</v>
      </c>
      <c r="H757" t="s">
        <v>3513</v>
      </c>
      <c r="I757" t="s">
        <v>3476</v>
      </c>
      <c r="J757" t="s">
        <v>650</v>
      </c>
      <c r="K757" t="s">
        <v>3520</v>
      </c>
    </row>
    <row r="758" spans="1:11">
      <c r="A758" t="s">
        <v>1991</v>
      </c>
      <c r="B758" t="s">
        <v>3509</v>
      </c>
      <c r="C758" t="s">
        <v>1992</v>
      </c>
      <c r="D758" t="s">
        <v>3471</v>
      </c>
      <c r="E758" t="s">
        <v>4249</v>
      </c>
      <c r="F758" t="s">
        <v>3511</v>
      </c>
      <c r="G758" t="s">
        <v>3512</v>
      </c>
      <c r="H758" t="s">
        <v>3513</v>
      </c>
      <c r="I758" t="s">
        <v>3476</v>
      </c>
      <c r="J758" t="s">
        <v>650</v>
      </c>
    </row>
    <row r="759" spans="1:11">
      <c r="A759" t="s">
        <v>1991</v>
      </c>
      <c r="B759" t="s">
        <v>3509</v>
      </c>
      <c r="C759" t="s">
        <v>1992</v>
      </c>
      <c r="D759" t="s">
        <v>3477</v>
      </c>
      <c r="E759" t="s">
        <v>4250</v>
      </c>
      <c r="F759" t="s">
        <v>3511</v>
      </c>
      <c r="G759" t="s">
        <v>3512</v>
      </c>
      <c r="H759" t="s">
        <v>3513</v>
      </c>
      <c r="I759" t="s">
        <v>3476</v>
      </c>
      <c r="J759" t="s">
        <v>650</v>
      </c>
    </row>
    <row r="760" spans="1:11">
      <c r="A760" t="s">
        <v>1991</v>
      </c>
      <c r="B760" t="s">
        <v>3509</v>
      </c>
      <c r="C760" t="s">
        <v>1992</v>
      </c>
      <c r="D760" t="s">
        <v>3479</v>
      </c>
      <c r="E760" t="s">
        <v>4251</v>
      </c>
      <c r="F760" t="s">
        <v>3511</v>
      </c>
      <c r="G760" t="s">
        <v>3512</v>
      </c>
      <c r="H760" t="s">
        <v>3513</v>
      </c>
      <c r="I760" t="s">
        <v>3476</v>
      </c>
      <c r="J760" t="s">
        <v>650</v>
      </c>
    </row>
    <row r="761" spans="1:11">
      <c r="A761" t="s">
        <v>1991</v>
      </c>
      <c r="B761" t="s">
        <v>3509</v>
      </c>
      <c r="C761" t="s">
        <v>1992</v>
      </c>
      <c r="D761" t="s">
        <v>3481</v>
      </c>
      <c r="E761" t="s">
        <v>4252</v>
      </c>
      <c r="F761" t="s">
        <v>3511</v>
      </c>
      <c r="G761" t="s">
        <v>3512</v>
      </c>
      <c r="H761" t="s">
        <v>3513</v>
      </c>
      <c r="I761" t="s">
        <v>3476</v>
      </c>
      <c r="J761" t="s">
        <v>650</v>
      </c>
    </row>
    <row r="762" spans="1:11">
      <c r="A762" t="s">
        <v>1991</v>
      </c>
      <c r="B762" t="s">
        <v>3509</v>
      </c>
      <c r="C762" t="s">
        <v>1992</v>
      </c>
      <c r="D762" t="s">
        <v>3483</v>
      </c>
      <c r="E762" t="s">
        <v>4253</v>
      </c>
      <c r="F762" t="s">
        <v>3511</v>
      </c>
      <c r="G762" t="s">
        <v>3512</v>
      </c>
      <c r="H762" t="s">
        <v>3513</v>
      </c>
      <c r="I762" t="s">
        <v>3476</v>
      </c>
      <c r="J762" t="s">
        <v>650</v>
      </c>
    </row>
    <row r="763" spans="1:11">
      <c r="A763" t="s">
        <v>1991</v>
      </c>
      <c r="B763" t="s">
        <v>3509</v>
      </c>
      <c r="C763" t="s">
        <v>1992</v>
      </c>
      <c r="D763" t="s">
        <v>3518</v>
      </c>
      <c r="E763" t="s">
        <v>4254</v>
      </c>
      <c r="F763" t="s">
        <v>3511</v>
      </c>
      <c r="G763" t="s">
        <v>3512</v>
      </c>
      <c r="H763" t="s">
        <v>3513</v>
      </c>
      <c r="I763" t="s">
        <v>3476</v>
      </c>
      <c r="J763" t="s">
        <v>650</v>
      </c>
      <c r="K763" t="s">
        <v>3520</v>
      </c>
    </row>
    <row r="764" spans="1:11">
      <c r="A764" t="s">
        <v>1994</v>
      </c>
      <c r="B764" t="s">
        <v>3509</v>
      </c>
      <c r="C764" t="s">
        <v>1995</v>
      </c>
      <c r="D764" t="s">
        <v>3471</v>
      </c>
      <c r="E764" t="s">
        <v>4255</v>
      </c>
      <c r="F764" t="s">
        <v>3511</v>
      </c>
      <c r="G764" t="s">
        <v>3512</v>
      </c>
      <c r="H764" t="s">
        <v>3513</v>
      </c>
      <c r="I764" t="s">
        <v>3476</v>
      </c>
      <c r="J764" t="s">
        <v>650</v>
      </c>
    </row>
    <row r="765" spans="1:11">
      <c r="A765" t="s">
        <v>1994</v>
      </c>
      <c r="B765" t="s">
        <v>3509</v>
      </c>
      <c r="C765" t="s">
        <v>1995</v>
      </c>
      <c r="D765" t="s">
        <v>3477</v>
      </c>
      <c r="E765" t="s">
        <v>4256</v>
      </c>
      <c r="F765" t="s">
        <v>3511</v>
      </c>
      <c r="G765" t="s">
        <v>3512</v>
      </c>
      <c r="H765" t="s">
        <v>3513</v>
      </c>
      <c r="I765" t="s">
        <v>3476</v>
      </c>
      <c r="J765" t="s">
        <v>650</v>
      </c>
    </row>
    <row r="766" spans="1:11">
      <c r="A766" t="s">
        <v>1994</v>
      </c>
      <c r="B766" t="s">
        <v>3509</v>
      </c>
      <c r="C766" t="s">
        <v>1995</v>
      </c>
      <c r="D766" t="s">
        <v>3479</v>
      </c>
      <c r="E766" t="s">
        <v>4257</v>
      </c>
      <c r="F766" t="s">
        <v>3511</v>
      </c>
      <c r="G766" t="s">
        <v>3512</v>
      </c>
      <c r="H766" t="s">
        <v>3513</v>
      </c>
      <c r="I766" t="s">
        <v>3476</v>
      </c>
      <c r="J766" t="s">
        <v>650</v>
      </c>
    </row>
    <row r="767" spans="1:11">
      <c r="A767" t="s">
        <v>1994</v>
      </c>
      <c r="B767" t="s">
        <v>3509</v>
      </c>
      <c r="C767" t="s">
        <v>1995</v>
      </c>
      <c r="D767" t="s">
        <v>3481</v>
      </c>
      <c r="E767" t="s">
        <v>4258</v>
      </c>
      <c r="F767" t="s">
        <v>3511</v>
      </c>
      <c r="G767" t="s">
        <v>3512</v>
      </c>
      <c r="H767" t="s">
        <v>3513</v>
      </c>
      <c r="I767" t="s">
        <v>3476</v>
      </c>
      <c r="J767" t="s">
        <v>650</v>
      </c>
    </row>
    <row r="768" spans="1:11">
      <c r="A768" t="s">
        <v>1994</v>
      </c>
      <c r="B768" t="s">
        <v>3509</v>
      </c>
      <c r="C768" t="s">
        <v>1995</v>
      </c>
      <c r="D768" t="s">
        <v>3483</v>
      </c>
      <c r="E768" t="s">
        <v>4259</v>
      </c>
      <c r="F768" t="s">
        <v>3511</v>
      </c>
      <c r="G768" t="s">
        <v>3512</v>
      </c>
      <c r="H768" t="s">
        <v>3513</v>
      </c>
      <c r="I768" t="s">
        <v>3476</v>
      </c>
      <c r="J768" t="s">
        <v>650</v>
      </c>
    </row>
    <row r="769" spans="1:11">
      <c r="A769" t="s">
        <v>1994</v>
      </c>
      <c r="B769" t="s">
        <v>3509</v>
      </c>
      <c r="C769" t="s">
        <v>1995</v>
      </c>
      <c r="D769" t="s">
        <v>3518</v>
      </c>
      <c r="E769" t="s">
        <v>4260</v>
      </c>
      <c r="F769" t="s">
        <v>3511</v>
      </c>
      <c r="G769" t="s">
        <v>3512</v>
      </c>
      <c r="H769" t="s">
        <v>3513</v>
      </c>
      <c r="I769" t="s">
        <v>3476</v>
      </c>
      <c r="J769" t="s">
        <v>650</v>
      </c>
      <c r="K769" t="s">
        <v>3520</v>
      </c>
    </row>
    <row r="770" spans="1:11">
      <c r="A770" t="s">
        <v>1996</v>
      </c>
      <c r="B770" t="s">
        <v>3509</v>
      </c>
      <c r="C770" t="s">
        <v>1997</v>
      </c>
      <c r="D770" t="s">
        <v>3471</v>
      </c>
      <c r="E770" t="s">
        <v>4261</v>
      </c>
      <c r="F770" t="s">
        <v>3511</v>
      </c>
      <c r="G770" t="s">
        <v>3512</v>
      </c>
      <c r="H770" t="s">
        <v>3513</v>
      </c>
      <c r="I770" t="s">
        <v>3476</v>
      </c>
      <c r="J770" t="s">
        <v>650</v>
      </c>
    </row>
    <row r="771" spans="1:11">
      <c r="A771" t="s">
        <v>1996</v>
      </c>
      <c r="B771" t="s">
        <v>3509</v>
      </c>
      <c r="C771" t="s">
        <v>1997</v>
      </c>
      <c r="D771" t="s">
        <v>3477</v>
      </c>
      <c r="E771" t="s">
        <v>4262</v>
      </c>
      <c r="F771" t="s">
        <v>3511</v>
      </c>
      <c r="G771" t="s">
        <v>3512</v>
      </c>
      <c r="H771" t="s">
        <v>3513</v>
      </c>
      <c r="I771" t="s">
        <v>3476</v>
      </c>
      <c r="J771" t="s">
        <v>650</v>
      </c>
    </row>
    <row r="772" spans="1:11">
      <c r="A772" t="s">
        <v>1996</v>
      </c>
      <c r="B772" t="s">
        <v>3509</v>
      </c>
      <c r="C772" t="s">
        <v>1997</v>
      </c>
      <c r="D772" t="s">
        <v>3479</v>
      </c>
      <c r="E772" t="s">
        <v>4263</v>
      </c>
      <c r="F772" t="s">
        <v>3511</v>
      </c>
      <c r="G772" t="s">
        <v>3512</v>
      </c>
      <c r="H772" t="s">
        <v>3513</v>
      </c>
      <c r="I772" t="s">
        <v>3476</v>
      </c>
      <c r="J772" t="s">
        <v>650</v>
      </c>
    </row>
    <row r="773" spans="1:11">
      <c r="A773" t="s">
        <v>1996</v>
      </c>
      <c r="B773" t="s">
        <v>3509</v>
      </c>
      <c r="C773" t="s">
        <v>1997</v>
      </c>
      <c r="D773" t="s">
        <v>3481</v>
      </c>
      <c r="E773" t="s">
        <v>4264</v>
      </c>
      <c r="F773" t="s">
        <v>3511</v>
      </c>
      <c r="G773" t="s">
        <v>3512</v>
      </c>
      <c r="H773" t="s">
        <v>3513</v>
      </c>
      <c r="I773" t="s">
        <v>3476</v>
      </c>
      <c r="J773" t="s">
        <v>650</v>
      </c>
    </row>
    <row r="774" spans="1:11">
      <c r="A774" t="s">
        <v>1996</v>
      </c>
      <c r="B774" t="s">
        <v>3509</v>
      </c>
      <c r="C774" t="s">
        <v>1997</v>
      </c>
      <c r="D774" t="s">
        <v>3483</v>
      </c>
      <c r="E774" t="s">
        <v>4265</v>
      </c>
      <c r="F774" t="s">
        <v>3511</v>
      </c>
      <c r="G774" t="s">
        <v>3512</v>
      </c>
      <c r="H774" t="s">
        <v>3513</v>
      </c>
      <c r="I774" t="s">
        <v>3476</v>
      </c>
      <c r="J774" t="s">
        <v>650</v>
      </c>
    </row>
    <row r="775" spans="1:11">
      <c r="A775" t="s">
        <v>1996</v>
      </c>
      <c r="B775" t="s">
        <v>3509</v>
      </c>
      <c r="C775" t="s">
        <v>1997</v>
      </c>
      <c r="D775" t="s">
        <v>3518</v>
      </c>
      <c r="E775" t="s">
        <v>4266</v>
      </c>
      <c r="F775" t="s">
        <v>3511</v>
      </c>
      <c r="G775" t="s">
        <v>3512</v>
      </c>
      <c r="H775" t="s">
        <v>3513</v>
      </c>
      <c r="I775" t="s">
        <v>3476</v>
      </c>
      <c r="J775" t="s">
        <v>650</v>
      </c>
      <c r="K775" t="s">
        <v>3520</v>
      </c>
    </row>
    <row r="776" spans="1:11">
      <c r="A776" t="s">
        <v>4267</v>
      </c>
      <c r="B776" t="s">
        <v>4268</v>
      </c>
      <c r="C776" t="s">
        <v>4269</v>
      </c>
      <c r="D776" t="s">
        <v>3471</v>
      </c>
      <c r="E776" t="s">
        <v>4270</v>
      </c>
      <c r="F776" t="s">
        <v>4271</v>
      </c>
      <c r="G776" t="s">
        <v>4272</v>
      </c>
      <c r="H776" t="s">
        <v>4273</v>
      </c>
      <c r="I776" t="s">
        <v>3476</v>
      </c>
      <c r="J776" t="s">
        <v>650</v>
      </c>
      <c r="K776" t="s">
        <v>4274</v>
      </c>
    </row>
    <row r="777" spans="1:11">
      <c r="A777" t="s">
        <v>4275</v>
      </c>
      <c r="B777" t="s">
        <v>4268</v>
      </c>
      <c r="C777" t="s">
        <v>4276</v>
      </c>
      <c r="D777" t="s">
        <v>3471</v>
      </c>
      <c r="E777" t="s">
        <v>4277</v>
      </c>
      <c r="F777" t="s">
        <v>4271</v>
      </c>
      <c r="G777" t="s">
        <v>4272</v>
      </c>
      <c r="H777" t="s">
        <v>4273</v>
      </c>
      <c r="I777" t="s">
        <v>3476</v>
      </c>
      <c r="J777" t="s">
        <v>650</v>
      </c>
      <c r="K777" t="s">
        <v>4274</v>
      </c>
    </row>
    <row r="778" spans="1:11">
      <c r="A778" t="s">
        <v>4278</v>
      </c>
      <c r="B778" t="s">
        <v>4268</v>
      </c>
      <c r="C778" t="s">
        <v>4279</v>
      </c>
      <c r="D778" t="s">
        <v>3471</v>
      </c>
      <c r="E778" t="s">
        <v>4280</v>
      </c>
      <c r="F778" t="s">
        <v>4271</v>
      </c>
      <c r="G778" t="s">
        <v>4272</v>
      </c>
      <c r="H778" t="s">
        <v>4273</v>
      </c>
      <c r="I778" t="s">
        <v>3476</v>
      </c>
      <c r="J778" t="s">
        <v>650</v>
      </c>
      <c r="K778" t="s">
        <v>4274</v>
      </c>
    </row>
    <row r="779" spans="1:11">
      <c r="A779" t="s">
        <v>4281</v>
      </c>
      <c r="B779" t="s">
        <v>4268</v>
      </c>
      <c r="C779" t="s">
        <v>4282</v>
      </c>
      <c r="D779" t="s">
        <v>3471</v>
      </c>
      <c r="E779" t="s">
        <v>4283</v>
      </c>
      <c r="F779" t="s">
        <v>4271</v>
      </c>
      <c r="G779" t="s">
        <v>4272</v>
      </c>
      <c r="H779" t="s">
        <v>4273</v>
      </c>
      <c r="I779" t="s">
        <v>3476</v>
      </c>
      <c r="J779" t="s">
        <v>650</v>
      </c>
      <c r="K779" t="s">
        <v>4274</v>
      </c>
    </row>
    <row r="780" spans="1:11">
      <c r="A780" t="s">
        <v>4284</v>
      </c>
      <c r="B780" t="s">
        <v>4268</v>
      </c>
      <c r="C780" t="s">
        <v>4285</v>
      </c>
      <c r="D780" t="s">
        <v>3471</v>
      </c>
      <c r="E780" t="s">
        <v>4286</v>
      </c>
      <c r="F780" t="s">
        <v>4271</v>
      </c>
      <c r="G780" t="s">
        <v>4272</v>
      </c>
      <c r="H780" t="s">
        <v>4273</v>
      </c>
      <c r="I780" t="s">
        <v>3476</v>
      </c>
      <c r="J780" t="s">
        <v>650</v>
      </c>
      <c r="K780" t="s">
        <v>4274</v>
      </c>
    </row>
    <row r="781" spans="1:11">
      <c r="A781" t="s">
        <v>3175</v>
      </c>
      <c r="B781" t="s">
        <v>4287</v>
      </c>
      <c r="C781" t="inlineStr">
        <is>
          <t xml:space="preserve">Hanako Okuda</t>
        </is>
      </c>
      <c r="D781" t="s">
        <v>3471</v>
      </c>
      <c r="E781" t="s">
        <v>4288</v>
      </c>
      <c r="F781" t="s">
        <v>4289</v>
      </c>
      <c r="G781" t="s">
        <v>4290</v>
      </c>
      <c r="H781" t="s">
        <v>4291</v>
      </c>
      <c r="I781" t="s">
        <v>3476</v>
      </c>
      <c r="J781" t="s">
        <v>650</v>
      </c>
      <c r="K781" t="s">
        <v>4292</v>
      </c>
    </row>
    <row r="782" spans="1:11">
      <c r="A782" t="s">
        <v>3175</v>
      </c>
      <c r="B782" t="s">
        <v>4287</v>
      </c>
      <c r="C782" t="inlineStr">
        <is>
          <t xml:space="preserve">Hanako Okuda</t>
        </is>
      </c>
      <c r="D782" t="s">
        <v>3481</v>
      </c>
      <c r="E782" t="s">
        <v>4293</v>
      </c>
      <c r="F782" t="s">
        <v>4289</v>
      </c>
      <c r="G782" t="s">
        <v>4290</v>
      </c>
      <c r="H782" t="s">
        <v>4291</v>
      </c>
      <c r="I782" t="s">
        <v>3476</v>
      </c>
      <c r="J782" t="s">
        <v>650</v>
      </c>
      <c r="K782" t="s">
        <v>4294</v>
      </c>
    </row>
    <row r="783" spans="1:11">
      <c r="A783" t="s">
        <v>3175</v>
      </c>
      <c r="B783" t="s">
        <v>4287</v>
      </c>
      <c r="C783" t="inlineStr">
        <is>
          <t xml:space="preserve">Hanako Okuda</t>
        </is>
      </c>
      <c r="D783" t="s">
        <v>3483</v>
      </c>
      <c r="E783" t="s">
        <v>4295</v>
      </c>
      <c r="F783" t="s">
        <v>4289</v>
      </c>
      <c r="G783" t="s">
        <v>4290</v>
      </c>
      <c r="H783" t="s">
        <v>4291</v>
      </c>
      <c r="I783" t="s">
        <v>3476</v>
      </c>
      <c r="J783" t="s">
        <v>650</v>
      </c>
      <c r="K783" t="s">
        <v>4296</v>
      </c>
    </row>
    <row r="784" spans="1:11">
      <c r="A784" t="s">
        <v>3181</v>
      </c>
      <c r="B784" t="s">
        <v>4287</v>
      </c>
      <c r="C784" t="inlineStr">
        <is>
          <t xml:space="preserve">Gen Tsukamoto</t>
        </is>
      </c>
      <c r="D784" t="s">
        <v>3471</v>
      </c>
      <c r="E784" t="s">
        <v>4297</v>
      </c>
      <c r="F784" t="s">
        <v>4289</v>
      </c>
      <c r="G784" t="s">
        <v>4290</v>
      </c>
      <c r="H784" t="s">
        <v>4291</v>
      </c>
      <c r="I784" t="s">
        <v>3476</v>
      </c>
      <c r="J784" t="s">
        <v>650</v>
      </c>
      <c r="K784" t="s">
        <v>4292</v>
      </c>
    </row>
    <row r="785" spans="1:11">
      <c r="A785" t="s">
        <v>3181</v>
      </c>
      <c r="B785" t="s">
        <v>4287</v>
      </c>
      <c r="C785" t="inlineStr">
        <is>
          <t xml:space="preserve">Gen Tsukamoto</t>
        </is>
      </c>
      <c r="D785" t="s">
        <v>3481</v>
      </c>
      <c r="E785" t="s">
        <v>4298</v>
      </c>
      <c r="F785" t="s">
        <v>4289</v>
      </c>
      <c r="G785" t="s">
        <v>4290</v>
      </c>
      <c r="H785" t="s">
        <v>4291</v>
      </c>
      <c r="I785" t="s">
        <v>3476</v>
      </c>
      <c r="J785" t="s">
        <v>650</v>
      </c>
      <c r="K785" t="s">
        <v>4294</v>
      </c>
    </row>
    <row r="786" spans="1:11">
      <c r="A786" t="s">
        <v>3181</v>
      </c>
      <c r="B786" t="s">
        <v>4287</v>
      </c>
      <c r="C786" t="inlineStr">
        <is>
          <t xml:space="preserve">Gen Tsukamoto</t>
        </is>
      </c>
      <c r="D786" t="s">
        <v>3483</v>
      </c>
      <c r="E786" t="s">
        <v>4299</v>
      </c>
      <c r="F786" t="s">
        <v>4289</v>
      </c>
      <c r="G786" t="s">
        <v>4290</v>
      </c>
      <c r="H786" t="s">
        <v>4291</v>
      </c>
      <c r="I786" t="s">
        <v>3476</v>
      </c>
      <c r="J786" t="s">
        <v>650</v>
      </c>
      <c r="K786" t="s">
        <v>4296</v>
      </c>
    </row>
    <row r="787" spans="1:11">
      <c r="A787" t="s">
        <v>3186</v>
      </c>
      <c r="B787" t="s">
        <v>4287</v>
      </c>
      <c r="C787" t="inlineStr">
        <is>
          <t xml:space="preserve">Saki Mori</t>
        </is>
      </c>
      <c r="D787" t="s">
        <v>3471</v>
      </c>
      <c r="E787" t="s">
        <v>4300</v>
      </c>
      <c r="F787" t="s">
        <v>4289</v>
      </c>
      <c r="G787" t="s">
        <v>4290</v>
      </c>
      <c r="H787" t="s">
        <v>4291</v>
      </c>
      <c r="I787" t="s">
        <v>3476</v>
      </c>
      <c r="J787" t="s">
        <v>650</v>
      </c>
      <c r="K787" t="s">
        <v>4292</v>
      </c>
    </row>
    <row r="788" spans="1:11">
      <c r="A788" t="s">
        <v>3186</v>
      </c>
      <c r="B788" t="s">
        <v>4287</v>
      </c>
      <c r="C788" t="inlineStr">
        <is>
          <t xml:space="preserve">Saki Mori</t>
        </is>
      </c>
      <c r="D788" t="s">
        <v>3481</v>
      </c>
      <c r="E788" t="s">
        <v>4301</v>
      </c>
      <c r="F788" t="s">
        <v>4289</v>
      </c>
      <c r="G788" t="s">
        <v>4290</v>
      </c>
      <c r="H788" t="s">
        <v>4291</v>
      </c>
      <c r="I788" t="s">
        <v>3476</v>
      </c>
      <c r="J788" t="s">
        <v>650</v>
      </c>
      <c r="K788" t="s">
        <v>4294</v>
      </c>
    </row>
    <row r="789" spans="1:11">
      <c r="A789" t="s">
        <v>3186</v>
      </c>
      <c r="B789" t="s">
        <v>4287</v>
      </c>
      <c r="C789" t="inlineStr">
        <is>
          <t xml:space="preserve">Saki Mori</t>
        </is>
      </c>
      <c r="D789" t="s">
        <v>3483</v>
      </c>
      <c r="E789" t="s">
        <v>4302</v>
      </c>
      <c r="F789" t="s">
        <v>4289</v>
      </c>
      <c r="G789" t="s">
        <v>4290</v>
      </c>
      <c r="H789" t="s">
        <v>4291</v>
      </c>
      <c r="I789" t="s">
        <v>3476</v>
      </c>
      <c r="J789" t="s">
        <v>650</v>
      </c>
      <c r="K789" t="s">
        <v>4296</v>
      </c>
    </row>
    <row r="790" spans="1:11">
      <c r="A790" t="inlineStr">
        <is>
          <t xml:space="preserve">VI04</t>
        </is>
      </c>
      <c r="B790" t="inlineStr">
        <is>
          <t xml:space="preserve">Visitor</t>
        </is>
      </c>
      <c r="C790" t="inlineStr">
        <is>
          <t xml:space="preserve">Ryo Kawabata</t>
        </is>
      </c>
      <c r="D790" t="inlineStr">
        <is>
          <t xml:space="preserve">neutral</t>
        </is>
      </c>
      <c r="E790" t="inlineStr">
        <is>
          <t xml:space="preserve">VI04_neutral.png</t>
        </is>
      </c>
      <c r="F790" t="inlineStr">
        <is>
          <t xml:space="preserve">{VISITOR_ID}_{expression}.png</t>
        </is>
      </c>
      <c r="G790" t="inlineStr">
        <is>
          <t xml:space="preserve">assets/characters/visitors/</t>
        </is>
      </c>
      <c r="H790" t="inlineStr">
        <is>
          <t xml:space="preserve">The visitor's own face in Office Hours (VisitorPresenter), reacting to whether your answer was right.</t>
        </is>
      </c>
      <c r="I790" t="inlineStr">
        <is>
          <t xml:space="preserve">1024 x 1536 px (2:3, full body head-to-feet, transparent background)</t>
        </is>
      </c>
      <c r="J790" t="inlineStr">
        <is>
          <t xml:space="preserve">No</t>
        </is>
      </c>
      <c r="K790" t="inlineStr">
        <is>
          <t xml:space="preserve">Shown while the visitor is waiting on an answer.</t>
        </is>
      </c>
    </row>
    <row r="791" spans="1:11">
      <c r="A791" t="inlineStr">
        <is>
          <t xml:space="preserve">VI04</t>
        </is>
      </c>
      <c r="B791" t="inlineStr">
        <is>
          <t xml:space="preserve">Visitor</t>
        </is>
      </c>
      <c r="C791" t="inlineStr">
        <is>
          <t xml:space="preserve">Ryo Kawabata</t>
        </is>
      </c>
      <c r="D791" t="inlineStr">
        <is>
          <t xml:space="preserve">gaining</t>
        </is>
      </c>
      <c r="E791" t="inlineStr">
        <is>
          <t xml:space="preserve">VI04_gaining.png</t>
        </is>
      </c>
      <c r="F791" t="inlineStr">
        <is>
          <t xml:space="preserve">{VISITOR_ID}_{expression}.png</t>
        </is>
      </c>
      <c r="G791" t="inlineStr">
        <is>
          <t xml:space="preserve">assets/characters/visitors/</t>
        </is>
      </c>
      <c r="H791" t="inlineStr">
        <is>
          <t xml:space="preserve">The visitor's own face in Office Hours (VisitorPresenter), reacting to whether your answer was right.</t>
        </is>
      </c>
      <c r="I791" t="inlineStr">
        <is>
          <t xml:space="preserve">1024 x 1536 px (2:3, full body head-to-feet, transparent background)</t>
        </is>
      </c>
      <c r="J791" t="inlineStr">
        <is>
          <t xml:space="preserve">No</t>
        </is>
      </c>
      <c r="K791" t="inlineStr">
        <is>
          <t xml:space="preserve">Shown after a correct answer.</t>
        </is>
      </c>
    </row>
    <row r="792" spans="1:11">
      <c r="A792" t="inlineStr">
        <is>
          <t xml:space="preserve">VI04</t>
        </is>
      </c>
      <c r="B792" t="inlineStr">
        <is>
          <t xml:space="preserve">Visitor</t>
        </is>
      </c>
      <c r="C792" t="inlineStr">
        <is>
          <t xml:space="preserve">Ryo Kawabata</t>
        </is>
      </c>
      <c r="D792" t="inlineStr">
        <is>
          <t xml:space="preserve">damaged</t>
        </is>
      </c>
      <c r="E792" t="inlineStr">
        <is>
          <t xml:space="preserve">VI04_damaged.png</t>
        </is>
      </c>
      <c r="F792" t="inlineStr">
        <is>
          <t xml:space="preserve">{VISITOR_ID}_{expression}.png</t>
        </is>
      </c>
      <c r="G792" t="inlineStr">
        <is>
          <t xml:space="preserve">assets/characters/visitors/</t>
        </is>
      </c>
      <c r="H792" t="inlineStr">
        <is>
          <t xml:space="preserve">The visitor's own face in Office Hours (VisitorPresenter), reacting to whether your answer was right.</t>
        </is>
      </c>
      <c r="I792" t="inlineStr">
        <is>
          <t xml:space="preserve">1024 x 1536 px (2:3, full body head-to-feet, transparent background)</t>
        </is>
      </c>
      <c r="J792" t="inlineStr">
        <is>
          <t xml:space="preserve">No</t>
        </is>
      </c>
      <c r="K792" t="inlineStr">
        <is>
          <t xml:space="preserve">Shown after a wrong answer.</t>
        </is>
      </c>
    </row>
    <row r="793" spans="1:11">
      <c r="A793" t="inlineStr">
        <is>
          <t xml:space="preserve">VI05</t>
        </is>
      </c>
      <c r="B793" t="inlineStr">
        <is>
          <t xml:space="preserve">Visitor</t>
        </is>
      </c>
      <c r="C793" t="inlineStr">
        <is>
          <t xml:space="preserve">Fumiko Sugawara</t>
        </is>
      </c>
      <c r="D793" t="inlineStr">
        <is>
          <t xml:space="preserve">neutral</t>
        </is>
      </c>
      <c r="E793" t="inlineStr">
        <is>
          <t xml:space="preserve">VI05_neutral.png</t>
        </is>
      </c>
      <c r="F793" t="inlineStr">
        <is>
          <t xml:space="preserve">{VISITOR_ID}_{expression}.png</t>
        </is>
      </c>
      <c r="G793" t="inlineStr">
        <is>
          <t xml:space="preserve">assets/characters/visitors/</t>
        </is>
      </c>
      <c r="H793" t="inlineStr">
        <is>
          <t xml:space="preserve">The visitor's own face in Office Hours (VisitorPresenter), reacting to whether your answer was right.</t>
        </is>
      </c>
      <c r="I793" t="inlineStr">
        <is>
          <t xml:space="preserve">1024 x 1536 px (2:3, full body head-to-feet, transparent background)</t>
        </is>
      </c>
      <c r="J793" t="inlineStr">
        <is>
          <t xml:space="preserve">No</t>
        </is>
      </c>
      <c r="K793" t="inlineStr">
        <is>
          <t xml:space="preserve">Shown while the visitor is waiting on an answer.</t>
        </is>
      </c>
    </row>
    <row r="794" spans="1:11">
      <c r="A794" t="inlineStr">
        <is>
          <t xml:space="preserve">VI05</t>
        </is>
      </c>
      <c r="B794" t="inlineStr">
        <is>
          <t xml:space="preserve">Visitor</t>
        </is>
      </c>
      <c r="C794" t="inlineStr">
        <is>
          <t xml:space="preserve">Fumiko Sugawara</t>
        </is>
      </c>
      <c r="D794" t="inlineStr">
        <is>
          <t xml:space="preserve">gaining</t>
        </is>
      </c>
      <c r="E794" t="inlineStr">
        <is>
          <t xml:space="preserve">VI05_gaining.png</t>
        </is>
      </c>
      <c r="F794" t="inlineStr">
        <is>
          <t xml:space="preserve">{VISITOR_ID}_{expression}.png</t>
        </is>
      </c>
      <c r="G794" t="inlineStr">
        <is>
          <t xml:space="preserve">assets/characters/visitors/</t>
        </is>
      </c>
      <c r="H794" t="inlineStr">
        <is>
          <t xml:space="preserve">The visitor's own face in Office Hours (VisitorPresenter), reacting to whether your answer was right.</t>
        </is>
      </c>
      <c r="I794" t="inlineStr">
        <is>
          <t xml:space="preserve">1024 x 1536 px (2:3, full body head-to-feet, transparent background)</t>
        </is>
      </c>
      <c r="J794" t="inlineStr">
        <is>
          <t xml:space="preserve">No</t>
        </is>
      </c>
      <c r="K794" t="inlineStr">
        <is>
          <t xml:space="preserve">Shown after a correct answer.</t>
        </is>
      </c>
    </row>
    <row r="795" spans="1:11">
      <c r="A795" t="inlineStr">
        <is>
          <t xml:space="preserve">VI05</t>
        </is>
      </c>
      <c r="B795" t="inlineStr">
        <is>
          <t xml:space="preserve">Visitor</t>
        </is>
      </c>
      <c r="C795" t="inlineStr">
        <is>
          <t xml:space="preserve">Fumiko Sugawara</t>
        </is>
      </c>
      <c r="D795" t="inlineStr">
        <is>
          <t xml:space="preserve">damaged</t>
        </is>
      </c>
      <c r="E795" t="inlineStr">
        <is>
          <t xml:space="preserve">VI05_damaged.png</t>
        </is>
      </c>
      <c r="F795" t="inlineStr">
        <is>
          <t xml:space="preserve">{VISITOR_ID}_{expression}.png</t>
        </is>
      </c>
      <c r="G795" t="inlineStr">
        <is>
          <t xml:space="preserve">assets/characters/visitors/</t>
        </is>
      </c>
      <c r="H795" t="inlineStr">
        <is>
          <t xml:space="preserve">The visitor's own face in Office Hours (VisitorPresenter), reacting to whether your answer was right.</t>
        </is>
      </c>
      <c r="I795" t="inlineStr">
        <is>
          <t xml:space="preserve">1024 x 1536 px (2:3, full body head-to-feet, transparent background)</t>
        </is>
      </c>
      <c r="J795" t="inlineStr">
        <is>
          <t xml:space="preserve">No</t>
        </is>
      </c>
      <c r="K795" t="inlineStr">
        <is>
          <t xml:space="preserve">Shown after a wrong answer.</t>
        </is>
      </c>
    </row>
    <row r="796" spans="1:11">
      <c r="A796" t="inlineStr">
        <is>
          <t xml:space="preserve">VI06</t>
        </is>
      </c>
      <c r="B796" t="inlineStr">
        <is>
          <t xml:space="preserve">Visitor</t>
        </is>
      </c>
      <c r="C796" t="inlineStr">
        <is>
          <t xml:space="preserve">Kaito Nishimura</t>
        </is>
      </c>
      <c r="D796" t="inlineStr">
        <is>
          <t xml:space="preserve">neutral</t>
        </is>
      </c>
      <c r="E796" t="inlineStr">
        <is>
          <t xml:space="preserve">VI06_neutral.png</t>
        </is>
      </c>
      <c r="F796" t="inlineStr">
        <is>
          <t xml:space="preserve">{VISITOR_ID}_{expression}.png</t>
        </is>
      </c>
      <c r="G796" t="inlineStr">
        <is>
          <t xml:space="preserve">assets/characters/visitors/</t>
        </is>
      </c>
      <c r="H796" t="inlineStr">
        <is>
          <t xml:space="preserve">The visitor's own face in Office Hours (VisitorPresenter), reacting to whether your answer was right.</t>
        </is>
      </c>
      <c r="I796" t="inlineStr">
        <is>
          <t xml:space="preserve">1024 x 1536 px (2:3, full body head-to-feet, transparent background)</t>
        </is>
      </c>
      <c r="J796" t="inlineStr">
        <is>
          <t xml:space="preserve">No</t>
        </is>
      </c>
      <c r="K796" t="inlineStr">
        <is>
          <t xml:space="preserve">Shown while the visitor is waiting on an answer.</t>
        </is>
      </c>
    </row>
    <row r="797" spans="1:11">
      <c r="A797" t="inlineStr">
        <is>
          <t xml:space="preserve">VI06</t>
        </is>
      </c>
      <c r="B797" t="inlineStr">
        <is>
          <t xml:space="preserve">Visitor</t>
        </is>
      </c>
      <c r="C797" t="inlineStr">
        <is>
          <t xml:space="preserve">Kaito Nishimura</t>
        </is>
      </c>
      <c r="D797" t="inlineStr">
        <is>
          <t xml:space="preserve">gaining</t>
        </is>
      </c>
      <c r="E797" t="inlineStr">
        <is>
          <t xml:space="preserve">VI06_gaining.png</t>
        </is>
      </c>
      <c r="F797" t="inlineStr">
        <is>
          <t xml:space="preserve">{VISITOR_ID}_{expression}.png</t>
        </is>
      </c>
      <c r="G797" t="inlineStr">
        <is>
          <t xml:space="preserve">assets/characters/visitors/</t>
        </is>
      </c>
      <c r="H797" t="inlineStr">
        <is>
          <t xml:space="preserve">The visitor's own face in Office Hours (VisitorPresenter), reacting to whether your answer was right.</t>
        </is>
      </c>
      <c r="I797" t="inlineStr">
        <is>
          <t xml:space="preserve">1024 x 1536 px (2:3, full body head-to-feet, transparent background)</t>
        </is>
      </c>
      <c r="J797" t="inlineStr">
        <is>
          <t xml:space="preserve">No</t>
        </is>
      </c>
      <c r="K797" t="inlineStr">
        <is>
          <t xml:space="preserve">Shown after a correct answer.</t>
        </is>
      </c>
    </row>
    <row r="798" spans="1:11">
      <c r="A798" t="inlineStr">
        <is>
          <t xml:space="preserve">VI06</t>
        </is>
      </c>
      <c r="B798" t="inlineStr">
        <is>
          <t xml:space="preserve">Visitor</t>
        </is>
      </c>
      <c r="C798" t="inlineStr">
        <is>
          <t xml:space="preserve">Kaito Nishimura</t>
        </is>
      </c>
      <c r="D798" t="inlineStr">
        <is>
          <t xml:space="preserve">damaged</t>
        </is>
      </c>
      <c r="E798" t="inlineStr">
        <is>
          <t xml:space="preserve">VI06_damaged.png</t>
        </is>
      </c>
      <c r="F798" t="inlineStr">
        <is>
          <t xml:space="preserve">{VISITOR_ID}_{expression}.png</t>
        </is>
      </c>
      <c r="G798" t="inlineStr">
        <is>
          <t xml:space="preserve">assets/characters/visitors/</t>
        </is>
      </c>
      <c r="H798" t="inlineStr">
        <is>
          <t xml:space="preserve">The visitor's own face in Office Hours (VisitorPresenter), reacting to whether your answer was right.</t>
        </is>
      </c>
      <c r="I798" t="inlineStr">
        <is>
          <t xml:space="preserve">1024 x 1536 px (2:3, full body head-to-feet, transparent background)</t>
        </is>
      </c>
      <c r="J798" t="inlineStr">
        <is>
          <t xml:space="preserve">No</t>
        </is>
      </c>
      <c r="K798" t="inlineStr">
        <is>
          <t xml:space="preserve">Shown after a wrong answer.</t>
        </is>
      </c>
    </row>
    <row r="799" spans="1:11">
      <c r="A799" t="inlineStr">
        <is>
          <t xml:space="preserve">VI07</t>
        </is>
      </c>
      <c r="B799" t="inlineStr">
        <is>
          <t xml:space="preserve">Visitor</t>
        </is>
      </c>
      <c r="C799" t="inlineStr">
        <is>
          <t xml:space="preserve">Yuri Hasegawa</t>
        </is>
      </c>
      <c r="D799" t="inlineStr">
        <is>
          <t xml:space="preserve">neutral</t>
        </is>
      </c>
      <c r="E799" t="inlineStr">
        <is>
          <t xml:space="preserve">VI07_neutral.png</t>
        </is>
      </c>
      <c r="F799" t="inlineStr">
        <is>
          <t xml:space="preserve">{VISITOR_ID}_{expression}.png</t>
        </is>
      </c>
      <c r="G799" t="inlineStr">
        <is>
          <t xml:space="preserve">assets/characters/visitors/</t>
        </is>
      </c>
      <c r="H799" t="inlineStr">
        <is>
          <t xml:space="preserve">The visitor's own face in Office Hours (VisitorPresenter), reacting to whether your answer was right.</t>
        </is>
      </c>
      <c r="I799" t="inlineStr">
        <is>
          <t xml:space="preserve">1024 x 1536 px (2:3, full body head-to-feet, transparent background)</t>
        </is>
      </c>
      <c r="J799" t="inlineStr">
        <is>
          <t xml:space="preserve">No</t>
        </is>
      </c>
      <c r="K799" t="inlineStr">
        <is>
          <t xml:space="preserve">Shown while the visitor is waiting on an answer.</t>
        </is>
      </c>
    </row>
    <row r="800" spans="1:11">
      <c r="A800" t="inlineStr">
        <is>
          <t xml:space="preserve">VI07</t>
        </is>
      </c>
      <c r="B800" t="inlineStr">
        <is>
          <t xml:space="preserve">Visitor</t>
        </is>
      </c>
      <c r="C800" t="inlineStr">
        <is>
          <t xml:space="preserve">Yuri Hasegawa</t>
        </is>
      </c>
      <c r="D800" t="inlineStr">
        <is>
          <t xml:space="preserve">gaining</t>
        </is>
      </c>
      <c r="E800" t="inlineStr">
        <is>
          <t xml:space="preserve">VI07_gaining.png</t>
        </is>
      </c>
      <c r="F800" t="inlineStr">
        <is>
          <t xml:space="preserve">{VISITOR_ID}_{expression}.png</t>
        </is>
      </c>
      <c r="G800" t="inlineStr">
        <is>
          <t xml:space="preserve">assets/characters/visitors/</t>
        </is>
      </c>
      <c r="H800" t="inlineStr">
        <is>
          <t xml:space="preserve">The visitor's own face in Office Hours (VisitorPresenter), reacting to whether your answer was right.</t>
        </is>
      </c>
      <c r="I800" t="inlineStr">
        <is>
          <t xml:space="preserve">1024 x 1536 px (2:3, full body head-to-feet, transparent background)</t>
        </is>
      </c>
      <c r="J800" t="inlineStr">
        <is>
          <t xml:space="preserve">No</t>
        </is>
      </c>
      <c r="K800" t="inlineStr">
        <is>
          <t xml:space="preserve">Shown after a correct answer.</t>
        </is>
      </c>
    </row>
    <row r="801" spans="1:11">
      <c r="A801" t="inlineStr">
        <is>
          <t xml:space="preserve">VI07</t>
        </is>
      </c>
      <c r="B801" t="inlineStr">
        <is>
          <t xml:space="preserve">Visitor</t>
        </is>
      </c>
      <c r="C801" t="inlineStr">
        <is>
          <t xml:space="preserve">Yuri Hasegawa</t>
        </is>
      </c>
      <c r="D801" t="inlineStr">
        <is>
          <t xml:space="preserve">damaged</t>
        </is>
      </c>
      <c r="E801" t="inlineStr">
        <is>
          <t xml:space="preserve">VI07_damaged.png</t>
        </is>
      </c>
      <c r="F801" t="inlineStr">
        <is>
          <t xml:space="preserve">{VISITOR_ID}_{expression}.png</t>
        </is>
      </c>
      <c r="G801" t="inlineStr">
        <is>
          <t xml:space="preserve">assets/characters/visitors/</t>
        </is>
      </c>
      <c r="H801" t="inlineStr">
        <is>
          <t xml:space="preserve">The visitor's own face in Office Hours (VisitorPresenter), reacting to whether your answer was right.</t>
        </is>
      </c>
      <c r="I801" t="inlineStr">
        <is>
          <t xml:space="preserve">1024 x 1536 px (2:3, full body head-to-feet, transparent background)</t>
        </is>
      </c>
      <c r="J801" t="inlineStr">
        <is>
          <t xml:space="preserve">No</t>
        </is>
      </c>
      <c r="K801" t="inlineStr">
        <is>
          <t xml:space="preserve">Shown after a wrong answer.</t>
        </is>
      </c>
    </row>
    <row r="802" spans="1:11">
      <c r="A802" t="inlineStr">
        <is>
          <t xml:space="preserve">VI08</t>
        </is>
      </c>
      <c r="B802" t="inlineStr">
        <is>
          <t xml:space="preserve">Visitor</t>
        </is>
      </c>
      <c r="C802" t="inlineStr">
        <is>
          <t xml:space="preserve">Daigo Ishikari</t>
        </is>
      </c>
      <c r="D802" t="inlineStr">
        <is>
          <t xml:space="preserve">neutral</t>
        </is>
      </c>
      <c r="E802" t="inlineStr">
        <is>
          <t xml:space="preserve">VI08_neutral.png</t>
        </is>
      </c>
      <c r="F802" t="inlineStr">
        <is>
          <t xml:space="preserve">{VISITOR_ID}_{expression}.png</t>
        </is>
      </c>
      <c r="G802" t="inlineStr">
        <is>
          <t xml:space="preserve">assets/characters/visitors/</t>
        </is>
      </c>
      <c r="H802" t="inlineStr">
        <is>
          <t xml:space="preserve">The visitor's own face in Office Hours (VisitorPresenter), reacting to whether your answer was right.</t>
        </is>
      </c>
      <c r="I802" t="inlineStr">
        <is>
          <t xml:space="preserve">1024 x 1536 px (2:3, full body head-to-feet, transparent background)</t>
        </is>
      </c>
      <c r="J802" t="inlineStr">
        <is>
          <t xml:space="preserve">No</t>
        </is>
      </c>
      <c r="K802" t="inlineStr">
        <is>
          <t xml:space="preserve">Shown while the visitor is waiting on an answer.</t>
        </is>
      </c>
    </row>
    <row r="803" spans="1:11">
      <c r="A803" t="inlineStr">
        <is>
          <t xml:space="preserve">VI08</t>
        </is>
      </c>
      <c r="B803" t="inlineStr">
        <is>
          <t xml:space="preserve">Visitor</t>
        </is>
      </c>
      <c r="C803" t="inlineStr">
        <is>
          <t xml:space="preserve">Daigo Ishikari</t>
        </is>
      </c>
      <c r="D803" t="inlineStr">
        <is>
          <t xml:space="preserve">gaining</t>
        </is>
      </c>
      <c r="E803" t="inlineStr">
        <is>
          <t xml:space="preserve">VI08_gaining.png</t>
        </is>
      </c>
      <c r="F803" t="inlineStr">
        <is>
          <t xml:space="preserve">{VISITOR_ID}_{expression}.png</t>
        </is>
      </c>
      <c r="G803" t="inlineStr">
        <is>
          <t xml:space="preserve">assets/characters/visitors/</t>
        </is>
      </c>
      <c r="H803" t="inlineStr">
        <is>
          <t xml:space="preserve">The visitor's own face in Office Hours (VisitorPresenter), reacting to whether your answer was right.</t>
        </is>
      </c>
      <c r="I803" t="inlineStr">
        <is>
          <t xml:space="preserve">1024 x 1536 px (2:3, full body head-to-feet, transparent background)</t>
        </is>
      </c>
      <c r="J803" t="inlineStr">
        <is>
          <t xml:space="preserve">No</t>
        </is>
      </c>
      <c r="K803" t="inlineStr">
        <is>
          <t xml:space="preserve">Shown after a correct answer.</t>
        </is>
      </c>
    </row>
    <row r="804" spans="1:11">
      <c r="A804" t="inlineStr">
        <is>
          <t xml:space="preserve">VI08</t>
        </is>
      </c>
      <c r="B804" t="inlineStr">
        <is>
          <t xml:space="preserve">Visitor</t>
        </is>
      </c>
      <c r="C804" t="inlineStr">
        <is>
          <t xml:space="preserve">Daigo Ishikari</t>
        </is>
      </c>
      <c r="D804" t="inlineStr">
        <is>
          <t xml:space="preserve">damaged</t>
        </is>
      </c>
      <c r="E804" t="inlineStr">
        <is>
          <t xml:space="preserve">VI08_damaged.png</t>
        </is>
      </c>
      <c r="F804" t="inlineStr">
        <is>
          <t xml:space="preserve">{VISITOR_ID}_{expression}.png</t>
        </is>
      </c>
      <c r="G804" t="inlineStr">
        <is>
          <t xml:space="preserve">assets/characters/visitors/</t>
        </is>
      </c>
      <c r="H804" t="inlineStr">
        <is>
          <t xml:space="preserve">The visitor's own face in Office Hours (VisitorPresenter), reacting to whether your answer was right.</t>
        </is>
      </c>
      <c r="I804" t="inlineStr">
        <is>
          <t xml:space="preserve">1024 x 1536 px (2:3, full body head-to-feet, transparent background)</t>
        </is>
      </c>
      <c r="J804" t="inlineStr">
        <is>
          <t xml:space="preserve">No</t>
        </is>
      </c>
      <c r="K804" t="inlineStr">
        <is>
          <t xml:space="preserve">Shown after a wrong answer.</t>
        </is>
      </c>
    </row>
    <row r="805" spans="1:11">
      <c r="A805" t="inlineStr">
        <is>
          <t xml:space="preserve">VI09</t>
        </is>
      </c>
      <c r="B805" t="inlineStr">
        <is>
          <t xml:space="preserve">Visitor</t>
        </is>
      </c>
      <c r="C805" t="inlineStr">
        <is>
          <t xml:space="preserve">Emi Takasugi</t>
        </is>
      </c>
      <c r="D805" t="inlineStr">
        <is>
          <t xml:space="preserve">neutral</t>
        </is>
      </c>
      <c r="E805" t="inlineStr">
        <is>
          <t xml:space="preserve">VI09_neutral.png</t>
        </is>
      </c>
      <c r="F805" t="inlineStr">
        <is>
          <t xml:space="preserve">{VISITOR_ID}_{expression}.png</t>
        </is>
      </c>
      <c r="G805" t="inlineStr">
        <is>
          <t xml:space="preserve">assets/characters/visitors/</t>
        </is>
      </c>
      <c r="H805" t="inlineStr">
        <is>
          <t xml:space="preserve">The visitor's own face in Office Hours (VisitorPresenter), reacting to whether your answer was right.</t>
        </is>
      </c>
      <c r="I805" t="inlineStr">
        <is>
          <t xml:space="preserve">1024 x 1536 px (2:3, full body head-to-feet, transparent background)</t>
        </is>
      </c>
      <c r="J805" t="inlineStr">
        <is>
          <t xml:space="preserve">No</t>
        </is>
      </c>
      <c r="K805" t="inlineStr">
        <is>
          <t xml:space="preserve">Shown while the visitor is waiting on an answer.</t>
        </is>
      </c>
    </row>
    <row r="806" spans="1:11">
      <c r="A806" t="inlineStr">
        <is>
          <t xml:space="preserve">VI09</t>
        </is>
      </c>
      <c r="B806" t="inlineStr">
        <is>
          <t xml:space="preserve">Visitor</t>
        </is>
      </c>
      <c r="C806" t="inlineStr">
        <is>
          <t xml:space="preserve">Emi Takasugi</t>
        </is>
      </c>
      <c r="D806" t="inlineStr">
        <is>
          <t xml:space="preserve">gaining</t>
        </is>
      </c>
      <c r="E806" t="inlineStr">
        <is>
          <t xml:space="preserve">VI09_gaining.png</t>
        </is>
      </c>
      <c r="F806" t="inlineStr">
        <is>
          <t xml:space="preserve">{VISITOR_ID}_{expression}.png</t>
        </is>
      </c>
      <c r="G806" t="inlineStr">
        <is>
          <t xml:space="preserve">assets/characters/visitors/</t>
        </is>
      </c>
      <c r="H806" t="inlineStr">
        <is>
          <t xml:space="preserve">The visitor's own face in Office Hours (VisitorPresenter), reacting to whether your answer was right.</t>
        </is>
      </c>
      <c r="I806" t="inlineStr">
        <is>
          <t xml:space="preserve">1024 x 1536 px (2:3, full body head-to-feet, transparent background)</t>
        </is>
      </c>
      <c r="J806" t="inlineStr">
        <is>
          <t xml:space="preserve">No</t>
        </is>
      </c>
      <c r="K806" t="inlineStr">
        <is>
          <t xml:space="preserve">Shown after a correct answer.</t>
        </is>
      </c>
    </row>
    <row r="807" spans="1:11">
      <c r="A807" t="inlineStr">
        <is>
          <t xml:space="preserve">VI09</t>
        </is>
      </c>
      <c r="B807" t="inlineStr">
        <is>
          <t xml:space="preserve">Visitor</t>
        </is>
      </c>
      <c r="C807" t="inlineStr">
        <is>
          <t xml:space="preserve">Emi Takasugi</t>
        </is>
      </c>
      <c r="D807" t="inlineStr">
        <is>
          <t xml:space="preserve">damaged</t>
        </is>
      </c>
      <c r="E807" t="inlineStr">
        <is>
          <t xml:space="preserve">VI09_damaged.png</t>
        </is>
      </c>
      <c r="F807" t="inlineStr">
        <is>
          <t xml:space="preserve">{VISITOR_ID}_{expression}.png</t>
        </is>
      </c>
      <c r="G807" t="inlineStr">
        <is>
          <t xml:space="preserve">assets/characters/visitors/</t>
        </is>
      </c>
      <c r="H807" t="inlineStr">
        <is>
          <t xml:space="preserve">The visitor's own face in Office Hours (VisitorPresenter), reacting to whether your answer was right.</t>
        </is>
      </c>
      <c r="I807" t="inlineStr">
        <is>
          <t xml:space="preserve">1024 x 1536 px (2:3, full body head-to-feet, transparent background)</t>
        </is>
      </c>
      <c r="J807" t="inlineStr">
        <is>
          <t xml:space="preserve">No</t>
        </is>
      </c>
      <c r="K807" t="inlineStr">
        <is>
          <t xml:space="preserve">Shown after a wrong answer.</t>
        </is>
      </c>
    </row>
    <row r="808" spans="1:11">
      <c r="A808" t="inlineStr">
        <is>
          <t xml:space="preserve">VI10</t>
        </is>
      </c>
      <c r="B808" t="inlineStr">
        <is>
          <t xml:space="preserve">Visitor</t>
        </is>
      </c>
      <c r="C808" t="inlineStr">
        <is>
          <t xml:space="preserve">Hiroshi Wada</t>
        </is>
      </c>
      <c r="D808" t="inlineStr">
        <is>
          <t xml:space="preserve">neutral</t>
        </is>
      </c>
      <c r="E808" t="inlineStr">
        <is>
          <t xml:space="preserve">VI10_neutral.png</t>
        </is>
      </c>
      <c r="F808" t="inlineStr">
        <is>
          <t xml:space="preserve">{VISITOR_ID}_{expression}.png</t>
        </is>
      </c>
      <c r="G808" t="inlineStr">
        <is>
          <t xml:space="preserve">assets/characters/visitors/</t>
        </is>
      </c>
      <c r="H808" t="inlineStr">
        <is>
          <t xml:space="preserve">The visitor's own face in Office Hours (VisitorPresenter), reacting to whether your answer was right.</t>
        </is>
      </c>
      <c r="I808" t="inlineStr">
        <is>
          <t xml:space="preserve">1024 x 1536 px (2:3, full body head-to-feet, transparent background)</t>
        </is>
      </c>
      <c r="J808" t="inlineStr">
        <is>
          <t xml:space="preserve">No</t>
        </is>
      </c>
      <c r="K808" t="inlineStr">
        <is>
          <t xml:space="preserve">Shown while the visitor is waiting on an answer.</t>
        </is>
      </c>
    </row>
    <row r="809" spans="1:11">
      <c r="A809" t="inlineStr">
        <is>
          <t xml:space="preserve">VI10</t>
        </is>
      </c>
      <c r="B809" t="inlineStr">
        <is>
          <t xml:space="preserve">Visitor</t>
        </is>
      </c>
      <c r="C809" t="inlineStr">
        <is>
          <t xml:space="preserve">Hiroshi Wada</t>
        </is>
      </c>
      <c r="D809" t="inlineStr">
        <is>
          <t xml:space="preserve">gaining</t>
        </is>
      </c>
      <c r="E809" t="inlineStr">
        <is>
          <t xml:space="preserve">VI10_gaining.png</t>
        </is>
      </c>
      <c r="F809" t="inlineStr">
        <is>
          <t xml:space="preserve">{VISITOR_ID}_{expression}.png</t>
        </is>
      </c>
      <c r="G809" t="inlineStr">
        <is>
          <t xml:space="preserve">assets/characters/visitors/</t>
        </is>
      </c>
      <c r="H809" t="inlineStr">
        <is>
          <t xml:space="preserve">The visitor's own face in Office Hours (VisitorPresenter), reacting to whether your answer was right.</t>
        </is>
      </c>
      <c r="I809" t="inlineStr">
        <is>
          <t xml:space="preserve">1024 x 1536 px (2:3, full body head-to-feet, transparent background)</t>
        </is>
      </c>
      <c r="J809" t="inlineStr">
        <is>
          <t xml:space="preserve">No</t>
        </is>
      </c>
      <c r="K809" t="inlineStr">
        <is>
          <t xml:space="preserve">Shown after a correct answer.</t>
        </is>
      </c>
    </row>
    <row r="810" spans="1:11">
      <c r="A810" t="inlineStr">
        <is>
          <t xml:space="preserve">VI10</t>
        </is>
      </c>
      <c r="B810" t="inlineStr">
        <is>
          <t xml:space="preserve">Visitor</t>
        </is>
      </c>
      <c r="C810" t="inlineStr">
        <is>
          <t xml:space="preserve">Hiroshi Wada</t>
        </is>
      </c>
      <c r="D810" t="inlineStr">
        <is>
          <t xml:space="preserve">damaged</t>
        </is>
      </c>
      <c r="E810" t="inlineStr">
        <is>
          <t xml:space="preserve">VI10_damaged.png</t>
        </is>
      </c>
      <c r="F810" t="inlineStr">
        <is>
          <t xml:space="preserve">{VISITOR_ID}_{expression}.png</t>
        </is>
      </c>
      <c r="G810" t="inlineStr">
        <is>
          <t xml:space="preserve">assets/characters/visitors/</t>
        </is>
      </c>
      <c r="H810" t="inlineStr">
        <is>
          <t xml:space="preserve">The visitor's own face in Office Hours (VisitorPresenter), reacting to whether your answer was right.</t>
        </is>
      </c>
      <c r="I810" t="inlineStr">
        <is>
          <t xml:space="preserve">1024 x 1536 px (2:3, full body head-to-feet, transparent background)</t>
        </is>
      </c>
      <c r="J810" t="inlineStr">
        <is>
          <t xml:space="preserve">No</t>
        </is>
      </c>
      <c r="K810" t="inlineStr">
        <is>
          <t xml:space="preserve">Shown after a wrong answer.</t>
        </is>
      </c>
    </row>
    <row r="811" spans="1:11">
      <c r="A811" t="inlineStr">
        <is>
          <t xml:space="preserve">VI11</t>
        </is>
      </c>
      <c r="B811" t="inlineStr">
        <is>
          <t xml:space="preserve">Visitor</t>
        </is>
      </c>
      <c r="C811" t="inlineStr">
        <is>
          <t xml:space="preserve">Leo Aoyama</t>
        </is>
      </c>
      <c r="D811" t="inlineStr">
        <is>
          <t xml:space="preserve">neutral</t>
        </is>
      </c>
      <c r="E811" t="inlineStr">
        <is>
          <t xml:space="preserve">VI11_neutral.png</t>
        </is>
      </c>
      <c r="F811" t="inlineStr">
        <is>
          <t xml:space="preserve">{VISITOR_ID}_{expression}.png</t>
        </is>
      </c>
      <c r="G811" t="inlineStr">
        <is>
          <t xml:space="preserve">assets/characters/visitors/</t>
        </is>
      </c>
      <c r="H811" t="inlineStr">
        <is>
          <t xml:space="preserve">The visitor's own face in Office Hours (VisitorPresenter), reacting to whether your answer was right.</t>
        </is>
      </c>
      <c r="I811" t="inlineStr">
        <is>
          <t xml:space="preserve">1024 x 1536 px (2:3, full body head-to-feet, transparent background)</t>
        </is>
      </c>
      <c r="J811" t="inlineStr">
        <is>
          <t xml:space="preserve">No</t>
        </is>
      </c>
      <c r="K811" t="inlineStr">
        <is>
          <t xml:space="preserve">Shown while the visitor is waiting on an answer.</t>
        </is>
      </c>
    </row>
    <row r="812" spans="1:11">
      <c r="A812" t="inlineStr">
        <is>
          <t xml:space="preserve">VI11</t>
        </is>
      </c>
      <c r="B812" t="inlineStr">
        <is>
          <t xml:space="preserve">Visitor</t>
        </is>
      </c>
      <c r="C812" t="inlineStr">
        <is>
          <t xml:space="preserve">Leo Aoyama</t>
        </is>
      </c>
      <c r="D812" t="inlineStr">
        <is>
          <t xml:space="preserve">gaining</t>
        </is>
      </c>
      <c r="E812" t="inlineStr">
        <is>
          <t xml:space="preserve">VI11_gaining.png</t>
        </is>
      </c>
      <c r="F812" t="inlineStr">
        <is>
          <t xml:space="preserve">{VISITOR_ID}_{expression}.png</t>
        </is>
      </c>
      <c r="G812" t="inlineStr">
        <is>
          <t xml:space="preserve">assets/characters/visitors/</t>
        </is>
      </c>
      <c r="H812" t="inlineStr">
        <is>
          <t xml:space="preserve">The visitor's own face in Office Hours (VisitorPresenter), reacting to whether your answer was right.</t>
        </is>
      </c>
      <c r="I812" t="inlineStr">
        <is>
          <t xml:space="preserve">1024 x 1536 px (2:3, full body head-to-feet, transparent background)</t>
        </is>
      </c>
      <c r="J812" t="inlineStr">
        <is>
          <t xml:space="preserve">No</t>
        </is>
      </c>
      <c r="K812" t="inlineStr">
        <is>
          <t xml:space="preserve">Shown after a correct answer.</t>
        </is>
      </c>
    </row>
    <row r="813" spans="1:11">
      <c r="A813" t="inlineStr">
        <is>
          <t xml:space="preserve">VI11</t>
        </is>
      </c>
      <c r="B813" t="inlineStr">
        <is>
          <t xml:space="preserve">Visitor</t>
        </is>
      </c>
      <c r="C813" t="inlineStr">
        <is>
          <t xml:space="preserve">Leo Aoyama</t>
        </is>
      </c>
      <c r="D813" t="inlineStr">
        <is>
          <t xml:space="preserve">damaged</t>
        </is>
      </c>
      <c r="E813" t="inlineStr">
        <is>
          <t xml:space="preserve">VI11_damaged.png</t>
        </is>
      </c>
      <c r="F813" t="inlineStr">
        <is>
          <t xml:space="preserve">{VISITOR_ID}_{expression}.png</t>
        </is>
      </c>
      <c r="G813" t="inlineStr">
        <is>
          <t xml:space="preserve">assets/characters/visitors/</t>
        </is>
      </c>
      <c r="H813" t="inlineStr">
        <is>
          <t xml:space="preserve">The visitor's own face in Office Hours (VisitorPresenter), reacting to whether your answer was right.</t>
        </is>
      </c>
      <c r="I813" t="inlineStr">
        <is>
          <t xml:space="preserve">1024 x 1536 px (2:3, full body head-to-feet, transparent background)</t>
        </is>
      </c>
      <c r="J813" t="inlineStr">
        <is>
          <t xml:space="preserve">No</t>
        </is>
      </c>
      <c r="K813" t="inlineStr">
        <is>
          <t xml:space="preserve">Shown after a wrong answer.</t>
        </is>
      </c>
    </row>
    <row r="814" spans="1:11">
      <c r="A814" t="inlineStr">
        <is>
          <t xml:space="preserve">VI12</t>
        </is>
      </c>
      <c r="B814" t="inlineStr">
        <is>
          <t xml:space="preserve">Visitor</t>
        </is>
      </c>
      <c r="C814" t="inlineStr">
        <is>
          <t xml:space="preserve">Kiyoshi Murata</t>
        </is>
      </c>
      <c r="D814" t="inlineStr">
        <is>
          <t xml:space="preserve">neutral</t>
        </is>
      </c>
      <c r="E814" t="inlineStr">
        <is>
          <t xml:space="preserve">VI12_neutral.png</t>
        </is>
      </c>
      <c r="F814" t="inlineStr">
        <is>
          <t xml:space="preserve">{VISITOR_ID}_{expression}.png</t>
        </is>
      </c>
      <c r="G814" t="inlineStr">
        <is>
          <t xml:space="preserve">assets/characters/visitors/</t>
        </is>
      </c>
      <c r="H814" t="inlineStr">
        <is>
          <t xml:space="preserve">The visitor's own face in Office Hours (VisitorPresenter), reacting to whether your answer was right.</t>
        </is>
      </c>
      <c r="I814" t="inlineStr">
        <is>
          <t xml:space="preserve">1024 x 1536 px (2:3, full body head-to-feet, transparent background)</t>
        </is>
      </c>
      <c r="J814" t="inlineStr">
        <is>
          <t xml:space="preserve">No</t>
        </is>
      </c>
      <c r="K814" t="inlineStr">
        <is>
          <t xml:space="preserve">Shown while the visitor is waiting on an answer.</t>
        </is>
      </c>
    </row>
    <row r="815" spans="1:11">
      <c r="A815" t="inlineStr">
        <is>
          <t xml:space="preserve">VI12</t>
        </is>
      </c>
      <c r="B815" t="inlineStr">
        <is>
          <t xml:space="preserve">Visitor</t>
        </is>
      </c>
      <c r="C815" t="inlineStr">
        <is>
          <t xml:space="preserve">Kiyoshi Murata</t>
        </is>
      </c>
      <c r="D815" t="inlineStr">
        <is>
          <t xml:space="preserve">gaining</t>
        </is>
      </c>
      <c r="E815" t="inlineStr">
        <is>
          <t xml:space="preserve">VI12_gaining.png</t>
        </is>
      </c>
      <c r="F815" t="inlineStr">
        <is>
          <t xml:space="preserve">{VISITOR_ID}_{expression}.png</t>
        </is>
      </c>
      <c r="G815" t="inlineStr">
        <is>
          <t xml:space="preserve">assets/characters/visitors/</t>
        </is>
      </c>
      <c r="H815" t="inlineStr">
        <is>
          <t xml:space="preserve">The visitor's own face in Office Hours (VisitorPresenter), reacting to whether your answer was right.</t>
        </is>
      </c>
      <c r="I815" t="inlineStr">
        <is>
          <t xml:space="preserve">1024 x 1536 px (2:3, full body head-to-feet, transparent background)</t>
        </is>
      </c>
      <c r="J815" t="inlineStr">
        <is>
          <t xml:space="preserve">No</t>
        </is>
      </c>
      <c r="K815" t="inlineStr">
        <is>
          <t xml:space="preserve">Shown after a correct answer.</t>
        </is>
      </c>
    </row>
    <row r="816" spans="1:11">
      <c r="A816" t="inlineStr">
        <is>
          <t xml:space="preserve">VI12</t>
        </is>
      </c>
      <c r="B816" t="inlineStr">
        <is>
          <t xml:space="preserve">Visitor</t>
        </is>
      </c>
      <c r="C816" t="inlineStr">
        <is>
          <t xml:space="preserve">Kiyoshi Murata</t>
        </is>
      </c>
      <c r="D816" t="inlineStr">
        <is>
          <t xml:space="preserve">damaged</t>
        </is>
      </c>
      <c r="E816" t="inlineStr">
        <is>
          <t xml:space="preserve">VI12_damaged.png</t>
        </is>
      </c>
      <c r="F816" t="inlineStr">
        <is>
          <t xml:space="preserve">{VISITOR_ID}_{expression}.png</t>
        </is>
      </c>
      <c r="G816" t="inlineStr">
        <is>
          <t xml:space="preserve">assets/characters/visitors/</t>
        </is>
      </c>
      <c r="H816" t="inlineStr">
        <is>
          <t xml:space="preserve">The visitor's own face in Office Hours (VisitorPresenter), reacting to whether your answer was right.</t>
        </is>
      </c>
      <c r="I816" t="inlineStr">
        <is>
          <t xml:space="preserve">1024 x 1536 px (2:3, full body head-to-feet, transparent background)</t>
        </is>
      </c>
      <c r="J816" t="inlineStr">
        <is>
          <t xml:space="preserve">No</t>
        </is>
      </c>
      <c r="K816" t="inlineStr">
        <is>
          <t xml:space="preserve">Shown after a wrong answer.</t>
        </is>
      </c>
    </row>
    <row r="817" spans="1:11">
      <c r="A817" t="inlineStr">
        <is>
          <t xml:space="preserve">VI13</t>
        </is>
      </c>
      <c r="B817" t="inlineStr">
        <is>
          <t xml:space="preserve">Visitor</t>
        </is>
      </c>
      <c r="C817" t="inlineStr">
        <is>
          <t xml:space="preserve">Tomoko Ide</t>
        </is>
      </c>
      <c r="D817" t="inlineStr">
        <is>
          <t xml:space="preserve">neutral</t>
        </is>
      </c>
      <c r="E817" t="inlineStr">
        <is>
          <t xml:space="preserve">VI13_neutral.png</t>
        </is>
      </c>
      <c r="F817" t="inlineStr">
        <is>
          <t xml:space="preserve">{VISITOR_ID}_{expression}.png</t>
        </is>
      </c>
      <c r="G817" t="inlineStr">
        <is>
          <t xml:space="preserve">assets/characters/visitors/</t>
        </is>
      </c>
      <c r="H817" t="inlineStr">
        <is>
          <t xml:space="preserve">The visitor's own face in Office Hours (VisitorPresenter), reacting to whether your answer was right.</t>
        </is>
      </c>
      <c r="I817" t="inlineStr">
        <is>
          <t xml:space="preserve">1024 x 1536 px (2:3, full body head-to-feet, transparent background)</t>
        </is>
      </c>
      <c r="J817" t="inlineStr">
        <is>
          <t xml:space="preserve">No</t>
        </is>
      </c>
      <c r="K817" t="inlineStr">
        <is>
          <t xml:space="preserve">Shown while the visitor is waiting on an answer.</t>
        </is>
      </c>
    </row>
    <row r="818" spans="1:11">
      <c r="A818" t="inlineStr">
        <is>
          <t xml:space="preserve">VI13</t>
        </is>
      </c>
      <c r="B818" t="inlineStr">
        <is>
          <t xml:space="preserve">Visitor</t>
        </is>
      </c>
      <c r="C818" t="inlineStr">
        <is>
          <t xml:space="preserve">Tomoko Ide</t>
        </is>
      </c>
      <c r="D818" t="inlineStr">
        <is>
          <t xml:space="preserve">gaining</t>
        </is>
      </c>
      <c r="E818" t="inlineStr">
        <is>
          <t xml:space="preserve">VI13_gaining.png</t>
        </is>
      </c>
      <c r="F818" t="inlineStr">
        <is>
          <t xml:space="preserve">{VISITOR_ID}_{expression}.png</t>
        </is>
      </c>
      <c r="G818" t="inlineStr">
        <is>
          <t xml:space="preserve">assets/characters/visitors/</t>
        </is>
      </c>
      <c r="H818" t="inlineStr">
        <is>
          <t xml:space="preserve">The visitor's own face in Office Hours (VisitorPresenter), reacting to whether your answer was right.</t>
        </is>
      </c>
      <c r="I818" t="inlineStr">
        <is>
          <t xml:space="preserve">1024 x 1536 px (2:3, full body head-to-feet, transparent background)</t>
        </is>
      </c>
      <c r="J818" t="inlineStr">
        <is>
          <t xml:space="preserve">No</t>
        </is>
      </c>
      <c r="K818" t="inlineStr">
        <is>
          <t xml:space="preserve">Shown after a correct answer.</t>
        </is>
      </c>
    </row>
    <row r="819" spans="1:11">
      <c r="A819" t="inlineStr">
        <is>
          <t xml:space="preserve">VI13</t>
        </is>
      </c>
      <c r="B819" t="inlineStr">
        <is>
          <t xml:space="preserve">Visitor</t>
        </is>
      </c>
      <c r="C819" t="inlineStr">
        <is>
          <t xml:space="preserve">Tomoko Ide</t>
        </is>
      </c>
      <c r="D819" t="inlineStr">
        <is>
          <t xml:space="preserve">damaged</t>
        </is>
      </c>
      <c r="E819" t="inlineStr">
        <is>
          <t xml:space="preserve">VI13_damaged.png</t>
        </is>
      </c>
      <c r="F819" t="inlineStr">
        <is>
          <t xml:space="preserve">{VISITOR_ID}_{expression}.png</t>
        </is>
      </c>
      <c r="G819" t="inlineStr">
        <is>
          <t xml:space="preserve">assets/characters/visitors/</t>
        </is>
      </c>
      <c r="H819" t="inlineStr">
        <is>
          <t xml:space="preserve">The visitor's own face in Office Hours (VisitorPresenter), reacting to whether your answer was right.</t>
        </is>
      </c>
      <c r="I819" t="inlineStr">
        <is>
          <t xml:space="preserve">1024 x 1536 px (2:3, full body head-to-feet, transparent background)</t>
        </is>
      </c>
      <c r="J819" t="inlineStr">
        <is>
          <t xml:space="preserve">No</t>
        </is>
      </c>
      <c r="K819" t="inlineStr">
        <is>
          <t xml:space="preserve">Shown after a wrong answer.</t>
        </is>
      </c>
    </row>
    <row r="820" spans="1:11">
      <c r="A820" t="inlineStr">
        <is>
          <t xml:space="preserve">VI14</t>
        </is>
      </c>
      <c r="B820" t="inlineStr">
        <is>
          <t xml:space="preserve">Visitor</t>
        </is>
      </c>
      <c r="C820" t="inlineStr">
        <is>
          <t xml:space="preserve">Shuhei Sakurai</t>
        </is>
      </c>
      <c r="D820" t="inlineStr">
        <is>
          <t xml:space="preserve">neutral</t>
        </is>
      </c>
      <c r="E820" t="inlineStr">
        <is>
          <t xml:space="preserve">VI14_neutral.png</t>
        </is>
      </c>
      <c r="F820" t="inlineStr">
        <is>
          <t xml:space="preserve">{VISITOR_ID}_{expression}.png</t>
        </is>
      </c>
      <c r="G820" t="inlineStr">
        <is>
          <t xml:space="preserve">assets/characters/visitors/</t>
        </is>
      </c>
      <c r="H820" t="inlineStr">
        <is>
          <t xml:space="preserve">The visitor's own face in Office Hours (VisitorPresenter), reacting to whether your answer was right.</t>
        </is>
      </c>
      <c r="I820" t="inlineStr">
        <is>
          <t xml:space="preserve">1024 x 1536 px (2:3, full body head-to-feet, transparent background)</t>
        </is>
      </c>
      <c r="J820" t="inlineStr">
        <is>
          <t xml:space="preserve">No</t>
        </is>
      </c>
      <c r="K820" t="inlineStr">
        <is>
          <t xml:space="preserve">Shown while the visitor is waiting on an answer.</t>
        </is>
      </c>
    </row>
    <row r="821" spans="1:11">
      <c r="A821" t="inlineStr">
        <is>
          <t xml:space="preserve">VI14</t>
        </is>
      </c>
      <c r="B821" t="inlineStr">
        <is>
          <t xml:space="preserve">Visitor</t>
        </is>
      </c>
      <c r="C821" t="inlineStr">
        <is>
          <t xml:space="preserve">Shuhei Sakurai</t>
        </is>
      </c>
      <c r="D821" t="inlineStr">
        <is>
          <t xml:space="preserve">gaining</t>
        </is>
      </c>
      <c r="E821" t="inlineStr">
        <is>
          <t xml:space="preserve">VI14_gaining.png</t>
        </is>
      </c>
      <c r="F821" t="inlineStr">
        <is>
          <t xml:space="preserve">{VISITOR_ID}_{expression}.png</t>
        </is>
      </c>
      <c r="G821" t="inlineStr">
        <is>
          <t xml:space="preserve">assets/characters/visitors/</t>
        </is>
      </c>
      <c r="H821" t="inlineStr">
        <is>
          <t xml:space="preserve">The visitor's own face in Office Hours (VisitorPresenter), reacting to whether your answer was right.</t>
        </is>
      </c>
      <c r="I821" t="inlineStr">
        <is>
          <t xml:space="preserve">1024 x 1536 px (2:3, full body head-to-feet, transparent background)</t>
        </is>
      </c>
      <c r="J821" t="inlineStr">
        <is>
          <t xml:space="preserve">No</t>
        </is>
      </c>
      <c r="K821" t="inlineStr">
        <is>
          <t xml:space="preserve">Shown after a correct answer.</t>
        </is>
      </c>
    </row>
    <row r="822" spans="1:11">
      <c r="A822" t="inlineStr">
        <is>
          <t xml:space="preserve">VI14</t>
        </is>
      </c>
      <c r="B822" t="inlineStr">
        <is>
          <t xml:space="preserve">Visitor</t>
        </is>
      </c>
      <c r="C822" t="inlineStr">
        <is>
          <t xml:space="preserve">Shuhei Sakurai</t>
        </is>
      </c>
      <c r="D822" t="inlineStr">
        <is>
          <t xml:space="preserve">damaged</t>
        </is>
      </c>
      <c r="E822" t="inlineStr">
        <is>
          <t xml:space="preserve">VI14_damaged.png</t>
        </is>
      </c>
      <c r="F822" t="inlineStr">
        <is>
          <t xml:space="preserve">{VISITOR_ID}_{expression}.png</t>
        </is>
      </c>
      <c r="G822" t="inlineStr">
        <is>
          <t xml:space="preserve">assets/characters/visitors/</t>
        </is>
      </c>
      <c r="H822" t="inlineStr">
        <is>
          <t xml:space="preserve">The visitor's own face in Office Hours (VisitorPresenter), reacting to whether your answer was right.</t>
        </is>
      </c>
      <c r="I822" t="inlineStr">
        <is>
          <t xml:space="preserve">1024 x 1536 px (2:3, full body head-to-feet, transparent background)</t>
        </is>
      </c>
      <c r="J822" t="inlineStr">
        <is>
          <t xml:space="preserve">No</t>
        </is>
      </c>
      <c r="K822" t="inlineStr">
        <is>
          <t xml:space="preserve">Shown after a wrong answer.</t>
        </is>
      </c>
    </row>
    <row r="823" spans="1:11">
      <c r="A823" t="inlineStr">
        <is>
          <t xml:space="preserve">VI15</t>
        </is>
      </c>
      <c r="B823" t="inlineStr">
        <is>
          <t xml:space="preserve">Visitor</t>
        </is>
      </c>
      <c r="C823" t="inlineStr">
        <is>
          <t xml:space="preserve">Shinji Ogawa</t>
        </is>
      </c>
      <c r="D823" t="inlineStr">
        <is>
          <t xml:space="preserve">neutral</t>
        </is>
      </c>
      <c r="E823" t="inlineStr">
        <is>
          <t xml:space="preserve">VI15_neutral.png</t>
        </is>
      </c>
      <c r="F823" t="inlineStr">
        <is>
          <t xml:space="preserve">{VISITOR_ID}_{expression}.png</t>
        </is>
      </c>
      <c r="G823" t="inlineStr">
        <is>
          <t xml:space="preserve">assets/characters/visitors/</t>
        </is>
      </c>
      <c r="H823" t="inlineStr">
        <is>
          <t xml:space="preserve">The visitor's own face in Office Hours (VisitorPresenter), reacting to whether your answer was right.</t>
        </is>
      </c>
      <c r="I823" t="inlineStr">
        <is>
          <t xml:space="preserve">1024 x 1536 px (2:3, full body head-to-feet, transparent background)</t>
        </is>
      </c>
      <c r="J823" t="inlineStr">
        <is>
          <t xml:space="preserve">No</t>
        </is>
      </c>
      <c r="K823" t="inlineStr">
        <is>
          <t xml:space="preserve">Shown while the visitor is waiting on an answer.</t>
        </is>
      </c>
    </row>
    <row r="824" spans="1:11">
      <c r="A824" t="inlineStr">
        <is>
          <t xml:space="preserve">VI15</t>
        </is>
      </c>
      <c r="B824" t="inlineStr">
        <is>
          <t xml:space="preserve">Visitor</t>
        </is>
      </c>
      <c r="C824" t="inlineStr">
        <is>
          <t xml:space="preserve">Shinji Ogawa</t>
        </is>
      </c>
      <c r="D824" t="inlineStr">
        <is>
          <t xml:space="preserve">gaining</t>
        </is>
      </c>
      <c r="E824" t="inlineStr">
        <is>
          <t xml:space="preserve">VI15_gaining.png</t>
        </is>
      </c>
      <c r="F824" t="inlineStr">
        <is>
          <t xml:space="preserve">{VISITOR_ID}_{expression}.png</t>
        </is>
      </c>
      <c r="G824" t="inlineStr">
        <is>
          <t xml:space="preserve">assets/characters/visitors/</t>
        </is>
      </c>
      <c r="H824" t="inlineStr">
        <is>
          <t xml:space="preserve">The visitor's own face in Office Hours (VisitorPresenter), reacting to whether your answer was right.</t>
        </is>
      </c>
      <c r="I824" t="inlineStr">
        <is>
          <t xml:space="preserve">1024 x 1536 px (2:3, full body head-to-feet, transparent background)</t>
        </is>
      </c>
      <c r="J824" t="inlineStr">
        <is>
          <t xml:space="preserve">No</t>
        </is>
      </c>
      <c r="K824" t="inlineStr">
        <is>
          <t xml:space="preserve">Shown after a correct answer.</t>
        </is>
      </c>
    </row>
    <row r="825" spans="1:11">
      <c r="A825" t="inlineStr">
        <is>
          <t xml:space="preserve">VI15</t>
        </is>
      </c>
      <c r="B825" t="inlineStr">
        <is>
          <t xml:space="preserve">Visitor</t>
        </is>
      </c>
      <c r="C825" t="inlineStr">
        <is>
          <t xml:space="preserve">Shinji Ogawa</t>
        </is>
      </c>
      <c r="D825" t="inlineStr">
        <is>
          <t xml:space="preserve">damaged</t>
        </is>
      </c>
      <c r="E825" t="inlineStr">
        <is>
          <t xml:space="preserve">VI15_damaged.png</t>
        </is>
      </c>
      <c r="F825" t="inlineStr">
        <is>
          <t xml:space="preserve">{VISITOR_ID}_{expression}.png</t>
        </is>
      </c>
      <c r="G825" t="inlineStr">
        <is>
          <t xml:space="preserve">assets/characters/visitors/</t>
        </is>
      </c>
      <c r="H825" t="inlineStr">
        <is>
          <t xml:space="preserve">The visitor's own face in Office Hours (VisitorPresenter), reacting to whether your answer was right.</t>
        </is>
      </c>
      <c r="I825" t="inlineStr">
        <is>
          <t xml:space="preserve">1024 x 1536 px (2:3, full body head-to-feet, transparent background)</t>
        </is>
      </c>
      <c r="J825" t="inlineStr">
        <is>
          <t xml:space="preserve">No</t>
        </is>
      </c>
      <c r="K825" t="inlineStr">
        <is>
          <t xml:space="preserve">Shown after a wrong answer.</t>
        </is>
      </c>
    </row>
    <row r="826" spans="1:11">
      <c r="A826" t="inlineStr">
        <is>
          <t xml:space="preserve">VI16</t>
        </is>
      </c>
      <c r="B826" t="inlineStr">
        <is>
          <t xml:space="preserve">Visitor</t>
        </is>
      </c>
      <c r="C826" t="inlineStr">
        <is>
          <t xml:space="preserve">Yuki Kirishima</t>
        </is>
      </c>
      <c r="D826" t="inlineStr">
        <is>
          <t xml:space="preserve">neutral</t>
        </is>
      </c>
      <c r="E826" t="inlineStr">
        <is>
          <t xml:space="preserve">VI16_neutral.png</t>
        </is>
      </c>
      <c r="F826" t="inlineStr">
        <is>
          <t xml:space="preserve">{VISITOR_ID}_{expression}.png</t>
        </is>
      </c>
      <c r="G826" t="inlineStr">
        <is>
          <t xml:space="preserve">assets/characters/visitors/</t>
        </is>
      </c>
      <c r="H826" t="inlineStr">
        <is>
          <t xml:space="preserve">The visitor's own face in Office Hours (VisitorPresenter), reacting to whether your answer was right.</t>
        </is>
      </c>
      <c r="I826" t="inlineStr">
        <is>
          <t xml:space="preserve">1024 x 1536 px (2:3, full body head-to-feet, transparent background)</t>
        </is>
      </c>
      <c r="J826" t="inlineStr">
        <is>
          <t xml:space="preserve">No</t>
        </is>
      </c>
      <c r="K826" t="inlineStr">
        <is>
          <t xml:space="preserve">Shown while the visitor is waiting on an answer.</t>
        </is>
      </c>
    </row>
    <row r="827" spans="1:11">
      <c r="A827" t="inlineStr">
        <is>
          <t xml:space="preserve">VI16</t>
        </is>
      </c>
      <c r="B827" t="inlineStr">
        <is>
          <t xml:space="preserve">Visitor</t>
        </is>
      </c>
      <c r="C827" t="inlineStr">
        <is>
          <t xml:space="preserve">Yuki Kirishima</t>
        </is>
      </c>
      <c r="D827" t="inlineStr">
        <is>
          <t xml:space="preserve">gaining</t>
        </is>
      </c>
      <c r="E827" t="inlineStr">
        <is>
          <t xml:space="preserve">VI16_gaining.png</t>
        </is>
      </c>
      <c r="F827" t="inlineStr">
        <is>
          <t xml:space="preserve">{VISITOR_ID}_{expression}.png</t>
        </is>
      </c>
      <c r="G827" t="inlineStr">
        <is>
          <t xml:space="preserve">assets/characters/visitors/</t>
        </is>
      </c>
      <c r="H827" t="inlineStr">
        <is>
          <t xml:space="preserve">The visitor's own face in Office Hours (VisitorPresenter), reacting to whether your answer was right.</t>
        </is>
      </c>
      <c r="I827" t="inlineStr">
        <is>
          <t xml:space="preserve">1024 x 1536 px (2:3, full body head-to-feet, transparent background)</t>
        </is>
      </c>
      <c r="J827" t="inlineStr">
        <is>
          <t xml:space="preserve">No</t>
        </is>
      </c>
      <c r="K827" t="inlineStr">
        <is>
          <t xml:space="preserve">Shown after a correct answer.</t>
        </is>
      </c>
    </row>
    <row r="828" spans="1:11">
      <c r="A828" t="inlineStr">
        <is>
          <t xml:space="preserve">VI16</t>
        </is>
      </c>
      <c r="B828" t="inlineStr">
        <is>
          <t xml:space="preserve">Visitor</t>
        </is>
      </c>
      <c r="C828" t="inlineStr">
        <is>
          <t xml:space="preserve">Yuki Kirishima</t>
        </is>
      </c>
      <c r="D828" t="inlineStr">
        <is>
          <t xml:space="preserve">damaged</t>
        </is>
      </c>
      <c r="E828" t="inlineStr">
        <is>
          <t xml:space="preserve">VI16_damaged.png</t>
        </is>
      </c>
      <c r="F828" t="inlineStr">
        <is>
          <t xml:space="preserve">{VISITOR_ID}_{expression}.png</t>
        </is>
      </c>
      <c r="G828" t="inlineStr">
        <is>
          <t xml:space="preserve">assets/characters/visitors/</t>
        </is>
      </c>
      <c r="H828" t="inlineStr">
        <is>
          <t xml:space="preserve">The visitor's own face in Office Hours (VisitorPresenter), reacting to whether your answer was right.</t>
        </is>
      </c>
      <c r="I828" t="inlineStr">
        <is>
          <t xml:space="preserve">1024 x 1536 px (2:3, full body head-to-feet, transparent background)</t>
        </is>
      </c>
      <c r="J828" t="inlineStr">
        <is>
          <t xml:space="preserve">No</t>
        </is>
      </c>
      <c r="K828" t="inlineStr">
        <is>
          <t xml:space="preserve">Shown after a wrong answer.</t>
        </is>
      </c>
    </row>
    <row r="829" spans="1:11">
      <c r="A829" t="inlineStr">
        <is>
          <t xml:space="preserve">VI17</t>
        </is>
      </c>
      <c r="B829" t="inlineStr">
        <is>
          <t xml:space="preserve">Visitor</t>
        </is>
      </c>
      <c r="C829" t="inlineStr">
        <is>
          <t xml:space="preserve">Haruto Ebina</t>
        </is>
      </c>
      <c r="D829" t="inlineStr">
        <is>
          <t xml:space="preserve">neutral</t>
        </is>
      </c>
      <c r="E829" t="inlineStr">
        <is>
          <t xml:space="preserve">VI17_neutral.png</t>
        </is>
      </c>
      <c r="F829" t="inlineStr">
        <is>
          <t xml:space="preserve">{VISITOR_ID}_{expression}.png</t>
        </is>
      </c>
      <c r="G829" t="inlineStr">
        <is>
          <t xml:space="preserve">assets/characters/visitors/</t>
        </is>
      </c>
      <c r="H829" t="inlineStr">
        <is>
          <t xml:space="preserve">The visitor's own face in Office Hours (VisitorPresenter), reacting to whether your answer was right.</t>
        </is>
      </c>
      <c r="I829" t="inlineStr">
        <is>
          <t xml:space="preserve">1024 x 1536 px (2:3, full body head-to-feet, transparent background)</t>
        </is>
      </c>
      <c r="J829" t="inlineStr">
        <is>
          <t xml:space="preserve">No</t>
        </is>
      </c>
      <c r="K829" t="inlineStr">
        <is>
          <t xml:space="preserve">Shown while the visitor is waiting on an answer.</t>
        </is>
      </c>
    </row>
    <row r="830" spans="1:11">
      <c r="A830" t="inlineStr">
        <is>
          <t xml:space="preserve">VI17</t>
        </is>
      </c>
      <c r="B830" t="inlineStr">
        <is>
          <t xml:space="preserve">Visitor</t>
        </is>
      </c>
      <c r="C830" t="inlineStr">
        <is>
          <t xml:space="preserve">Haruto Ebina</t>
        </is>
      </c>
      <c r="D830" t="inlineStr">
        <is>
          <t xml:space="preserve">gaining</t>
        </is>
      </c>
      <c r="E830" t="inlineStr">
        <is>
          <t xml:space="preserve">VI17_gaining.png</t>
        </is>
      </c>
      <c r="F830" t="inlineStr">
        <is>
          <t xml:space="preserve">{VISITOR_ID}_{expression}.png</t>
        </is>
      </c>
      <c r="G830" t="inlineStr">
        <is>
          <t xml:space="preserve">assets/characters/visitors/</t>
        </is>
      </c>
      <c r="H830" t="inlineStr">
        <is>
          <t xml:space="preserve">The visitor's own face in Office Hours (VisitorPresenter), reacting to whether your answer was right.</t>
        </is>
      </c>
      <c r="I830" t="inlineStr">
        <is>
          <t xml:space="preserve">1024 x 1536 px (2:3, full body head-to-feet, transparent background)</t>
        </is>
      </c>
      <c r="J830" t="inlineStr">
        <is>
          <t xml:space="preserve">No</t>
        </is>
      </c>
      <c r="K830" t="inlineStr">
        <is>
          <t xml:space="preserve">Shown after a correct answer.</t>
        </is>
      </c>
    </row>
    <row r="831" spans="1:11">
      <c r="A831" t="inlineStr">
        <is>
          <t xml:space="preserve">VI17</t>
        </is>
      </c>
      <c r="B831" t="inlineStr">
        <is>
          <t xml:space="preserve">Visitor</t>
        </is>
      </c>
      <c r="C831" t="inlineStr">
        <is>
          <t xml:space="preserve">Haruto Ebina</t>
        </is>
      </c>
      <c r="D831" t="inlineStr">
        <is>
          <t xml:space="preserve">damaged</t>
        </is>
      </c>
      <c r="E831" t="inlineStr">
        <is>
          <t xml:space="preserve">VI17_damaged.png</t>
        </is>
      </c>
      <c r="F831" t="inlineStr">
        <is>
          <t xml:space="preserve">{VISITOR_ID}_{expression}.png</t>
        </is>
      </c>
      <c r="G831" t="inlineStr">
        <is>
          <t xml:space="preserve">assets/characters/visitors/</t>
        </is>
      </c>
      <c r="H831" t="inlineStr">
        <is>
          <t xml:space="preserve">The visitor's own face in Office Hours (VisitorPresenter), reacting to whether your answer was right.</t>
        </is>
      </c>
      <c r="I831" t="inlineStr">
        <is>
          <t xml:space="preserve">1024 x 1536 px (2:3, full body head-to-feet, transparent background)</t>
        </is>
      </c>
      <c r="J831" t="inlineStr">
        <is>
          <t xml:space="preserve">No</t>
        </is>
      </c>
      <c r="K831" t="inlineStr">
        <is>
          <t xml:space="preserve">Shown after a wrong answer.</t>
        </is>
      </c>
    </row>
    <row r="832" spans="1:11">
      <c r="A832" t="inlineStr">
        <is>
          <t xml:space="preserve">VI18</t>
        </is>
      </c>
      <c r="B832" t="inlineStr">
        <is>
          <t xml:space="preserve">Visitor</t>
        </is>
      </c>
      <c r="C832" t="inlineStr">
        <is>
          <t xml:space="preserve">Granny Chiyo</t>
        </is>
      </c>
      <c r="D832" t="inlineStr">
        <is>
          <t xml:space="preserve">neutral</t>
        </is>
      </c>
      <c r="E832" t="inlineStr">
        <is>
          <t xml:space="preserve">VI18_neutral.png</t>
        </is>
      </c>
      <c r="F832" t="inlineStr">
        <is>
          <t xml:space="preserve">{VISITOR_ID}_{expression}.png</t>
        </is>
      </c>
      <c r="G832" t="inlineStr">
        <is>
          <t xml:space="preserve">assets/characters/visitors/</t>
        </is>
      </c>
      <c r="H832" t="inlineStr">
        <is>
          <t xml:space="preserve">The visitor's own face in Office Hours (VisitorPresenter), reacting to whether your answer was right.</t>
        </is>
      </c>
      <c r="I832" t="inlineStr">
        <is>
          <t xml:space="preserve">1024 x 1536 px (2:3, full body head-to-feet, transparent background)</t>
        </is>
      </c>
      <c r="J832" t="inlineStr">
        <is>
          <t xml:space="preserve">No</t>
        </is>
      </c>
      <c r="K832" t="inlineStr">
        <is>
          <t xml:space="preserve">Shown while the visitor is waiting on an answer.</t>
        </is>
      </c>
    </row>
    <row r="833" spans="1:11">
      <c r="A833" t="inlineStr">
        <is>
          <t xml:space="preserve">VI18</t>
        </is>
      </c>
      <c r="B833" t="inlineStr">
        <is>
          <t xml:space="preserve">Visitor</t>
        </is>
      </c>
      <c r="C833" t="inlineStr">
        <is>
          <t xml:space="preserve">Granny Chiyo</t>
        </is>
      </c>
      <c r="D833" t="inlineStr">
        <is>
          <t xml:space="preserve">gaining</t>
        </is>
      </c>
      <c r="E833" t="inlineStr">
        <is>
          <t xml:space="preserve">VI18_gaining.png</t>
        </is>
      </c>
      <c r="F833" t="inlineStr">
        <is>
          <t xml:space="preserve">{VISITOR_ID}_{expression}.png</t>
        </is>
      </c>
      <c r="G833" t="inlineStr">
        <is>
          <t xml:space="preserve">assets/characters/visitors/</t>
        </is>
      </c>
      <c r="H833" t="inlineStr">
        <is>
          <t xml:space="preserve">The visitor's own face in Office Hours (VisitorPresenter), reacting to whether your answer was right.</t>
        </is>
      </c>
      <c r="I833" t="inlineStr">
        <is>
          <t xml:space="preserve">1024 x 1536 px (2:3, full body head-to-feet, transparent background)</t>
        </is>
      </c>
      <c r="J833" t="inlineStr">
        <is>
          <t xml:space="preserve">No</t>
        </is>
      </c>
      <c r="K833" t="inlineStr">
        <is>
          <t xml:space="preserve">Shown after a correct answer.</t>
        </is>
      </c>
    </row>
    <row r="834" spans="1:11">
      <c r="A834" t="inlineStr">
        <is>
          <t xml:space="preserve">VI18</t>
        </is>
      </c>
      <c r="B834" t="inlineStr">
        <is>
          <t xml:space="preserve">Visitor</t>
        </is>
      </c>
      <c r="C834" t="inlineStr">
        <is>
          <t xml:space="preserve">Granny Chiyo</t>
        </is>
      </c>
      <c r="D834" t="inlineStr">
        <is>
          <t xml:space="preserve">damaged</t>
        </is>
      </c>
      <c r="E834" t="inlineStr">
        <is>
          <t xml:space="preserve">VI18_damaged.png</t>
        </is>
      </c>
      <c r="F834" t="inlineStr">
        <is>
          <t xml:space="preserve">{VISITOR_ID}_{expression}.png</t>
        </is>
      </c>
      <c r="G834" t="inlineStr">
        <is>
          <t xml:space="preserve">assets/characters/visitors/</t>
        </is>
      </c>
      <c r="H834" t="inlineStr">
        <is>
          <t xml:space="preserve">The visitor's own face in Office Hours (VisitorPresenter), reacting to whether your answer was right.</t>
        </is>
      </c>
      <c r="I834" t="inlineStr">
        <is>
          <t xml:space="preserve">1024 x 1536 px (2:3, full body head-to-feet, transparent background)</t>
        </is>
      </c>
      <c r="J834" t="inlineStr">
        <is>
          <t xml:space="preserve">No</t>
        </is>
      </c>
      <c r="K834" t="inlineStr">
        <is>
          <t xml:space="preserve">Shown after a wrong answer.</t>
        </is>
      </c>
    </row>
    <row r="835" spans="1:11">
      <c r="A835" t="inlineStr">
        <is>
          <t xml:space="preserve">VI19</t>
        </is>
      </c>
      <c r="B835" t="inlineStr">
        <is>
          <t xml:space="preserve">Visitor</t>
        </is>
      </c>
      <c r="C835" t="inlineStr">
        <is>
          <t xml:space="preserve">Sora Kudo</t>
        </is>
      </c>
      <c r="D835" t="inlineStr">
        <is>
          <t xml:space="preserve">neutral</t>
        </is>
      </c>
      <c r="E835" t="inlineStr">
        <is>
          <t xml:space="preserve">VI19_neutral.png</t>
        </is>
      </c>
      <c r="F835" t="inlineStr">
        <is>
          <t xml:space="preserve">{VISITOR_ID}_{expression}.png</t>
        </is>
      </c>
      <c r="G835" t="inlineStr">
        <is>
          <t xml:space="preserve">assets/characters/visitors/</t>
        </is>
      </c>
      <c r="H835" t="inlineStr">
        <is>
          <t xml:space="preserve">The visitor's own face in Office Hours (VisitorPresenter), reacting to whether your answer was right.</t>
        </is>
      </c>
      <c r="I835" t="inlineStr">
        <is>
          <t xml:space="preserve">1024 x 1536 px (2:3, full body head-to-feet, transparent background)</t>
        </is>
      </c>
      <c r="J835" t="inlineStr">
        <is>
          <t xml:space="preserve">No</t>
        </is>
      </c>
      <c r="K835" t="inlineStr">
        <is>
          <t xml:space="preserve">Shown while the visitor is waiting on an answer.</t>
        </is>
      </c>
    </row>
    <row r="836" spans="1:11">
      <c r="A836" t="inlineStr">
        <is>
          <t xml:space="preserve">VI19</t>
        </is>
      </c>
      <c r="B836" t="inlineStr">
        <is>
          <t xml:space="preserve">Visitor</t>
        </is>
      </c>
      <c r="C836" t="inlineStr">
        <is>
          <t xml:space="preserve">Sora Kudo</t>
        </is>
      </c>
      <c r="D836" t="inlineStr">
        <is>
          <t xml:space="preserve">gaining</t>
        </is>
      </c>
      <c r="E836" t="inlineStr">
        <is>
          <t xml:space="preserve">VI19_gaining.png</t>
        </is>
      </c>
      <c r="F836" t="inlineStr">
        <is>
          <t xml:space="preserve">{VISITOR_ID}_{expression}.png</t>
        </is>
      </c>
      <c r="G836" t="inlineStr">
        <is>
          <t xml:space="preserve">assets/characters/visitors/</t>
        </is>
      </c>
      <c r="H836" t="inlineStr">
        <is>
          <t xml:space="preserve">The visitor's own face in Office Hours (VisitorPresenter), reacting to whether your answer was right.</t>
        </is>
      </c>
      <c r="I836" t="inlineStr">
        <is>
          <t xml:space="preserve">1024 x 1536 px (2:3, full body head-to-feet, transparent background)</t>
        </is>
      </c>
      <c r="J836" t="inlineStr">
        <is>
          <t xml:space="preserve">No</t>
        </is>
      </c>
      <c r="K836" t="inlineStr">
        <is>
          <t xml:space="preserve">Shown after a correct answer.</t>
        </is>
      </c>
    </row>
    <row r="837" spans="1:11">
      <c r="A837" t="inlineStr">
        <is>
          <t xml:space="preserve">VI19</t>
        </is>
      </c>
      <c r="B837" t="inlineStr">
        <is>
          <t xml:space="preserve">Visitor</t>
        </is>
      </c>
      <c r="C837" t="inlineStr">
        <is>
          <t xml:space="preserve">Sora Kudo</t>
        </is>
      </c>
      <c r="D837" t="inlineStr">
        <is>
          <t xml:space="preserve">damaged</t>
        </is>
      </c>
      <c r="E837" t="inlineStr">
        <is>
          <t xml:space="preserve">VI19_damaged.png</t>
        </is>
      </c>
      <c r="F837" t="inlineStr">
        <is>
          <t xml:space="preserve">{VISITOR_ID}_{expression}.png</t>
        </is>
      </c>
      <c r="G837" t="inlineStr">
        <is>
          <t xml:space="preserve">assets/characters/visitors/</t>
        </is>
      </c>
      <c r="H837" t="inlineStr">
        <is>
          <t xml:space="preserve">The visitor's own face in Office Hours (VisitorPresenter), reacting to whether your answer was right.</t>
        </is>
      </c>
      <c r="I837" t="inlineStr">
        <is>
          <t xml:space="preserve">1024 x 1536 px (2:3, full body head-to-feet, transparent background)</t>
        </is>
      </c>
      <c r="J837" t="inlineStr">
        <is>
          <t xml:space="preserve">No</t>
        </is>
      </c>
      <c r="K837" t="inlineStr">
        <is>
          <t xml:space="preserve">Shown after a wrong answer.</t>
        </is>
      </c>
    </row>
    <row r="838" spans="1:11">
      <c r="A838" t="inlineStr">
        <is>
          <t xml:space="preserve">VI20</t>
        </is>
      </c>
      <c r="B838" t="inlineStr">
        <is>
          <t xml:space="preserve">Visitor</t>
        </is>
      </c>
      <c r="C838" t="inlineStr">
        <is>
          <t xml:space="preserve">Akemi Ito</t>
        </is>
      </c>
      <c r="D838" t="inlineStr">
        <is>
          <t xml:space="preserve">neutral</t>
        </is>
      </c>
      <c r="E838" t="inlineStr">
        <is>
          <t xml:space="preserve">VI20_neutral.png</t>
        </is>
      </c>
      <c r="F838" t="inlineStr">
        <is>
          <t xml:space="preserve">{VISITOR_ID}_{expression}.png</t>
        </is>
      </c>
      <c r="G838" t="inlineStr">
        <is>
          <t xml:space="preserve">assets/characters/visitors/</t>
        </is>
      </c>
      <c r="H838" t="inlineStr">
        <is>
          <t xml:space="preserve">The visitor's own face in Office Hours (VisitorPresenter), reacting to whether your answer was right.</t>
        </is>
      </c>
      <c r="I838" t="inlineStr">
        <is>
          <t xml:space="preserve">1024 x 1536 px (2:3, full body head-to-feet, transparent background)</t>
        </is>
      </c>
      <c r="J838" t="inlineStr">
        <is>
          <t xml:space="preserve">No</t>
        </is>
      </c>
      <c r="K838" t="inlineStr">
        <is>
          <t xml:space="preserve">Shown while the visitor is waiting on an answer.</t>
        </is>
      </c>
    </row>
    <row r="839" spans="1:11">
      <c r="A839" t="inlineStr">
        <is>
          <t xml:space="preserve">VI20</t>
        </is>
      </c>
      <c r="B839" t="inlineStr">
        <is>
          <t xml:space="preserve">Visitor</t>
        </is>
      </c>
      <c r="C839" t="inlineStr">
        <is>
          <t xml:space="preserve">Akemi Ito</t>
        </is>
      </c>
      <c r="D839" t="inlineStr">
        <is>
          <t xml:space="preserve">gaining</t>
        </is>
      </c>
      <c r="E839" t="inlineStr">
        <is>
          <t xml:space="preserve">VI20_gaining.png</t>
        </is>
      </c>
      <c r="F839" t="inlineStr">
        <is>
          <t xml:space="preserve">{VISITOR_ID}_{expression}.png</t>
        </is>
      </c>
      <c r="G839" t="inlineStr">
        <is>
          <t xml:space="preserve">assets/characters/visitors/</t>
        </is>
      </c>
      <c r="H839" t="inlineStr">
        <is>
          <t xml:space="preserve">The visitor's own face in Office Hours (VisitorPresenter), reacting to whether your answer was right.</t>
        </is>
      </c>
      <c r="I839" t="inlineStr">
        <is>
          <t xml:space="preserve">1024 x 1536 px (2:3, full body head-to-feet, transparent background)</t>
        </is>
      </c>
      <c r="J839" t="inlineStr">
        <is>
          <t xml:space="preserve">No</t>
        </is>
      </c>
      <c r="K839" t="inlineStr">
        <is>
          <t xml:space="preserve">Shown after a correct answer.</t>
        </is>
      </c>
    </row>
    <row r="840" spans="1:11">
      <c r="A840" t="inlineStr">
        <is>
          <t xml:space="preserve">VI20</t>
        </is>
      </c>
      <c r="B840" t="inlineStr">
        <is>
          <t xml:space="preserve">Visitor</t>
        </is>
      </c>
      <c r="C840" t="inlineStr">
        <is>
          <t xml:space="preserve">Akemi Ito</t>
        </is>
      </c>
      <c r="D840" t="inlineStr">
        <is>
          <t xml:space="preserve">damaged</t>
        </is>
      </c>
      <c r="E840" t="inlineStr">
        <is>
          <t xml:space="preserve">VI20_damaged.png</t>
        </is>
      </c>
      <c r="F840" t="inlineStr">
        <is>
          <t xml:space="preserve">{VISITOR_ID}_{expression}.png</t>
        </is>
      </c>
      <c r="G840" t="inlineStr">
        <is>
          <t xml:space="preserve">assets/characters/visitors/</t>
        </is>
      </c>
      <c r="H840" t="inlineStr">
        <is>
          <t xml:space="preserve">The visitor's own face in Office Hours (VisitorPresenter), reacting to whether your answer was right.</t>
        </is>
      </c>
      <c r="I840" t="inlineStr">
        <is>
          <t xml:space="preserve">1024 x 1536 px (2:3, full body head-to-feet, transparent background)</t>
        </is>
      </c>
      <c r="J840" t="inlineStr">
        <is>
          <t xml:space="preserve">No</t>
        </is>
      </c>
      <c r="K840" t="inlineStr">
        <is>
          <t xml:space="preserve">Shown after a wrong answer.</t>
        </is>
      </c>
    </row>
    <row r="841" spans="1:11">
      <c r="A841" t="inlineStr">
        <is>
          <t xml:space="preserve">VI21</t>
        </is>
      </c>
      <c r="B841" t="inlineStr">
        <is>
          <t xml:space="preserve">Visitor</t>
        </is>
      </c>
      <c r="C841" t="inlineStr">
        <is>
          <t xml:space="preserve">Dog Man</t>
        </is>
      </c>
      <c r="D841" t="inlineStr">
        <is>
          <t xml:space="preserve">neutral</t>
        </is>
      </c>
      <c r="E841" t="inlineStr">
        <is>
          <t xml:space="preserve">VI21_neutral.png</t>
        </is>
      </c>
      <c r="F841" t="inlineStr">
        <is>
          <t xml:space="preserve">{VISITOR_ID}_{expression}.png</t>
        </is>
      </c>
      <c r="G841" t="inlineStr">
        <is>
          <t xml:space="preserve">assets/characters/visitors/</t>
        </is>
      </c>
      <c r="H841" t="inlineStr">
        <is>
          <t xml:space="preserve">The visitor's own face in Office Hours (VisitorPresenter), reacting to whether your answer was right.</t>
        </is>
      </c>
      <c r="I841" t="inlineStr">
        <is>
          <t xml:space="preserve">1024 x 1536 px (2:3, full body head-to-feet, transparent background)</t>
        </is>
      </c>
      <c r="J841" t="inlineStr">
        <is>
          <t xml:space="preserve">No</t>
        </is>
      </c>
      <c r="K841" t="inlineStr">
        <is>
          <t xml:space="preserve">Shown while the visitor is waiting on an answer.</t>
        </is>
      </c>
    </row>
    <row r="842" spans="1:11">
      <c r="A842" t="inlineStr">
        <is>
          <t xml:space="preserve">VI21</t>
        </is>
      </c>
      <c r="B842" t="inlineStr">
        <is>
          <t xml:space="preserve">Visitor</t>
        </is>
      </c>
      <c r="C842" t="inlineStr">
        <is>
          <t xml:space="preserve">Dog Man</t>
        </is>
      </c>
      <c r="D842" t="inlineStr">
        <is>
          <t xml:space="preserve">gaining</t>
        </is>
      </c>
      <c r="E842" t="inlineStr">
        <is>
          <t xml:space="preserve">VI21_gaining.png</t>
        </is>
      </c>
      <c r="F842" t="inlineStr">
        <is>
          <t xml:space="preserve">{VISITOR_ID}_{expression}.png</t>
        </is>
      </c>
      <c r="G842" t="inlineStr">
        <is>
          <t xml:space="preserve">assets/characters/visitors/</t>
        </is>
      </c>
      <c r="H842" t="inlineStr">
        <is>
          <t xml:space="preserve">The visitor's own face in Office Hours (VisitorPresenter), reacting to whether your answer was right.</t>
        </is>
      </c>
      <c r="I842" t="inlineStr">
        <is>
          <t xml:space="preserve">1024 x 1536 px (2:3, full body head-to-feet, transparent background)</t>
        </is>
      </c>
      <c r="J842" t="inlineStr">
        <is>
          <t xml:space="preserve">No</t>
        </is>
      </c>
      <c r="K842" t="inlineStr">
        <is>
          <t xml:space="preserve">Shown after a correct answer.</t>
        </is>
      </c>
    </row>
    <row r="843" spans="1:11">
      <c r="A843" t="inlineStr">
        <is>
          <t xml:space="preserve">VI21</t>
        </is>
      </c>
      <c r="B843" t="inlineStr">
        <is>
          <t xml:space="preserve">Visitor</t>
        </is>
      </c>
      <c r="C843" t="inlineStr">
        <is>
          <t xml:space="preserve">Dog Man</t>
        </is>
      </c>
      <c r="D843" t="inlineStr">
        <is>
          <t xml:space="preserve">damaged</t>
        </is>
      </c>
      <c r="E843" t="inlineStr">
        <is>
          <t xml:space="preserve">VI21_damaged.png</t>
        </is>
      </c>
      <c r="F843" t="inlineStr">
        <is>
          <t xml:space="preserve">{VISITOR_ID}_{expression}.png</t>
        </is>
      </c>
      <c r="G843" t="inlineStr">
        <is>
          <t xml:space="preserve">assets/characters/visitors/</t>
        </is>
      </c>
      <c r="H843" t="inlineStr">
        <is>
          <t xml:space="preserve">The visitor's own face in Office Hours (VisitorPresenter), reacting to whether your answer was right.</t>
        </is>
      </c>
      <c r="I843" t="inlineStr">
        <is>
          <t xml:space="preserve">1024 x 1536 px (2:3, full body head-to-feet, transparent background)</t>
        </is>
      </c>
      <c r="J843" t="inlineStr">
        <is>
          <t xml:space="preserve">No</t>
        </is>
      </c>
      <c r="K843" t="inlineStr">
        <is>
          <t xml:space="preserve">Shown after a wrong answer.</t>
        </is>
      </c>
    </row>
    <row r="844" spans="1:11">
      <c r="A844" t="inlineStr">
        <is>
          <t xml:space="preserve">VI22</t>
        </is>
      </c>
      <c r="B844" t="inlineStr">
        <is>
          <t xml:space="preserve">Visitor</t>
        </is>
      </c>
      <c r="C844" t="inlineStr">
        <is>
          <t xml:space="preserve">Brad Chunchun</t>
        </is>
      </c>
      <c r="D844" t="inlineStr">
        <is>
          <t xml:space="preserve">neutral</t>
        </is>
      </c>
      <c r="E844" t="inlineStr">
        <is>
          <t xml:space="preserve">VI22_neutral.png</t>
        </is>
      </c>
      <c r="F844" t="inlineStr">
        <is>
          <t xml:space="preserve">{VISITOR_ID}_{expression}.png</t>
        </is>
      </c>
      <c r="G844" t="inlineStr">
        <is>
          <t xml:space="preserve">assets/characters/visitors/</t>
        </is>
      </c>
      <c r="H844" t="inlineStr">
        <is>
          <t xml:space="preserve">The visitor's own face in Office Hours (VisitorPresenter), reacting to whether your answer was right.</t>
        </is>
      </c>
      <c r="I844" t="inlineStr">
        <is>
          <t xml:space="preserve">1024 x 1536 px (2:3, full body head-to-feet, transparent background)</t>
        </is>
      </c>
      <c r="J844" t="inlineStr">
        <is>
          <t xml:space="preserve">No</t>
        </is>
      </c>
      <c r="K844" t="inlineStr">
        <is>
          <t xml:space="preserve">Shown while the visitor is waiting on an answer.</t>
        </is>
      </c>
    </row>
    <row r="845" spans="1:11">
      <c r="A845" t="inlineStr">
        <is>
          <t xml:space="preserve">VI22</t>
        </is>
      </c>
      <c r="B845" t="inlineStr">
        <is>
          <t xml:space="preserve">Visitor</t>
        </is>
      </c>
      <c r="C845" t="inlineStr">
        <is>
          <t xml:space="preserve">Brad Chunchun</t>
        </is>
      </c>
      <c r="D845" t="inlineStr">
        <is>
          <t xml:space="preserve">gaining</t>
        </is>
      </c>
      <c r="E845" t="inlineStr">
        <is>
          <t xml:space="preserve">VI22_gaining.png</t>
        </is>
      </c>
      <c r="F845" t="inlineStr">
        <is>
          <t xml:space="preserve">{VISITOR_ID}_{expression}.png</t>
        </is>
      </c>
      <c r="G845" t="inlineStr">
        <is>
          <t xml:space="preserve">assets/characters/visitors/</t>
        </is>
      </c>
      <c r="H845" t="inlineStr">
        <is>
          <t xml:space="preserve">The visitor's own face in Office Hours (VisitorPresenter), reacting to whether your answer was right.</t>
        </is>
      </c>
      <c r="I845" t="inlineStr">
        <is>
          <t xml:space="preserve">1024 x 1536 px (2:3, full body head-to-feet, transparent background)</t>
        </is>
      </c>
      <c r="J845" t="inlineStr">
        <is>
          <t xml:space="preserve">No</t>
        </is>
      </c>
      <c r="K845" t="inlineStr">
        <is>
          <t xml:space="preserve">Shown after a correct answer.</t>
        </is>
      </c>
    </row>
    <row r="846" spans="1:11">
      <c r="A846" t="inlineStr">
        <is>
          <t xml:space="preserve">VI22</t>
        </is>
      </c>
      <c r="B846" t="inlineStr">
        <is>
          <t xml:space="preserve">Visitor</t>
        </is>
      </c>
      <c r="C846" t="inlineStr">
        <is>
          <t xml:space="preserve">Brad Chunchun</t>
        </is>
      </c>
      <c r="D846" t="inlineStr">
        <is>
          <t xml:space="preserve">damaged</t>
        </is>
      </c>
      <c r="E846" t="inlineStr">
        <is>
          <t xml:space="preserve">VI22_damaged.png</t>
        </is>
      </c>
      <c r="F846" t="inlineStr">
        <is>
          <t xml:space="preserve">{VISITOR_ID}_{expression}.png</t>
        </is>
      </c>
      <c r="G846" t="inlineStr">
        <is>
          <t xml:space="preserve">assets/characters/visitors/</t>
        </is>
      </c>
      <c r="H846" t="inlineStr">
        <is>
          <t xml:space="preserve">The visitor's own face in Office Hours (VisitorPresenter), reacting to whether your answer was right.</t>
        </is>
      </c>
      <c r="I846" t="inlineStr">
        <is>
          <t xml:space="preserve">1024 x 1536 px (2:3, full body head-to-feet, transparent background)</t>
        </is>
      </c>
      <c r="J846" t="inlineStr">
        <is>
          <t xml:space="preserve">No</t>
        </is>
      </c>
      <c r="K846" t="inlineStr">
        <is>
          <t xml:space="preserve">Shown after a wrong answer.</t>
        </is>
      </c>
    </row>
    <row r="847" spans="1:11">
      <c r="A847" t="inlineStr">
        <is>
          <t xml:space="preserve">VI23</t>
        </is>
      </c>
      <c r="B847" t="inlineStr">
        <is>
          <t xml:space="preserve">Visitor</t>
        </is>
      </c>
      <c r="C847" t="inlineStr">
        <is>
          <t xml:space="preserve">Aso Takeda</t>
        </is>
      </c>
      <c r="D847" t="inlineStr">
        <is>
          <t xml:space="preserve">neutral</t>
        </is>
      </c>
      <c r="E847" t="inlineStr">
        <is>
          <t xml:space="preserve">VI23_neutral.png</t>
        </is>
      </c>
      <c r="F847" t="inlineStr">
        <is>
          <t xml:space="preserve">{VISITOR_ID}_{expression}.png</t>
        </is>
      </c>
      <c r="G847" t="inlineStr">
        <is>
          <t xml:space="preserve">assets/characters/visitors/</t>
        </is>
      </c>
      <c r="H847" t="inlineStr">
        <is>
          <t xml:space="preserve">The visitor's own face in Office Hours (VisitorPresenter), reacting to whether your answer was right.</t>
        </is>
      </c>
      <c r="I847" t="inlineStr">
        <is>
          <t xml:space="preserve">1024 x 1536 px (2:3, full body head-to-feet, transparent background)</t>
        </is>
      </c>
      <c r="J847" t="inlineStr">
        <is>
          <t xml:space="preserve">No</t>
        </is>
      </c>
      <c r="K847" t="inlineStr">
        <is>
          <t xml:space="preserve">Shown while the visitor is waiting on an answer.</t>
        </is>
      </c>
    </row>
    <row r="848" spans="1:11">
      <c r="A848" t="inlineStr">
        <is>
          <t xml:space="preserve">VI23</t>
        </is>
      </c>
      <c r="B848" t="inlineStr">
        <is>
          <t xml:space="preserve">Visitor</t>
        </is>
      </c>
      <c r="C848" t="inlineStr">
        <is>
          <t xml:space="preserve">Aso Takeda</t>
        </is>
      </c>
      <c r="D848" t="inlineStr">
        <is>
          <t xml:space="preserve">gaining</t>
        </is>
      </c>
      <c r="E848" t="inlineStr">
        <is>
          <t xml:space="preserve">VI23_gaining.png</t>
        </is>
      </c>
      <c r="F848" t="inlineStr">
        <is>
          <t xml:space="preserve">{VISITOR_ID}_{expression}.png</t>
        </is>
      </c>
      <c r="G848" t="inlineStr">
        <is>
          <t xml:space="preserve">assets/characters/visitors/</t>
        </is>
      </c>
      <c r="H848" t="inlineStr">
        <is>
          <t xml:space="preserve">The visitor's own face in Office Hours (VisitorPresenter), reacting to whether your answer was right.</t>
        </is>
      </c>
      <c r="I848" t="inlineStr">
        <is>
          <t xml:space="preserve">1024 x 1536 px (2:3, full body head-to-feet, transparent background)</t>
        </is>
      </c>
      <c r="J848" t="inlineStr">
        <is>
          <t xml:space="preserve">No</t>
        </is>
      </c>
      <c r="K848" t="inlineStr">
        <is>
          <t xml:space="preserve">Shown after a correct answer.</t>
        </is>
      </c>
    </row>
    <row r="849" spans="1:11">
      <c r="A849" t="inlineStr">
        <is>
          <t xml:space="preserve">VI23</t>
        </is>
      </c>
      <c r="B849" t="inlineStr">
        <is>
          <t xml:space="preserve">Visitor</t>
        </is>
      </c>
      <c r="C849" t="inlineStr">
        <is>
          <t xml:space="preserve">Aso Takeda</t>
        </is>
      </c>
      <c r="D849" t="inlineStr">
        <is>
          <t xml:space="preserve">damaged</t>
        </is>
      </c>
      <c r="E849" t="inlineStr">
        <is>
          <t xml:space="preserve">VI23_damaged.png</t>
        </is>
      </c>
      <c r="F849" t="inlineStr">
        <is>
          <t xml:space="preserve">{VISITOR_ID}_{expression}.png</t>
        </is>
      </c>
      <c r="G849" t="inlineStr">
        <is>
          <t xml:space="preserve">assets/characters/visitors/</t>
        </is>
      </c>
      <c r="H849" t="inlineStr">
        <is>
          <t xml:space="preserve">The visitor's own face in Office Hours (VisitorPresenter), reacting to whether your answer was right.</t>
        </is>
      </c>
      <c r="I849" t="inlineStr">
        <is>
          <t xml:space="preserve">1024 x 1536 px (2:3, full body head-to-feet, transparent background)</t>
        </is>
      </c>
      <c r="J849" t="inlineStr">
        <is>
          <t xml:space="preserve">No</t>
        </is>
      </c>
      <c r="K849" t="inlineStr">
        <is>
          <t xml:space="preserve">Shown after a wrong answer.</t>
        </is>
      </c>
    </row>
    <row r="850" spans="1:11">
      <c r="A850" t="inlineStr">
        <is>
          <t xml:space="preserve">VI24</t>
        </is>
      </c>
      <c r="B850" t="inlineStr">
        <is>
          <t xml:space="preserve">Visitor</t>
        </is>
      </c>
      <c r="C850" t="inlineStr">
        <is>
          <t xml:space="preserve">Party Member A</t>
        </is>
      </c>
      <c r="D850" t="inlineStr">
        <is>
          <t xml:space="preserve">neutral</t>
        </is>
      </c>
      <c r="E850" t="inlineStr">
        <is>
          <t xml:space="preserve">VI24_neutral.png</t>
        </is>
      </c>
      <c r="F850" t="inlineStr">
        <is>
          <t xml:space="preserve">{VISITOR_ID}_{expression}.png</t>
        </is>
      </c>
      <c r="G850" t="inlineStr">
        <is>
          <t xml:space="preserve">assets/characters/visitors/</t>
        </is>
      </c>
      <c r="H850" t="inlineStr">
        <is>
          <t xml:space="preserve">The visitor's own face in Office Hours (VisitorPresenter), reacting to whether your answer was right.</t>
        </is>
      </c>
      <c r="I850" t="inlineStr">
        <is>
          <t xml:space="preserve">1024 x 1536 px (2:3, full body head-to-feet, transparent background)</t>
        </is>
      </c>
      <c r="J850" t="inlineStr">
        <is>
          <t xml:space="preserve">No</t>
        </is>
      </c>
      <c r="K850" t="inlineStr">
        <is>
          <t xml:space="preserve">Shown while the visitor is waiting on an answer.</t>
        </is>
      </c>
    </row>
    <row r="851" spans="1:11">
      <c r="A851" t="inlineStr">
        <is>
          <t xml:space="preserve">VI24</t>
        </is>
      </c>
      <c r="B851" t="inlineStr">
        <is>
          <t xml:space="preserve">Visitor</t>
        </is>
      </c>
      <c r="C851" t="inlineStr">
        <is>
          <t xml:space="preserve">Party Member A</t>
        </is>
      </c>
      <c r="D851" t="inlineStr">
        <is>
          <t xml:space="preserve">gaining</t>
        </is>
      </c>
      <c r="E851" t="inlineStr">
        <is>
          <t xml:space="preserve">VI24_gaining.png</t>
        </is>
      </c>
      <c r="F851" t="inlineStr">
        <is>
          <t xml:space="preserve">{VISITOR_ID}_{expression}.png</t>
        </is>
      </c>
      <c r="G851" t="inlineStr">
        <is>
          <t xml:space="preserve">assets/characters/visitors/</t>
        </is>
      </c>
      <c r="H851" t="inlineStr">
        <is>
          <t xml:space="preserve">The visitor's own face in Office Hours (VisitorPresenter), reacting to whether your answer was right.</t>
        </is>
      </c>
      <c r="I851" t="inlineStr">
        <is>
          <t xml:space="preserve">1024 x 1536 px (2:3, full body head-to-feet, transparent background)</t>
        </is>
      </c>
      <c r="J851" t="inlineStr">
        <is>
          <t xml:space="preserve">No</t>
        </is>
      </c>
      <c r="K851" t="inlineStr">
        <is>
          <t xml:space="preserve">Shown after a correct answer.</t>
        </is>
      </c>
    </row>
    <row r="852" spans="1:11">
      <c r="A852" t="inlineStr">
        <is>
          <t xml:space="preserve">VI24</t>
        </is>
      </c>
      <c r="B852" t="inlineStr">
        <is>
          <t xml:space="preserve">Visitor</t>
        </is>
      </c>
      <c r="C852" t="inlineStr">
        <is>
          <t xml:space="preserve">Party Member A</t>
        </is>
      </c>
      <c r="D852" t="inlineStr">
        <is>
          <t xml:space="preserve">damaged</t>
        </is>
      </c>
      <c r="E852" t="inlineStr">
        <is>
          <t xml:space="preserve">VI24_damaged.png</t>
        </is>
      </c>
      <c r="F852" t="inlineStr">
        <is>
          <t xml:space="preserve">{VISITOR_ID}_{expression}.png</t>
        </is>
      </c>
      <c r="G852" t="inlineStr">
        <is>
          <t xml:space="preserve">assets/characters/visitors/</t>
        </is>
      </c>
      <c r="H852" t="inlineStr">
        <is>
          <t xml:space="preserve">The visitor's own face in Office Hours (VisitorPresenter), reacting to whether your answer was right.</t>
        </is>
      </c>
      <c r="I852" t="inlineStr">
        <is>
          <t xml:space="preserve">1024 x 1536 px (2:3, full body head-to-feet, transparent background)</t>
        </is>
      </c>
      <c r="J852" t="inlineStr">
        <is>
          <t xml:space="preserve">No</t>
        </is>
      </c>
      <c r="K852" t="inlineStr">
        <is>
          <t xml:space="preserve">Shown after a wrong answer.</t>
        </is>
      </c>
    </row>
    <row r="853" spans="1:11">
      <c r="A853" t="inlineStr">
        <is>
          <t xml:space="preserve">VI25</t>
        </is>
      </c>
      <c r="B853" t="inlineStr">
        <is>
          <t xml:space="preserve">Visitor</t>
        </is>
      </c>
      <c r="C853" t="inlineStr">
        <is>
          <t xml:space="preserve">Masato Fujimoto</t>
        </is>
      </c>
      <c r="D853" t="inlineStr">
        <is>
          <t xml:space="preserve">neutral</t>
        </is>
      </c>
      <c r="E853" t="inlineStr">
        <is>
          <t xml:space="preserve">VI25_neutral.png</t>
        </is>
      </c>
      <c r="F853" t="inlineStr">
        <is>
          <t xml:space="preserve">{VISITOR_ID}_{expression}.png</t>
        </is>
      </c>
      <c r="G853" t="inlineStr">
        <is>
          <t xml:space="preserve">assets/characters/visitors/</t>
        </is>
      </c>
      <c r="H853" t="inlineStr">
        <is>
          <t xml:space="preserve">The visitor's own face in Office Hours (VisitorPresenter), reacting to whether your answer was right.</t>
        </is>
      </c>
      <c r="I853" t="inlineStr">
        <is>
          <t xml:space="preserve">1024 x 1536 px (2:3, full body head-to-feet, transparent background)</t>
        </is>
      </c>
      <c r="J853" t="inlineStr">
        <is>
          <t xml:space="preserve">No</t>
        </is>
      </c>
      <c r="K853" t="inlineStr">
        <is>
          <t xml:space="preserve">Shown while the visitor is waiting on an answer.</t>
        </is>
      </c>
    </row>
    <row r="854" spans="1:11">
      <c r="A854" t="inlineStr">
        <is>
          <t xml:space="preserve">VI25</t>
        </is>
      </c>
      <c r="B854" t="inlineStr">
        <is>
          <t xml:space="preserve">Visitor</t>
        </is>
      </c>
      <c r="C854" t="inlineStr">
        <is>
          <t xml:space="preserve">Masato Fujimoto</t>
        </is>
      </c>
      <c r="D854" t="inlineStr">
        <is>
          <t xml:space="preserve">gaining</t>
        </is>
      </c>
      <c r="E854" t="inlineStr">
        <is>
          <t xml:space="preserve">VI25_gaining.png</t>
        </is>
      </c>
      <c r="F854" t="inlineStr">
        <is>
          <t xml:space="preserve">{VISITOR_ID}_{expression}.png</t>
        </is>
      </c>
      <c r="G854" t="inlineStr">
        <is>
          <t xml:space="preserve">assets/characters/visitors/</t>
        </is>
      </c>
      <c r="H854" t="inlineStr">
        <is>
          <t xml:space="preserve">The visitor's own face in Office Hours (VisitorPresenter), reacting to whether your answer was right.</t>
        </is>
      </c>
      <c r="I854" t="inlineStr">
        <is>
          <t xml:space="preserve">1024 x 1536 px (2:3, full body head-to-feet, transparent background)</t>
        </is>
      </c>
      <c r="J854" t="inlineStr">
        <is>
          <t xml:space="preserve">No</t>
        </is>
      </c>
      <c r="K854" t="inlineStr">
        <is>
          <t xml:space="preserve">Shown after a correct answer.</t>
        </is>
      </c>
    </row>
    <row r="855" spans="1:11">
      <c r="A855" t="inlineStr">
        <is>
          <t xml:space="preserve">VI25</t>
        </is>
      </c>
      <c r="B855" t="inlineStr">
        <is>
          <t xml:space="preserve">Visitor</t>
        </is>
      </c>
      <c r="C855" t="inlineStr">
        <is>
          <t xml:space="preserve">Masato Fujimoto</t>
        </is>
      </c>
      <c r="D855" t="inlineStr">
        <is>
          <t xml:space="preserve">damaged</t>
        </is>
      </c>
      <c r="E855" t="inlineStr">
        <is>
          <t xml:space="preserve">VI25_damaged.png</t>
        </is>
      </c>
      <c r="F855" t="inlineStr">
        <is>
          <t xml:space="preserve">{VISITOR_ID}_{expression}.png</t>
        </is>
      </c>
      <c r="G855" t="inlineStr">
        <is>
          <t xml:space="preserve">assets/characters/visitors/</t>
        </is>
      </c>
      <c r="H855" t="inlineStr">
        <is>
          <t xml:space="preserve">The visitor's own face in Office Hours (VisitorPresenter), reacting to whether your answer was right.</t>
        </is>
      </c>
      <c r="I855" t="inlineStr">
        <is>
          <t xml:space="preserve">1024 x 1536 px (2:3, full body head-to-feet, transparent background)</t>
        </is>
      </c>
      <c r="J855" t="inlineStr">
        <is>
          <t xml:space="preserve">No</t>
        </is>
      </c>
      <c r="K855" t="inlineStr">
        <is>
          <t xml:space="preserve">Shown after a wrong answer.</t>
        </is>
      </c>
    </row>
    <row r="856" spans="1:11">
      <c r="A856" t="inlineStr">
        <is>
          <t xml:space="preserve">VI26</t>
        </is>
      </c>
      <c r="B856" t="inlineStr">
        <is>
          <t xml:space="preserve">Visitor</t>
        </is>
      </c>
      <c r="C856" t="inlineStr">
        <is>
          <t xml:space="preserve">Rera Kayano</t>
        </is>
      </c>
      <c r="D856" t="inlineStr">
        <is>
          <t xml:space="preserve">neutral</t>
        </is>
      </c>
      <c r="E856" t="inlineStr">
        <is>
          <t xml:space="preserve">VI26_neutral.png</t>
        </is>
      </c>
      <c r="F856" t="inlineStr">
        <is>
          <t xml:space="preserve">{VISITOR_ID}_{expression}.png</t>
        </is>
      </c>
      <c r="G856" t="inlineStr">
        <is>
          <t xml:space="preserve">assets/characters/visitors/</t>
        </is>
      </c>
      <c r="H856" t="inlineStr">
        <is>
          <t xml:space="preserve">The visitor's own face in Office Hours (VisitorPresenter), reacting to whether your answer was right.</t>
        </is>
      </c>
      <c r="I856" t="inlineStr">
        <is>
          <t xml:space="preserve">1024 x 1536 px (2:3, full body head-to-feet, transparent background)</t>
        </is>
      </c>
      <c r="J856" t="inlineStr">
        <is>
          <t xml:space="preserve">No</t>
        </is>
      </c>
      <c r="K856" t="inlineStr">
        <is>
          <t xml:space="preserve">Shown while the visitor is waiting on an answer.</t>
        </is>
      </c>
    </row>
    <row r="857" spans="1:11">
      <c r="A857" t="inlineStr">
        <is>
          <t xml:space="preserve">VI26</t>
        </is>
      </c>
      <c r="B857" t="inlineStr">
        <is>
          <t xml:space="preserve">Visitor</t>
        </is>
      </c>
      <c r="C857" t="inlineStr">
        <is>
          <t xml:space="preserve">Rera Kayano</t>
        </is>
      </c>
      <c r="D857" t="inlineStr">
        <is>
          <t xml:space="preserve">gaining</t>
        </is>
      </c>
      <c r="E857" t="inlineStr">
        <is>
          <t xml:space="preserve">VI26_gaining.png</t>
        </is>
      </c>
      <c r="F857" t="inlineStr">
        <is>
          <t xml:space="preserve">{VISITOR_ID}_{expression}.png</t>
        </is>
      </c>
      <c r="G857" t="inlineStr">
        <is>
          <t xml:space="preserve">assets/characters/visitors/</t>
        </is>
      </c>
      <c r="H857" t="inlineStr">
        <is>
          <t xml:space="preserve">The visitor's own face in Office Hours (VisitorPresenter), reacting to whether your answer was right.</t>
        </is>
      </c>
      <c r="I857" t="inlineStr">
        <is>
          <t xml:space="preserve">1024 x 1536 px (2:3, full body head-to-feet, transparent background)</t>
        </is>
      </c>
      <c r="J857" t="inlineStr">
        <is>
          <t xml:space="preserve">No</t>
        </is>
      </c>
      <c r="K857" t="inlineStr">
        <is>
          <t xml:space="preserve">Shown after a correct answer.</t>
        </is>
      </c>
    </row>
    <row r="858" spans="1:11">
      <c r="A858" t="inlineStr">
        <is>
          <t xml:space="preserve">VI26</t>
        </is>
      </c>
      <c r="B858" t="inlineStr">
        <is>
          <t xml:space="preserve">Visitor</t>
        </is>
      </c>
      <c r="C858" t="inlineStr">
        <is>
          <t xml:space="preserve">Rera Kayano</t>
        </is>
      </c>
      <c r="D858" t="inlineStr">
        <is>
          <t xml:space="preserve">damaged</t>
        </is>
      </c>
      <c r="E858" t="inlineStr">
        <is>
          <t xml:space="preserve">VI26_damaged.png</t>
        </is>
      </c>
      <c r="F858" t="inlineStr">
        <is>
          <t xml:space="preserve">{VISITOR_ID}_{expression}.png</t>
        </is>
      </c>
      <c r="G858" t="inlineStr">
        <is>
          <t xml:space="preserve">assets/characters/visitors/</t>
        </is>
      </c>
      <c r="H858" t="inlineStr">
        <is>
          <t xml:space="preserve">The visitor's own face in Office Hours (VisitorPresenter), reacting to whether your answer was right.</t>
        </is>
      </c>
      <c r="I858" t="inlineStr">
        <is>
          <t xml:space="preserve">1024 x 1536 px (2:3, full body head-to-feet, transparent background)</t>
        </is>
      </c>
      <c r="J858" t="inlineStr">
        <is>
          <t xml:space="preserve">No</t>
        </is>
      </c>
      <c r="K858" t="inlineStr">
        <is>
          <t xml:space="preserve">Shown after a wrong answer.</t>
        </is>
      </c>
    </row>
    <row r="859" spans="1:11">
      <c r="A859" t="inlineStr">
        <is>
          <t xml:space="preserve">VI27</t>
        </is>
      </c>
      <c r="B859" t="inlineStr">
        <is>
          <t xml:space="preserve">Visitor</t>
        </is>
      </c>
      <c r="C859" t="inlineStr">
        <is>
          <t xml:space="preserve">Caroline Whitfield</t>
        </is>
      </c>
      <c r="D859" t="inlineStr">
        <is>
          <t xml:space="preserve">neutral</t>
        </is>
      </c>
      <c r="E859" t="inlineStr">
        <is>
          <t xml:space="preserve">VI27_neutral.png</t>
        </is>
      </c>
      <c r="F859" t="inlineStr">
        <is>
          <t xml:space="preserve">{VISITOR_ID}_{expression}.png</t>
        </is>
      </c>
      <c r="G859" t="inlineStr">
        <is>
          <t xml:space="preserve">assets/characters/visitors/</t>
        </is>
      </c>
      <c r="H859" t="inlineStr">
        <is>
          <t xml:space="preserve">The visitor's own face in Office Hours (VisitorPresenter), reacting to whether your answer was right.</t>
        </is>
      </c>
      <c r="I859" t="inlineStr">
        <is>
          <t xml:space="preserve">1024 x 1536 px (2:3, full body head-to-feet, transparent background)</t>
        </is>
      </c>
      <c r="J859" t="inlineStr">
        <is>
          <t xml:space="preserve">No</t>
        </is>
      </c>
      <c r="K859" t="inlineStr">
        <is>
          <t xml:space="preserve">Shown while the visitor is waiting on an answer.</t>
        </is>
      </c>
    </row>
    <row r="860" spans="1:11">
      <c r="A860" t="inlineStr">
        <is>
          <t xml:space="preserve">VI27</t>
        </is>
      </c>
      <c r="B860" t="inlineStr">
        <is>
          <t xml:space="preserve">Visitor</t>
        </is>
      </c>
      <c r="C860" t="inlineStr">
        <is>
          <t xml:space="preserve">Caroline Whitfield</t>
        </is>
      </c>
      <c r="D860" t="inlineStr">
        <is>
          <t xml:space="preserve">gaining</t>
        </is>
      </c>
      <c r="E860" t="inlineStr">
        <is>
          <t xml:space="preserve">VI27_gaining.png</t>
        </is>
      </c>
      <c r="F860" t="inlineStr">
        <is>
          <t xml:space="preserve">{VISITOR_ID}_{expression}.png</t>
        </is>
      </c>
      <c r="G860" t="inlineStr">
        <is>
          <t xml:space="preserve">assets/characters/visitors/</t>
        </is>
      </c>
      <c r="H860" t="inlineStr">
        <is>
          <t xml:space="preserve">The visitor's own face in Office Hours (VisitorPresenter), reacting to whether your answer was right.</t>
        </is>
      </c>
      <c r="I860" t="inlineStr">
        <is>
          <t xml:space="preserve">1024 x 1536 px (2:3, full body head-to-feet, transparent background)</t>
        </is>
      </c>
      <c r="J860" t="inlineStr">
        <is>
          <t xml:space="preserve">No</t>
        </is>
      </c>
      <c r="K860" t="inlineStr">
        <is>
          <t xml:space="preserve">Shown after a correct answer.</t>
        </is>
      </c>
    </row>
    <row r="861" spans="1:11">
      <c r="A861" t="inlineStr">
        <is>
          <t xml:space="preserve">VI27</t>
        </is>
      </c>
      <c r="B861" t="inlineStr">
        <is>
          <t xml:space="preserve">Visitor</t>
        </is>
      </c>
      <c r="C861" t="inlineStr">
        <is>
          <t xml:space="preserve">Caroline Whitfield</t>
        </is>
      </c>
      <c r="D861" t="inlineStr">
        <is>
          <t xml:space="preserve">damaged</t>
        </is>
      </c>
      <c r="E861" t="inlineStr">
        <is>
          <t xml:space="preserve">VI27_damaged.png</t>
        </is>
      </c>
      <c r="F861" t="inlineStr">
        <is>
          <t xml:space="preserve">{VISITOR_ID}_{expression}.png</t>
        </is>
      </c>
      <c r="G861" t="inlineStr">
        <is>
          <t xml:space="preserve">assets/characters/visitors/</t>
        </is>
      </c>
      <c r="H861" t="inlineStr">
        <is>
          <t xml:space="preserve">The visitor's own face in Office Hours (VisitorPresenter), reacting to whether your answer was right.</t>
        </is>
      </c>
      <c r="I861" t="inlineStr">
        <is>
          <t xml:space="preserve">1024 x 1536 px (2:3, full body head-to-feet, transparent background)</t>
        </is>
      </c>
      <c r="J861" t="inlineStr">
        <is>
          <t xml:space="preserve">No</t>
        </is>
      </c>
      <c r="K861" t="inlineStr">
        <is>
          <t xml:space="preserve">Shown after a wrong answer.</t>
        </is>
      </c>
    </row>
    <row r="862" spans="1:11">
      <c r="A862" t="inlineStr">
        <is>
          <t xml:space="preserve">VI28</t>
        </is>
      </c>
      <c r="B862" t="inlineStr">
        <is>
          <t xml:space="preserve">Visitor</t>
        </is>
      </c>
      <c r="C862" t="inlineStr">
        <is>
          <t xml:space="preserve">Kenji Arai-Mitchell</t>
        </is>
      </c>
      <c r="D862" t="inlineStr">
        <is>
          <t xml:space="preserve">neutral</t>
        </is>
      </c>
      <c r="E862" t="inlineStr">
        <is>
          <t xml:space="preserve">VI28_neutral.png</t>
        </is>
      </c>
      <c r="F862" t="inlineStr">
        <is>
          <t xml:space="preserve">{VISITOR_ID}_{expression}.png</t>
        </is>
      </c>
      <c r="G862" t="inlineStr">
        <is>
          <t xml:space="preserve">assets/characters/visitors/</t>
        </is>
      </c>
      <c r="H862" t="inlineStr">
        <is>
          <t xml:space="preserve">The visitor's own face in Office Hours (VisitorPresenter), reacting to whether your answer was right.</t>
        </is>
      </c>
      <c r="I862" t="inlineStr">
        <is>
          <t xml:space="preserve">1024 x 1536 px (2:3, full body head-to-feet, transparent background)</t>
        </is>
      </c>
      <c r="J862" t="inlineStr">
        <is>
          <t xml:space="preserve">No</t>
        </is>
      </c>
      <c r="K862" t="inlineStr">
        <is>
          <t xml:space="preserve">Shown while the visitor is waiting on an answer.</t>
        </is>
      </c>
    </row>
    <row r="863" spans="1:11">
      <c r="A863" t="inlineStr">
        <is>
          <t xml:space="preserve">VI28</t>
        </is>
      </c>
      <c r="B863" t="inlineStr">
        <is>
          <t xml:space="preserve">Visitor</t>
        </is>
      </c>
      <c r="C863" t="inlineStr">
        <is>
          <t xml:space="preserve">Kenji Arai-Mitchell</t>
        </is>
      </c>
      <c r="D863" t="inlineStr">
        <is>
          <t xml:space="preserve">gaining</t>
        </is>
      </c>
      <c r="E863" t="inlineStr">
        <is>
          <t xml:space="preserve">VI28_gaining.png</t>
        </is>
      </c>
      <c r="F863" t="inlineStr">
        <is>
          <t xml:space="preserve">{VISITOR_ID}_{expression}.png</t>
        </is>
      </c>
      <c r="G863" t="inlineStr">
        <is>
          <t xml:space="preserve">assets/characters/visitors/</t>
        </is>
      </c>
      <c r="H863" t="inlineStr">
        <is>
          <t xml:space="preserve">The visitor's own face in Office Hours (VisitorPresenter), reacting to whether your answer was right.</t>
        </is>
      </c>
      <c r="I863" t="inlineStr">
        <is>
          <t xml:space="preserve">1024 x 1536 px (2:3, full body head-to-feet, transparent background)</t>
        </is>
      </c>
      <c r="J863" t="inlineStr">
        <is>
          <t xml:space="preserve">No</t>
        </is>
      </c>
      <c r="K863" t="inlineStr">
        <is>
          <t xml:space="preserve">Shown after a correct answer.</t>
        </is>
      </c>
    </row>
    <row r="864" spans="1:11">
      <c r="A864" t="inlineStr">
        <is>
          <t xml:space="preserve">VI28</t>
        </is>
      </c>
      <c r="B864" t="inlineStr">
        <is>
          <t xml:space="preserve">Visitor</t>
        </is>
      </c>
      <c r="C864" t="inlineStr">
        <is>
          <t xml:space="preserve">Kenji Arai-Mitchell</t>
        </is>
      </c>
      <c r="D864" t="inlineStr">
        <is>
          <t xml:space="preserve">damaged</t>
        </is>
      </c>
      <c r="E864" t="inlineStr">
        <is>
          <t xml:space="preserve">VI28_damaged.png</t>
        </is>
      </c>
      <c r="F864" t="inlineStr">
        <is>
          <t xml:space="preserve">{VISITOR_ID}_{expression}.png</t>
        </is>
      </c>
      <c r="G864" t="inlineStr">
        <is>
          <t xml:space="preserve">assets/characters/visitors/</t>
        </is>
      </c>
      <c r="H864" t="inlineStr">
        <is>
          <t xml:space="preserve">The visitor's own face in Office Hours (VisitorPresenter), reacting to whether your answer was right.</t>
        </is>
      </c>
      <c r="I864" t="inlineStr">
        <is>
          <t xml:space="preserve">1024 x 1536 px (2:3, full body head-to-feet, transparent background)</t>
        </is>
      </c>
      <c r="J864" t="inlineStr">
        <is>
          <t xml:space="preserve">No</t>
        </is>
      </c>
      <c r="K864" t="inlineStr">
        <is>
          <t xml:space="preserve">Shown after a wrong answer.</t>
        </is>
      </c>
    </row>
    <row r="865" spans="1:11">
      <c r="A865" t="inlineStr">
        <is>
          <t xml:space="preserve">VI29</t>
        </is>
      </c>
      <c r="B865" t="inlineStr">
        <is>
          <t xml:space="preserve">Visitor</t>
        </is>
      </c>
      <c r="C865" t="inlineStr">
        <is>
          <t xml:space="preserve">Tomoe Sakamoto</t>
        </is>
      </c>
      <c r="D865" t="inlineStr">
        <is>
          <t xml:space="preserve">neutral</t>
        </is>
      </c>
      <c r="E865" t="inlineStr">
        <is>
          <t xml:space="preserve">VI29_neutral.png</t>
        </is>
      </c>
      <c r="F865" t="inlineStr">
        <is>
          <t xml:space="preserve">{VISITOR_ID}_{expression}.png</t>
        </is>
      </c>
      <c r="G865" t="inlineStr">
        <is>
          <t xml:space="preserve">assets/characters/visitors/</t>
        </is>
      </c>
      <c r="H865" t="inlineStr">
        <is>
          <t xml:space="preserve">The visitor's own face in Office Hours (VisitorPresenter), reacting to whether your answer was right.</t>
        </is>
      </c>
      <c r="I865" t="inlineStr">
        <is>
          <t xml:space="preserve">1024 x 1536 px (2:3, full body head-to-feet, transparent background)</t>
        </is>
      </c>
      <c r="J865" t="inlineStr">
        <is>
          <t xml:space="preserve">No</t>
        </is>
      </c>
      <c r="K865" t="inlineStr">
        <is>
          <t xml:space="preserve">Shown while the visitor is waiting on an answer.</t>
        </is>
      </c>
    </row>
    <row r="866" spans="1:11">
      <c r="A866" t="inlineStr">
        <is>
          <t xml:space="preserve">VI29</t>
        </is>
      </c>
      <c r="B866" t="inlineStr">
        <is>
          <t xml:space="preserve">Visitor</t>
        </is>
      </c>
      <c r="C866" t="inlineStr">
        <is>
          <t xml:space="preserve">Tomoe Sakamoto</t>
        </is>
      </c>
      <c r="D866" t="inlineStr">
        <is>
          <t xml:space="preserve">gaining</t>
        </is>
      </c>
      <c r="E866" t="inlineStr">
        <is>
          <t xml:space="preserve">VI29_gaining.png</t>
        </is>
      </c>
      <c r="F866" t="inlineStr">
        <is>
          <t xml:space="preserve">{VISITOR_ID}_{expression}.png</t>
        </is>
      </c>
      <c r="G866" t="inlineStr">
        <is>
          <t xml:space="preserve">assets/characters/visitors/</t>
        </is>
      </c>
      <c r="H866" t="inlineStr">
        <is>
          <t xml:space="preserve">The visitor's own face in Office Hours (VisitorPresenter), reacting to whether your answer was right.</t>
        </is>
      </c>
      <c r="I866" t="inlineStr">
        <is>
          <t xml:space="preserve">1024 x 1536 px (2:3, full body head-to-feet, transparent background)</t>
        </is>
      </c>
      <c r="J866" t="inlineStr">
        <is>
          <t xml:space="preserve">No</t>
        </is>
      </c>
      <c r="K866" t="inlineStr">
        <is>
          <t xml:space="preserve">Shown after a correct answer.</t>
        </is>
      </c>
    </row>
    <row r="867" spans="1:11">
      <c r="A867" t="inlineStr">
        <is>
          <t xml:space="preserve">VI29</t>
        </is>
      </c>
      <c r="B867" t="inlineStr">
        <is>
          <t xml:space="preserve">Visitor</t>
        </is>
      </c>
      <c r="C867" t="inlineStr">
        <is>
          <t xml:space="preserve">Tomoe Sakamoto</t>
        </is>
      </c>
      <c r="D867" t="inlineStr">
        <is>
          <t xml:space="preserve">damaged</t>
        </is>
      </c>
      <c r="E867" t="inlineStr">
        <is>
          <t xml:space="preserve">VI29_damaged.png</t>
        </is>
      </c>
      <c r="F867" t="inlineStr">
        <is>
          <t xml:space="preserve">{VISITOR_ID}_{expression}.png</t>
        </is>
      </c>
      <c r="G867" t="inlineStr">
        <is>
          <t xml:space="preserve">assets/characters/visitors/</t>
        </is>
      </c>
      <c r="H867" t="inlineStr">
        <is>
          <t xml:space="preserve">The visitor's own face in Office Hours (VisitorPresenter), reacting to whether your answer was right.</t>
        </is>
      </c>
      <c r="I867" t="inlineStr">
        <is>
          <t xml:space="preserve">1024 x 1536 px (2:3, full body head-to-feet, transparent background)</t>
        </is>
      </c>
      <c r="J867" t="inlineStr">
        <is>
          <t xml:space="preserve">No</t>
        </is>
      </c>
      <c r="K867" t="inlineStr">
        <is>
          <t xml:space="preserve">Shown after a wrong answer.</t>
        </is>
      </c>
    </row>
    <row r="868" spans="1:11">
      <c r="A868" t="inlineStr">
        <is>
          <t xml:space="preserve">VI30</t>
        </is>
      </c>
      <c r="B868" t="inlineStr">
        <is>
          <t xml:space="preserve">Visitor</t>
        </is>
      </c>
      <c r="C868" t="inlineStr">
        <is>
          <t xml:space="preserve">Pirika Nolan</t>
        </is>
      </c>
      <c r="D868" t="inlineStr">
        <is>
          <t xml:space="preserve">neutral</t>
        </is>
      </c>
      <c r="E868" t="inlineStr">
        <is>
          <t xml:space="preserve">VI30_neutral.png</t>
        </is>
      </c>
      <c r="F868" t="inlineStr">
        <is>
          <t xml:space="preserve">{VISITOR_ID}_{expression}.png</t>
        </is>
      </c>
      <c r="G868" t="inlineStr">
        <is>
          <t xml:space="preserve">assets/characters/visitors/</t>
        </is>
      </c>
      <c r="H868" t="inlineStr">
        <is>
          <t xml:space="preserve">The visitor's own face in Office Hours (VisitorPresenter), reacting to whether your answer was right.</t>
        </is>
      </c>
      <c r="I868" t="inlineStr">
        <is>
          <t xml:space="preserve">1024 x 1536 px (2:3, full body head-to-feet, transparent background)</t>
        </is>
      </c>
      <c r="J868" t="inlineStr">
        <is>
          <t xml:space="preserve">No</t>
        </is>
      </c>
      <c r="K868" t="inlineStr">
        <is>
          <t xml:space="preserve">Shown while the visitor is waiting on an answer.</t>
        </is>
      </c>
    </row>
    <row r="869" spans="1:11">
      <c r="A869" t="inlineStr">
        <is>
          <t xml:space="preserve">VI30</t>
        </is>
      </c>
      <c r="B869" t="inlineStr">
        <is>
          <t xml:space="preserve">Visitor</t>
        </is>
      </c>
      <c r="C869" t="inlineStr">
        <is>
          <t xml:space="preserve">Pirika Nolan</t>
        </is>
      </c>
      <c r="D869" t="inlineStr">
        <is>
          <t xml:space="preserve">gaining</t>
        </is>
      </c>
      <c r="E869" t="inlineStr">
        <is>
          <t xml:space="preserve">VI30_gaining.png</t>
        </is>
      </c>
      <c r="F869" t="inlineStr">
        <is>
          <t xml:space="preserve">{VISITOR_ID}_{expression}.png</t>
        </is>
      </c>
      <c r="G869" t="inlineStr">
        <is>
          <t xml:space="preserve">assets/characters/visitors/</t>
        </is>
      </c>
      <c r="H869" t="inlineStr">
        <is>
          <t xml:space="preserve">The visitor's own face in Office Hours (VisitorPresenter), reacting to whether your answer was right.</t>
        </is>
      </c>
      <c r="I869" t="inlineStr">
        <is>
          <t xml:space="preserve">1024 x 1536 px (2:3, full body head-to-feet, transparent background)</t>
        </is>
      </c>
      <c r="J869" t="inlineStr">
        <is>
          <t xml:space="preserve">No</t>
        </is>
      </c>
      <c r="K869" t="inlineStr">
        <is>
          <t xml:space="preserve">Shown after a correct answer.</t>
        </is>
      </c>
    </row>
    <row r="870" spans="1:11">
      <c r="A870" t="inlineStr">
        <is>
          <t xml:space="preserve">VI30</t>
        </is>
      </c>
      <c r="B870" t="inlineStr">
        <is>
          <t xml:space="preserve">Visitor</t>
        </is>
      </c>
      <c r="C870" t="inlineStr">
        <is>
          <t xml:space="preserve">Pirika Nolan</t>
        </is>
      </c>
      <c r="D870" t="inlineStr">
        <is>
          <t xml:space="preserve">damaged</t>
        </is>
      </c>
      <c r="E870" t="inlineStr">
        <is>
          <t xml:space="preserve">VI30_damaged.png</t>
        </is>
      </c>
      <c r="F870" t="inlineStr">
        <is>
          <t xml:space="preserve">{VISITOR_ID}_{expression}.png</t>
        </is>
      </c>
      <c r="G870" t="inlineStr">
        <is>
          <t xml:space="preserve">assets/characters/visitors/</t>
        </is>
      </c>
      <c r="H870" t="inlineStr">
        <is>
          <t xml:space="preserve">The visitor's own face in Office Hours (VisitorPresenter), reacting to whether your answer was right.</t>
        </is>
      </c>
      <c r="I870" t="inlineStr">
        <is>
          <t xml:space="preserve">1024 x 1536 px (2:3, full body head-to-feet, transparent background)</t>
        </is>
      </c>
      <c r="J870" t="inlineStr">
        <is>
          <t xml:space="preserve">No</t>
        </is>
      </c>
      <c r="K870" t="inlineStr">
        <is>
          <t xml:space="preserve">Shown after a wrong answer.</t>
        </is>
      </c>
    </row>
    <row r="871" spans="1:11">
      <c r="A871" t="inlineStr">
        <is>
          <t xml:space="preserve">VI31</t>
        </is>
      </c>
      <c r="B871" t="inlineStr">
        <is>
          <t xml:space="preserve">Visitor</t>
        </is>
      </c>
      <c r="C871" t="inlineStr">
        <is>
          <t xml:space="preserve">Daniel Ikeda-Brooks</t>
        </is>
      </c>
      <c r="D871" t="inlineStr">
        <is>
          <t xml:space="preserve">neutral</t>
        </is>
      </c>
      <c r="E871" t="inlineStr">
        <is>
          <t xml:space="preserve">VI31_neutral.png</t>
        </is>
      </c>
      <c r="F871" t="inlineStr">
        <is>
          <t xml:space="preserve">{VISITOR_ID}_{expression}.png</t>
        </is>
      </c>
      <c r="G871" t="inlineStr">
        <is>
          <t xml:space="preserve">assets/characters/visitors/</t>
        </is>
      </c>
      <c r="H871" t="inlineStr">
        <is>
          <t xml:space="preserve">The visitor's own face in Office Hours (VisitorPresenter), reacting to whether your answer was right.</t>
        </is>
      </c>
      <c r="I871" t="inlineStr">
        <is>
          <t xml:space="preserve">1024 x 1536 px (2:3, full body head-to-feet, transparent background)</t>
        </is>
      </c>
      <c r="J871" t="inlineStr">
        <is>
          <t xml:space="preserve">No</t>
        </is>
      </c>
      <c r="K871" t="inlineStr">
        <is>
          <t xml:space="preserve">Shown while the visitor is waiting on an answer.</t>
        </is>
      </c>
    </row>
    <row r="872" spans="1:11">
      <c r="A872" t="inlineStr">
        <is>
          <t xml:space="preserve">VI31</t>
        </is>
      </c>
      <c r="B872" t="inlineStr">
        <is>
          <t xml:space="preserve">Visitor</t>
        </is>
      </c>
      <c r="C872" t="inlineStr">
        <is>
          <t xml:space="preserve">Daniel Ikeda-Brooks</t>
        </is>
      </c>
      <c r="D872" t="inlineStr">
        <is>
          <t xml:space="preserve">gaining</t>
        </is>
      </c>
      <c r="E872" t="inlineStr">
        <is>
          <t xml:space="preserve">VI31_gaining.png</t>
        </is>
      </c>
      <c r="F872" t="inlineStr">
        <is>
          <t xml:space="preserve">{VISITOR_ID}_{expression}.png</t>
        </is>
      </c>
      <c r="G872" t="inlineStr">
        <is>
          <t xml:space="preserve">assets/characters/visitors/</t>
        </is>
      </c>
      <c r="H872" t="inlineStr">
        <is>
          <t xml:space="preserve">The visitor's own face in Office Hours (VisitorPresenter), reacting to whether your answer was right.</t>
        </is>
      </c>
      <c r="I872" t="inlineStr">
        <is>
          <t xml:space="preserve">1024 x 1536 px (2:3, full body head-to-feet, transparent background)</t>
        </is>
      </c>
      <c r="J872" t="inlineStr">
        <is>
          <t xml:space="preserve">No</t>
        </is>
      </c>
      <c r="K872" t="inlineStr">
        <is>
          <t xml:space="preserve">Shown after a correct answer.</t>
        </is>
      </c>
    </row>
    <row r="873" spans="1:11">
      <c r="A873" t="inlineStr">
        <is>
          <t xml:space="preserve">VI31</t>
        </is>
      </c>
      <c r="B873" t="inlineStr">
        <is>
          <t xml:space="preserve">Visitor</t>
        </is>
      </c>
      <c r="C873" t="inlineStr">
        <is>
          <t xml:space="preserve">Daniel Ikeda-Brooks</t>
        </is>
      </c>
      <c r="D873" t="inlineStr">
        <is>
          <t xml:space="preserve">damaged</t>
        </is>
      </c>
      <c r="E873" t="inlineStr">
        <is>
          <t xml:space="preserve">VI31_damaged.png</t>
        </is>
      </c>
      <c r="F873" t="inlineStr">
        <is>
          <t xml:space="preserve">{VISITOR_ID}_{expression}.png</t>
        </is>
      </c>
      <c r="G873" t="inlineStr">
        <is>
          <t xml:space="preserve">assets/characters/visitors/</t>
        </is>
      </c>
      <c r="H873" t="inlineStr">
        <is>
          <t xml:space="preserve">The visitor's own face in Office Hours (VisitorPresenter), reacting to whether your answer was right.</t>
        </is>
      </c>
      <c r="I873" t="inlineStr">
        <is>
          <t xml:space="preserve">1024 x 1536 px (2:3, full body head-to-feet, transparent background)</t>
        </is>
      </c>
      <c r="J873" t="inlineStr">
        <is>
          <t xml:space="preserve">No</t>
        </is>
      </c>
      <c r="K873" t="inlineStr">
        <is>
          <t xml:space="preserve">Shown after a wrong answer.</t>
        </is>
      </c>
    </row>
    <row r="874" spans="1:11">
      <c r="A874" t="inlineStr">
        <is>
          <t xml:space="preserve">VI32</t>
        </is>
      </c>
      <c r="B874" t="inlineStr">
        <is>
          <t xml:space="preserve">Visitor</t>
        </is>
      </c>
      <c r="C874" t="inlineStr">
        <is>
          <t xml:space="preserve">Yoshiko Tanabe</t>
        </is>
      </c>
      <c r="D874" t="inlineStr">
        <is>
          <t xml:space="preserve">neutral</t>
        </is>
      </c>
      <c r="E874" t="inlineStr">
        <is>
          <t xml:space="preserve">VI32_neutral.png</t>
        </is>
      </c>
      <c r="F874" t="inlineStr">
        <is>
          <t xml:space="preserve">{VISITOR_ID}_{expression}.png</t>
        </is>
      </c>
      <c r="G874" t="inlineStr">
        <is>
          <t xml:space="preserve">assets/characters/visitors/</t>
        </is>
      </c>
      <c r="H874" t="inlineStr">
        <is>
          <t xml:space="preserve">The visitor's own face in Office Hours (VisitorPresenter), reacting to whether your answer was right.</t>
        </is>
      </c>
      <c r="I874" t="inlineStr">
        <is>
          <t xml:space="preserve">1024 x 1536 px (2:3, full body head-to-feet, transparent background)</t>
        </is>
      </c>
      <c r="J874" t="inlineStr">
        <is>
          <t xml:space="preserve">No</t>
        </is>
      </c>
      <c r="K874" t="inlineStr">
        <is>
          <t xml:space="preserve">Shown while the visitor is waiting on an answer.</t>
        </is>
      </c>
    </row>
    <row r="875" spans="1:11">
      <c r="A875" t="inlineStr">
        <is>
          <t xml:space="preserve">VI32</t>
        </is>
      </c>
      <c r="B875" t="inlineStr">
        <is>
          <t xml:space="preserve">Visitor</t>
        </is>
      </c>
      <c r="C875" t="inlineStr">
        <is>
          <t xml:space="preserve">Yoshiko Tanabe</t>
        </is>
      </c>
      <c r="D875" t="inlineStr">
        <is>
          <t xml:space="preserve">gaining</t>
        </is>
      </c>
      <c r="E875" t="inlineStr">
        <is>
          <t xml:space="preserve">VI32_gaining.png</t>
        </is>
      </c>
      <c r="F875" t="inlineStr">
        <is>
          <t xml:space="preserve">{VISITOR_ID}_{expression}.png</t>
        </is>
      </c>
      <c r="G875" t="inlineStr">
        <is>
          <t xml:space="preserve">assets/characters/visitors/</t>
        </is>
      </c>
      <c r="H875" t="inlineStr">
        <is>
          <t xml:space="preserve">The visitor's own face in Office Hours (VisitorPresenter), reacting to whether your answer was right.</t>
        </is>
      </c>
      <c r="I875" t="inlineStr">
        <is>
          <t xml:space="preserve">1024 x 1536 px (2:3, full body head-to-feet, transparent background)</t>
        </is>
      </c>
      <c r="J875" t="inlineStr">
        <is>
          <t xml:space="preserve">No</t>
        </is>
      </c>
      <c r="K875" t="inlineStr">
        <is>
          <t xml:space="preserve">Shown after a correct answer.</t>
        </is>
      </c>
    </row>
    <row r="876" spans="1:11">
      <c r="A876" t="inlineStr">
        <is>
          <t xml:space="preserve">VI32</t>
        </is>
      </c>
      <c r="B876" t="inlineStr">
        <is>
          <t xml:space="preserve">Visitor</t>
        </is>
      </c>
      <c r="C876" t="inlineStr">
        <is>
          <t xml:space="preserve">Yoshiko Tanabe</t>
        </is>
      </c>
      <c r="D876" t="inlineStr">
        <is>
          <t xml:space="preserve">damaged</t>
        </is>
      </c>
      <c r="E876" t="inlineStr">
        <is>
          <t xml:space="preserve">VI32_damaged.png</t>
        </is>
      </c>
      <c r="F876" t="inlineStr">
        <is>
          <t xml:space="preserve">{VISITOR_ID}_{expression}.png</t>
        </is>
      </c>
      <c r="G876" t="inlineStr">
        <is>
          <t xml:space="preserve">assets/characters/visitors/</t>
        </is>
      </c>
      <c r="H876" t="inlineStr">
        <is>
          <t xml:space="preserve">The visitor's own face in Office Hours (VisitorPresenter), reacting to whether your answer was right.</t>
        </is>
      </c>
      <c r="I876" t="inlineStr">
        <is>
          <t xml:space="preserve">1024 x 1536 px (2:3, full body head-to-feet, transparent background)</t>
        </is>
      </c>
      <c r="J876" t="inlineStr">
        <is>
          <t xml:space="preserve">No</t>
        </is>
      </c>
      <c r="K876" t="inlineStr">
        <is>
          <t xml:space="preserve">Shown after a wrong answer.</t>
        </is>
      </c>
    </row>
    <row r="877" spans="1:11">
      <c r="A877" t="inlineStr">
        <is>
          <t xml:space="preserve">VI33</t>
        </is>
      </c>
      <c r="B877" t="inlineStr">
        <is>
          <t xml:space="preserve">Visitor</t>
        </is>
      </c>
      <c r="C877" t="inlineStr">
        <is>
          <t xml:space="preserve">Shiro Kannari</t>
        </is>
      </c>
      <c r="D877" t="inlineStr">
        <is>
          <t xml:space="preserve">neutral</t>
        </is>
      </c>
      <c r="E877" t="inlineStr">
        <is>
          <t xml:space="preserve">VI33_neutral.png</t>
        </is>
      </c>
      <c r="F877" t="inlineStr">
        <is>
          <t xml:space="preserve">{VISITOR_ID}_{expression}.png</t>
        </is>
      </c>
      <c r="G877" t="inlineStr">
        <is>
          <t xml:space="preserve">assets/characters/visitors/</t>
        </is>
      </c>
      <c r="H877" t="inlineStr">
        <is>
          <t xml:space="preserve">The visitor's own face in Office Hours (VisitorPresenter), reacting to whether your answer was right.</t>
        </is>
      </c>
      <c r="I877" t="inlineStr">
        <is>
          <t xml:space="preserve">1024 x 1536 px (2:3, full body head-to-feet, transparent background)</t>
        </is>
      </c>
      <c r="J877" t="inlineStr">
        <is>
          <t xml:space="preserve">No</t>
        </is>
      </c>
      <c r="K877" t="inlineStr">
        <is>
          <t xml:space="preserve">Shown while the visitor is waiting on an answer.</t>
        </is>
      </c>
    </row>
    <row r="878" spans="1:11">
      <c r="A878" t="inlineStr">
        <is>
          <t xml:space="preserve">VI33</t>
        </is>
      </c>
      <c r="B878" t="inlineStr">
        <is>
          <t xml:space="preserve">Visitor</t>
        </is>
      </c>
      <c r="C878" t="inlineStr">
        <is>
          <t xml:space="preserve">Shiro Kannari</t>
        </is>
      </c>
      <c r="D878" t="inlineStr">
        <is>
          <t xml:space="preserve">gaining</t>
        </is>
      </c>
      <c r="E878" t="inlineStr">
        <is>
          <t xml:space="preserve">VI33_gaining.png</t>
        </is>
      </c>
      <c r="F878" t="inlineStr">
        <is>
          <t xml:space="preserve">{VISITOR_ID}_{expression}.png</t>
        </is>
      </c>
      <c r="G878" t="inlineStr">
        <is>
          <t xml:space="preserve">assets/characters/visitors/</t>
        </is>
      </c>
      <c r="H878" t="inlineStr">
        <is>
          <t xml:space="preserve">The visitor's own face in Office Hours (VisitorPresenter), reacting to whether your answer was right.</t>
        </is>
      </c>
      <c r="I878" t="inlineStr">
        <is>
          <t xml:space="preserve">1024 x 1536 px (2:3, full body head-to-feet, transparent background)</t>
        </is>
      </c>
      <c r="J878" t="inlineStr">
        <is>
          <t xml:space="preserve">No</t>
        </is>
      </c>
      <c r="K878" t="inlineStr">
        <is>
          <t xml:space="preserve">Shown after a correct answer.</t>
        </is>
      </c>
    </row>
    <row r="879" spans="1:11">
      <c r="A879" t="inlineStr">
        <is>
          <t xml:space="preserve">VI33</t>
        </is>
      </c>
      <c r="B879" t="inlineStr">
        <is>
          <t xml:space="preserve">Visitor</t>
        </is>
      </c>
      <c r="C879" t="inlineStr">
        <is>
          <t xml:space="preserve">Shiro Kannari</t>
        </is>
      </c>
      <c r="D879" t="inlineStr">
        <is>
          <t xml:space="preserve">damaged</t>
        </is>
      </c>
      <c r="E879" t="inlineStr">
        <is>
          <t xml:space="preserve">VI33_damaged.png</t>
        </is>
      </c>
      <c r="F879" t="inlineStr">
        <is>
          <t xml:space="preserve">{VISITOR_ID}_{expression}.png</t>
        </is>
      </c>
      <c r="G879" t="inlineStr">
        <is>
          <t xml:space="preserve">assets/characters/visitors/</t>
        </is>
      </c>
      <c r="H879" t="inlineStr">
        <is>
          <t xml:space="preserve">The visitor's own face in Office Hours (VisitorPresenter), reacting to whether your answer was right.</t>
        </is>
      </c>
      <c r="I879" t="inlineStr">
        <is>
          <t xml:space="preserve">1024 x 1536 px (2:3, full body head-to-feet, transparent background)</t>
        </is>
      </c>
      <c r="J879" t="inlineStr">
        <is>
          <t xml:space="preserve">No</t>
        </is>
      </c>
      <c r="K879" t="inlineStr">
        <is>
          <t xml:space="preserve">Shown after a wrong answer.</t>
        </is>
      </c>
    </row>
    <row r="880" spans="1:11">
      <c r="A880" t="inlineStr">
        <is>
          <t xml:space="preserve">VI34</t>
        </is>
      </c>
      <c r="B880" t="inlineStr">
        <is>
          <t xml:space="preserve">Visitor</t>
        </is>
      </c>
      <c r="C880" t="inlineStr">
        <is>
          <t xml:space="preserve">Gordon Hale-Takeda</t>
        </is>
      </c>
      <c r="D880" t="inlineStr">
        <is>
          <t xml:space="preserve">neutral</t>
        </is>
      </c>
      <c r="E880" t="inlineStr">
        <is>
          <t xml:space="preserve">VI34_neutral.png</t>
        </is>
      </c>
      <c r="F880" t="inlineStr">
        <is>
          <t xml:space="preserve">{VISITOR_ID}_{expression}.png</t>
        </is>
      </c>
      <c r="G880" t="inlineStr">
        <is>
          <t xml:space="preserve">assets/characters/visitors/</t>
        </is>
      </c>
      <c r="H880" t="inlineStr">
        <is>
          <t xml:space="preserve">The visitor's own face in Office Hours (VisitorPresenter), reacting to whether your answer was right.</t>
        </is>
      </c>
      <c r="I880" t="inlineStr">
        <is>
          <t xml:space="preserve">1024 x 1536 px (2:3, full body head-to-feet, transparent background)</t>
        </is>
      </c>
      <c r="J880" t="inlineStr">
        <is>
          <t xml:space="preserve">No</t>
        </is>
      </c>
      <c r="K880" t="inlineStr">
        <is>
          <t xml:space="preserve">Shown while the visitor is waiting on an answer.</t>
        </is>
      </c>
    </row>
    <row r="881" spans="1:11">
      <c r="A881" t="inlineStr">
        <is>
          <t xml:space="preserve">VI34</t>
        </is>
      </c>
      <c r="B881" t="inlineStr">
        <is>
          <t xml:space="preserve">Visitor</t>
        </is>
      </c>
      <c r="C881" t="inlineStr">
        <is>
          <t xml:space="preserve">Gordon Hale-Takeda</t>
        </is>
      </c>
      <c r="D881" t="inlineStr">
        <is>
          <t xml:space="preserve">gaining</t>
        </is>
      </c>
      <c r="E881" t="inlineStr">
        <is>
          <t xml:space="preserve">VI34_gaining.png</t>
        </is>
      </c>
      <c r="F881" t="inlineStr">
        <is>
          <t xml:space="preserve">{VISITOR_ID}_{expression}.png</t>
        </is>
      </c>
      <c r="G881" t="inlineStr">
        <is>
          <t xml:space="preserve">assets/characters/visitors/</t>
        </is>
      </c>
      <c r="H881" t="inlineStr">
        <is>
          <t xml:space="preserve">The visitor's own face in Office Hours (VisitorPresenter), reacting to whether your answer was right.</t>
        </is>
      </c>
      <c r="I881" t="inlineStr">
        <is>
          <t xml:space="preserve">1024 x 1536 px (2:3, full body head-to-feet, transparent background)</t>
        </is>
      </c>
      <c r="J881" t="inlineStr">
        <is>
          <t xml:space="preserve">No</t>
        </is>
      </c>
      <c r="K881" t="inlineStr">
        <is>
          <t xml:space="preserve">Shown after a correct answer.</t>
        </is>
      </c>
    </row>
    <row r="882" spans="1:11">
      <c r="A882" t="inlineStr">
        <is>
          <t xml:space="preserve">VI34</t>
        </is>
      </c>
      <c r="B882" t="inlineStr">
        <is>
          <t xml:space="preserve">Visitor</t>
        </is>
      </c>
      <c r="C882" t="inlineStr">
        <is>
          <t xml:space="preserve">Gordon Hale-Takeda</t>
        </is>
      </c>
      <c r="D882" t="inlineStr">
        <is>
          <t xml:space="preserve">damaged</t>
        </is>
      </c>
      <c r="E882" t="inlineStr">
        <is>
          <t xml:space="preserve">VI34_damaged.png</t>
        </is>
      </c>
      <c r="F882" t="inlineStr">
        <is>
          <t xml:space="preserve">{VISITOR_ID}_{expression}.png</t>
        </is>
      </c>
      <c r="G882" t="inlineStr">
        <is>
          <t xml:space="preserve">assets/characters/visitors/</t>
        </is>
      </c>
      <c r="H882" t="inlineStr">
        <is>
          <t xml:space="preserve">The visitor's own face in Office Hours (VisitorPresenter), reacting to whether your answer was right.</t>
        </is>
      </c>
      <c r="I882" t="inlineStr">
        <is>
          <t xml:space="preserve">1024 x 1536 px (2:3, full body head-to-feet, transparent background)</t>
        </is>
      </c>
      <c r="J882" t="inlineStr">
        <is>
          <t xml:space="preserve">No</t>
        </is>
      </c>
      <c r="K882" t="inlineStr">
        <is>
          <t xml:space="preserve">Shown after a wrong answer.</t>
        </is>
      </c>
    </row>
    <row r="883" spans="1:11">
      <c r="A883" t="inlineStr">
        <is>
          <t xml:space="preserve">VI35</t>
        </is>
      </c>
      <c r="B883" t="inlineStr">
        <is>
          <t xml:space="preserve">Visitor</t>
        </is>
      </c>
      <c r="C883" t="inlineStr">
        <is>
          <t xml:space="preserve">Haruka Chiri</t>
        </is>
      </c>
      <c r="D883" t="inlineStr">
        <is>
          <t xml:space="preserve">neutral</t>
        </is>
      </c>
      <c r="E883" t="inlineStr">
        <is>
          <t xml:space="preserve">VI35_neutral.png</t>
        </is>
      </c>
      <c r="F883" t="inlineStr">
        <is>
          <t xml:space="preserve">{VISITOR_ID}_{expression}.png</t>
        </is>
      </c>
      <c r="G883" t="inlineStr">
        <is>
          <t xml:space="preserve">assets/characters/visitors/</t>
        </is>
      </c>
      <c r="H883" t="inlineStr">
        <is>
          <t xml:space="preserve">The visitor's own face in Office Hours (VisitorPresenter), reacting to whether your answer was right.</t>
        </is>
      </c>
      <c r="I883" t="inlineStr">
        <is>
          <t xml:space="preserve">1024 x 1536 px (2:3, full body head-to-feet, transparent background)</t>
        </is>
      </c>
      <c r="J883" t="inlineStr">
        <is>
          <t xml:space="preserve">No</t>
        </is>
      </c>
      <c r="K883" t="inlineStr">
        <is>
          <t xml:space="preserve">Shown while the visitor is waiting on an answer.</t>
        </is>
      </c>
    </row>
    <row r="884" spans="1:11">
      <c r="A884" t="inlineStr">
        <is>
          <t xml:space="preserve">VI35</t>
        </is>
      </c>
      <c r="B884" t="inlineStr">
        <is>
          <t xml:space="preserve">Visitor</t>
        </is>
      </c>
      <c r="C884" t="inlineStr">
        <is>
          <t xml:space="preserve">Haruka Chiri</t>
        </is>
      </c>
      <c r="D884" t="inlineStr">
        <is>
          <t xml:space="preserve">gaining</t>
        </is>
      </c>
      <c r="E884" t="inlineStr">
        <is>
          <t xml:space="preserve">VI35_gaining.png</t>
        </is>
      </c>
      <c r="F884" t="inlineStr">
        <is>
          <t xml:space="preserve">{VISITOR_ID}_{expression}.png</t>
        </is>
      </c>
      <c r="G884" t="inlineStr">
        <is>
          <t xml:space="preserve">assets/characters/visitors/</t>
        </is>
      </c>
      <c r="H884" t="inlineStr">
        <is>
          <t xml:space="preserve">The visitor's own face in Office Hours (VisitorPresenter), reacting to whether your answer was right.</t>
        </is>
      </c>
      <c r="I884" t="inlineStr">
        <is>
          <t xml:space="preserve">1024 x 1536 px (2:3, full body head-to-feet, transparent background)</t>
        </is>
      </c>
      <c r="J884" t="inlineStr">
        <is>
          <t xml:space="preserve">No</t>
        </is>
      </c>
      <c r="K884" t="inlineStr">
        <is>
          <t xml:space="preserve">Shown after a correct answer.</t>
        </is>
      </c>
    </row>
    <row r="885" spans="1:11">
      <c r="A885" t="inlineStr">
        <is>
          <t xml:space="preserve">VI35</t>
        </is>
      </c>
      <c r="B885" t="inlineStr">
        <is>
          <t xml:space="preserve">Visitor</t>
        </is>
      </c>
      <c r="C885" t="inlineStr">
        <is>
          <t xml:space="preserve">Haruka Chiri</t>
        </is>
      </c>
      <c r="D885" t="inlineStr">
        <is>
          <t xml:space="preserve">damaged</t>
        </is>
      </c>
      <c r="E885" t="inlineStr">
        <is>
          <t xml:space="preserve">VI35_damaged.png</t>
        </is>
      </c>
      <c r="F885" t="inlineStr">
        <is>
          <t xml:space="preserve">{VISITOR_ID}_{expression}.png</t>
        </is>
      </c>
      <c r="G885" t="inlineStr">
        <is>
          <t xml:space="preserve">assets/characters/visitors/</t>
        </is>
      </c>
      <c r="H885" t="inlineStr">
        <is>
          <t xml:space="preserve">The visitor's own face in Office Hours (VisitorPresenter), reacting to whether your answer was right.</t>
        </is>
      </c>
      <c r="I885" t="inlineStr">
        <is>
          <t xml:space="preserve">1024 x 1536 px (2:3, full body head-to-feet, transparent background)</t>
        </is>
      </c>
      <c r="J885" t="inlineStr">
        <is>
          <t xml:space="preserve">No</t>
        </is>
      </c>
      <c r="K885" t="inlineStr">
        <is>
          <t xml:space="preserve">Shown after a wrong answer.</t>
        </is>
      </c>
    </row>
    <row r="886" spans="1:11">
      <c r="A886" t="inlineStr">
        <is>
          <t xml:space="preserve">VI36</t>
        </is>
      </c>
      <c r="B886" t="inlineStr">
        <is>
          <t xml:space="preserve">Visitor</t>
        </is>
      </c>
      <c r="C886" t="inlineStr">
        <is>
          <t xml:space="preserve">Walter Kimura</t>
        </is>
      </c>
      <c r="D886" t="inlineStr">
        <is>
          <t xml:space="preserve">neutral</t>
        </is>
      </c>
      <c r="E886" t="inlineStr">
        <is>
          <t xml:space="preserve">VI36_neutral.png</t>
        </is>
      </c>
      <c r="F886" t="inlineStr">
        <is>
          <t xml:space="preserve">{VISITOR_ID}_{expression}.png</t>
        </is>
      </c>
      <c r="G886" t="inlineStr">
        <is>
          <t xml:space="preserve">assets/characters/visitors/</t>
        </is>
      </c>
      <c r="H886" t="inlineStr">
        <is>
          <t xml:space="preserve">The visitor's own face in Office Hours (VisitorPresenter), reacting to whether your answer was right.</t>
        </is>
      </c>
      <c r="I886" t="inlineStr">
        <is>
          <t xml:space="preserve">1024 x 1536 px (2:3, full body head-to-feet, transparent background)</t>
        </is>
      </c>
      <c r="J886" t="inlineStr">
        <is>
          <t xml:space="preserve">No</t>
        </is>
      </c>
      <c r="K886" t="inlineStr">
        <is>
          <t xml:space="preserve">Shown while the visitor is waiting on an answer.</t>
        </is>
      </c>
    </row>
    <row r="887" spans="1:11">
      <c r="A887" t="inlineStr">
        <is>
          <t xml:space="preserve">VI36</t>
        </is>
      </c>
      <c r="B887" t="inlineStr">
        <is>
          <t xml:space="preserve">Visitor</t>
        </is>
      </c>
      <c r="C887" t="inlineStr">
        <is>
          <t xml:space="preserve">Walter Kimura</t>
        </is>
      </c>
      <c r="D887" t="inlineStr">
        <is>
          <t xml:space="preserve">gaining</t>
        </is>
      </c>
      <c r="E887" t="inlineStr">
        <is>
          <t xml:space="preserve">VI36_gaining.png</t>
        </is>
      </c>
      <c r="F887" t="inlineStr">
        <is>
          <t xml:space="preserve">{VISITOR_ID}_{expression}.png</t>
        </is>
      </c>
      <c r="G887" t="inlineStr">
        <is>
          <t xml:space="preserve">assets/characters/visitors/</t>
        </is>
      </c>
      <c r="H887" t="inlineStr">
        <is>
          <t xml:space="preserve">The visitor's own face in Office Hours (VisitorPresenter), reacting to whether your answer was right.</t>
        </is>
      </c>
      <c r="I887" t="inlineStr">
        <is>
          <t xml:space="preserve">1024 x 1536 px (2:3, full body head-to-feet, transparent background)</t>
        </is>
      </c>
      <c r="J887" t="inlineStr">
        <is>
          <t xml:space="preserve">No</t>
        </is>
      </c>
      <c r="K887" t="inlineStr">
        <is>
          <t xml:space="preserve">Shown after a correct answer.</t>
        </is>
      </c>
    </row>
    <row r="888" spans="1:11">
      <c r="A888" t="inlineStr">
        <is>
          <t xml:space="preserve">VI36</t>
        </is>
      </c>
      <c r="B888" t="inlineStr">
        <is>
          <t xml:space="preserve">Visitor</t>
        </is>
      </c>
      <c r="C888" t="inlineStr">
        <is>
          <t xml:space="preserve">Walter Kimura</t>
        </is>
      </c>
      <c r="D888" t="inlineStr">
        <is>
          <t xml:space="preserve">damaged</t>
        </is>
      </c>
      <c r="E888" t="inlineStr">
        <is>
          <t xml:space="preserve">VI36_damaged.png</t>
        </is>
      </c>
      <c r="F888" t="inlineStr">
        <is>
          <t xml:space="preserve">{VISITOR_ID}_{expression}.png</t>
        </is>
      </c>
      <c r="G888" t="inlineStr">
        <is>
          <t xml:space="preserve">assets/characters/visitors/</t>
        </is>
      </c>
      <c r="H888" t="inlineStr">
        <is>
          <t xml:space="preserve">The visitor's own face in Office Hours (VisitorPresenter), reacting to whether your answer was right.</t>
        </is>
      </c>
      <c r="I888" t="inlineStr">
        <is>
          <t xml:space="preserve">1024 x 1536 px (2:3, full body head-to-feet, transparent background)</t>
        </is>
      </c>
      <c r="J888" t="inlineStr">
        <is>
          <t xml:space="preserve">No</t>
        </is>
      </c>
      <c r="K888" t="inlineStr">
        <is>
          <t xml:space="preserve">Shown after a wrong answer.</t>
        </is>
      </c>
    </row>
    <row r="889" spans="1:11">
      <c r="A889" t="inlineStr">
        <is>
          <t xml:space="preserve">VI37</t>
        </is>
      </c>
      <c r="B889" t="inlineStr">
        <is>
          <t xml:space="preserve">Visitor</t>
        </is>
      </c>
      <c r="C889" t="inlineStr">
        <is>
          <t xml:space="preserve">Yukiko Rowan-Sato</t>
        </is>
      </c>
      <c r="D889" t="inlineStr">
        <is>
          <t xml:space="preserve">neutral</t>
        </is>
      </c>
      <c r="E889" t="inlineStr">
        <is>
          <t xml:space="preserve">VI37_neutral.png</t>
        </is>
      </c>
      <c r="F889" t="inlineStr">
        <is>
          <t xml:space="preserve">{VISITOR_ID}_{expression}.png</t>
        </is>
      </c>
      <c r="G889" t="inlineStr">
        <is>
          <t xml:space="preserve">assets/characters/visitors/</t>
        </is>
      </c>
      <c r="H889" t="inlineStr">
        <is>
          <t xml:space="preserve">The visitor's own face in Office Hours (VisitorPresenter), reacting to whether your answer was right.</t>
        </is>
      </c>
      <c r="I889" t="inlineStr">
        <is>
          <t xml:space="preserve">1024 x 1536 px (2:3, full body head-to-feet, transparent background)</t>
        </is>
      </c>
      <c r="J889" t="inlineStr">
        <is>
          <t xml:space="preserve">No</t>
        </is>
      </c>
      <c r="K889" t="inlineStr">
        <is>
          <t xml:space="preserve">Shown while the visitor is waiting on an answer.</t>
        </is>
      </c>
    </row>
    <row r="890" spans="1:11">
      <c r="A890" t="inlineStr">
        <is>
          <t xml:space="preserve">VI37</t>
        </is>
      </c>
      <c r="B890" t="inlineStr">
        <is>
          <t xml:space="preserve">Visitor</t>
        </is>
      </c>
      <c r="C890" t="inlineStr">
        <is>
          <t xml:space="preserve">Yukiko Rowan-Sato</t>
        </is>
      </c>
      <c r="D890" t="inlineStr">
        <is>
          <t xml:space="preserve">gaining</t>
        </is>
      </c>
      <c r="E890" t="inlineStr">
        <is>
          <t xml:space="preserve">VI37_gaining.png</t>
        </is>
      </c>
      <c r="F890" t="inlineStr">
        <is>
          <t xml:space="preserve">{VISITOR_ID}_{expression}.png</t>
        </is>
      </c>
      <c r="G890" t="inlineStr">
        <is>
          <t xml:space="preserve">assets/characters/visitors/</t>
        </is>
      </c>
      <c r="H890" t="inlineStr">
        <is>
          <t xml:space="preserve">The visitor's own face in Office Hours (VisitorPresenter), reacting to whether your answer was right.</t>
        </is>
      </c>
      <c r="I890" t="inlineStr">
        <is>
          <t xml:space="preserve">1024 x 1536 px (2:3, full body head-to-feet, transparent background)</t>
        </is>
      </c>
      <c r="J890" t="inlineStr">
        <is>
          <t xml:space="preserve">No</t>
        </is>
      </c>
      <c r="K890" t="inlineStr">
        <is>
          <t xml:space="preserve">Shown after a correct answer.</t>
        </is>
      </c>
    </row>
    <row r="891" spans="1:11">
      <c r="A891" t="inlineStr">
        <is>
          <t xml:space="preserve">VI37</t>
        </is>
      </c>
      <c r="B891" t="inlineStr">
        <is>
          <t xml:space="preserve">Visitor</t>
        </is>
      </c>
      <c r="C891" t="inlineStr">
        <is>
          <t xml:space="preserve">Yukiko Rowan-Sato</t>
        </is>
      </c>
      <c r="D891" t="inlineStr">
        <is>
          <t xml:space="preserve">damaged</t>
        </is>
      </c>
      <c r="E891" t="inlineStr">
        <is>
          <t xml:space="preserve">VI37_damaged.png</t>
        </is>
      </c>
      <c r="F891" t="inlineStr">
        <is>
          <t xml:space="preserve">{VISITOR_ID}_{expression}.png</t>
        </is>
      </c>
      <c r="G891" t="inlineStr">
        <is>
          <t xml:space="preserve">assets/characters/visitors/</t>
        </is>
      </c>
      <c r="H891" t="inlineStr">
        <is>
          <t xml:space="preserve">The visitor's own face in Office Hours (VisitorPresenter), reacting to whether your answer was right.</t>
        </is>
      </c>
      <c r="I891" t="inlineStr">
        <is>
          <t xml:space="preserve">1024 x 1536 px (2:3, full body head-to-feet, transparent background)</t>
        </is>
      </c>
      <c r="J891" t="inlineStr">
        <is>
          <t xml:space="preserve">No</t>
        </is>
      </c>
      <c r="K891" t="inlineStr">
        <is>
          <t xml:space="preserve">Shown after a wrong answer.</t>
        </is>
      </c>
    </row>
    <row r="892" spans="1:11">
      <c r="A892" t="inlineStr">
        <is>
          <t xml:space="preserve">VI38</t>
        </is>
      </c>
      <c r="B892" t="inlineStr">
        <is>
          <t xml:space="preserve">Visitor</t>
        </is>
      </c>
      <c r="C892" t="inlineStr">
        <is>
          <t xml:space="preserve">Tetsuo Aoki</t>
        </is>
      </c>
      <c r="D892" t="inlineStr">
        <is>
          <t xml:space="preserve">neutral</t>
        </is>
      </c>
      <c r="E892" t="inlineStr">
        <is>
          <t xml:space="preserve">VI38_neutral.png</t>
        </is>
      </c>
      <c r="F892" t="inlineStr">
        <is>
          <t xml:space="preserve">{VISITOR_ID}_{expression}.png</t>
        </is>
      </c>
      <c r="G892" t="inlineStr">
        <is>
          <t xml:space="preserve">assets/characters/visitors/</t>
        </is>
      </c>
      <c r="H892" t="inlineStr">
        <is>
          <t xml:space="preserve">The visitor's own face in Office Hours (VisitorPresenter), reacting to whether your answer was right.</t>
        </is>
      </c>
      <c r="I892" t="inlineStr">
        <is>
          <t xml:space="preserve">1024 x 1536 px (2:3, full body head-to-feet, transparent background)</t>
        </is>
      </c>
      <c r="J892" t="inlineStr">
        <is>
          <t xml:space="preserve">No</t>
        </is>
      </c>
      <c r="K892" t="inlineStr">
        <is>
          <t xml:space="preserve">Shown while the visitor is waiting on an answer.</t>
        </is>
      </c>
    </row>
    <row r="893" spans="1:11">
      <c r="A893" t="inlineStr">
        <is>
          <t xml:space="preserve">VI38</t>
        </is>
      </c>
      <c r="B893" t="inlineStr">
        <is>
          <t xml:space="preserve">Visitor</t>
        </is>
      </c>
      <c r="C893" t="inlineStr">
        <is>
          <t xml:space="preserve">Tetsuo Aoki</t>
        </is>
      </c>
      <c r="D893" t="inlineStr">
        <is>
          <t xml:space="preserve">gaining</t>
        </is>
      </c>
      <c r="E893" t="inlineStr">
        <is>
          <t xml:space="preserve">VI38_gaining.png</t>
        </is>
      </c>
      <c r="F893" t="inlineStr">
        <is>
          <t xml:space="preserve">{VISITOR_ID}_{expression}.png</t>
        </is>
      </c>
      <c r="G893" t="inlineStr">
        <is>
          <t xml:space="preserve">assets/characters/visitors/</t>
        </is>
      </c>
      <c r="H893" t="inlineStr">
        <is>
          <t xml:space="preserve">The visitor's own face in Office Hours (VisitorPresenter), reacting to whether your answer was right.</t>
        </is>
      </c>
      <c r="I893" t="inlineStr">
        <is>
          <t xml:space="preserve">1024 x 1536 px (2:3, full body head-to-feet, transparent background)</t>
        </is>
      </c>
      <c r="J893" t="inlineStr">
        <is>
          <t xml:space="preserve">No</t>
        </is>
      </c>
      <c r="K893" t="inlineStr">
        <is>
          <t xml:space="preserve">Shown after a correct answer.</t>
        </is>
      </c>
    </row>
    <row r="894" spans="1:11">
      <c r="A894" t="inlineStr">
        <is>
          <t xml:space="preserve">VI38</t>
        </is>
      </c>
      <c r="B894" t="inlineStr">
        <is>
          <t xml:space="preserve">Visitor</t>
        </is>
      </c>
      <c r="C894" t="inlineStr">
        <is>
          <t xml:space="preserve">Tetsuo Aoki</t>
        </is>
      </c>
      <c r="D894" t="inlineStr">
        <is>
          <t xml:space="preserve">damaged</t>
        </is>
      </c>
      <c r="E894" t="inlineStr">
        <is>
          <t xml:space="preserve">VI38_damaged.png</t>
        </is>
      </c>
      <c r="F894" t="inlineStr">
        <is>
          <t xml:space="preserve">{VISITOR_ID}_{expression}.png</t>
        </is>
      </c>
      <c r="G894" t="inlineStr">
        <is>
          <t xml:space="preserve">assets/characters/visitors/</t>
        </is>
      </c>
      <c r="H894" t="inlineStr">
        <is>
          <t xml:space="preserve">The visitor's own face in Office Hours (VisitorPresenter), reacting to whether your answer was right.</t>
        </is>
      </c>
      <c r="I894" t="inlineStr">
        <is>
          <t xml:space="preserve">1024 x 1536 px (2:3, full body head-to-feet, transparent background)</t>
        </is>
      </c>
      <c r="J894" t="inlineStr">
        <is>
          <t xml:space="preserve">No</t>
        </is>
      </c>
      <c r="K894" t="inlineStr">
        <is>
          <t xml:space="preserve">Shown after a wrong answer.</t>
        </is>
      </c>
    </row>
    <row r="895" spans="1:11">
      <c r="A895" t="inlineStr">
        <is>
          <t xml:space="preserve">VI39</t>
        </is>
      </c>
      <c r="B895" t="inlineStr">
        <is>
          <t xml:space="preserve">Visitor</t>
        </is>
      </c>
      <c r="C895" t="inlineStr">
        <is>
          <t xml:space="preserve">Ray Kaizawa-Mercer</t>
        </is>
      </c>
      <c r="D895" t="inlineStr">
        <is>
          <t xml:space="preserve">neutral</t>
        </is>
      </c>
      <c r="E895" t="inlineStr">
        <is>
          <t xml:space="preserve">VI39_neutral.png</t>
        </is>
      </c>
      <c r="F895" t="inlineStr">
        <is>
          <t xml:space="preserve">{VISITOR_ID}_{expression}.png</t>
        </is>
      </c>
      <c r="G895" t="inlineStr">
        <is>
          <t xml:space="preserve">assets/characters/visitors/</t>
        </is>
      </c>
      <c r="H895" t="inlineStr">
        <is>
          <t xml:space="preserve">The visitor's own face in Office Hours (VisitorPresenter), reacting to whether your answer was right.</t>
        </is>
      </c>
      <c r="I895" t="inlineStr">
        <is>
          <t xml:space="preserve">1024 x 1536 px (2:3, full body head-to-feet, transparent background)</t>
        </is>
      </c>
      <c r="J895" t="inlineStr">
        <is>
          <t xml:space="preserve">No</t>
        </is>
      </c>
      <c r="K895" t="inlineStr">
        <is>
          <t xml:space="preserve">Shown while the visitor is waiting on an answer.</t>
        </is>
      </c>
    </row>
    <row r="896" spans="1:11">
      <c r="A896" t="inlineStr">
        <is>
          <t xml:space="preserve">VI39</t>
        </is>
      </c>
      <c r="B896" t="inlineStr">
        <is>
          <t xml:space="preserve">Visitor</t>
        </is>
      </c>
      <c r="C896" t="inlineStr">
        <is>
          <t xml:space="preserve">Ray Kaizawa-Mercer</t>
        </is>
      </c>
      <c r="D896" t="inlineStr">
        <is>
          <t xml:space="preserve">gaining</t>
        </is>
      </c>
      <c r="E896" t="inlineStr">
        <is>
          <t xml:space="preserve">VI39_gaining.png</t>
        </is>
      </c>
      <c r="F896" t="inlineStr">
        <is>
          <t xml:space="preserve">{VISITOR_ID}_{expression}.png</t>
        </is>
      </c>
      <c r="G896" t="inlineStr">
        <is>
          <t xml:space="preserve">assets/characters/visitors/</t>
        </is>
      </c>
      <c r="H896" t="inlineStr">
        <is>
          <t xml:space="preserve">The visitor's own face in Office Hours (VisitorPresenter), reacting to whether your answer was right.</t>
        </is>
      </c>
      <c r="I896" t="inlineStr">
        <is>
          <t xml:space="preserve">1024 x 1536 px (2:3, full body head-to-feet, transparent background)</t>
        </is>
      </c>
      <c r="J896" t="inlineStr">
        <is>
          <t xml:space="preserve">No</t>
        </is>
      </c>
      <c r="K896" t="inlineStr">
        <is>
          <t xml:space="preserve">Shown after a correct answer.</t>
        </is>
      </c>
    </row>
    <row r="897" spans="1:11">
      <c r="A897" t="inlineStr">
        <is>
          <t xml:space="preserve">VI39</t>
        </is>
      </c>
      <c r="B897" t="inlineStr">
        <is>
          <t xml:space="preserve">Visitor</t>
        </is>
      </c>
      <c r="C897" t="inlineStr">
        <is>
          <t xml:space="preserve">Ray Kaizawa-Mercer</t>
        </is>
      </c>
      <c r="D897" t="inlineStr">
        <is>
          <t xml:space="preserve">damaged</t>
        </is>
      </c>
      <c r="E897" t="inlineStr">
        <is>
          <t xml:space="preserve">VI39_damaged.png</t>
        </is>
      </c>
      <c r="F897" t="inlineStr">
        <is>
          <t xml:space="preserve">{VISITOR_ID}_{expression}.png</t>
        </is>
      </c>
      <c r="G897" t="inlineStr">
        <is>
          <t xml:space="preserve">assets/characters/visitors/</t>
        </is>
      </c>
      <c r="H897" t="inlineStr">
        <is>
          <t xml:space="preserve">The visitor's own face in Office Hours (VisitorPresenter), reacting to whether your answer was right.</t>
        </is>
      </c>
      <c r="I897" t="inlineStr">
        <is>
          <t xml:space="preserve">1024 x 1536 px (2:3, full body head-to-feet, transparent background)</t>
        </is>
      </c>
      <c r="J897" t="inlineStr">
        <is>
          <t xml:space="preserve">No</t>
        </is>
      </c>
      <c r="K897" t="inlineStr">
        <is>
          <t xml:space="preserve">Shown after a wrong answer.</t>
        </is>
      </c>
    </row>
    <row r="898" spans="1:11">
      <c r="A898" t="s">
        <v>4303</v>
      </c>
      <c r="B898" t="s">
        <v>4304</v>
      </c>
      <c r="C898" t="s">
        <v>4305</v>
      </c>
      <c r="E898" t="s">
        <v>4306</v>
      </c>
      <c r="F898" t="s">
        <v>4307</v>
      </c>
      <c r="G898" t="s">
        <v>4308</v>
      </c>
      <c r="H898" t="s">
        <v>4309</v>
      </c>
      <c r="I898" t="s">
        <v>3476</v>
      </c>
      <c r="J898" t="s">
        <v>796</v>
      </c>
      <c r="K898" t="s">
        <v>4310</v>
      </c>
    </row>
    <row r="899" spans="1:11">
      <c r="A899" t="s">
        <v>22</v>
      </c>
      <c r="B899" t="s">
        <v>4311</v>
      </c>
      <c r="C899" t="s">
        <v>23</v>
      </c>
      <c r="E899" t="s">
        <v>4312</v>
      </c>
      <c r="F899" t="s">
        <v>4313</v>
      </c>
      <c r="G899" t="s">
        <v>4314</v>
      </c>
      <c r="H899" t="s">
        <v>4315</v>
      </c>
      <c r="I899" t="s">
        <v>4316</v>
      </c>
      <c r="J899" t="s">
        <v>650</v>
      </c>
    </row>
    <row r="900" spans="1:11">
      <c r="A900" t="s">
        <v>78</v>
      </c>
      <c r="B900" t="s">
        <v>4311</v>
      </c>
      <c r="C900" t="s">
        <v>79</v>
      </c>
      <c r="E900" t="s">
        <v>4317</v>
      </c>
      <c r="F900" t="s">
        <v>4313</v>
      </c>
      <c r="G900" t="s">
        <v>4314</v>
      </c>
      <c r="H900" t="s">
        <v>4315</v>
      </c>
      <c r="I900" t="s">
        <v>4316</v>
      </c>
      <c r="J900" t="s">
        <v>650</v>
      </c>
    </row>
    <row r="901" spans="1:11">
      <c r="A901" t="s">
        <v>142</v>
      </c>
      <c r="B901" t="s">
        <v>4311</v>
      </c>
      <c r="C901" t="s">
        <v>143</v>
      </c>
      <c r="E901" t="s">
        <v>4318</v>
      </c>
      <c r="F901" t="s">
        <v>4313</v>
      </c>
      <c r="G901" t="s">
        <v>4314</v>
      </c>
      <c r="H901" t="s">
        <v>4315</v>
      </c>
      <c r="I901" t="s">
        <v>4316</v>
      </c>
      <c r="J901" t="s">
        <v>650</v>
      </c>
    </row>
    <row r="902" spans="1:11">
      <c r="A902" t="s">
        <v>211</v>
      </c>
      <c r="B902" t="s">
        <v>4311</v>
      </c>
      <c r="C902" t="s">
        <v>212</v>
      </c>
      <c r="E902" t="s">
        <v>4319</v>
      </c>
      <c r="F902" t="s">
        <v>4313</v>
      </c>
      <c r="G902" t="s">
        <v>4314</v>
      </c>
      <c r="H902" t="s">
        <v>4315</v>
      </c>
      <c r="I902" t="s">
        <v>4316</v>
      </c>
      <c r="J902" t="s">
        <v>650</v>
      </c>
    </row>
    <row r="903" spans="1:11">
      <c r="A903" t="s">
        <v>282</v>
      </c>
      <c r="B903" t="s">
        <v>4311</v>
      </c>
      <c r="C903" t="s">
        <v>283</v>
      </c>
      <c r="E903" t="s">
        <v>4320</v>
      </c>
      <c r="F903" t="s">
        <v>4313</v>
      </c>
      <c r="G903" t="s">
        <v>4314</v>
      </c>
      <c r="H903" t="s">
        <v>4315</v>
      </c>
      <c r="I903" t="s">
        <v>4316</v>
      </c>
      <c r="J903" t="s">
        <v>650</v>
      </c>
    </row>
    <row r="904" spans="1:11">
      <c r="A904" t="s">
        <v>346</v>
      </c>
      <c r="B904" t="s">
        <v>4311</v>
      </c>
      <c r="C904" t="s">
        <v>347</v>
      </c>
      <c r="E904" t="s">
        <v>4321</v>
      </c>
      <c r="F904" t="s">
        <v>4313</v>
      </c>
      <c r="G904" t="s">
        <v>4314</v>
      </c>
      <c r="H904" t="s">
        <v>4315</v>
      </c>
      <c r="I904" t="s">
        <v>4316</v>
      </c>
      <c r="J904" t="s">
        <v>650</v>
      </c>
    </row>
    <row r="905" spans="1:11">
      <c r="A905" t="s">
        <v>93</v>
      </c>
      <c r="B905" t="s">
        <v>4311</v>
      </c>
      <c r="C905" t="s">
        <v>94</v>
      </c>
      <c r="E905" t="s">
        <v>4322</v>
      </c>
      <c r="F905" t="s">
        <v>4313</v>
      </c>
      <c r="G905" t="s">
        <v>4314</v>
      </c>
      <c r="H905" t="s">
        <v>4315</v>
      </c>
      <c r="I905" t="s">
        <v>4316</v>
      </c>
      <c r="J905" t="s">
        <v>650</v>
      </c>
    </row>
    <row r="906" spans="1:11">
      <c r="A906" t="s">
        <v>267</v>
      </c>
      <c r="B906" t="s">
        <v>4311</v>
      </c>
      <c r="C906" t="s">
        <v>268</v>
      </c>
      <c r="E906" t="s">
        <v>4323</v>
      </c>
      <c r="F906" t="s">
        <v>4313</v>
      </c>
      <c r="G906" t="s">
        <v>4314</v>
      </c>
      <c r="H906" t="s">
        <v>4315</v>
      </c>
      <c r="I906" t="s">
        <v>4316</v>
      </c>
      <c r="J906" t="s">
        <v>650</v>
      </c>
    </row>
    <row r="907" spans="1:11">
      <c r="A907" t="s">
        <v>339</v>
      </c>
      <c r="B907" t="s">
        <v>4311</v>
      </c>
      <c r="C907" t="s">
        <v>340</v>
      </c>
      <c r="E907" t="s">
        <v>4324</v>
      </c>
      <c r="F907" t="s">
        <v>4313</v>
      </c>
      <c r="G907" t="s">
        <v>4314</v>
      </c>
      <c r="H907" t="s">
        <v>4315</v>
      </c>
      <c r="I907" t="s">
        <v>4316</v>
      </c>
      <c r="J907" t="s">
        <v>650</v>
      </c>
    </row>
    <row r="908" spans="1:11">
      <c r="A908" t="s">
        <v>50</v>
      </c>
      <c r="B908" t="s">
        <v>4311</v>
      </c>
      <c r="C908" t="s">
        <v>51</v>
      </c>
      <c r="E908" t="s">
        <v>4325</v>
      </c>
      <c r="F908" t="s">
        <v>4313</v>
      </c>
      <c r="G908" t="s">
        <v>4314</v>
      </c>
      <c r="H908" t="s">
        <v>4315</v>
      </c>
      <c r="I908" t="s">
        <v>4316</v>
      </c>
      <c r="J908" t="s">
        <v>650</v>
      </c>
    </row>
    <row r="909" spans="1:10">
      <c r="A909" t="s">
        <v>64</v>
      </c>
      <c r="B909" t="s">
        <v>4311</v>
      </c>
      <c r="C909" t="s">
        <v>65</v>
      </c>
      <c r="E909" t="s">
        <v>4326</v>
      </c>
      <c r="F909" t="s">
        <v>4313</v>
      </c>
      <c r="G909" t="s">
        <v>4314</v>
      </c>
      <c r="H909" t="s">
        <v>4315</v>
      </c>
      <c r="I909" t="s">
        <v>4316</v>
      </c>
      <c r="J909" t="s">
        <v>650</v>
      </c>
    </row>
    <row r="910" spans="1:10">
      <c r="A910" t="s">
        <v>107</v>
      </c>
      <c r="B910" t="s">
        <v>4311</v>
      </c>
      <c r="C910" t="s">
        <v>108</v>
      </c>
      <c r="E910" t="s">
        <v>4327</v>
      </c>
      <c r="F910" t="s">
        <v>4313</v>
      </c>
      <c r="G910" t="s">
        <v>4314</v>
      </c>
      <c r="H910" t="s">
        <v>4315</v>
      </c>
      <c r="I910" t="s">
        <v>4316</v>
      </c>
      <c r="J910" t="s">
        <v>650</v>
      </c>
    </row>
    <row r="911" spans="1:10">
      <c r="A911" t="s">
        <v>128</v>
      </c>
      <c r="B911" t="s">
        <v>4311</v>
      </c>
      <c r="C911" t="s">
        <v>129</v>
      </c>
      <c r="E911" t="s">
        <v>4328</v>
      </c>
      <c r="F911" t="s">
        <v>4313</v>
      </c>
      <c r="G911" t="s">
        <v>4314</v>
      </c>
      <c r="H911" t="s">
        <v>4315</v>
      </c>
      <c r="I911" t="s">
        <v>4316</v>
      </c>
      <c r="J911" t="s">
        <v>650</v>
      </c>
    </row>
    <row r="912" spans="1:10">
      <c r="A912" t="s">
        <v>191</v>
      </c>
      <c r="B912" t="s">
        <v>4311</v>
      </c>
      <c r="C912" t="s">
        <v>192</v>
      </c>
      <c r="E912" t="s">
        <v>4329</v>
      </c>
      <c r="F912" t="s">
        <v>4313</v>
      </c>
      <c r="G912" t="s">
        <v>4314</v>
      </c>
      <c r="H912" t="s">
        <v>4315</v>
      </c>
      <c r="I912" t="s">
        <v>4316</v>
      </c>
      <c r="J912" t="s">
        <v>650</v>
      </c>
    </row>
    <row r="913" spans="1:10">
      <c r="A913" t="s">
        <v>253</v>
      </c>
      <c r="B913" t="s">
        <v>4311</v>
      </c>
      <c r="C913" t="s">
        <v>254</v>
      </c>
      <c r="E913" t="s">
        <v>4330</v>
      </c>
      <c r="F913" t="s">
        <v>4313</v>
      </c>
      <c r="G913" t="s">
        <v>4314</v>
      </c>
      <c r="H913" t="s">
        <v>4315</v>
      </c>
      <c r="I913" t="s">
        <v>4316</v>
      </c>
      <c r="J913" t="s">
        <v>650</v>
      </c>
    </row>
    <row r="914" spans="1:10">
      <c r="A914" t="s">
        <v>14</v>
      </c>
      <c r="B914" t="s">
        <v>4311</v>
      </c>
      <c r="C914" t="s">
        <v>15</v>
      </c>
      <c r="E914" t="s">
        <v>4331</v>
      </c>
      <c r="F914" t="s">
        <v>4313</v>
      </c>
      <c r="G914" t="s">
        <v>4314</v>
      </c>
      <c r="H914" t="s">
        <v>4315</v>
      </c>
      <c r="I914" t="s">
        <v>4316</v>
      </c>
      <c r="J914" t="s">
        <v>650</v>
      </c>
    </row>
    <row r="915" spans="1:10">
      <c r="A915" t="s">
        <v>29</v>
      </c>
      <c r="B915" t="s">
        <v>4311</v>
      </c>
      <c r="C915" t="s">
        <v>30</v>
      </c>
      <c r="E915" t="s">
        <v>4332</v>
      </c>
      <c r="F915" t="s">
        <v>4313</v>
      </c>
      <c r="G915" t="s">
        <v>4314</v>
      </c>
      <c r="H915" t="s">
        <v>4315</v>
      </c>
      <c r="I915" t="s">
        <v>4316</v>
      </c>
      <c r="J915" t="s">
        <v>650</v>
      </c>
    </row>
    <row r="916" spans="1:10">
      <c r="A916" t="s">
        <v>86</v>
      </c>
      <c r="B916" t="s">
        <v>4311</v>
      </c>
      <c r="C916" t="s">
        <v>87</v>
      </c>
      <c r="E916" t="s">
        <v>4333</v>
      </c>
      <c r="F916" t="s">
        <v>4313</v>
      </c>
      <c r="G916" t="s">
        <v>4314</v>
      </c>
      <c r="H916" t="s">
        <v>4315</v>
      </c>
      <c r="I916" t="s">
        <v>4316</v>
      </c>
      <c r="J916" t="s">
        <v>650</v>
      </c>
    </row>
    <row r="917" spans="1:10">
      <c r="A917" t="s">
        <v>150</v>
      </c>
      <c r="B917" t="s">
        <v>4311</v>
      </c>
      <c r="C917" t="s">
        <v>151</v>
      </c>
      <c r="E917" t="s">
        <v>4334</v>
      </c>
      <c r="F917" t="s">
        <v>4313</v>
      </c>
      <c r="G917" t="s">
        <v>4314</v>
      </c>
      <c r="H917" t="s">
        <v>4315</v>
      </c>
      <c r="I917" t="s">
        <v>4316</v>
      </c>
      <c r="J917" t="s">
        <v>650</v>
      </c>
    </row>
    <row r="918" spans="1:10">
      <c r="A918" t="s">
        <v>157</v>
      </c>
      <c r="B918" t="s">
        <v>4311</v>
      </c>
      <c r="C918" t="s">
        <v>158</v>
      </c>
      <c r="E918" t="s">
        <v>4335</v>
      </c>
      <c r="F918" t="s">
        <v>4313</v>
      </c>
      <c r="G918" t="s">
        <v>4314</v>
      </c>
      <c r="H918" t="s">
        <v>4315</v>
      </c>
      <c r="I918" t="s">
        <v>4316</v>
      </c>
      <c r="J918" t="s">
        <v>650</v>
      </c>
    </row>
    <row r="919" spans="1:10">
      <c r="A919" t="s">
        <v>164</v>
      </c>
      <c r="B919" t="s">
        <v>4311</v>
      </c>
      <c r="C919" t="s">
        <v>165</v>
      </c>
      <c r="E919" t="s">
        <v>4336</v>
      </c>
      <c r="F919" t="s">
        <v>4313</v>
      </c>
      <c r="G919" t="s">
        <v>4314</v>
      </c>
      <c r="H919" t="s">
        <v>4315</v>
      </c>
      <c r="I919" t="s">
        <v>4316</v>
      </c>
      <c r="J919" t="s">
        <v>650</v>
      </c>
    </row>
    <row r="920" spans="1:10">
      <c r="A920" t="s">
        <v>203</v>
      </c>
      <c r="B920" t="s">
        <v>4311</v>
      </c>
      <c r="C920" t="s">
        <v>204</v>
      </c>
      <c r="E920" t="s">
        <v>4337</v>
      </c>
      <c r="F920" t="s">
        <v>4313</v>
      </c>
      <c r="G920" t="s">
        <v>4314</v>
      </c>
      <c r="H920" t="s">
        <v>4315</v>
      </c>
      <c r="I920" t="s">
        <v>4316</v>
      </c>
      <c r="J920" t="s">
        <v>650</v>
      </c>
    </row>
    <row r="921" spans="1:10">
      <c r="A921" t="s">
        <v>218</v>
      </c>
      <c r="B921" t="s">
        <v>4311</v>
      </c>
      <c r="C921" t="s">
        <v>219</v>
      </c>
      <c r="E921" t="s">
        <v>4338</v>
      </c>
      <c r="F921" t="s">
        <v>4313</v>
      </c>
      <c r="G921" t="s">
        <v>4314</v>
      </c>
      <c r="H921" t="s">
        <v>4315</v>
      </c>
      <c r="I921" t="s">
        <v>4316</v>
      </c>
      <c r="J921" t="s">
        <v>650</v>
      </c>
    </row>
    <row r="922" spans="1:10">
      <c r="A922" t="s">
        <v>275</v>
      </c>
      <c r="B922" t="s">
        <v>4311</v>
      </c>
      <c r="C922" t="s">
        <v>276</v>
      </c>
      <c r="E922" t="s">
        <v>4339</v>
      </c>
      <c r="F922" t="s">
        <v>4313</v>
      </c>
      <c r="G922" t="s">
        <v>4314</v>
      </c>
      <c r="H922" t="s">
        <v>4315</v>
      </c>
      <c r="I922" t="s">
        <v>4316</v>
      </c>
      <c r="J922" t="s">
        <v>650</v>
      </c>
    </row>
    <row r="923" spans="1:10">
      <c r="A923" t="s">
        <v>289</v>
      </c>
      <c r="B923" t="s">
        <v>4311</v>
      </c>
      <c r="C923" t="s">
        <v>290</v>
      </c>
      <c r="E923" t="s">
        <v>4340</v>
      </c>
      <c r="F923" t="s">
        <v>4313</v>
      </c>
      <c r="G923" t="s">
        <v>4314</v>
      </c>
      <c r="H923" t="s">
        <v>4315</v>
      </c>
      <c r="I923" t="s">
        <v>4316</v>
      </c>
      <c r="J923" t="s">
        <v>650</v>
      </c>
    </row>
    <row r="924" spans="1:10">
      <c r="A924" t="s">
        <v>331</v>
      </c>
      <c r="B924" t="s">
        <v>4311</v>
      </c>
      <c r="C924" t="s">
        <v>332</v>
      </c>
      <c r="E924" t="s">
        <v>4341</v>
      </c>
      <c r="F924" t="s">
        <v>4313</v>
      </c>
      <c r="G924" t="s">
        <v>4314</v>
      </c>
      <c r="H924" t="s">
        <v>4315</v>
      </c>
      <c r="I924" t="s">
        <v>4316</v>
      </c>
      <c r="J924" t="s">
        <v>650</v>
      </c>
    </row>
    <row r="925" spans="1:10">
      <c r="A925" t="s">
        <v>352</v>
      </c>
      <c r="B925" t="s">
        <v>4311</v>
      </c>
      <c r="C925" t="s">
        <v>353</v>
      </c>
      <c r="E925" t="s">
        <v>4342</v>
      </c>
      <c r="F925" t="s">
        <v>4313</v>
      </c>
      <c r="G925" t="s">
        <v>4314</v>
      </c>
      <c r="H925" t="s">
        <v>4315</v>
      </c>
      <c r="I925" t="s">
        <v>4316</v>
      </c>
      <c r="J925" t="s">
        <v>650</v>
      </c>
    </row>
    <row r="926" spans="1:10">
      <c r="A926" t="s">
        <v>43</v>
      </c>
      <c r="B926" t="s">
        <v>4311</v>
      </c>
      <c r="C926" t="s">
        <v>44</v>
      </c>
      <c r="E926" t="s">
        <v>4343</v>
      </c>
      <c r="F926" t="s">
        <v>4313</v>
      </c>
      <c r="G926" t="s">
        <v>4314</v>
      </c>
      <c r="H926" t="s">
        <v>4315</v>
      </c>
      <c r="I926" t="s">
        <v>4316</v>
      </c>
      <c r="J926" t="s">
        <v>650</v>
      </c>
    </row>
    <row r="927" spans="1:10">
      <c r="A927" t="s">
        <v>57</v>
      </c>
      <c r="B927" t="s">
        <v>4311</v>
      </c>
      <c r="C927" t="s">
        <v>58</v>
      </c>
      <c r="E927" t="s">
        <v>4344</v>
      </c>
      <c r="F927" t="s">
        <v>4313</v>
      </c>
      <c r="G927" t="s">
        <v>4314</v>
      </c>
      <c r="H927" t="s">
        <v>4315</v>
      </c>
      <c r="I927" t="s">
        <v>4316</v>
      </c>
      <c r="J927" t="s">
        <v>650</v>
      </c>
    </row>
    <row r="928" spans="1:10">
      <c r="A928" t="s">
        <v>114</v>
      </c>
      <c r="B928" t="s">
        <v>4311</v>
      </c>
      <c r="C928" t="s">
        <v>115</v>
      </c>
      <c r="E928" t="s">
        <v>4345</v>
      </c>
      <c r="F928" t="s">
        <v>4313</v>
      </c>
      <c r="G928" t="s">
        <v>4314</v>
      </c>
      <c r="H928" t="s">
        <v>4315</v>
      </c>
      <c r="I928" t="s">
        <v>4316</v>
      </c>
      <c r="J928" t="s">
        <v>650</v>
      </c>
    </row>
    <row r="929" spans="1:10">
      <c r="A929" t="s">
        <v>121</v>
      </c>
      <c r="B929" t="s">
        <v>4311</v>
      </c>
      <c r="C929" t="s">
        <v>122</v>
      </c>
      <c r="E929" t="s">
        <v>4346</v>
      </c>
      <c r="F929" t="s">
        <v>4313</v>
      </c>
      <c r="G929" t="s">
        <v>4314</v>
      </c>
      <c r="H929" t="s">
        <v>4315</v>
      </c>
      <c r="I929" t="s">
        <v>4316</v>
      </c>
      <c r="J929" t="s">
        <v>650</v>
      </c>
    </row>
    <row r="930" spans="1:10">
      <c r="A930" t="s">
        <v>135</v>
      </c>
      <c r="B930" t="s">
        <v>4311</v>
      </c>
      <c r="C930" t="s">
        <v>136</v>
      </c>
      <c r="E930" t="s">
        <v>4347</v>
      </c>
      <c r="F930" t="s">
        <v>4313</v>
      </c>
      <c r="G930" t="s">
        <v>4314</v>
      </c>
      <c r="H930" t="s">
        <v>4315</v>
      </c>
      <c r="I930" t="s">
        <v>4316</v>
      </c>
      <c r="J930" t="s">
        <v>650</v>
      </c>
    </row>
    <row r="931" spans="1:10">
      <c r="A931" t="s">
        <v>171</v>
      </c>
      <c r="B931" t="s">
        <v>4311</v>
      </c>
      <c r="C931" t="s">
        <v>172</v>
      </c>
      <c r="E931" t="s">
        <v>4348</v>
      </c>
      <c r="F931" t="s">
        <v>4313</v>
      </c>
      <c r="G931" t="s">
        <v>4314</v>
      </c>
      <c r="H931" t="s">
        <v>4315</v>
      </c>
      <c r="I931" t="s">
        <v>4316</v>
      </c>
      <c r="J931" t="s">
        <v>650</v>
      </c>
    </row>
    <row r="932" spans="1:10">
      <c r="A932" t="s">
        <v>178</v>
      </c>
      <c r="B932" t="s">
        <v>4311</v>
      </c>
      <c r="C932" t="s">
        <v>179</v>
      </c>
      <c r="E932" t="s">
        <v>4349</v>
      </c>
      <c r="F932" t="s">
        <v>4313</v>
      </c>
      <c r="G932" t="s">
        <v>4314</v>
      </c>
      <c r="H932" t="s">
        <v>4315</v>
      </c>
      <c r="I932" t="s">
        <v>4316</v>
      </c>
      <c r="J932" t="s">
        <v>650</v>
      </c>
    </row>
    <row r="933" spans="1:10">
      <c r="A933" t="s">
        <v>232</v>
      </c>
      <c r="B933" t="s">
        <v>4311</v>
      </c>
      <c r="C933" t="s">
        <v>233</v>
      </c>
      <c r="E933" t="s">
        <v>4350</v>
      </c>
      <c r="F933" t="s">
        <v>4313</v>
      </c>
      <c r="G933" t="s">
        <v>4314</v>
      </c>
      <c r="H933" t="s">
        <v>4315</v>
      </c>
      <c r="I933" t="s">
        <v>4316</v>
      </c>
      <c r="J933" t="s">
        <v>650</v>
      </c>
    </row>
    <row r="934" spans="1:10">
      <c r="A934" t="s">
        <v>246</v>
      </c>
      <c r="B934" t="s">
        <v>4311</v>
      </c>
      <c r="C934" t="s">
        <v>247</v>
      </c>
      <c r="E934" t="s">
        <v>4351</v>
      </c>
      <c r="F934" t="s">
        <v>4313</v>
      </c>
      <c r="G934" t="s">
        <v>4314</v>
      </c>
      <c r="H934" t="s">
        <v>4315</v>
      </c>
      <c r="I934" t="s">
        <v>4316</v>
      </c>
      <c r="J934" t="s">
        <v>650</v>
      </c>
    </row>
    <row r="935" spans="1:10">
      <c r="A935" t="s">
        <v>296</v>
      </c>
      <c r="B935" t="s">
        <v>4311</v>
      </c>
      <c r="C935" t="s">
        <v>297</v>
      </c>
      <c r="E935" t="s">
        <v>4352</v>
      </c>
      <c r="F935" t="s">
        <v>4313</v>
      </c>
      <c r="G935" t="s">
        <v>4314</v>
      </c>
      <c r="H935" t="s">
        <v>4315</v>
      </c>
      <c r="I935" t="s">
        <v>4316</v>
      </c>
      <c r="J935" t="s">
        <v>650</v>
      </c>
    </row>
    <row r="936" spans="1:10">
      <c r="A936" t="s">
        <v>303</v>
      </c>
      <c r="B936" t="s">
        <v>4311</v>
      </c>
      <c r="C936" t="s">
        <v>304</v>
      </c>
      <c r="E936" t="s">
        <v>4353</v>
      </c>
      <c r="F936" t="s">
        <v>4313</v>
      </c>
      <c r="G936" t="s">
        <v>4314</v>
      </c>
      <c r="H936" t="s">
        <v>4315</v>
      </c>
      <c r="I936" t="s">
        <v>4316</v>
      </c>
      <c r="J936" t="s">
        <v>650</v>
      </c>
    </row>
    <row r="937" spans="1:10">
      <c r="A937" t="s">
        <v>310</v>
      </c>
      <c r="B937" t="s">
        <v>4311</v>
      </c>
      <c r="C937" t="s">
        <v>311</v>
      </c>
      <c r="E937" t="s">
        <v>4354</v>
      </c>
      <c r="F937" t="s">
        <v>4313</v>
      </c>
      <c r="G937" t="s">
        <v>4314</v>
      </c>
      <c r="H937" t="s">
        <v>4315</v>
      </c>
      <c r="I937" t="s">
        <v>4316</v>
      </c>
      <c r="J937" t="s">
        <v>650</v>
      </c>
    </row>
    <row r="938" spans="1:10">
      <c r="A938" t="s">
        <v>317</v>
      </c>
      <c r="B938" t="s">
        <v>4311</v>
      </c>
      <c r="C938" t="s">
        <v>318</v>
      </c>
      <c r="E938" t="s">
        <v>4355</v>
      </c>
      <c r="F938" t="s">
        <v>4313</v>
      </c>
      <c r="G938" t="s">
        <v>4314</v>
      </c>
      <c r="H938" t="s">
        <v>4315</v>
      </c>
      <c r="I938" t="s">
        <v>4316</v>
      </c>
      <c r="J938" t="s">
        <v>650</v>
      </c>
    </row>
    <row r="939" spans="1:10">
      <c r="A939" t="s">
        <v>359</v>
      </c>
      <c r="B939" t="s">
        <v>4311</v>
      </c>
      <c r="C939" t="s">
        <v>360</v>
      </c>
      <c r="E939" t="s">
        <v>4356</v>
      </c>
      <c r="F939" t="s">
        <v>4313</v>
      </c>
      <c r="G939" t="s">
        <v>4314</v>
      </c>
      <c r="H939" t="s">
        <v>4315</v>
      </c>
      <c r="I939" t="s">
        <v>4316</v>
      </c>
      <c r="J939" t="s">
        <v>650</v>
      </c>
    </row>
    <row r="940" spans="1:10">
      <c r="A940" t="s">
        <v>366</v>
      </c>
      <c r="B940" t="s">
        <v>4311</v>
      </c>
      <c r="C940" t="s">
        <v>367</v>
      </c>
      <c r="E940" t="s">
        <v>4357</v>
      </c>
      <c r="F940" t="s">
        <v>4313</v>
      </c>
      <c r="G940" t="s">
        <v>4314</v>
      </c>
      <c r="H940" t="s">
        <v>4315</v>
      </c>
      <c r="I940" t="s">
        <v>4316</v>
      </c>
      <c r="J940" t="s">
        <v>650</v>
      </c>
    </row>
    <row r="941" spans="1:10">
      <c r="A941" t="s">
        <v>372</v>
      </c>
      <c r="B941" t="s">
        <v>4311</v>
      </c>
      <c r="C941" t="s">
        <v>373</v>
      </c>
      <c r="E941" t="s">
        <v>4358</v>
      </c>
      <c r="F941" t="s">
        <v>4313</v>
      </c>
      <c r="G941" t="s">
        <v>4314</v>
      </c>
      <c r="H941" t="s">
        <v>4315</v>
      </c>
      <c r="I941" t="s">
        <v>4316</v>
      </c>
      <c r="J941" t="s">
        <v>650</v>
      </c>
    </row>
    <row r="942" spans="1:10">
      <c r="A942" t="s">
        <v>386</v>
      </c>
      <c r="B942" t="s">
        <v>4311</v>
      </c>
      <c r="C942" t="s">
        <v>387</v>
      </c>
      <c r="E942" t="s">
        <v>4359</v>
      </c>
      <c r="F942" t="s">
        <v>4313</v>
      </c>
      <c r="G942" t="s">
        <v>4314</v>
      </c>
      <c r="H942" t="s">
        <v>4315</v>
      </c>
      <c r="I942" t="s">
        <v>4316</v>
      </c>
      <c r="J942" t="s">
        <v>650</v>
      </c>
    </row>
    <row r="943" spans="1:10">
      <c r="A943" t="s">
        <v>36</v>
      </c>
      <c r="B943" t="s">
        <v>4311</v>
      </c>
      <c r="C943" t="s">
        <v>37</v>
      </c>
      <c r="E943" t="s">
        <v>4360</v>
      </c>
      <c r="F943" t="s">
        <v>4313</v>
      </c>
      <c r="G943" t="s">
        <v>4314</v>
      </c>
      <c r="H943" t="s">
        <v>4315</v>
      </c>
      <c r="I943" t="s">
        <v>4316</v>
      </c>
      <c r="J943" t="s">
        <v>650</v>
      </c>
    </row>
    <row r="944" spans="1:10">
      <c r="A944" t="s">
        <v>100</v>
      </c>
      <c r="B944" t="s">
        <v>4311</v>
      </c>
      <c r="C944" t="s">
        <v>101</v>
      </c>
      <c r="E944" t="s">
        <v>4361</v>
      </c>
      <c r="F944" t="s">
        <v>4313</v>
      </c>
      <c r="G944" t="s">
        <v>4314</v>
      </c>
      <c r="H944" t="s">
        <v>4315</v>
      </c>
      <c r="I944" t="s">
        <v>4316</v>
      </c>
      <c r="J944" t="s">
        <v>650</v>
      </c>
    </row>
    <row r="945" spans="1:10">
      <c r="A945" t="s">
        <v>225</v>
      </c>
      <c r="B945" t="s">
        <v>4311</v>
      </c>
      <c r="C945" t="s">
        <v>226</v>
      </c>
      <c r="E945" t="s">
        <v>4362</v>
      </c>
      <c r="F945" t="s">
        <v>4313</v>
      </c>
      <c r="G945" t="s">
        <v>4314</v>
      </c>
      <c r="H945" t="s">
        <v>4315</v>
      </c>
      <c r="I945" t="s">
        <v>4316</v>
      </c>
      <c r="J945" t="s">
        <v>650</v>
      </c>
    </row>
    <row r="946" spans="1:10">
      <c r="A946" t="s">
        <v>71</v>
      </c>
      <c r="B946" t="s">
        <v>4311</v>
      </c>
      <c r="C946" t="s">
        <v>72</v>
      </c>
      <c r="E946" t="s">
        <v>4363</v>
      </c>
      <c r="F946" t="s">
        <v>4313</v>
      </c>
      <c r="G946" t="s">
        <v>4314</v>
      </c>
      <c r="H946" t="s">
        <v>4315</v>
      </c>
      <c r="I946" t="s">
        <v>4316</v>
      </c>
      <c r="J946" t="s">
        <v>650</v>
      </c>
    </row>
    <row r="947" spans="1:10">
      <c r="A947" t="s">
        <v>184</v>
      </c>
      <c r="B947" t="s">
        <v>4311</v>
      </c>
      <c r="C947" t="s">
        <v>185</v>
      </c>
      <c r="E947" t="s">
        <v>4364</v>
      </c>
      <c r="F947" t="s">
        <v>4313</v>
      </c>
      <c r="G947" t="s">
        <v>4314</v>
      </c>
      <c r="H947" t="s">
        <v>4315</v>
      </c>
      <c r="I947" t="s">
        <v>4316</v>
      </c>
      <c r="J947" t="s">
        <v>650</v>
      </c>
    </row>
    <row r="948" spans="1:10">
      <c r="A948" t="s">
        <v>198</v>
      </c>
      <c r="B948" t="s">
        <v>4311</v>
      </c>
      <c r="C948" t="s">
        <v>199</v>
      </c>
      <c r="E948" t="s">
        <v>4365</v>
      </c>
      <c r="F948" t="s">
        <v>4313</v>
      </c>
      <c r="G948" t="s">
        <v>4314</v>
      </c>
      <c r="H948" t="s">
        <v>4315</v>
      </c>
      <c r="I948" t="s">
        <v>4316</v>
      </c>
      <c r="J948" t="s">
        <v>650</v>
      </c>
    </row>
    <row r="949" spans="1:10">
      <c r="A949" t="s">
        <v>239</v>
      </c>
      <c r="B949" t="s">
        <v>4311</v>
      </c>
      <c r="C949" t="s">
        <v>240</v>
      </c>
      <c r="E949" t="s">
        <v>4366</v>
      </c>
      <c r="F949" t="s">
        <v>4313</v>
      </c>
      <c r="G949" t="s">
        <v>4314</v>
      </c>
      <c r="H949" t="s">
        <v>4315</v>
      </c>
      <c r="I949" t="s">
        <v>4316</v>
      </c>
      <c r="J949" t="s">
        <v>650</v>
      </c>
    </row>
    <row r="950" spans="1:10">
      <c r="A950" t="s">
        <v>260</v>
      </c>
      <c r="B950" t="s">
        <v>4311</v>
      </c>
      <c r="C950" t="s">
        <v>261</v>
      </c>
      <c r="E950" t="s">
        <v>4367</v>
      </c>
      <c r="F950" t="s">
        <v>4313</v>
      </c>
      <c r="G950" t="s">
        <v>4314</v>
      </c>
      <c r="H950" t="s">
        <v>4315</v>
      </c>
      <c r="I950" t="s">
        <v>4316</v>
      </c>
      <c r="J950" t="s">
        <v>650</v>
      </c>
    </row>
    <row r="951" spans="1:10">
      <c r="A951" t="s">
        <v>324</v>
      </c>
      <c r="B951" t="s">
        <v>4311</v>
      </c>
      <c r="C951" t="s">
        <v>325</v>
      </c>
      <c r="E951" t="s">
        <v>4368</v>
      </c>
      <c r="F951" t="s">
        <v>4313</v>
      </c>
      <c r="G951" t="s">
        <v>4314</v>
      </c>
      <c r="H951" t="s">
        <v>4315</v>
      </c>
      <c r="I951" t="s">
        <v>4316</v>
      </c>
      <c r="J951" t="s">
        <v>650</v>
      </c>
    </row>
    <row r="952" spans="1:10">
      <c r="A952" t="s">
        <v>379</v>
      </c>
      <c r="B952" t="s">
        <v>4311</v>
      </c>
      <c r="C952" t="s">
        <v>380</v>
      </c>
      <c r="E952" t="s">
        <v>4369</v>
      </c>
      <c r="F952" t="s">
        <v>4313</v>
      </c>
      <c r="G952" t="s">
        <v>4314</v>
      </c>
      <c r="H952" t="s">
        <v>4315</v>
      </c>
      <c r="I952" t="s">
        <v>4316</v>
      </c>
      <c r="J952" t="s">
        <v>650</v>
      </c>
    </row>
    <row r="953" spans="1:10">
      <c r="A953" t="s">
        <v>4370</v>
      </c>
      <c r="B953" t="s">
        <v>4371</v>
      </c>
      <c r="C953" t="s">
        <v>4372</v>
      </c>
      <c r="E953" t="s">
        <v>4373</v>
      </c>
      <c r="F953" t="s">
        <v>4374</v>
      </c>
      <c r="G953" t="s">
        <v>4375</v>
      </c>
      <c r="H953" t="s">
        <v>4376</v>
      </c>
      <c r="I953" t="s">
        <v>4377</v>
      </c>
      <c r="J953" t="s">
        <v>671</v>
      </c>
    </row>
    <row r="954" spans="1:10">
      <c r="A954" t="s">
        <v>4378</v>
      </c>
      <c r="B954" t="s">
        <v>4379</v>
      </c>
      <c r="C954" t="s">
        <v>4372</v>
      </c>
      <c r="E954" t="s">
        <v>4380</v>
      </c>
      <c r="F954" t="s">
        <v>4381</v>
      </c>
      <c r="G954" t="s">
        <v>4375</v>
      </c>
      <c r="H954" t="s">
        <v>4382</v>
      </c>
      <c r="I954" t="s">
        <v>4377</v>
      </c>
      <c r="J954" t="s">
        <v>671</v>
      </c>
    </row>
    <row r="955" spans="1:10">
      <c r="A955" t="s">
        <v>4383</v>
      </c>
      <c r="B955" t="s">
        <v>4371</v>
      </c>
      <c r="C955" t="s">
        <v>4384</v>
      </c>
      <c r="E955" t="s">
        <v>4385</v>
      </c>
      <c r="F955" t="s">
        <v>4374</v>
      </c>
      <c r="G955" t="s">
        <v>4375</v>
      </c>
      <c r="H955" t="s">
        <v>4376</v>
      </c>
      <c r="I955" t="s">
        <v>4377</v>
      </c>
      <c r="J955" t="s">
        <v>671</v>
      </c>
    </row>
    <row r="956" spans="1:10">
      <c r="A956" t="s">
        <v>4386</v>
      </c>
      <c r="B956" t="s">
        <v>4379</v>
      </c>
      <c r="C956" t="s">
        <v>4384</v>
      </c>
      <c r="E956" t="s">
        <v>4387</v>
      </c>
      <c r="F956" t="s">
        <v>4381</v>
      </c>
      <c r="G956" t="s">
        <v>4375</v>
      </c>
      <c r="H956" t="s">
        <v>4382</v>
      </c>
      <c r="I956" t="s">
        <v>4377</v>
      </c>
      <c r="J956" t="s">
        <v>671</v>
      </c>
    </row>
    <row r="957" spans="1:11">
      <c r="A957" t="s">
        <v>4388</v>
      </c>
      <c r="B957" t="s">
        <v>4371</v>
      </c>
      <c r="C957" t="s">
        <v>4389</v>
      </c>
      <c r="E957" t="s">
        <v>4390</v>
      </c>
      <c r="F957" t="s">
        <v>4374</v>
      </c>
      <c r="G957" t="s">
        <v>4375</v>
      </c>
      <c r="H957" t="s">
        <v>4376</v>
      </c>
      <c r="I957" t="s">
        <v>4377</v>
      </c>
      <c r="J957" t="s">
        <v>671</v>
      </c>
    </row>
    <row r="958" spans="1:11">
      <c r="A958" t="s">
        <v>4391</v>
      </c>
      <c r="B958" t="s">
        <v>4379</v>
      </c>
      <c r="C958" t="s">
        <v>4389</v>
      </c>
      <c r="E958" t="s">
        <v>4392</v>
      </c>
      <c r="F958" t="s">
        <v>4381</v>
      </c>
      <c r="G958" t="s">
        <v>4375</v>
      </c>
      <c r="H958" t="s">
        <v>4382</v>
      </c>
      <c r="I958" t="s">
        <v>4377</v>
      </c>
      <c r="J958" t="s">
        <v>671</v>
      </c>
    </row>
    <row r="959" spans="1:11">
      <c r="A959" t="s">
        <v>4393</v>
      </c>
      <c r="B959" t="s">
        <v>4371</v>
      </c>
      <c r="C959" t="s">
        <v>4394</v>
      </c>
      <c r="E959" t="s">
        <v>4395</v>
      </c>
      <c r="F959" t="s">
        <v>4374</v>
      </c>
      <c r="G959" t="s">
        <v>4375</v>
      </c>
      <c r="H959" t="s">
        <v>4376</v>
      </c>
      <c r="I959" t="s">
        <v>4377</v>
      </c>
      <c r="J959" t="s">
        <v>671</v>
      </c>
    </row>
    <row r="960" spans="1:11">
      <c r="A960" t="s">
        <v>4396</v>
      </c>
      <c r="B960" t="s">
        <v>4379</v>
      </c>
      <c r="C960" t="s">
        <v>4394</v>
      </c>
      <c r="E960" t="s">
        <v>4397</v>
      </c>
      <c r="F960" t="s">
        <v>4381</v>
      </c>
      <c r="G960" t="s">
        <v>4375</v>
      </c>
      <c r="H960" t="s">
        <v>4382</v>
      </c>
      <c r="I960" t="s">
        <v>4377</v>
      </c>
      <c r="J960" t="s">
        <v>671</v>
      </c>
    </row>
    <row r="961" spans="1:11">
      <c r="A961" t="s">
        <v>4398</v>
      </c>
      <c r="B961" t="s">
        <v>4371</v>
      </c>
      <c r="C961" t="s">
        <v>4399</v>
      </c>
      <c r="E961" t="s">
        <v>4400</v>
      </c>
      <c r="F961" t="s">
        <v>4374</v>
      </c>
      <c r="G961" t="s">
        <v>4375</v>
      </c>
      <c r="H961" t="s">
        <v>4376</v>
      </c>
      <c r="I961" t="s">
        <v>4377</v>
      </c>
      <c r="J961" t="s">
        <v>671</v>
      </c>
    </row>
    <row r="962" spans="1:11">
      <c r="A962" t="s">
        <v>4401</v>
      </c>
      <c r="B962" t="s">
        <v>4379</v>
      </c>
      <c r="C962" t="s">
        <v>4399</v>
      </c>
      <c r="E962" t="s">
        <v>4402</v>
      </c>
      <c r="F962" t="s">
        <v>4381</v>
      </c>
      <c r="G962" t="s">
        <v>4375</v>
      </c>
      <c r="H962" t="s">
        <v>4382</v>
      </c>
      <c r="I962" t="s">
        <v>4377</v>
      </c>
      <c r="J962" t="s">
        <v>671</v>
      </c>
    </row>
    <row r="963" spans="1:11">
      <c r="A963" t="s">
        <v>4403</v>
      </c>
      <c r="B963" t="s">
        <v>4371</v>
      </c>
      <c r="C963" t="s">
        <v>4404</v>
      </c>
      <c r="E963" t="s">
        <v>4405</v>
      </c>
      <c r="F963" t="s">
        <v>4374</v>
      </c>
      <c r="G963" t="s">
        <v>4375</v>
      </c>
      <c r="H963" t="s">
        <v>4376</v>
      </c>
      <c r="I963" t="s">
        <v>4377</v>
      </c>
      <c r="J963" t="s">
        <v>671</v>
      </c>
    </row>
    <row r="964" spans="1:11">
      <c r="A964" t="s">
        <v>4406</v>
      </c>
      <c r="B964" t="s">
        <v>4379</v>
      </c>
      <c r="C964" t="s">
        <v>4404</v>
      </c>
      <c r="E964" t="s">
        <v>4407</v>
      </c>
      <c r="F964" t="s">
        <v>4381</v>
      </c>
      <c r="G964" t="s">
        <v>4375</v>
      </c>
      <c r="H964" t="s">
        <v>4382</v>
      </c>
      <c r="I964" t="s">
        <v>4377</v>
      </c>
      <c r="J964" t="s">
        <v>671</v>
      </c>
    </row>
    <row r="965" spans="1:11">
      <c r="A965" t="s">
        <v>4408</v>
      </c>
      <c r="B965" t="s">
        <v>4409</v>
      </c>
      <c r="C965" t="s">
        <v>4410</v>
      </c>
      <c r="E965" t="s">
        <v>4411</v>
      </c>
      <c r="F965" t="s">
        <v>4412</v>
      </c>
      <c r="G965" t="s">
        <v>4375</v>
      </c>
      <c r="H965" t="s">
        <v>4413</v>
      </c>
      <c r="I965" t="s">
        <v>4316</v>
      </c>
      <c r="J965" t="s">
        <v>671</v>
      </c>
    </row>
    <row r="966" spans="1:11">
      <c r="A966" t="s">
        <v>4414</v>
      </c>
      <c r="B966" t="s">
        <v>4415</v>
      </c>
      <c r="C966" t="s">
        <v>2269</v>
      </c>
      <c r="E966" t="s">
        <v>4416</v>
      </c>
      <c r="F966" t="s">
        <v>4417</v>
      </c>
      <c r="G966" t="s">
        <v>4418</v>
      </c>
      <c r="H966" t="s">
        <v>4419</v>
      </c>
      <c r="I966" t="s">
        <v>4420</v>
      </c>
      <c r="J966" t="s">
        <v>671</v>
      </c>
    </row>
    <row r="967" spans="1:11">
      <c r="A967" t="s">
        <v>4421</v>
      </c>
      <c r="B967" t="s">
        <v>4415</v>
      </c>
      <c r="C967" t="s">
        <v>4422</v>
      </c>
      <c r="E967" t="s">
        <v>4423</v>
      </c>
      <c r="F967" t="s">
        <v>4424</v>
      </c>
      <c r="G967" t="s">
        <v>4418</v>
      </c>
      <c r="H967" t="s">
        <v>4419</v>
      </c>
      <c r="I967" t="s">
        <v>4420</v>
      </c>
      <c r="J967" t="s">
        <v>650</v>
      </c>
      <c r="K967" t="s">
        <v>4425</v>
      </c>
    </row>
    <row r="968" spans="1:11">
      <c r="A968" t="s">
        <v>639</v>
      </c>
      <c r="B968" t="s">
        <v>4415</v>
      </c>
      <c r="C968" t="s">
        <v>640</v>
      </c>
      <c r="E968" t="s">
        <v>4426</v>
      </c>
      <c r="F968" t="s">
        <v>4417</v>
      </c>
      <c r="G968" t="s">
        <v>4418</v>
      </c>
      <c r="H968" t="s">
        <v>4419</v>
      </c>
      <c r="I968" t="s">
        <v>4420</v>
      </c>
      <c r="J968" t="s">
        <v>671</v>
      </c>
    </row>
    <row r="969" spans="1:11">
      <c r="A969" t="s">
        <v>651</v>
      </c>
      <c r="B969" t="s">
        <v>4415</v>
      </c>
      <c r="C969" t="s">
        <v>652</v>
      </c>
      <c r="E969" t="s">
        <v>4427</v>
      </c>
      <c r="F969" t="s">
        <v>4417</v>
      </c>
      <c r="G969" t="s">
        <v>4418</v>
      </c>
      <c r="H969" t="s">
        <v>4419</v>
      </c>
      <c r="I969" t="s">
        <v>4420</v>
      </c>
      <c r="J969" t="s">
        <v>671</v>
      </c>
    </row>
    <row r="970" spans="1:11">
      <c r="A970" t="s">
        <v>658</v>
      </c>
      <c r="B970" t="s">
        <v>4415</v>
      </c>
      <c r="C970" t="s">
        <v>659</v>
      </c>
      <c r="E970" t="s">
        <v>4428</v>
      </c>
      <c r="F970" t="s">
        <v>4417</v>
      </c>
      <c r="G970" t="s">
        <v>4418</v>
      </c>
      <c r="H970" t="s">
        <v>4419</v>
      </c>
      <c r="I970" t="s">
        <v>4420</v>
      </c>
      <c r="J970" t="s">
        <v>671</v>
      </c>
    </row>
    <row r="971" spans="1:11">
      <c r="A971" t="s">
        <v>664</v>
      </c>
      <c r="B971" t="s">
        <v>4415</v>
      </c>
      <c r="C971" t="s">
        <v>665</v>
      </c>
      <c r="E971" t="s">
        <v>4429</v>
      </c>
      <c r="F971" t="s">
        <v>4417</v>
      </c>
      <c r="G971" t="s">
        <v>4418</v>
      </c>
      <c r="H971" t="s">
        <v>4419</v>
      </c>
      <c r="I971" t="s">
        <v>4420</v>
      </c>
      <c r="J971" t="s">
        <v>671</v>
      </c>
    </row>
    <row r="972" spans="1:11">
      <c r="A972" t="s">
        <v>672</v>
      </c>
      <c r="B972" t="s">
        <v>4415</v>
      </c>
      <c r="C972" t="s">
        <v>673</v>
      </c>
      <c r="E972" t="s">
        <v>4430</v>
      </c>
      <c r="F972" t="s">
        <v>4417</v>
      </c>
      <c r="G972" t="s">
        <v>4418</v>
      </c>
      <c r="H972" t="s">
        <v>4419</v>
      </c>
      <c r="I972" t="s">
        <v>4420</v>
      </c>
      <c r="J972" t="s">
        <v>671</v>
      </c>
    </row>
    <row r="973" spans="1:10">
      <c r="A973" t="s">
        <v>677</v>
      </c>
      <c r="B973" t="s">
        <v>4415</v>
      </c>
      <c r="C973" t="s">
        <v>678</v>
      </c>
      <c r="E973" t="s">
        <v>4431</v>
      </c>
      <c r="F973" t="s">
        <v>4417</v>
      </c>
      <c r="G973" t="s">
        <v>4418</v>
      </c>
      <c r="H973" t="s">
        <v>4419</v>
      </c>
      <c r="I973" t="s">
        <v>4420</v>
      </c>
      <c r="J973" t="s">
        <v>671</v>
      </c>
    </row>
    <row r="974" spans="1:10">
      <c r="A974" t="s">
        <v>682</v>
      </c>
      <c r="B974" t="s">
        <v>4415</v>
      </c>
      <c r="C974" t="s">
        <v>683</v>
      </c>
      <c r="E974" t="s">
        <v>4432</v>
      </c>
      <c r="F974" t="s">
        <v>4417</v>
      </c>
      <c r="G974" t="s">
        <v>4418</v>
      </c>
      <c r="H974" t="s">
        <v>4419</v>
      </c>
      <c r="I974" t="s">
        <v>4420</v>
      </c>
      <c r="J974" t="s">
        <v>671</v>
      </c>
    </row>
    <row r="975" spans="1:10">
      <c r="A975" t="s">
        <v>688</v>
      </c>
      <c r="B975" t="s">
        <v>4415</v>
      </c>
      <c r="C975" t="s">
        <v>689</v>
      </c>
      <c r="E975" t="s">
        <v>4433</v>
      </c>
      <c r="F975" t="s">
        <v>4417</v>
      </c>
      <c r="G975" t="s">
        <v>4418</v>
      </c>
      <c r="H975" t="s">
        <v>4419</v>
      </c>
      <c r="I975" t="s">
        <v>4420</v>
      </c>
      <c r="J975" t="s">
        <v>671</v>
      </c>
    </row>
    <row r="976" spans="1:10">
      <c r="A976" t="s">
        <v>692</v>
      </c>
      <c r="B976" t="s">
        <v>4415</v>
      </c>
      <c r="C976" t="s">
        <v>516</v>
      </c>
      <c r="E976" t="s">
        <v>4434</v>
      </c>
      <c r="F976" t="s">
        <v>4417</v>
      </c>
      <c r="G976" t="s">
        <v>4418</v>
      </c>
      <c r="H976" t="s">
        <v>4419</v>
      </c>
      <c r="I976" t="s">
        <v>4420</v>
      </c>
      <c r="J976" t="s">
        <v>671</v>
      </c>
    </row>
    <row r="977" spans="1:10">
      <c r="A977" t="s">
        <v>696</v>
      </c>
      <c r="B977" t="s">
        <v>4415</v>
      </c>
      <c r="C977" t="s">
        <v>697</v>
      </c>
      <c r="E977" t="s">
        <v>4435</v>
      </c>
      <c r="F977" t="s">
        <v>4417</v>
      </c>
      <c r="G977" t="s">
        <v>4418</v>
      </c>
      <c r="H977" t="s">
        <v>4419</v>
      </c>
      <c r="I977" t="s">
        <v>4420</v>
      </c>
      <c r="J977" t="s">
        <v>671</v>
      </c>
    </row>
    <row r="978" spans="1:10">
      <c r="A978" t="s">
        <v>700</v>
      </c>
      <c r="B978" t="s">
        <v>4415</v>
      </c>
      <c r="C978" t="s">
        <v>701</v>
      </c>
      <c r="E978" t="s">
        <v>4436</v>
      </c>
      <c r="F978" t="s">
        <v>4417</v>
      </c>
      <c r="G978" t="s">
        <v>4418</v>
      </c>
      <c r="H978" t="s">
        <v>4419</v>
      </c>
      <c r="I978" t="s">
        <v>4420</v>
      </c>
      <c r="J978" t="s">
        <v>671</v>
      </c>
    </row>
    <row r="979" spans="1:10">
      <c r="A979" t="s">
        <v>704</v>
      </c>
      <c r="B979" t="s">
        <v>4415</v>
      </c>
      <c r="C979" t="s">
        <v>542</v>
      </c>
      <c r="E979" t="s">
        <v>4437</v>
      </c>
      <c r="F979" t="s">
        <v>4417</v>
      </c>
      <c r="G979" t="s">
        <v>4418</v>
      </c>
      <c r="H979" t="s">
        <v>4419</v>
      </c>
      <c r="I979" t="s">
        <v>4420</v>
      </c>
      <c r="J979" t="s">
        <v>671</v>
      </c>
    </row>
    <row r="980" spans="1:10">
      <c r="A980" t="s">
        <v>707</v>
      </c>
      <c r="B980" t="s">
        <v>4415</v>
      </c>
      <c r="C980" t="s">
        <v>708</v>
      </c>
      <c r="E980" t="s">
        <v>4438</v>
      </c>
      <c r="F980" t="s">
        <v>4417</v>
      </c>
      <c r="G980" t="s">
        <v>4418</v>
      </c>
      <c r="H980" t="s">
        <v>4419</v>
      </c>
      <c r="I980" t="s">
        <v>4420</v>
      </c>
      <c r="J980" t="s">
        <v>671</v>
      </c>
    </row>
    <row r="981" spans="1:10">
      <c r="A981" t="s">
        <v>711</v>
      </c>
      <c r="B981" t="s">
        <v>4415</v>
      </c>
      <c r="C981" t="s">
        <v>525</v>
      </c>
      <c r="E981" t="s">
        <v>4439</v>
      </c>
      <c r="F981" t="s">
        <v>4417</v>
      </c>
      <c r="G981" t="s">
        <v>4418</v>
      </c>
      <c r="H981" t="s">
        <v>4419</v>
      </c>
      <c r="I981" t="s">
        <v>4420</v>
      </c>
      <c r="J981" t="s">
        <v>671</v>
      </c>
    </row>
    <row r="982" spans="1:10">
      <c r="A982" t="s">
        <v>714</v>
      </c>
      <c r="B982" t="s">
        <v>4415</v>
      </c>
      <c r="C982" t="s">
        <v>533</v>
      </c>
      <c r="E982" t="s">
        <v>4440</v>
      </c>
      <c r="F982" t="s">
        <v>4417</v>
      </c>
      <c r="G982" t="s">
        <v>4418</v>
      </c>
      <c r="H982" t="s">
        <v>4419</v>
      </c>
      <c r="I982" t="s">
        <v>4420</v>
      </c>
      <c r="J982" t="s">
        <v>671</v>
      </c>
    </row>
    <row r="983" spans="1:10">
      <c r="A983" t="s">
        <v>717</v>
      </c>
      <c r="B983" t="s">
        <v>4415</v>
      </c>
      <c r="C983" t="s">
        <v>718</v>
      </c>
      <c r="E983" t="s">
        <v>4441</v>
      </c>
      <c r="F983" t="s">
        <v>4417</v>
      </c>
      <c r="G983" t="s">
        <v>4418</v>
      </c>
      <c r="H983" t="s">
        <v>4419</v>
      </c>
      <c r="I983" t="s">
        <v>4420</v>
      </c>
      <c r="J983" t="s">
        <v>671</v>
      </c>
    </row>
    <row r="984" spans="1:10">
      <c r="A984" t="s">
        <v>721</v>
      </c>
      <c r="B984" t="s">
        <v>4415</v>
      </c>
      <c r="C984" t="s">
        <v>722</v>
      </c>
      <c r="E984" t="s">
        <v>4442</v>
      </c>
      <c r="F984" t="s">
        <v>4417</v>
      </c>
      <c r="G984" t="s">
        <v>4418</v>
      </c>
      <c r="H984" t="s">
        <v>4419</v>
      </c>
      <c r="I984" t="s">
        <v>4420</v>
      </c>
      <c r="J984" t="s">
        <v>671</v>
      </c>
    </row>
    <row r="985" spans="1:10">
      <c r="A985" t="s">
        <v>725</v>
      </c>
      <c r="B985" t="s">
        <v>4415</v>
      </c>
      <c r="C985" t="s">
        <v>726</v>
      </c>
      <c r="E985" t="s">
        <v>4443</v>
      </c>
      <c r="F985" t="s">
        <v>4417</v>
      </c>
      <c r="G985" t="s">
        <v>4418</v>
      </c>
      <c r="H985" t="s">
        <v>4419</v>
      </c>
      <c r="I985" t="s">
        <v>4420</v>
      </c>
      <c r="J985" t="s">
        <v>671</v>
      </c>
    </row>
    <row r="986" spans="1:10">
      <c r="A986" t="s">
        <v>730</v>
      </c>
      <c r="B986" t="s">
        <v>4415</v>
      </c>
      <c r="C986" t="s">
        <v>731</v>
      </c>
      <c r="E986" t="s">
        <v>4444</v>
      </c>
      <c r="F986" t="s">
        <v>4417</v>
      </c>
      <c r="G986" t="s">
        <v>4418</v>
      </c>
      <c r="H986" t="s">
        <v>4419</v>
      </c>
      <c r="I986" t="s">
        <v>4420</v>
      </c>
      <c r="J986" t="s">
        <v>671</v>
      </c>
    </row>
    <row r="987" spans="1:10">
      <c r="A987" t="s">
        <v>735</v>
      </c>
      <c r="B987" t="s">
        <v>4415</v>
      </c>
      <c r="C987" t="s">
        <v>736</v>
      </c>
      <c r="E987" t="s">
        <v>4445</v>
      </c>
      <c r="F987" t="s">
        <v>4417</v>
      </c>
      <c r="G987" t="s">
        <v>4418</v>
      </c>
      <c r="H987" t="s">
        <v>4419</v>
      </c>
      <c r="I987" t="s">
        <v>4420</v>
      </c>
      <c r="J987" t="s">
        <v>671</v>
      </c>
    </row>
    <row r="988" spans="1:10">
      <c r="A988" t="s">
        <v>740</v>
      </c>
      <c r="B988" t="s">
        <v>4415</v>
      </c>
      <c r="C988" t="s">
        <v>741</v>
      </c>
      <c r="E988" t="s">
        <v>4446</v>
      </c>
      <c r="F988" t="s">
        <v>4417</v>
      </c>
      <c r="G988" t="s">
        <v>4418</v>
      </c>
      <c r="H988" t="s">
        <v>4419</v>
      </c>
      <c r="I988" t="s">
        <v>4420</v>
      </c>
      <c r="J988" t="s">
        <v>671</v>
      </c>
    </row>
    <row r="989" spans="1:10">
      <c r="A989" t="s">
        <v>1245</v>
      </c>
      <c r="B989" t="s">
        <v>4447</v>
      </c>
      <c r="C989" t="s">
        <v>1279</v>
      </c>
      <c r="E989" t="s">
        <v>4448</v>
      </c>
      <c r="F989" t="s">
        <v>4449</v>
      </c>
      <c r="G989" t="s">
        <v>4450</v>
      </c>
      <c r="H989" t="s">
        <v>4451</v>
      </c>
      <c r="I989" t="s">
        <v>4452</v>
      </c>
      <c r="J989" t="s">
        <v>650</v>
      </c>
    </row>
    <row r="990" spans="1:10">
      <c r="A990" t="s">
        <v>1233</v>
      </c>
      <c r="B990" t="s">
        <v>4447</v>
      </c>
      <c r="C990" t="s">
        <v>1284</v>
      </c>
      <c r="E990" t="s">
        <v>4453</v>
      </c>
      <c r="F990" t="s">
        <v>4449</v>
      </c>
      <c r="G990" t="s">
        <v>4450</v>
      </c>
      <c r="H990" t="s">
        <v>4451</v>
      </c>
      <c r="I990" t="s">
        <v>4452</v>
      </c>
      <c r="J990" t="s">
        <v>650</v>
      </c>
    </row>
    <row r="991" spans="1:10">
      <c r="A991" t="s">
        <v>1292</v>
      </c>
      <c r="B991" t="s">
        <v>4447</v>
      </c>
      <c r="C991" t="s">
        <v>1289</v>
      </c>
      <c r="E991" t="s">
        <v>4454</v>
      </c>
      <c r="F991" t="s">
        <v>4449</v>
      </c>
      <c r="G991" t="s">
        <v>4450</v>
      </c>
      <c r="H991" t="s">
        <v>4451</v>
      </c>
      <c r="I991" t="s">
        <v>4452</v>
      </c>
      <c r="J991" t="s">
        <v>650</v>
      </c>
    </row>
    <row r="992" spans="1:10">
      <c r="A992" t="s">
        <v>1265</v>
      </c>
      <c r="B992" t="s">
        <v>4447</v>
      </c>
      <c r="C992" t="s">
        <v>1294</v>
      </c>
      <c r="E992" t="s">
        <v>4455</v>
      </c>
      <c r="F992" t="s">
        <v>4449</v>
      </c>
      <c r="G992" t="s">
        <v>4450</v>
      </c>
      <c r="H992" t="s">
        <v>4451</v>
      </c>
      <c r="I992" t="s">
        <v>4452</v>
      </c>
      <c r="J992" t="s">
        <v>650</v>
      </c>
    </row>
    <row r="993" spans="1:10">
      <c r="A993" t="s">
        <v>1302</v>
      </c>
      <c r="B993" t="s">
        <v>4447</v>
      </c>
      <c r="C993" t="s">
        <v>1299</v>
      </c>
      <c r="E993" t="s">
        <v>4456</v>
      </c>
      <c r="F993" t="s">
        <v>4449</v>
      </c>
      <c r="G993" t="s">
        <v>4450</v>
      </c>
      <c r="H993" t="s">
        <v>4451</v>
      </c>
      <c r="I993" t="s">
        <v>4452</v>
      </c>
      <c r="J993" t="s">
        <v>650</v>
      </c>
    </row>
    <row r="994" spans="1:10">
      <c r="A994" t="s">
        <v>1308</v>
      </c>
      <c r="B994" t="s">
        <v>4447</v>
      </c>
      <c r="C994" t="s">
        <v>1305</v>
      </c>
      <c r="E994" t="s">
        <v>4457</v>
      </c>
      <c r="F994" t="s">
        <v>4449</v>
      </c>
      <c r="G994" t="s">
        <v>4450</v>
      </c>
      <c r="H994" t="s">
        <v>4451</v>
      </c>
      <c r="I994" t="s">
        <v>4452</v>
      </c>
      <c r="J994" t="s">
        <v>650</v>
      </c>
    </row>
    <row r="995" spans="1:10">
      <c r="A995" t="s">
        <v>1314</v>
      </c>
      <c r="B995" t="s">
        <v>4447</v>
      </c>
      <c r="C995" t="s">
        <v>1311</v>
      </c>
      <c r="E995" t="s">
        <v>4458</v>
      </c>
      <c r="F995" t="s">
        <v>4449</v>
      </c>
      <c r="G995" t="s">
        <v>4450</v>
      </c>
      <c r="H995" t="s">
        <v>4451</v>
      </c>
      <c r="I995" t="s">
        <v>4452</v>
      </c>
      <c r="J995" t="s">
        <v>650</v>
      </c>
    </row>
    <row r="996" spans="1:10">
      <c r="A996" t="s">
        <v>1226</v>
      </c>
      <c r="B996" t="s">
        <v>4447</v>
      </c>
      <c r="C996" t="s">
        <v>1317</v>
      </c>
      <c r="E996" t="s">
        <v>4459</v>
      </c>
      <c r="F996" t="s">
        <v>4449</v>
      </c>
      <c r="G996" t="s">
        <v>4450</v>
      </c>
      <c r="H996" t="s">
        <v>4451</v>
      </c>
      <c r="I996" t="s">
        <v>4452</v>
      </c>
      <c r="J996" t="s">
        <v>650</v>
      </c>
    </row>
    <row r="997" spans="1:10">
      <c r="A997" t="s">
        <v>1220</v>
      </c>
      <c r="B997" t="s">
        <v>4447</v>
      </c>
      <c r="C997" t="s">
        <v>1217</v>
      </c>
      <c r="E997" t="s">
        <v>4460</v>
      </c>
      <c r="F997" t="s">
        <v>4449</v>
      </c>
      <c r="G997" t="s">
        <v>4450</v>
      </c>
      <c r="H997" t="s">
        <v>4451</v>
      </c>
      <c r="I997" t="s">
        <v>4452</v>
      </c>
      <c r="J997" t="s">
        <v>650</v>
      </c>
    </row>
    <row r="998" spans="1:10">
      <c r="A998" t="s">
        <v>1214</v>
      </c>
      <c r="B998" t="s">
        <v>4447</v>
      </c>
      <c r="C998" t="s">
        <v>1211</v>
      </c>
      <c r="E998" t="s">
        <v>4461</v>
      </c>
      <c r="F998" t="s">
        <v>4449</v>
      </c>
      <c r="G998" t="s">
        <v>4450</v>
      </c>
      <c r="H998" t="s">
        <v>4451</v>
      </c>
      <c r="I998" t="s">
        <v>4452</v>
      </c>
      <c r="J998" t="s">
        <v>650</v>
      </c>
    </row>
    <row r="999" spans="1:10">
      <c r="A999" t="s">
        <v>1333</v>
      </c>
      <c r="B999" t="s">
        <v>4447</v>
      </c>
      <c r="C999" t="s">
        <v>4462</v>
      </c>
      <c r="E999" t="s">
        <v>4463</v>
      </c>
      <c r="F999" t="s">
        <v>4449</v>
      </c>
      <c r="G999" t="s">
        <v>4450</v>
      </c>
      <c r="H999" t="s">
        <v>4451</v>
      </c>
      <c r="I999" t="s">
        <v>4452</v>
      </c>
      <c r="J999" t="s">
        <v>650</v>
      </c>
    </row>
    <row r="1000" spans="1:10">
      <c r="A1000" t="s">
        <v>1339</v>
      </c>
      <c r="B1000" t="s">
        <v>4447</v>
      </c>
      <c r="C1000" t="s">
        <v>4464</v>
      </c>
      <c r="E1000" t="s">
        <v>4465</v>
      </c>
      <c r="F1000" t="s">
        <v>4449</v>
      </c>
      <c r="G1000" t="s">
        <v>4450</v>
      </c>
      <c r="H1000" t="s">
        <v>4451</v>
      </c>
      <c r="I1000" t="s">
        <v>4452</v>
      </c>
      <c r="J1000" t="s">
        <v>650</v>
      </c>
    </row>
    <row r="1001" spans="1:10">
      <c r="A1001" t="s">
        <v>1345</v>
      </c>
      <c r="B1001" t="s">
        <v>4447</v>
      </c>
      <c r="C1001" t="s">
        <v>4466</v>
      </c>
      <c r="E1001" t="s">
        <v>4467</v>
      </c>
      <c r="F1001" t="s">
        <v>4449</v>
      </c>
      <c r="G1001" t="s">
        <v>4450</v>
      </c>
      <c r="H1001" t="s">
        <v>4451</v>
      </c>
      <c r="I1001" t="s">
        <v>4452</v>
      </c>
      <c r="J1001" t="s">
        <v>650</v>
      </c>
    </row>
    <row r="1002" spans="1:10">
      <c r="A1002" t="s">
        <v>1350</v>
      </c>
      <c r="B1002" t="s">
        <v>4447</v>
      </c>
      <c r="C1002" t="s">
        <v>4468</v>
      </c>
      <c r="E1002" t="s">
        <v>4469</v>
      </c>
      <c r="F1002" t="s">
        <v>4449</v>
      </c>
      <c r="G1002" t="s">
        <v>4450</v>
      </c>
      <c r="H1002" t="s">
        <v>4451</v>
      </c>
      <c r="I1002" t="s">
        <v>4452</v>
      </c>
      <c r="J1002" t="s">
        <v>650</v>
      </c>
    </row>
    <row r="1003" spans="1:10">
      <c r="A1003" t="s">
        <v>1356</v>
      </c>
      <c r="B1003" t="s">
        <v>4447</v>
      </c>
      <c r="C1003" t="s">
        <v>4470</v>
      </c>
      <c r="E1003" t="s">
        <v>4471</v>
      </c>
      <c r="F1003" t="s">
        <v>4449</v>
      </c>
      <c r="G1003" t="s">
        <v>4450</v>
      </c>
      <c r="H1003" t="s">
        <v>4451</v>
      </c>
      <c r="I1003" t="s">
        <v>4452</v>
      </c>
      <c r="J1003" t="s">
        <v>650</v>
      </c>
    </row>
    <row r="1004" spans="1:10">
      <c r="A1004" t="s">
        <v>1362</v>
      </c>
      <c r="B1004" t="s">
        <v>4447</v>
      </c>
      <c r="C1004" t="s">
        <v>4472</v>
      </c>
      <c r="E1004" t="s">
        <v>4473</v>
      </c>
      <c r="F1004" t="s">
        <v>4449</v>
      </c>
      <c r="G1004" t="s">
        <v>4450</v>
      </c>
      <c r="H1004" t="s">
        <v>4451</v>
      </c>
      <c r="I1004" t="s">
        <v>4452</v>
      </c>
      <c r="J1004" t="s">
        <v>650</v>
      </c>
    </row>
    <row r="1005" spans="1:11">
      <c r="A1005" t="inlineStr">
        <is>
          <t xml:space="preserve">SH01</t>
        </is>
      </c>
      <c r="B1005" t="inlineStr">
        <is>
          <t xml:space="preserve">Item icon</t>
        </is>
      </c>
      <c r="C1005" t="inlineStr">
        <is>
          <t xml:space="preserve">Commission Policy Research</t>
        </is>
      </c>
      <c r="E1005" t="inlineStr">
        <is>
          <t xml:space="preserve">policy_research.png</t>
        </is>
      </c>
      <c r="F1005" t="inlineStr">
        <is>
          <t xml:space="preserve">{Shop tab's Icon column}.png</t>
        </is>
      </c>
      <c r="G1005" t="inlineStr">
        <is>
          <t xml:space="preserve">assets/icons/</t>
        </is>
      </c>
      <c r="H1005" t="inlineStr">
        <is>
          <t xml:space="preserve">The item's icon in Supplies and the Inventory grid (InventoryPanel/ArtLoader.item_icon).</t>
        </is>
      </c>
      <c r="I1005" t="inlineStr">
        <is>
          <t xml:space="preserve">256 x 256 px</t>
        </is>
      </c>
      <c r="J1005" t="inlineStr">
        <is>
          <t xml:space="preserve">Yes</t>
        </is>
      </c>
    </row>
    <row r="1006" spans="1:11">
      <c r="A1006" t="inlineStr">
        <is>
          <t xml:space="preserve">SH02</t>
        </is>
      </c>
      <c r="B1006" t="inlineStr">
        <is>
          <t xml:space="preserve">Item icon</t>
        </is>
      </c>
      <c r="C1006" t="inlineStr">
        <is>
          <t xml:space="preserve">Commission Press Engagement</t>
        </is>
      </c>
      <c r="E1006" t="inlineStr">
        <is>
          <t xml:space="preserve">press_engagement.png</t>
        </is>
      </c>
      <c r="F1006" t="inlineStr">
        <is>
          <t xml:space="preserve">{Shop tab's Icon column}.png</t>
        </is>
      </c>
      <c r="G1006" t="inlineStr">
        <is>
          <t xml:space="preserve">assets/icons/</t>
        </is>
      </c>
      <c r="H1006" t="inlineStr">
        <is>
          <t xml:space="preserve">The item's icon in Supplies and the Inventory grid (InventoryPanel/ArtLoader.item_icon).</t>
        </is>
      </c>
      <c r="I1006" t="inlineStr">
        <is>
          <t xml:space="preserve">256 x 256 px</t>
        </is>
      </c>
      <c r="J1006" t="inlineStr">
        <is>
          <t xml:space="preserve">Yes</t>
        </is>
      </c>
    </row>
    <row r="1007" spans="1:11">
      <c r="A1007" t="inlineStr">
        <is>
          <t xml:space="preserve">SH03</t>
        </is>
      </c>
      <c r="B1007" t="inlineStr">
        <is>
          <t xml:space="preserve">Item icon</t>
        </is>
      </c>
      <c r="C1007" t="inlineStr">
        <is>
          <t xml:space="preserve">Commission District Engagement</t>
        </is>
      </c>
      <c r="E1007" t="inlineStr">
        <is>
          <t xml:space="preserve">district_engagement.png</t>
        </is>
      </c>
      <c r="F1007" t="inlineStr">
        <is>
          <t xml:space="preserve">{Shop tab's Icon column}.png</t>
        </is>
      </c>
      <c r="G1007" t="inlineStr">
        <is>
          <t xml:space="preserve">assets/icons/</t>
        </is>
      </c>
      <c r="H1007" t="inlineStr">
        <is>
          <t xml:space="preserve">The item's icon in Supplies and the Inventory grid (InventoryPanel/ArtLoader.item_icon).</t>
        </is>
      </c>
      <c r="I1007" t="inlineStr">
        <is>
          <t xml:space="preserve">256 x 256 px</t>
        </is>
      </c>
      <c r="J1007" t="inlineStr">
        <is>
          <t xml:space="preserve">Yes</t>
        </is>
      </c>
    </row>
    <row r="1008" spans="1:11">
      <c r="A1008" t="inlineStr">
        <is>
          <t xml:space="preserve">SH04</t>
        </is>
      </c>
      <c r="B1008" t="inlineStr">
        <is>
          <t xml:space="preserve">Item icon</t>
        </is>
      </c>
      <c r="C1008" t="inlineStr">
        <is>
          <t xml:space="preserve">“ね3” Coffee</t>
        </is>
      </c>
      <c r="E1008" t="inlineStr">
        <is>
          <t xml:space="preserve">coffee.png</t>
        </is>
      </c>
      <c r="F1008" t="inlineStr">
        <is>
          <t xml:space="preserve">{Shop tab's Icon column}.png</t>
        </is>
      </c>
      <c r="G1008" t="inlineStr">
        <is>
          <t xml:space="preserve">assets/icons/</t>
        </is>
      </c>
      <c r="H1008" t="inlineStr">
        <is>
          <t xml:space="preserve">The item's icon in Supplies and the Inventory grid (InventoryPanel/ArtLoader.item_icon).</t>
        </is>
      </c>
      <c r="I1008" t="inlineStr">
        <is>
          <t xml:space="preserve">256 x 256 px</t>
        </is>
      </c>
      <c r="J1008" t="inlineStr">
        <is>
          <t xml:space="preserve">Yes</t>
        </is>
      </c>
    </row>
    <row r="1009" spans="1:11">
      <c r="A1009" t="inlineStr">
        <is>
          <t xml:space="preserve">SH05</t>
        </is>
      </c>
      <c r="B1009" t="inlineStr">
        <is>
          <t xml:space="preserve">Item icon</t>
        </is>
      </c>
      <c r="C1009" t="inlineStr">
        <is>
          <t xml:space="preserve">“ミレニ姫” Tea</t>
        </is>
      </c>
      <c r="E1009" t="inlineStr">
        <is>
          <t xml:space="preserve">tea.png</t>
        </is>
      </c>
      <c r="F1009" t="inlineStr">
        <is>
          <t xml:space="preserve">{Shop tab's Icon column}.png</t>
        </is>
      </c>
      <c r="G1009" t="inlineStr">
        <is>
          <t xml:space="preserve">assets/icons/</t>
        </is>
      </c>
      <c r="H1009" t="inlineStr">
        <is>
          <t xml:space="preserve">The item's icon in Supplies and the Inventory grid (InventoryPanel/ArtLoader.item_icon).</t>
        </is>
      </c>
      <c r="I1009" t="inlineStr">
        <is>
          <t xml:space="preserve">256 x 256 px</t>
        </is>
      </c>
      <c r="J1009" t="inlineStr">
        <is>
          <t xml:space="preserve">Yes</t>
        </is>
      </c>
    </row>
    <row r="1010" spans="1:11">
      <c r="A1010" t="inlineStr">
        <is>
          <t xml:space="preserve">SH06</t>
        </is>
      </c>
      <c r="B1010" t="inlineStr">
        <is>
          <t xml:space="preserve">Item icon</t>
        </is>
      </c>
      <c r="C1010" t="inlineStr">
        <is>
          <t xml:space="preserve">Paperwork Automation</t>
        </is>
      </c>
      <c r="E1010" t="inlineStr">
        <is>
          <t xml:space="preserve">paperwork_automation.png</t>
        </is>
      </c>
      <c r="F1010" t="inlineStr">
        <is>
          <t xml:space="preserve">{Shop tab's Icon column}.png</t>
        </is>
      </c>
      <c r="G1010" t="inlineStr">
        <is>
          <t xml:space="preserve">assets/icons/</t>
        </is>
      </c>
      <c r="H1010" t="inlineStr">
        <is>
          <t xml:space="preserve">The item's icon in Supplies and the Inventory grid (InventoryPanel/ArtLoader.item_icon).</t>
        </is>
      </c>
      <c r="I1010" t="inlineStr">
        <is>
          <t xml:space="preserve">256 x 256 px</t>
        </is>
      </c>
      <c r="J1010" t="inlineStr">
        <is>
          <t xml:space="preserve">Yes</t>
        </is>
      </c>
    </row>
    <row r="1011" spans="1:11">
      <c r="A1011" t="inlineStr">
        <is>
          <t xml:space="preserve">SH07</t>
        </is>
      </c>
      <c r="B1011" t="inlineStr">
        <is>
          <t xml:space="preserve">Item icon</t>
        </is>
      </c>
      <c r="C1011" t="inlineStr">
        <is>
          <t xml:space="preserve">Wristwatch</t>
        </is>
      </c>
      <c r="E1011" t="inlineStr">
        <is>
          <t xml:space="preserve">wristwatch.png</t>
        </is>
      </c>
      <c r="F1011" t="inlineStr">
        <is>
          <t xml:space="preserve">{Shop tab's Icon column}.png</t>
        </is>
      </c>
      <c r="G1011" t="inlineStr">
        <is>
          <t xml:space="preserve">assets/icons/</t>
        </is>
      </c>
      <c r="H1011" t="inlineStr">
        <is>
          <t xml:space="preserve">The item's icon in Supplies and the Inventory grid (InventoryPanel/ArtLoader.item_icon).</t>
        </is>
      </c>
      <c r="I1011" t="inlineStr">
        <is>
          <t xml:space="preserve">256 x 256 px</t>
        </is>
      </c>
      <c r="J1011" t="inlineStr">
        <is>
          <t xml:space="preserve">Yes</t>
        </is>
      </c>
    </row>
    <row r="1012" spans="1:11">
      <c r="A1012" t="inlineStr">
        <is>
          <t xml:space="preserve">SH08</t>
        </is>
      </c>
      <c r="B1012" t="inlineStr">
        <is>
          <t xml:space="preserve">Item icon</t>
        </is>
      </c>
      <c r="C1012" t="inlineStr">
        <is>
          <t xml:space="preserve">Personalized Dear Colleague Letter</t>
        </is>
      </c>
      <c r="E1012" t="inlineStr">
        <is>
          <t xml:space="preserve">meditation.png</t>
        </is>
      </c>
      <c r="F1012" t="inlineStr">
        <is>
          <t xml:space="preserve">{Shop tab's Icon column}.png</t>
        </is>
      </c>
      <c r="G1012" t="inlineStr">
        <is>
          <t xml:space="preserve">assets/icons/</t>
        </is>
      </c>
      <c r="H1012" t="inlineStr">
        <is>
          <t xml:space="preserve">The item's icon in Supplies and the Inventory grid (InventoryPanel/ArtLoader.item_icon).</t>
        </is>
      </c>
      <c r="I1012" t="inlineStr">
        <is>
          <t xml:space="preserve">256 x 256 px</t>
        </is>
      </c>
      <c r="J1012" t="inlineStr">
        <is>
          <t xml:space="preserve">Yes</t>
        </is>
      </c>
    </row>
    <row r="1013" spans="1:11">
      <c r="A1013" t="inlineStr">
        <is>
          <t xml:space="preserve">SH09</t>
        </is>
      </c>
      <c r="B1013" t="inlineStr">
        <is>
          <t xml:space="preserve">Item icon</t>
        </is>
      </c>
      <c r="C1013" t="inlineStr">
        <is>
          <t xml:space="preserve">Unlock Random Tier 1 Card</t>
        </is>
      </c>
      <c r="E1013" t="inlineStr">
        <is>
          <t xml:space="preserve">unlock_card_t1.png</t>
        </is>
      </c>
      <c r="F1013" t="inlineStr">
        <is>
          <t xml:space="preserve">{Shop tab's Icon column}.png</t>
        </is>
      </c>
      <c r="G1013" t="inlineStr">
        <is>
          <t xml:space="preserve">assets/icons/</t>
        </is>
      </c>
      <c r="H1013" t="inlineStr">
        <is>
          <t xml:space="preserve">The item's icon in Supplies and the Inventory grid (InventoryPanel/ArtLoader.item_icon).</t>
        </is>
      </c>
      <c r="I1013" t="inlineStr">
        <is>
          <t xml:space="preserve">256 x 256 px</t>
        </is>
      </c>
      <c r="J1013" t="inlineStr">
        <is>
          <t xml:space="preserve">Yes</t>
        </is>
      </c>
    </row>
    <row r="1014" spans="1:11">
      <c r="A1014" t="inlineStr">
        <is>
          <t xml:space="preserve">SH10</t>
        </is>
      </c>
      <c r="B1014" t="inlineStr">
        <is>
          <t xml:space="preserve">Item icon</t>
        </is>
      </c>
      <c r="C1014" t="inlineStr">
        <is>
          <t xml:space="preserve">Unlock Random Tier 2 Card</t>
        </is>
      </c>
      <c r="E1014" t="inlineStr">
        <is>
          <t xml:space="preserve">unlock_card_t2.png</t>
        </is>
      </c>
      <c r="F1014" t="inlineStr">
        <is>
          <t xml:space="preserve">{Shop tab's Icon column}.png</t>
        </is>
      </c>
      <c r="G1014" t="inlineStr">
        <is>
          <t xml:space="preserve">assets/icons/</t>
        </is>
      </c>
      <c r="H1014" t="inlineStr">
        <is>
          <t xml:space="preserve">The item's icon in Supplies and the Inventory grid (InventoryPanel/ArtLoader.item_icon).</t>
        </is>
      </c>
      <c r="I1014" t="inlineStr">
        <is>
          <t xml:space="preserve">256 x 256 px</t>
        </is>
      </c>
      <c r="J1014" t="inlineStr">
        <is>
          <t xml:space="preserve">Yes</t>
        </is>
      </c>
    </row>
    <row r="1015" spans="1:11">
      <c r="A1015" t="inlineStr">
        <is>
          <t xml:space="preserve">SH11</t>
        </is>
      </c>
      <c r="B1015" t="inlineStr">
        <is>
          <t xml:space="preserve">Item icon</t>
        </is>
      </c>
      <c r="C1015" t="inlineStr">
        <is>
          <t xml:space="preserve">Unlock Random Tier 3 Card</t>
        </is>
      </c>
      <c r="E1015" t="inlineStr">
        <is>
          <t xml:space="preserve">unlock_card_t3.png</t>
        </is>
      </c>
      <c r="F1015" t="inlineStr">
        <is>
          <t xml:space="preserve">{Shop tab's Icon column}.png</t>
        </is>
      </c>
      <c r="G1015" t="inlineStr">
        <is>
          <t xml:space="preserve">assets/icons/</t>
        </is>
      </c>
      <c r="H1015" t="inlineStr">
        <is>
          <t xml:space="preserve">The item's icon in Supplies and the Inventory grid (InventoryPanel/ArtLoader.item_icon).</t>
        </is>
      </c>
      <c r="I1015" t="inlineStr">
        <is>
          <t xml:space="preserve">256 x 256 px</t>
        </is>
      </c>
      <c r="J1015" t="inlineStr">
        <is>
          <t xml:space="preserve">Yes</t>
        </is>
      </c>
    </row>
    <row r="1016" spans="1:11">
      <c r="A1016" t="inlineStr">
        <is>
          <t xml:space="preserve">SH12</t>
        </is>
      </c>
      <c r="B1016" t="inlineStr">
        <is>
          <t xml:space="preserve">Item icon</t>
        </is>
      </c>
      <c r="C1016" t="inlineStr">
        <is>
          <t xml:space="preserve">Staff Training Consultancy Session</t>
        </is>
      </c>
      <c r="E1016" t="inlineStr">
        <is>
          <t xml:space="preserve">staff_tier.png</t>
        </is>
      </c>
      <c r="F1016" t="inlineStr">
        <is>
          <t xml:space="preserve">{Shop tab's Icon column}.png</t>
        </is>
      </c>
      <c r="G1016" t="inlineStr">
        <is>
          <t xml:space="preserve">assets/icons/</t>
        </is>
      </c>
      <c r="H1016" t="inlineStr">
        <is>
          <t xml:space="preserve">The item's icon in Supplies and the Inventory grid (InventoryPanel/ArtLoader.item_icon).</t>
        </is>
      </c>
      <c r="I1016" t="inlineStr">
        <is>
          <t xml:space="preserve">256 x 256 px</t>
        </is>
      </c>
      <c r="J1016" t="inlineStr">
        <is>
          <t xml:space="preserve">Yes</t>
        </is>
      </c>
    </row>
    <row r="1017" spans="1:11">
      <c r="A1017" t="inlineStr">
        <is>
          <t xml:space="preserve">SH13</t>
        </is>
      </c>
      <c r="B1017" t="inlineStr">
        <is>
          <t xml:space="preserve">Item icon</t>
        </is>
      </c>
      <c r="C1017" t="inlineStr">
        <is>
          <t xml:space="preserve">Office Fund Bank Limit Petition</t>
        </is>
      </c>
      <c r="E1017" t="inlineStr">
        <is>
          <t xml:space="preserve">funds_cap.png</t>
        </is>
      </c>
      <c r="F1017" t="inlineStr">
        <is>
          <t xml:space="preserve">{Shop tab's Icon column}.png</t>
        </is>
      </c>
      <c r="G1017" t="inlineStr">
        <is>
          <t xml:space="preserve">assets/icons/</t>
        </is>
      </c>
      <c r="H1017" t="inlineStr">
        <is>
          <t xml:space="preserve">The item's icon in Supplies and the Inventory grid (InventoryPanel/ArtLoader.item_icon).</t>
        </is>
      </c>
      <c r="I1017" t="inlineStr">
        <is>
          <t xml:space="preserve">256 x 256 px</t>
        </is>
      </c>
      <c r="J1017" t="inlineStr">
        <is>
          <t xml:space="preserve">Yes</t>
        </is>
      </c>
    </row>
    <row r="1018" spans="1:11">
      <c r="A1018" t="inlineStr">
        <is>
          <t xml:space="preserve">SH14</t>
        </is>
      </c>
      <c r="B1018" t="inlineStr">
        <is>
          <t xml:space="preserve">Item icon</t>
        </is>
      </c>
      <c r="C1018" t="inlineStr">
        <is>
          <t xml:space="preserve">Commission a Speech Trainer</t>
        </is>
      </c>
      <c r="E1018" t="inlineStr">
        <is>
          <t xml:space="preserve">buff_draw.png</t>
        </is>
      </c>
      <c r="F1018" t="inlineStr">
        <is>
          <t xml:space="preserve">{Shop tab's Icon column}.png</t>
        </is>
      </c>
      <c r="G1018" t="inlineStr">
        <is>
          <t xml:space="preserve">assets/icons/</t>
        </is>
      </c>
      <c r="H1018" t="inlineStr">
        <is>
          <t xml:space="preserve">The item's icon in Supplies and the Inventory grid (InventoryPanel/ArtLoader.item_icon).</t>
        </is>
      </c>
      <c r="I1018" t="inlineStr">
        <is>
          <t xml:space="preserve">256 x 256 px</t>
        </is>
      </c>
      <c r="J1018" t="inlineStr">
        <is>
          <t xml:space="preserve">Yes</t>
        </is>
      </c>
    </row>
    <row r="1019" spans="1:11">
      <c r="A1019" t="inlineStr">
        <is>
          <t xml:space="preserve">SH15</t>
        </is>
      </c>
      <c r="B1019" t="inlineStr">
        <is>
          <t xml:space="preserve">Item icon</t>
        </is>
      </c>
      <c r="C1019" t="inlineStr">
        <is>
          <t xml:space="preserve">Kaiju Sized “ね3” Coffee</t>
        </is>
      </c>
      <c r="E1019" t="inlineStr">
        <is>
          <t xml:space="preserve">buff_energy.png</t>
        </is>
      </c>
      <c r="F1019" t="inlineStr">
        <is>
          <t xml:space="preserve">{Shop tab's Icon column}.png</t>
        </is>
      </c>
      <c r="G1019" t="inlineStr">
        <is>
          <t xml:space="preserve">assets/icons/</t>
        </is>
      </c>
      <c r="H1019" t="inlineStr">
        <is>
          <t xml:space="preserve">The item's icon in Supplies and the Inventory grid (InventoryPanel/ArtLoader.item_icon).</t>
        </is>
      </c>
      <c r="I1019" t="inlineStr">
        <is>
          <t xml:space="preserve">256 x 256 px</t>
        </is>
      </c>
      <c r="J1019" t="inlineStr">
        <is>
          <t xml:space="preserve">Yes</t>
        </is>
      </c>
    </row>
    <row r="1020" spans="1:11">
      <c r="A1020" t="inlineStr">
        <is>
          <t xml:space="preserve">SH16</t>
        </is>
      </c>
      <c r="B1020" t="inlineStr">
        <is>
          <t xml:space="preserve">Item icon</t>
        </is>
      </c>
      <c r="C1020" t="inlineStr">
        <is>
          <t xml:space="preserve">Automated Dear Colleague Letters</t>
        </is>
      </c>
      <c r="E1020" t="inlineStr">
        <is>
          <t xml:space="preserve">buff_guard.png</t>
        </is>
      </c>
      <c r="F1020" t="inlineStr">
        <is>
          <t xml:space="preserve">{Shop tab's Icon column}.png</t>
        </is>
      </c>
      <c r="G1020" t="inlineStr">
        <is>
          <t xml:space="preserve">assets/icons/</t>
        </is>
      </c>
      <c r="H1020" t="inlineStr">
        <is>
          <t xml:space="preserve">The item's icon in Supplies and the Inventory grid (InventoryPanel/ArtLoader.item_icon).</t>
        </is>
      </c>
      <c r="I1020" t="inlineStr">
        <is>
          <t xml:space="preserve">256 x 256 px</t>
        </is>
      </c>
      <c r="J1020" t="inlineStr">
        <is>
          <t xml:space="preserve">Yes</t>
        </is>
      </c>
    </row>
    <row r="1021" spans="1:11">
      <c r="A1021" t="inlineStr">
        <is>
          <t xml:space="preserve">SH17</t>
        </is>
      </c>
      <c r="B1021" t="inlineStr">
        <is>
          <t xml:space="preserve">Item icon</t>
        </is>
      </c>
      <c r="C1021" t="inlineStr">
        <is>
          <t xml:space="preserve">Kaiju Sized “ミレニ姫” Tea</t>
        </is>
      </c>
      <c r="E1021" t="inlineStr">
        <is>
          <t xml:space="preserve">buff_gaffe_cap.png</t>
        </is>
      </c>
      <c r="F1021" t="inlineStr">
        <is>
          <t xml:space="preserve">{Shop tab's Icon column}.png</t>
        </is>
      </c>
      <c r="G1021" t="inlineStr">
        <is>
          <t xml:space="preserve">assets/icons/</t>
        </is>
      </c>
      <c r="H1021" t="inlineStr">
        <is>
          <t xml:space="preserve">The item's icon in Supplies and the Inventory grid (InventoryPanel/ArtLoader.item_icon).</t>
        </is>
      </c>
      <c r="I1021" t="inlineStr">
        <is>
          <t xml:space="preserve">256 x 256 px</t>
        </is>
      </c>
      <c r="J1021" t="inlineStr">
        <is>
          <t xml:space="preserve">Yes</t>
        </is>
      </c>
    </row>
    <row r="1022" spans="1:11">
      <c r="A1022" t="inlineStr">
        <is>
          <t xml:space="preserve">SH18</t>
        </is>
      </c>
      <c r="B1022" t="inlineStr">
        <is>
          <t xml:space="preserve">Item icon</t>
        </is>
      </c>
      <c r="C1022" t="inlineStr">
        <is>
          <t xml:space="preserve">AI Powered Clock</t>
        </is>
      </c>
      <c r="E1022" t="inlineStr">
        <is>
          <t xml:space="preserve">buff_turn.png</t>
        </is>
      </c>
      <c r="F1022" t="inlineStr">
        <is>
          <t xml:space="preserve">{Shop tab's Icon column}.png</t>
        </is>
      </c>
      <c r="G1022" t="inlineStr">
        <is>
          <t xml:space="preserve">assets/icons/</t>
        </is>
      </c>
      <c r="H1022" t="inlineStr">
        <is>
          <t xml:space="preserve">The item's icon in Supplies and the Inventory grid (InventoryPanel/ArtLoader.item_icon).</t>
        </is>
      </c>
      <c r="I1022" t="inlineStr">
        <is>
          <t xml:space="preserve">256 x 256 px</t>
        </is>
      </c>
      <c r="J1022" t="inlineStr">
        <is>
          <t xml:space="preserve">Yes</t>
        </is>
      </c>
    </row>
    <row r="1023" spans="1:11">
      <c r="A1023" t="inlineStr">
        <is>
          <t xml:space="preserve">SH19</t>
        </is>
      </c>
      <c r="B1023" t="inlineStr">
        <is>
          <t xml:space="preserve">Item icon</t>
        </is>
      </c>
      <c r="C1023" t="inlineStr">
        <is>
          <t xml:space="preserve">Host a Dinner for a National Booster</t>
        </is>
      </c>
      <c r="E1023" t="inlineStr">
        <is>
          <t xml:space="preserve">booster_dinner.png</t>
        </is>
      </c>
      <c r="F1023" t="inlineStr">
        <is>
          <t xml:space="preserve">{Shop tab's Icon column}.png</t>
        </is>
      </c>
      <c r="G1023" t="inlineStr">
        <is>
          <t xml:space="preserve">assets/icons/</t>
        </is>
      </c>
      <c r="H1023" t="inlineStr">
        <is>
          <t xml:space="preserve">The item's icon in Supplies and the Inventory grid (InventoryPanel/ArtLoader.item_icon).</t>
        </is>
      </c>
      <c r="I1023" t="inlineStr">
        <is>
          <t xml:space="preserve">256 x 256 px</t>
        </is>
      </c>
      <c r="J1023" t="inlineStr">
        <is>
          <t xml:space="preserve">Yes</t>
        </is>
      </c>
    </row>
    <row r="1024" spans="1:11">
      <c r="A1024" t="inlineStr">
        <is>
          <t xml:space="preserve">SH20</t>
        </is>
      </c>
      <c r="B1024" t="inlineStr">
        <is>
          <t xml:space="preserve">Item icon</t>
        </is>
      </c>
      <c r="C1024" t="inlineStr">
        <is>
          <t xml:space="preserve">Host a District Walking Tour for a Constituency Booster</t>
        </is>
      </c>
      <c r="E1024" t="inlineStr">
        <is>
          <t xml:space="preserve">walking_tour.png</t>
        </is>
      </c>
      <c r="F1024" t="inlineStr">
        <is>
          <t xml:space="preserve">{Shop tab's Icon column}.png</t>
        </is>
      </c>
      <c r="G1024" t="inlineStr">
        <is>
          <t xml:space="preserve">assets/icons/</t>
        </is>
      </c>
      <c r="H1024" t="inlineStr">
        <is>
          <t xml:space="preserve">The item's icon in Supplies and the Inventory grid (InventoryPanel/ArtLoader.item_icon).</t>
        </is>
      </c>
      <c r="I1024" t="inlineStr">
        <is>
          <t xml:space="preserve">256 x 256 px</t>
        </is>
      </c>
      <c r="J1024" t="inlineStr">
        <is>
          <t xml:space="preserve">Yes</t>
        </is>
      </c>
    </row>
    <row r="1025" spans="1:11">
      <c r="A1025" t="s">
        <v>511</v>
      </c>
      <c r="B1025" t="s">
        <v>5093</v>
      </c>
      <c r="C1025" t="inlineStr">
        <is>
          <t xml:space="preserve">Kenshin Sako (Neon Ambition outfit)</t>
        </is>
      </c>
      <c r="D1025" t="s">
        <v>3471</v>
      </c>
      <c r="E1025" t="s">
        <v>5095</v>
      </c>
      <c r="F1025" t="s">
        <v>5096</v>
      </c>
      <c r="G1025" t="s">
        <v>3474</v>
      </c>
      <c r="H1025" t="s">
        <v>5097</v>
      </c>
      <c r="I1025" t="s">
        <v>3476</v>
      </c>
      <c r="J1025" t="s">
        <v>671</v>
      </c>
      <c r="K1025" t="s">
        <v>5098</v>
      </c>
    </row>
    <row r="1026" spans="1:11">
      <c r="A1026" t="s">
        <v>511</v>
      </c>
      <c r="B1026" t="s">
        <v>5093</v>
      </c>
      <c r="C1026" t="inlineStr">
        <is>
          <t xml:space="preserve">Kenshin Sako (Neon Ambition outfit)</t>
        </is>
      </c>
      <c r="D1026" t="s">
        <v>3477</v>
      </c>
      <c r="E1026" t="s">
        <v>5099</v>
      </c>
      <c r="F1026" t="s">
        <v>5096</v>
      </c>
      <c r="G1026" t="s">
        <v>3474</v>
      </c>
      <c r="H1026" t="s">
        <v>5097</v>
      </c>
      <c r="I1026" t="s">
        <v>3476</v>
      </c>
      <c r="J1026" t="s">
        <v>671</v>
      </c>
    </row>
    <row r="1027" spans="1:11">
      <c r="A1027" t="s">
        <v>511</v>
      </c>
      <c r="B1027" t="s">
        <v>5093</v>
      </c>
      <c r="C1027" t="inlineStr">
        <is>
          <t xml:space="preserve">Kenshin Sako (Neon Ambition outfit)</t>
        </is>
      </c>
      <c r="D1027" t="s">
        <v>3479</v>
      </c>
      <c r="E1027" t="s">
        <v>5100</v>
      </c>
      <c r="F1027" t="s">
        <v>5096</v>
      </c>
      <c r="G1027" t="s">
        <v>3474</v>
      </c>
      <c r="H1027" t="s">
        <v>5097</v>
      </c>
      <c r="I1027" t="s">
        <v>3476</v>
      </c>
      <c r="J1027" t="s">
        <v>671</v>
      </c>
    </row>
    <row r="1028" spans="1:11">
      <c r="A1028" t="s">
        <v>511</v>
      </c>
      <c r="B1028" t="s">
        <v>5093</v>
      </c>
      <c r="C1028" t="inlineStr">
        <is>
          <t xml:space="preserve">Kenshin Sako (Neon Ambition outfit)</t>
        </is>
      </c>
      <c r="D1028" t="s">
        <v>3481</v>
      </c>
      <c r="E1028" t="s">
        <v>5101</v>
      </c>
      <c r="F1028" t="s">
        <v>5096</v>
      </c>
      <c r="G1028" t="s">
        <v>3474</v>
      </c>
      <c r="H1028" t="s">
        <v>5097</v>
      </c>
      <c r="I1028" t="s">
        <v>3476</v>
      </c>
      <c r="J1028" t="s">
        <v>671</v>
      </c>
    </row>
    <row r="1029" spans="1:11">
      <c r="A1029" t="s">
        <v>511</v>
      </c>
      <c r="B1029" t="s">
        <v>5093</v>
      </c>
      <c r="C1029" t="inlineStr">
        <is>
          <t xml:space="preserve">Kenshin Sako (Neon Ambition outfit)</t>
        </is>
      </c>
      <c r="D1029" t="s">
        <v>3483</v>
      </c>
      <c r="E1029" t="s">
        <v>5102</v>
      </c>
      <c r="F1029" t="s">
        <v>5096</v>
      </c>
      <c r="G1029" t="s">
        <v>3474</v>
      </c>
      <c r="H1029" t="s">
        <v>5097</v>
      </c>
      <c r="I1029" t="s">
        <v>3476</v>
      </c>
      <c r="J1029" t="s">
        <v>650</v>
      </c>
    </row>
    <row r="1030" spans="1:11">
      <c r="A1030" t="s">
        <v>511</v>
      </c>
      <c r="B1030" t="s">
        <v>5093</v>
      </c>
      <c r="C1030" t="inlineStr">
        <is>
          <t xml:space="preserve">Kenshin Sako (Neon Ambition outfit)</t>
        </is>
      </c>
      <c r="D1030" t="s">
        <v>3485</v>
      </c>
      <c r="E1030" t="s">
        <v>5103</v>
      </c>
      <c r="F1030" t="s">
        <v>5096</v>
      </c>
      <c r="G1030" t="s">
        <v>3474</v>
      </c>
      <c r="H1030" t="s">
        <v>5097</v>
      </c>
      <c r="I1030" t="s">
        <v>3476</v>
      </c>
      <c r="J1030" t="s">
        <v>650</v>
      </c>
    </row>
    <row r="1031" spans="1:11">
      <c r="A1031" t="s">
        <v>4414</v>
      </c>
      <c r="B1031" t="s">
        <v>5104</v>
      </c>
      <c r="C1031" t="s">
        <v>5105</v>
      </c>
      <c r="E1031" t="s">
        <v>5106</v>
      </c>
      <c r="F1031" t="s">
        <v>5107</v>
      </c>
      <c r="G1031" t="s">
        <v>4418</v>
      </c>
      <c r="H1031" t="s">
        <v>5108</v>
      </c>
      <c r="I1031" t="s">
        <v>4420</v>
      </c>
      <c r="J1031" t="s">
        <v>671</v>
      </c>
    </row>
    <row r="1032" spans="1:11">
      <c r="A1032" t="s">
        <v>745</v>
      </c>
      <c r="B1032" t="s">
        <v>4415</v>
      </c>
      <c r="C1032" t="s">
        <v>746</v>
      </c>
      <c r="E1032" t="s">
        <v>5109</v>
      </c>
      <c r="F1032" t="s">
        <v>4417</v>
      </c>
      <c r="G1032" t="s">
        <v>4418</v>
      </c>
      <c r="H1032" t="s">
        <v>4419</v>
      </c>
      <c r="I1032" t="s">
        <v>4420</v>
      </c>
      <c r="J1032" t="s">
        <v>671</v>
      </c>
    </row>
    <row r="1033" spans="1:11">
      <c r="A1033" t="s">
        <v>750</v>
      </c>
      <c r="B1033" t="s">
        <v>4415</v>
      </c>
      <c r="C1033" t="s">
        <v>751</v>
      </c>
      <c r="E1033" t="s">
        <v>5110</v>
      </c>
      <c r="F1033" t="s">
        <v>4417</v>
      </c>
      <c r="G1033" t="s">
        <v>4418</v>
      </c>
      <c r="H1033" t="s">
        <v>4419</v>
      </c>
      <c r="I1033" t="s">
        <v>4420</v>
      </c>
      <c r="J1033" t="s">
        <v>671</v>
      </c>
    </row>
    <row r="1034" spans="1:11">
      <c r="A1034" t="s">
        <v>5111</v>
      </c>
      <c r="B1034" t="s">
        <v>5112</v>
      </c>
      <c r="C1034" t="s">
        <v>5113</v>
      </c>
      <c r="D1034" t="s">
        <v>5114</v>
      </c>
      <c r="E1034" t="s">
        <v>5115</v>
      </c>
      <c r="F1034" t="s">
        <v>5116</v>
      </c>
      <c r="G1034" t="s">
        <v>5117</v>
      </c>
      <c r="H1034" t="s">
        <v>5118</v>
      </c>
      <c r="I1034" t="s">
        <v>3476</v>
      </c>
      <c r="J1034" t="s">
        <v>749</v>
      </c>
      <c r="K1034" t="s">
        <v>5119</v>
      </c>
    </row>
    <row r="1035" spans="1:11">
      <c r="A1035" t="s">
        <v>5111</v>
      </c>
      <c r="B1035" t="s">
        <v>5112</v>
      </c>
      <c r="C1035" t="s">
        <v>5120</v>
      </c>
      <c r="D1035" t="s">
        <v>5114</v>
      </c>
      <c r="E1035" t="s">
        <v>5121</v>
      </c>
      <c r="F1035" t="s">
        <v>5122</v>
      </c>
      <c r="G1035" t="s">
        <v>5123</v>
      </c>
      <c r="H1035" t="s">
        <v>5124</v>
      </c>
      <c r="I1035" t="s">
        <v>3476</v>
      </c>
      <c r="J1035" t="s">
        <v>749</v>
      </c>
      <c r="K1035" t="s">
        <v>5125</v>
      </c>
    </row>
    <row r="1036" spans="1:11">
      <c r="A1036" t="s">
        <v>5111</v>
      </c>
      <c r="B1036" t="s">
        <v>5112</v>
      </c>
      <c r="C1036" t="s">
        <v>5126</v>
      </c>
      <c r="E1036" t="s">
        <v>5127</v>
      </c>
      <c r="F1036" t="s">
        <v>5107</v>
      </c>
      <c r="G1036" t="s">
        <v>4418</v>
      </c>
      <c r="H1036" t="s">
        <v>5128</v>
      </c>
      <c r="I1036" t="s">
        <v>4420</v>
      </c>
      <c r="J1036" t="s">
        <v>749</v>
      </c>
      <c r="K1036" t="s">
        <v>5129</v>
      </c>
    </row>
    <row r="1037">
      <c r="A1037" t="inlineStr">
        <is>
          <t xml:space="preserve">ST24</t>
        </is>
      </c>
      <c r="B1037" t="inlineStr">
        <is>
          <t xml:space="preserve">Background</t>
        </is>
      </c>
      <c r="C1037" t="inlineStr">
        <is>
          <t xml:space="preserve">Town Hall on Commuter Fares</t>
        </is>
      </c>
      <c r="E1037" t="inlineStr">
        <is>
          <t xml:space="preserve">ST24.png</t>
        </is>
      </c>
      <c r="F1037" t="inlineStr">
        <is>
          <t xml:space="preserve">{STAGE_ID}.png, or OFFICE.png for the Office</t>
        </is>
      </c>
      <c r="G1037" t="inlineStr">
        <is>
          <t xml:space="preserve">assets/backgrounds/</t>
        </is>
      </c>
      <c r="H1037" t="inlineStr">
        <is>
          <t xml:space="preserve">The full-screen backdrop behind everything else on the room's own screen.</t>
        </is>
      </c>
      <c r="I1037" t="inlineStr">
        <is>
          <t xml:space="preserve">1080 x 2340 px (portrait, matches the game's own canvas)</t>
        </is>
      </c>
      <c r="J1037" t="inlineStr">
        <is>
          <t xml:space="preserve">No</t>
        </is>
      </c>
      <c r="K1037" t="inlineStr">
        <is>
          <t xml:space="preserve">Draft 2026-10-13: new topic room, background not drawn yet.</t>
        </is>
      </c>
    </row>
    <row r="1038">
      <c r="A1038" t="inlineStr">
        <is>
          <t xml:space="preserve">ST25</t>
        </is>
      </c>
      <c r="B1038" t="inlineStr">
        <is>
          <t xml:space="preserve">Background</t>
        </is>
      </c>
      <c r="C1038" t="inlineStr">
        <is>
          <t xml:space="preserve">Policy Study on Rail Timetables</t>
        </is>
      </c>
      <c r="E1038" t="inlineStr">
        <is>
          <t xml:space="preserve">ST25.png</t>
        </is>
      </c>
      <c r="F1038" t="inlineStr">
        <is>
          <t xml:space="preserve">{STAGE_ID}.png, or OFFICE.png for the Office</t>
        </is>
      </c>
      <c r="G1038" t="inlineStr">
        <is>
          <t xml:space="preserve">assets/backgrounds/</t>
        </is>
      </c>
      <c r="H1038" t="inlineStr">
        <is>
          <t xml:space="preserve">The full-screen backdrop behind everything else on the room's own screen.</t>
        </is>
      </c>
      <c r="I1038" t="inlineStr">
        <is>
          <t xml:space="preserve">1080 x 2340 px (portrait, matches the game's own canvas)</t>
        </is>
      </c>
      <c r="J1038" t="inlineStr">
        <is>
          <t xml:space="preserve">No</t>
        </is>
      </c>
      <c r="K1038" t="inlineStr">
        <is>
          <t xml:space="preserve">Draft 2026-10-13: new topic room, background not drawn yet.</t>
        </is>
      </c>
    </row>
    <row r="1039">
      <c r="A1039" t="inlineStr">
        <is>
          <t xml:space="preserve">ST26</t>
        </is>
      </c>
      <c r="B1039" t="inlineStr">
        <is>
          <t xml:space="preserve">Background</t>
        </is>
      </c>
      <c r="C1039" t="inlineStr">
        <is>
          <t xml:space="preserve">Press Conference on Raising Train Fares</t>
        </is>
      </c>
      <c r="E1039" t="inlineStr">
        <is>
          <t xml:space="preserve">ST26.png</t>
        </is>
      </c>
      <c r="F1039" t="inlineStr">
        <is>
          <t xml:space="preserve">{STAGE_ID}.png, or OFFICE.png for the Office</t>
        </is>
      </c>
      <c r="G1039" t="inlineStr">
        <is>
          <t xml:space="preserve">assets/backgrounds/</t>
        </is>
      </c>
      <c r="H1039" t="inlineStr">
        <is>
          <t xml:space="preserve">The full-screen backdrop behind everything else on the room's own screen.</t>
        </is>
      </c>
      <c r="I1039" t="inlineStr">
        <is>
          <t xml:space="preserve">1080 x 2340 px (portrait, matches the game's own canvas)</t>
        </is>
      </c>
      <c r="J1039" t="inlineStr">
        <is>
          <t xml:space="preserve">No</t>
        </is>
      </c>
      <c r="K1039" t="inlineStr">
        <is>
          <t xml:space="preserve">Draft 2026-10-13: new topic room, background not drawn yet.</t>
        </is>
      </c>
    </row>
    <row r="1040">
      <c r="A1040" t="inlineStr">
        <is>
          <t xml:space="preserve">ST27</t>
        </is>
      </c>
      <c r="B1040" t="inlineStr">
        <is>
          <t xml:space="preserve">Background</t>
        </is>
      </c>
      <c r="C1040" t="inlineStr">
        <is>
          <t xml:space="preserve">Hearing on Rail Safety</t>
        </is>
      </c>
      <c r="E1040" t="inlineStr">
        <is>
          <t xml:space="preserve">ST27.png</t>
        </is>
      </c>
      <c r="F1040" t="inlineStr">
        <is>
          <t xml:space="preserve">{STAGE_ID}.png, or OFFICE.png for the Office</t>
        </is>
      </c>
      <c r="G1040" t="inlineStr">
        <is>
          <t xml:space="preserve">assets/backgrounds/</t>
        </is>
      </c>
      <c r="H1040" t="inlineStr">
        <is>
          <t xml:space="preserve">The full-screen backdrop behind everything else on the room's own screen.</t>
        </is>
      </c>
      <c r="I1040" t="inlineStr">
        <is>
          <t xml:space="preserve">1080 x 2340 px (portrait, matches the game's own canvas)</t>
        </is>
      </c>
      <c r="J1040" t="inlineStr">
        <is>
          <t xml:space="preserve">No</t>
        </is>
      </c>
      <c r="K1040" t="inlineStr">
        <is>
          <t xml:space="preserve">Draft 2026-10-13: new topic room, background not drawn yet.</t>
        </is>
      </c>
    </row>
    <row r="1041">
      <c r="A1041" t="inlineStr">
        <is>
          <t xml:space="preserve">ST28</t>
        </is>
      </c>
      <c r="B1041" t="inlineStr">
        <is>
          <t xml:space="preserve">Background</t>
        </is>
      </c>
      <c r="C1041" t="inlineStr">
        <is>
          <t xml:space="preserve">Lobbyist Meeting on Fishing Quotas</t>
        </is>
      </c>
      <c r="E1041" t="inlineStr">
        <is>
          <t xml:space="preserve">ST28.png</t>
        </is>
      </c>
      <c r="F1041" t="inlineStr">
        <is>
          <t xml:space="preserve">{STAGE_ID}.png, or OFFICE.png for the Office</t>
        </is>
      </c>
      <c r="G1041" t="inlineStr">
        <is>
          <t xml:space="preserve">assets/backgrounds/</t>
        </is>
      </c>
      <c r="H1041" t="inlineStr">
        <is>
          <t xml:space="preserve">The full-screen backdrop behind everything else on the room's own screen.</t>
        </is>
      </c>
      <c r="I1041" t="inlineStr">
        <is>
          <t xml:space="preserve">1080 x 2340 px (portrait, matches the game's own canvas)</t>
        </is>
      </c>
      <c r="J1041" t="inlineStr">
        <is>
          <t xml:space="preserve">No</t>
        </is>
      </c>
      <c r="K1041" t="inlineStr">
        <is>
          <t xml:space="preserve">Draft 2026-10-13: new topic room, background not drawn yet.</t>
        </is>
      </c>
    </row>
    <row r="1042">
      <c r="A1042" t="inlineStr">
        <is>
          <t xml:space="preserve">ST29</t>
        </is>
      </c>
      <c r="B1042" t="inlineStr">
        <is>
          <t xml:space="preserve">Background</t>
        </is>
      </c>
      <c r="C1042" t="inlineStr">
        <is>
          <t xml:space="preserve">Town Hall at the Harbour</t>
        </is>
      </c>
      <c r="E1042" t="inlineStr">
        <is>
          <t xml:space="preserve">ST29.png</t>
        </is>
      </c>
      <c r="F1042" t="inlineStr">
        <is>
          <t xml:space="preserve">{STAGE_ID}.png, or OFFICE.png for the Office</t>
        </is>
      </c>
      <c r="G1042" t="inlineStr">
        <is>
          <t xml:space="preserve">assets/backgrounds/</t>
        </is>
      </c>
      <c r="H1042" t="inlineStr">
        <is>
          <t xml:space="preserve">The full-screen backdrop behind everything else on the room's own screen.</t>
        </is>
      </c>
      <c r="I1042" t="inlineStr">
        <is>
          <t xml:space="preserve">1080 x 2340 px (portrait, matches the game's own canvas)</t>
        </is>
      </c>
      <c r="J1042" t="inlineStr">
        <is>
          <t xml:space="preserve">No</t>
        </is>
      </c>
      <c r="K1042" t="inlineStr">
        <is>
          <t xml:space="preserve">Draft 2026-10-13: new topic room, background not drawn yet.</t>
        </is>
      </c>
    </row>
    <row r="1043">
      <c r="A1043" t="inlineStr">
        <is>
          <t xml:space="preserve">ST30</t>
        </is>
      </c>
      <c r="B1043" t="inlineStr">
        <is>
          <t xml:space="preserve">Background</t>
        </is>
      </c>
      <c r="C1043" t="inlineStr">
        <is>
          <t xml:space="preserve">Media Ambush on Seafood Labelling</t>
        </is>
      </c>
      <c r="E1043" t="inlineStr">
        <is>
          <t xml:space="preserve">ST30.png</t>
        </is>
      </c>
      <c r="F1043" t="inlineStr">
        <is>
          <t xml:space="preserve">{STAGE_ID}.png, or OFFICE.png for the Office</t>
        </is>
      </c>
      <c r="G1043" t="inlineStr">
        <is>
          <t xml:space="preserve">assets/backgrounds/</t>
        </is>
      </c>
      <c r="H1043" t="inlineStr">
        <is>
          <t xml:space="preserve">The full-screen backdrop behind everything else on the room's own screen.</t>
        </is>
      </c>
      <c r="I1043" t="inlineStr">
        <is>
          <t xml:space="preserve">1080 x 2340 px (portrait, matches the game's own canvas)</t>
        </is>
      </c>
      <c r="J1043" t="inlineStr">
        <is>
          <t xml:space="preserve">No</t>
        </is>
      </c>
      <c r="K1043" t="inlineStr">
        <is>
          <t xml:space="preserve">Draft 2026-10-13: new topic room, background not drawn yet.</t>
        </is>
      </c>
    </row>
    <row r="1044">
      <c r="A1044" t="inlineStr">
        <is>
          <t xml:space="preserve">ST31</t>
        </is>
      </c>
      <c r="B1044" t="inlineStr">
        <is>
          <t xml:space="preserve">Background</t>
        </is>
      </c>
      <c r="C1044" t="inlineStr">
        <is>
          <t xml:space="preserve">Hearing on Fishery Quotas</t>
        </is>
      </c>
      <c r="E1044" t="inlineStr">
        <is>
          <t xml:space="preserve">ST31.png</t>
        </is>
      </c>
      <c r="F1044" t="inlineStr">
        <is>
          <t xml:space="preserve">{STAGE_ID}.png, or OFFICE.png for the Office</t>
        </is>
      </c>
      <c r="G1044" t="inlineStr">
        <is>
          <t xml:space="preserve">assets/backgrounds/</t>
        </is>
      </c>
      <c r="H1044" t="inlineStr">
        <is>
          <t xml:space="preserve">The full-screen backdrop behind everything else on the room's own screen.</t>
        </is>
      </c>
      <c r="I1044" t="inlineStr">
        <is>
          <t xml:space="preserve">1080 x 2340 px (portrait, matches the game's own canvas)</t>
        </is>
      </c>
      <c r="J1044" t="inlineStr">
        <is>
          <t xml:space="preserve">No</t>
        </is>
      </c>
      <c r="K1044" t="inlineStr">
        <is>
          <t xml:space="preserve">Draft 2026-10-13: new topic room, background not drawn yet.</t>
        </is>
      </c>
    </row>
    <row r="1045">
      <c r="A1045" t="inlineStr">
        <is>
          <t xml:space="preserve">ST32</t>
        </is>
      </c>
      <c r="B1045" t="inlineStr">
        <is>
          <t xml:space="preserve">Background</t>
        </is>
      </c>
      <c r="C1045" t="inlineStr">
        <is>
          <t xml:space="preserve">Press Conference on Wilderness Protection</t>
        </is>
      </c>
      <c r="E1045" t="inlineStr">
        <is>
          <t xml:space="preserve">ST32.png</t>
        </is>
      </c>
      <c r="F1045" t="inlineStr">
        <is>
          <t xml:space="preserve">{STAGE_ID}.png, or OFFICE.png for the Office</t>
        </is>
      </c>
      <c r="G1045" t="inlineStr">
        <is>
          <t xml:space="preserve">assets/backgrounds/</t>
        </is>
      </c>
      <c r="H1045" t="inlineStr">
        <is>
          <t xml:space="preserve">The full-screen backdrop behind everything else on the room's own screen.</t>
        </is>
      </c>
      <c r="I1045" t="inlineStr">
        <is>
          <t xml:space="preserve">1080 x 2340 px (portrait, matches the game's own canvas)</t>
        </is>
      </c>
      <c r="J1045" t="inlineStr">
        <is>
          <t xml:space="preserve">No</t>
        </is>
      </c>
      <c r="K1045" t="inlineStr">
        <is>
          <t xml:space="preserve">Draft 2026-10-13: new topic room, background not drawn yet.</t>
        </is>
      </c>
    </row>
    <row r="1046">
      <c r="A1046" t="inlineStr">
        <is>
          <t xml:space="preserve">ST33</t>
        </is>
      </c>
      <c r="B1046" t="inlineStr">
        <is>
          <t xml:space="preserve">Background</t>
        </is>
      </c>
      <c r="C1046" t="inlineStr">
        <is>
          <t xml:space="preserve">Hearing on Wilderness Protection</t>
        </is>
      </c>
      <c r="E1046" t="inlineStr">
        <is>
          <t xml:space="preserve">ST33.png</t>
        </is>
      </c>
      <c r="F1046" t="inlineStr">
        <is>
          <t xml:space="preserve">{STAGE_ID}.png, or OFFICE.png for the Office</t>
        </is>
      </c>
      <c r="G1046" t="inlineStr">
        <is>
          <t xml:space="preserve">assets/backgrounds/</t>
        </is>
      </c>
      <c r="H1046" t="inlineStr">
        <is>
          <t xml:space="preserve">The full-screen backdrop behind everything else on the room's own screen.</t>
        </is>
      </c>
      <c r="I1046" t="inlineStr">
        <is>
          <t xml:space="preserve">1080 x 2340 px (portrait, matches the game's own canvas)</t>
        </is>
      </c>
      <c r="J1046" t="inlineStr">
        <is>
          <t xml:space="preserve">No</t>
        </is>
      </c>
      <c r="K1046" t="inlineStr">
        <is>
          <t xml:space="preserve">Draft 2026-10-13: new topic room, background not drawn yet.</t>
        </is>
      </c>
    </row>
    <row r="1047">
      <c r="A1047" t="inlineStr">
        <is>
          <t xml:space="preserve">ST34</t>
        </is>
      </c>
      <c r="B1047" t="inlineStr">
        <is>
          <t xml:space="preserve">Background</t>
        </is>
      </c>
      <c r="C1047" t="inlineStr">
        <is>
          <t xml:space="preserve">Town Hall on Wilderness Protection</t>
        </is>
      </c>
      <c r="E1047" t="inlineStr">
        <is>
          <t xml:space="preserve">ST34.png</t>
        </is>
      </c>
      <c r="F1047" t="inlineStr">
        <is>
          <t xml:space="preserve">{STAGE_ID}.png, or OFFICE.png for the Office</t>
        </is>
      </c>
      <c r="G1047" t="inlineStr">
        <is>
          <t xml:space="preserve">assets/backgrounds/</t>
        </is>
      </c>
      <c r="H1047" t="inlineStr">
        <is>
          <t xml:space="preserve">The full-screen backdrop behind everything else on the room's own screen.</t>
        </is>
      </c>
      <c r="I1047" t="inlineStr">
        <is>
          <t xml:space="preserve">1080 x 2340 px (portrait, matches the game's own canvas)</t>
        </is>
      </c>
      <c r="J1047" t="inlineStr">
        <is>
          <t xml:space="preserve">No</t>
        </is>
      </c>
      <c r="K1047" t="inlineStr">
        <is>
          <t xml:space="preserve">Draft 2026-10-13: new topic room, background not drawn yet.</t>
        </is>
      </c>
    </row>
    <row r="1048">
      <c r="A1048" t="inlineStr">
        <is>
          <t xml:space="preserve">ST35</t>
        </is>
      </c>
      <c r="B1048" t="inlineStr">
        <is>
          <t xml:space="preserve">Background</t>
        </is>
      </c>
      <c r="C1048" t="inlineStr">
        <is>
          <t xml:space="preserve">Party Caucus on Wilderness Protection</t>
        </is>
      </c>
      <c r="E1048" t="inlineStr">
        <is>
          <t xml:space="preserve">ST35.png</t>
        </is>
      </c>
      <c r="F1048" t="inlineStr">
        <is>
          <t xml:space="preserve">{STAGE_ID}.png, or OFFICE.png for the Office</t>
        </is>
      </c>
      <c r="G1048" t="inlineStr">
        <is>
          <t xml:space="preserve">assets/backgrounds/</t>
        </is>
      </c>
      <c r="H1048" t="inlineStr">
        <is>
          <t xml:space="preserve">The full-screen backdrop behind everything else on the room's own screen.</t>
        </is>
      </c>
      <c r="I1048" t="inlineStr">
        <is>
          <t xml:space="preserve">1080 x 2340 px (portrait, matches the game's own canvas)</t>
        </is>
      </c>
      <c r="J1048" t="inlineStr">
        <is>
          <t xml:space="preserve">No</t>
        </is>
      </c>
      <c r="K1048" t="inlineStr">
        <is>
          <t xml:space="preserve">Draft 2026-10-13: new topic room, background not drawn yet.</t>
        </is>
      </c>
    </row>
    <row r="1049">
      <c r="A1049" t="inlineStr">
        <is>
          <t xml:space="preserve">ST36</t>
        </is>
      </c>
      <c r="B1049" t="inlineStr">
        <is>
          <t xml:space="preserve">Background</t>
        </is>
      </c>
      <c r="C1049" t="inlineStr">
        <is>
          <t xml:space="preserve">Town Hall on Rural Hospitals</t>
        </is>
      </c>
      <c r="E1049" t="inlineStr">
        <is>
          <t xml:space="preserve">ST36.png</t>
        </is>
      </c>
      <c r="F1049" t="inlineStr">
        <is>
          <t xml:space="preserve">{STAGE_ID}.png, or OFFICE.png for the Office</t>
        </is>
      </c>
      <c r="G1049" t="inlineStr">
        <is>
          <t xml:space="preserve">assets/backgrounds/</t>
        </is>
      </c>
      <c r="H1049" t="inlineStr">
        <is>
          <t xml:space="preserve">The full-screen backdrop behind everything else on the room's own screen.</t>
        </is>
      </c>
      <c r="I1049" t="inlineStr">
        <is>
          <t xml:space="preserve">1080 x 2340 px (portrait, matches the game's own canvas)</t>
        </is>
      </c>
      <c r="J1049" t="inlineStr">
        <is>
          <t xml:space="preserve">No</t>
        </is>
      </c>
      <c r="K1049" t="inlineStr">
        <is>
          <t xml:space="preserve">Draft 2026-10-13: new topic room, background not drawn yet.</t>
        </is>
      </c>
    </row>
    <row r="1050">
      <c r="A1050" t="inlineStr">
        <is>
          <t xml:space="preserve">ST37</t>
        </is>
      </c>
      <c r="B1050" t="inlineStr">
        <is>
          <t xml:space="preserve">Background</t>
        </is>
      </c>
      <c r="C1050" t="inlineStr">
        <is>
          <t xml:space="preserve">Hearing on Rural Hospitals</t>
        </is>
      </c>
      <c r="E1050" t="inlineStr">
        <is>
          <t xml:space="preserve">ST37.png</t>
        </is>
      </c>
      <c r="F1050" t="inlineStr">
        <is>
          <t xml:space="preserve">{STAGE_ID}.png, or OFFICE.png for the Office</t>
        </is>
      </c>
      <c r="G1050" t="inlineStr">
        <is>
          <t xml:space="preserve">assets/backgrounds/</t>
        </is>
      </c>
      <c r="H1050" t="inlineStr">
        <is>
          <t xml:space="preserve">The full-screen backdrop behind everything else on the room's own screen.</t>
        </is>
      </c>
      <c r="I1050" t="inlineStr">
        <is>
          <t xml:space="preserve">1080 x 2340 px (portrait, matches the game's own canvas)</t>
        </is>
      </c>
      <c r="J1050" t="inlineStr">
        <is>
          <t xml:space="preserve">No</t>
        </is>
      </c>
      <c r="K1050" t="inlineStr">
        <is>
          <t xml:space="preserve">Draft 2026-10-13: new topic room, background not drawn yet.</t>
        </is>
      </c>
    </row>
    <row r="1051">
      <c r="A1051" t="inlineStr">
        <is>
          <t xml:space="preserve">ST38</t>
        </is>
      </c>
      <c r="B1051" t="inlineStr">
        <is>
          <t xml:space="preserve">Background</t>
        </is>
      </c>
      <c r="C1051" t="inlineStr">
        <is>
          <t xml:space="preserve">Policy Study on Rural Hospitals</t>
        </is>
      </c>
      <c r="E1051" t="inlineStr">
        <is>
          <t xml:space="preserve">ST38.png</t>
        </is>
      </c>
      <c r="F1051" t="inlineStr">
        <is>
          <t xml:space="preserve">{STAGE_ID}.png, or OFFICE.png for the Office</t>
        </is>
      </c>
      <c r="G1051" t="inlineStr">
        <is>
          <t xml:space="preserve">assets/backgrounds/</t>
        </is>
      </c>
      <c r="H1051" t="inlineStr">
        <is>
          <t xml:space="preserve">The full-screen backdrop behind everything else on the room's own screen.</t>
        </is>
      </c>
      <c r="I1051" t="inlineStr">
        <is>
          <t xml:space="preserve">1080 x 2340 px (portrait, matches the game's own canvas)</t>
        </is>
      </c>
      <c r="J1051" t="inlineStr">
        <is>
          <t xml:space="preserve">No</t>
        </is>
      </c>
      <c r="K1051" t="inlineStr">
        <is>
          <t xml:space="preserve">Draft 2026-10-13: new topic room, background not drawn yet.</t>
        </is>
      </c>
    </row>
    <row r="1052">
      <c r="A1052" t="inlineStr">
        <is>
          <t xml:space="preserve">ST39</t>
        </is>
      </c>
      <c r="B1052" t="inlineStr">
        <is>
          <t xml:space="preserve">Background</t>
        </is>
      </c>
      <c r="C1052" t="inlineStr">
        <is>
          <t xml:space="preserve">Party Caucus on Rural Hospitals</t>
        </is>
      </c>
      <c r="E1052" t="inlineStr">
        <is>
          <t xml:space="preserve">ST39.png</t>
        </is>
      </c>
      <c r="F1052" t="inlineStr">
        <is>
          <t xml:space="preserve">{STAGE_ID}.png, or OFFICE.png for the Office</t>
        </is>
      </c>
      <c r="G1052" t="inlineStr">
        <is>
          <t xml:space="preserve">assets/backgrounds/</t>
        </is>
      </c>
      <c r="H1052" t="inlineStr">
        <is>
          <t xml:space="preserve">The full-screen backdrop behind everything else on the room's own screen.</t>
        </is>
      </c>
      <c r="I1052" t="inlineStr">
        <is>
          <t xml:space="preserve">1080 x 2340 px (portrait, matches the game's own canvas)</t>
        </is>
      </c>
      <c r="J1052" t="inlineStr">
        <is>
          <t xml:space="preserve">No</t>
        </is>
      </c>
      <c r="K1052" t="inlineStr">
        <is>
          <t xml:space="preserve">Draft 2026-10-13: new topic room, background not drawn yet.</t>
        </is>
      </c>
    </row>
    <row r="1053">
      <c r="A1053" t="inlineStr">
        <is>
          <t xml:space="preserve">ST40</t>
        </is>
      </c>
      <c r="B1053" t="inlineStr">
        <is>
          <t xml:space="preserve">Background</t>
        </is>
      </c>
      <c r="C1053" t="inlineStr">
        <is>
          <t xml:space="preserve">Policy Study on Digital Identity Cards</t>
        </is>
      </c>
      <c r="E1053" t="inlineStr">
        <is>
          <t xml:space="preserve">ST40.png</t>
        </is>
      </c>
      <c r="F1053" t="inlineStr">
        <is>
          <t xml:space="preserve">{STAGE_ID}.png, or OFFICE.png for the Office</t>
        </is>
      </c>
      <c r="G1053" t="inlineStr">
        <is>
          <t xml:space="preserve">assets/backgrounds/</t>
        </is>
      </c>
      <c r="H1053" t="inlineStr">
        <is>
          <t xml:space="preserve">The full-screen backdrop behind everything else on the room's own screen.</t>
        </is>
      </c>
      <c r="I1053" t="inlineStr">
        <is>
          <t xml:space="preserve">1080 x 2340 px (portrait, matches the game's own canvas)</t>
        </is>
      </c>
      <c r="J1053" t="inlineStr">
        <is>
          <t xml:space="preserve">No</t>
        </is>
      </c>
      <c r="K1053" t="inlineStr">
        <is>
          <t xml:space="preserve">Draft 2026-10-13: new topic room, background not drawn yet.</t>
        </is>
      </c>
    </row>
    <row r="1054">
      <c r="A1054" t="inlineStr">
        <is>
          <t xml:space="preserve">ST41</t>
        </is>
      </c>
      <c r="B1054" t="inlineStr">
        <is>
          <t xml:space="preserve">Background</t>
        </is>
      </c>
      <c r="C1054" t="inlineStr">
        <is>
          <t xml:space="preserve">TV Debate on Digital Identity Cards</t>
        </is>
      </c>
      <c r="E1054" t="inlineStr">
        <is>
          <t xml:space="preserve">ST41.png</t>
        </is>
      </c>
      <c r="F1054" t="inlineStr">
        <is>
          <t xml:space="preserve">{STAGE_ID}.png, or OFFICE.png for the Office</t>
        </is>
      </c>
      <c r="G1054" t="inlineStr">
        <is>
          <t xml:space="preserve">assets/backgrounds/</t>
        </is>
      </c>
      <c r="H1054" t="inlineStr">
        <is>
          <t xml:space="preserve">The full-screen backdrop behind everything else on the room's own screen.</t>
        </is>
      </c>
      <c r="I1054" t="inlineStr">
        <is>
          <t xml:space="preserve">1080 x 2340 px (portrait, matches the game's own canvas)</t>
        </is>
      </c>
      <c r="J1054" t="inlineStr">
        <is>
          <t xml:space="preserve">No</t>
        </is>
      </c>
      <c r="K1054" t="inlineStr">
        <is>
          <t xml:space="preserve">Draft 2026-10-13: new topic room, background not drawn yet.</t>
        </is>
      </c>
    </row>
    <row r="1055">
      <c r="A1055" t="inlineStr">
        <is>
          <t xml:space="preserve">ST42</t>
        </is>
      </c>
      <c r="B1055" t="inlineStr">
        <is>
          <t xml:space="preserve">Background</t>
        </is>
      </c>
      <c r="C1055" t="inlineStr">
        <is>
          <t xml:space="preserve">Party Caucus on Digital Identity Cards</t>
        </is>
      </c>
      <c r="E1055" t="inlineStr">
        <is>
          <t xml:space="preserve">ST42.png</t>
        </is>
      </c>
      <c r="F1055" t="inlineStr">
        <is>
          <t xml:space="preserve">{STAGE_ID}.png, or OFFICE.png for the Office</t>
        </is>
      </c>
      <c r="G1055" t="inlineStr">
        <is>
          <t xml:space="preserve">assets/backgrounds/</t>
        </is>
      </c>
      <c r="H1055" t="inlineStr">
        <is>
          <t xml:space="preserve">The full-screen backdrop behind everything else on the room's own screen.</t>
        </is>
      </c>
      <c r="I1055" t="inlineStr">
        <is>
          <t xml:space="preserve">1080 x 2340 px (portrait, matches the game's own canvas)</t>
        </is>
      </c>
      <c r="J1055" t="inlineStr">
        <is>
          <t xml:space="preserve">No</t>
        </is>
      </c>
      <c r="K1055" t="inlineStr">
        <is>
          <t xml:space="preserve">Draft 2026-10-13: new topic room, background not drawn yet.</t>
        </is>
      </c>
    </row>
    <row r="1056">
      <c r="A1056" t="inlineStr">
        <is>
          <t xml:space="preserve">ST43</t>
        </is>
      </c>
      <c r="B1056" t="inlineStr">
        <is>
          <t xml:space="preserve">Background</t>
        </is>
      </c>
      <c r="C1056" t="inlineStr">
        <is>
          <t xml:space="preserve">Press Conference on Broadcaster Independence</t>
        </is>
      </c>
      <c r="E1056" t="inlineStr">
        <is>
          <t xml:space="preserve">ST43.png</t>
        </is>
      </c>
      <c r="F1056" t="inlineStr">
        <is>
          <t xml:space="preserve">{STAGE_ID}.png, or OFFICE.png for the Office</t>
        </is>
      </c>
      <c r="G1056" t="inlineStr">
        <is>
          <t xml:space="preserve">assets/backgrounds/</t>
        </is>
      </c>
      <c r="H1056" t="inlineStr">
        <is>
          <t xml:space="preserve">The full-screen backdrop behind everything else on the room's own screen.</t>
        </is>
      </c>
      <c r="I1056" t="inlineStr">
        <is>
          <t xml:space="preserve">1080 x 2340 px (portrait, matches the game's own canvas)</t>
        </is>
      </c>
      <c r="J1056" t="inlineStr">
        <is>
          <t xml:space="preserve">No</t>
        </is>
      </c>
      <c r="K1056" t="inlineStr">
        <is>
          <t xml:space="preserve">Draft 2026-10-13: new topic room, background not drawn yet.</t>
        </is>
      </c>
    </row>
    <row r="1057">
      <c r="A1057" t="inlineStr">
        <is>
          <t xml:space="preserve">ST44</t>
        </is>
      </c>
      <c r="B1057" t="inlineStr">
        <is>
          <t xml:space="preserve">Background</t>
        </is>
      </c>
      <c r="C1057" t="inlineStr">
        <is>
          <t xml:space="preserve">TV Debate on Broadcaster Independence</t>
        </is>
      </c>
      <c r="E1057" t="inlineStr">
        <is>
          <t xml:space="preserve">ST44.png</t>
        </is>
      </c>
      <c r="F1057" t="inlineStr">
        <is>
          <t xml:space="preserve">{STAGE_ID}.png, or OFFICE.png for the Office</t>
        </is>
      </c>
      <c r="G1057" t="inlineStr">
        <is>
          <t xml:space="preserve">assets/backgrounds/</t>
        </is>
      </c>
      <c r="H1057" t="inlineStr">
        <is>
          <t xml:space="preserve">The full-screen backdrop behind everything else on the room's own screen.</t>
        </is>
      </c>
      <c r="I1057" t="inlineStr">
        <is>
          <t xml:space="preserve">1080 x 2340 px (portrait, matches the game's own canvas)</t>
        </is>
      </c>
      <c r="J1057" t="inlineStr">
        <is>
          <t xml:space="preserve">No</t>
        </is>
      </c>
      <c r="K1057" t="inlineStr">
        <is>
          <t xml:space="preserve">Draft 2026-10-13: new topic room, background not drawn yet.</t>
        </is>
      </c>
    </row>
    <row r="1058">
      <c r="A1058" t="inlineStr">
        <is>
          <t xml:space="preserve">ST45</t>
        </is>
      </c>
      <c r="B1058" t="inlineStr">
        <is>
          <t xml:space="preserve">Background</t>
        </is>
      </c>
      <c r="C1058" t="inlineStr">
        <is>
          <t xml:space="preserve">Party Caucus on Broadcaster Independence</t>
        </is>
      </c>
      <c r="E1058" t="inlineStr">
        <is>
          <t xml:space="preserve">ST45.png</t>
        </is>
      </c>
      <c r="F1058" t="inlineStr">
        <is>
          <t xml:space="preserve">{STAGE_ID}.png, or OFFICE.png for the Office</t>
        </is>
      </c>
      <c r="G1058" t="inlineStr">
        <is>
          <t xml:space="preserve">assets/backgrounds/</t>
        </is>
      </c>
      <c r="H1058" t="inlineStr">
        <is>
          <t xml:space="preserve">The full-screen backdrop behind everything else on the room's own screen.</t>
        </is>
      </c>
      <c r="I1058" t="inlineStr">
        <is>
          <t xml:space="preserve">1080 x 2340 px (portrait, matches the game's own canvas)</t>
        </is>
      </c>
      <c r="J1058" t="inlineStr">
        <is>
          <t xml:space="preserve">No</t>
        </is>
      </c>
      <c r="K1058" t="inlineStr">
        <is>
          <t xml:space="preserve">Draft 2026-10-13: new topic room, background not drawn yet.</t>
        </is>
      </c>
    </row>
    <row r="1059">
      <c r="A1059" t="inlineStr">
        <is>
          <t xml:space="preserve">ST46</t>
        </is>
      </c>
      <c r="B1059" t="inlineStr">
        <is>
          <t xml:space="preserve">Background</t>
        </is>
      </c>
      <c r="C1059" t="inlineStr">
        <is>
          <t xml:space="preserve">Press Conference on Donation Transparency</t>
        </is>
      </c>
      <c r="E1059" t="inlineStr">
        <is>
          <t xml:space="preserve">ST46.png</t>
        </is>
      </c>
      <c r="F1059" t="inlineStr">
        <is>
          <t xml:space="preserve">{STAGE_ID}.png, or OFFICE.png for the Office</t>
        </is>
      </c>
      <c r="G1059" t="inlineStr">
        <is>
          <t xml:space="preserve">assets/backgrounds/</t>
        </is>
      </c>
      <c r="H1059" t="inlineStr">
        <is>
          <t xml:space="preserve">The full-screen backdrop behind everything else on the room's own screen.</t>
        </is>
      </c>
      <c r="I1059" t="inlineStr">
        <is>
          <t xml:space="preserve">1080 x 2340 px (portrait, matches the game's own canvas)</t>
        </is>
      </c>
      <c r="J1059" t="inlineStr">
        <is>
          <t xml:space="preserve">No</t>
        </is>
      </c>
      <c r="K1059" t="inlineStr">
        <is>
          <t xml:space="preserve">Draft 2026-10-13: new topic room, background not drawn yet.</t>
        </is>
      </c>
    </row>
    <row r="1060">
      <c r="A1060" t="inlineStr">
        <is>
          <t xml:space="preserve">ST47</t>
        </is>
      </c>
      <c r="B1060" t="inlineStr">
        <is>
          <t xml:space="preserve">Background</t>
        </is>
      </c>
      <c r="C1060" t="inlineStr">
        <is>
          <t xml:space="preserve">Hearing on Donation Transparency</t>
        </is>
      </c>
      <c r="E1060" t="inlineStr">
        <is>
          <t xml:space="preserve">ST47.png</t>
        </is>
      </c>
      <c r="F1060" t="inlineStr">
        <is>
          <t xml:space="preserve">{STAGE_ID}.png, or OFFICE.png for the Office</t>
        </is>
      </c>
      <c r="G1060" t="inlineStr">
        <is>
          <t xml:space="preserve">assets/backgrounds/</t>
        </is>
      </c>
      <c r="H1060" t="inlineStr">
        <is>
          <t xml:space="preserve">The full-screen backdrop behind everything else on the room's own screen.</t>
        </is>
      </c>
      <c r="I1060" t="inlineStr">
        <is>
          <t xml:space="preserve">1080 x 2340 px (portrait, matches the game's own canvas)</t>
        </is>
      </c>
      <c r="J1060" t="inlineStr">
        <is>
          <t xml:space="preserve">No</t>
        </is>
      </c>
      <c r="K1060" t="inlineStr">
        <is>
          <t xml:space="preserve">Draft 2026-10-13: new topic room, background not drawn yet.</t>
        </is>
      </c>
    </row>
    <row r="1061">
      <c r="A1061" t="inlineStr">
        <is>
          <t xml:space="preserve">ST48</t>
        </is>
      </c>
      <c r="B1061" t="inlineStr">
        <is>
          <t xml:space="preserve">Background</t>
        </is>
      </c>
      <c r="C1061" t="inlineStr">
        <is>
          <t xml:space="preserve">Lobbyist Meeting on Donation Transparency</t>
        </is>
      </c>
      <c r="E1061" t="inlineStr">
        <is>
          <t xml:space="preserve">ST48.png</t>
        </is>
      </c>
      <c r="F1061" t="inlineStr">
        <is>
          <t xml:space="preserve">{STAGE_ID}.png, or OFFICE.png for the Office</t>
        </is>
      </c>
      <c r="G1061" t="inlineStr">
        <is>
          <t xml:space="preserve">assets/backgrounds/</t>
        </is>
      </c>
      <c r="H1061" t="inlineStr">
        <is>
          <t xml:space="preserve">The full-screen backdrop behind everything else on the room's own screen.</t>
        </is>
      </c>
      <c r="I1061" t="inlineStr">
        <is>
          <t xml:space="preserve">1080 x 2340 px (portrait, matches the game's own canvas)</t>
        </is>
      </c>
      <c r="J1061" t="inlineStr">
        <is>
          <t xml:space="preserve">No</t>
        </is>
      </c>
      <c r="K1061" t="inlineStr">
        <is>
          <t xml:space="preserve">Draft 2026-10-13: new topic room, background not drawn yet.</t>
        </is>
      </c>
    </row>
    <row r="1062">
      <c r="A1062" t="inlineStr">
        <is>
          <t xml:space="preserve">ST49</t>
        </is>
      </c>
      <c r="B1062" t="inlineStr">
        <is>
          <t xml:space="preserve">Background</t>
        </is>
      </c>
      <c r="C1062" t="inlineStr">
        <is>
          <t xml:space="preserve">Party Caucus on Donation Transparency</t>
        </is>
      </c>
      <c r="E1062" t="inlineStr">
        <is>
          <t xml:space="preserve">ST49.png</t>
        </is>
      </c>
      <c r="F1062" t="inlineStr">
        <is>
          <t xml:space="preserve">{STAGE_ID}.png, or OFFICE.png for the Office</t>
        </is>
      </c>
      <c r="G1062" t="inlineStr">
        <is>
          <t xml:space="preserve">assets/backgrounds/</t>
        </is>
      </c>
      <c r="H1062" t="inlineStr">
        <is>
          <t xml:space="preserve">The full-screen backdrop behind everything else on the room's own screen.</t>
        </is>
      </c>
      <c r="I1062" t="inlineStr">
        <is>
          <t xml:space="preserve">1080 x 2340 px (portrait, matches the game's own canvas)</t>
        </is>
      </c>
      <c r="J1062" t="inlineStr">
        <is>
          <t xml:space="preserve">No</t>
        </is>
      </c>
      <c r="K1062" t="inlineStr">
        <is>
          <t xml:space="preserve">Draft 2026-10-13: new topic room, background not drawn yet.</t>
        </is>
      </c>
    </row>
    <row r="1063">
      <c r="A1063" t="inlineStr">
        <is>
          <t xml:space="preserve">ST50</t>
        </is>
      </c>
      <c r="B1063" t="inlineStr">
        <is>
          <t xml:space="preserve">Background</t>
        </is>
      </c>
      <c r="C1063" t="inlineStr">
        <is>
          <t xml:space="preserve">Policy Study on Corporate Tax Cuts</t>
        </is>
      </c>
      <c r="E1063" t="inlineStr">
        <is>
          <t xml:space="preserve">ST50.png</t>
        </is>
      </c>
      <c r="F1063" t="inlineStr">
        <is>
          <t xml:space="preserve">{STAGE_ID}.png, or OFFICE.png for the Office</t>
        </is>
      </c>
      <c r="G1063" t="inlineStr">
        <is>
          <t xml:space="preserve">assets/backgrounds/</t>
        </is>
      </c>
      <c r="H1063" t="inlineStr">
        <is>
          <t xml:space="preserve">The full-screen backdrop behind everything else on the room's own screen.</t>
        </is>
      </c>
      <c r="I1063" t="inlineStr">
        <is>
          <t xml:space="preserve">1080 x 2340 px (portrait, matches the game's own canvas)</t>
        </is>
      </c>
      <c r="J1063" t="inlineStr">
        <is>
          <t xml:space="preserve">No</t>
        </is>
      </c>
      <c r="K1063" t="inlineStr">
        <is>
          <t xml:space="preserve">Draft 2026-10-13: new topic room, background not drawn yet.</t>
        </is>
      </c>
    </row>
    <row r="1064">
      <c r="A1064" t="inlineStr">
        <is>
          <t xml:space="preserve">ST51</t>
        </is>
      </c>
      <c r="B1064" t="inlineStr">
        <is>
          <t xml:space="preserve">Background</t>
        </is>
      </c>
      <c r="C1064" t="inlineStr">
        <is>
          <t xml:space="preserve">Hearing on Corporate Tax Cuts</t>
        </is>
      </c>
      <c r="E1064" t="inlineStr">
        <is>
          <t xml:space="preserve">ST51.png</t>
        </is>
      </c>
      <c r="F1064" t="inlineStr">
        <is>
          <t xml:space="preserve">{STAGE_ID}.png, or OFFICE.png for the Office</t>
        </is>
      </c>
      <c r="G1064" t="inlineStr">
        <is>
          <t xml:space="preserve">assets/backgrounds/</t>
        </is>
      </c>
      <c r="H1064" t="inlineStr">
        <is>
          <t xml:space="preserve">The full-screen backdrop behind everything else on the room's own screen.</t>
        </is>
      </c>
      <c r="I1064" t="inlineStr">
        <is>
          <t xml:space="preserve">1080 x 2340 px (portrait, matches the game's own canvas)</t>
        </is>
      </c>
      <c r="J1064" t="inlineStr">
        <is>
          <t xml:space="preserve">No</t>
        </is>
      </c>
      <c r="K1064" t="inlineStr">
        <is>
          <t xml:space="preserve">Draft 2026-10-13: new topic room, background not drawn yet.</t>
        </is>
      </c>
    </row>
    <row r="1065">
      <c r="A1065" t="inlineStr">
        <is>
          <t xml:space="preserve">ST52</t>
        </is>
      </c>
      <c r="B1065" t="inlineStr">
        <is>
          <t xml:space="preserve">Background</t>
        </is>
      </c>
      <c r="C1065" t="inlineStr">
        <is>
          <t xml:space="preserve">Party Caucus on Corporate Tax Cuts</t>
        </is>
      </c>
      <c r="E1065" t="inlineStr">
        <is>
          <t xml:space="preserve">ST52.png</t>
        </is>
      </c>
      <c r="F1065" t="inlineStr">
        <is>
          <t xml:space="preserve">{STAGE_ID}.png, or OFFICE.png for the Office</t>
        </is>
      </c>
      <c r="G1065" t="inlineStr">
        <is>
          <t xml:space="preserve">assets/backgrounds/</t>
        </is>
      </c>
      <c r="H1065" t="inlineStr">
        <is>
          <t xml:space="preserve">The full-screen backdrop behind everything else on the room's own screen.</t>
        </is>
      </c>
      <c r="I1065" t="inlineStr">
        <is>
          <t xml:space="preserve">1080 x 2340 px (portrait, matches the game's own canvas)</t>
        </is>
      </c>
      <c r="J1065" t="inlineStr">
        <is>
          <t xml:space="preserve">No</t>
        </is>
      </c>
      <c r="K1065" t="inlineStr">
        <is>
          <t xml:space="preserve">Draft 2026-10-13: new topic room, background not drawn yet.</t>
        </is>
      </c>
    </row>
    <row r="1066">
      <c r="A1066" t="inlineStr">
        <is>
          <t xml:space="preserve">ST53</t>
        </is>
      </c>
      <c r="B1066" t="inlineStr">
        <is>
          <t xml:space="preserve">Background</t>
        </is>
      </c>
      <c r="C1066" t="inlineStr">
        <is>
          <t xml:space="preserve">Town Hall on the Carbon Levy</t>
        </is>
      </c>
      <c r="E1066" t="inlineStr">
        <is>
          <t xml:space="preserve">ST53.png</t>
        </is>
      </c>
      <c r="F1066" t="inlineStr">
        <is>
          <t xml:space="preserve">{STAGE_ID}.png, or OFFICE.png for the Office</t>
        </is>
      </c>
      <c r="G1066" t="inlineStr">
        <is>
          <t xml:space="preserve">assets/backgrounds/</t>
        </is>
      </c>
      <c r="H1066" t="inlineStr">
        <is>
          <t xml:space="preserve">The full-screen backdrop behind everything else on the room's own screen.</t>
        </is>
      </c>
      <c r="I1066" t="inlineStr">
        <is>
          <t xml:space="preserve">1080 x 2340 px (portrait, matches the game's own canvas)</t>
        </is>
      </c>
      <c r="J1066" t="inlineStr">
        <is>
          <t xml:space="preserve">No</t>
        </is>
      </c>
      <c r="K1066" t="inlineStr">
        <is>
          <t xml:space="preserve">Draft 2026-10-13: new topic room, background not drawn yet.</t>
        </is>
      </c>
    </row>
    <row r="1067">
      <c r="A1067" t="inlineStr">
        <is>
          <t xml:space="preserve">ST54</t>
        </is>
      </c>
      <c r="B1067" t="inlineStr">
        <is>
          <t xml:space="preserve">Background</t>
        </is>
      </c>
      <c r="C1067" t="inlineStr">
        <is>
          <t xml:space="preserve">Hearing on the Carbon Levy</t>
        </is>
      </c>
      <c r="E1067" t="inlineStr">
        <is>
          <t xml:space="preserve">ST54.png</t>
        </is>
      </c>
      <c r="F1067" t="inlineStr">
        <is>
          <t xml:space="preserve">{STAGE_ID}.png, or OFFICE.png for the Office</t>
        </is>
      </c>
      <c r="G1067" t="inlineStr">
        <is>
          <t xml:space="preserve">assets/backgrounds/</t>
        </is>
      </c>
      <c r="H1067" t="inlineStr">
        <is>
          <t xml:space="preserve">The full-screen backdrop behind everything else on the room's own screen.</t>
        </is>
      </c>
      <c r="I1067" t="inlineStr">
        <is>
          <t xml:space="preserve">1080 x 2340 px (portrait, matches the game's own canvas)</t>
        </is>
      </c>
      <c r="J1067" t="inlineStr">
        <is>
          <t xml:space="preserve">No</t>
        </is>
      </c>
      <c r="K1067" t="inlineStr">
        <is>
          <t xml:space="preserve">Draft 2026-10-13: new topic room, background not drawn yet.</t>
        </is>
      </c>
    </row>
    <row r="1068">
      <c r="A1068" t="inlineStr">
        <is>
          <t xml:space="preserve">ST55</t>
        </is>
      </c>
      <c r="B1068" t="inlineStr">
        <is>
          <t xml:space="preserve">Background</t>
        </is>
      </c>
      <c r="C1068" t="inlineStr">
        <is>
          <t xml:space="preserve">Press Conference on the Carbon Levy</t>
        </is>
      </c>
      <c r="E1068" t="inlineStr">
        <is>
          <t xml:space="preserve">ST55.png</t>
        </is>
      </c>
      <c r="F1068" t="inlineStr">
        <is>
          <t xml:space="preserve">{STAGE_ID}.png, or OFFICE.png for the Office</t>
        </is>
      </c>
      <c r="G1068" t="inlineStr">
        <is>
          <t xml:space="preserve">assets/backgrounds/</t>
        </is>
      </c>
      <c r="H1068" t="inlineStr">
        <is>
          <t xml:space="preserve">The full-screen backdrop behind everything else on the room's own screen.</t>
        </is>
      </c>
      <c r="I1068" t="inlineStr">
        <is>
          <t xml:space="preserve">1080 x 2340 px (portrait, matches the game's own canvas)</t>
        </is>
      </c>
      <c r="J1068" t="inlineStr">
        <is>
          <t xml:space="preserve">No</t>
        </is>
      </c>
      <c r="K1068" t="inlineStr">
        <is>
          <t xml:space="preserve">Draft 2026-10-13: new topic room, background not drawn yet.</t>
        </is>
      </c>
    </row>
    <row r="1069">
      <c r="A1069" t="inlineStr">
        <is>
          <t xml:space="preserve">ST56</t>
        </is>
      </c>
      <c r="B1069" t="inlineStr">
        <is>
          <t xml:space="preserve">Background</t>
        </is>
      </c>
      <c r="C1069" t="inlineStr">
        <is>
          <t xml:space="preserve">Party Caucus on the Carbon Levy</t>
        </is>
      </c>
      <c r="E1069" t="inlineStr">
        <is>
          <t xml:space="preserve">ST56.png</t>
        </is>
      </c>
      <c r="F1069" t="inlineStr">
        <is>
          <t xml:space="preserve">{STAGE_ID}.png, or OFFICE.png for the Office</t>
        </is>
      </c>
      <c r="G1069" t="inlineStr">
        <is>
          <t xml:space="preserve">assets/backgrounds/</t>
        </is>
      </c>
      <c r="H1069" t="inlineStr">
        <is>
          <t xml:space="preserve">The full-screen backdrop behind everything else on the room's own screen.</t>
        </is>
      </c>
      <c r="I1069" t="inlineStr">
        <is>
          <t xml:space="preserve">1080 x 2340 px (portrait, matches the game's own canvas)</t>
        </is>
      </c>
      <c r="J1069" t="inlineStr">
        <is>
          <t xml:space="preserve">No</t>
        </is>
      </c>
      <c r="K1069" t="inlineStr">
        <is>
          <t xml:space="preserve">Draft 2026-10-13: new topic room, background not drawn yet.</t>
        </is>
      </c>
    </row>
    <row r="1070">
      <c r="A1070" t="inlineStr">
        <is>
          <t xml:space="preserve">ST57</t>
        </is>
      </c>
      <c r="B1070" t="inlineStr">
        <is>
          <t xml:space="preserve">Background</t>
        </is>
      </c>
      <c r="C1070" t="inlineStr">
        <is>
          <t xml:space="preserve">Hearing on Fishing Quota Reform</t>
        </is>
      </c>
      <c r="E1070" t="inlineStr">
        <is>
          <t xml:space="preserve">ST57.png</t>
        </is>
      </c>
      <c r="F1070" t="inlineStr">
        <is>
          <t xml:space="preserve">{STAGE_ID}.png, or OFFICE.png for the Office</t>
        </is>
      </c>
      <c r="G1070" t="inlineStr">
        <is>
          <t xml:space="preserve">assets/backgrounds/</t>
        </is>
      </c>
      <c r="H1070" t="inlineStr">
        <is>
          <t xml:space="preserve">The full-screen backdrop behind everything else on the room's own screen.</t>
        </is>
      </c>
      <c r="I1070" t="inlineStr">
        <is>
          <t xml:space="preserve">1080 x 2340 px (portrait, matches the game's own canvas)</t>
        </is>
      </c>
      <c r="J1070" t="inlineStr">
        <is>
          <t xml:space="preserve">No</t>
        </is>
      </c>
      <c r="K1070" t="inlineStr">
        <is>
          <t xml:space="preserve">Draft 2026-10-13: new topic room, background not drawn yet.</t>
        </is>
      </c>
    </row>
    <row r="1071">
      <c r="A1071" t="inlineStr">
        <is>
          <t xml:space="preserve">ST58</t>
        </is>
      </c>
      <c r="B1071" t="inlineStr">
        <is>
          <t xml:space="preserve">Background</t>
        </is>
      </c>
      <c r="C1071" t="inlineStr">
        <is>
          <t xml:space="preserve">Town Hall on Fishing Quota Reform</t>
        </is>
      </c>
      <c r="E1071" t="inlineStr">
        <is>
          <t xml:space="preserve">ST58.png</t>
        </is>
      </c>
      <c r="F1071" t="inlineStr">
        <is>
          <t xml:space="preserve">{STAGE_ID}.png, or OFFICE.png for the Office</t>
        </is>
      </c>
      <c r="G1071" t="inlineStr">
        <is>
          <t xml:space="preserve">assets/backgrounds/</t>
        </is>
      </c>
      <c r="H1071" t="inlineStr">
        <is>
          <t xml:space="preserve">The full-screen backdrop behind everything else on the room's own screen.</t>
        </is>
      </c>
      <c r="I1071" t="inlineStr">
        <is>
          <t xml:space="preserve">1080 x 2340 px (portrait, matches the game's own canvas)</t>
        </is>
      </c>
      <c r="J1071" t="inlineStr">
        <is>
          <t xml:space="preserve">No</t>
        </is>
      </c>
      <c r="K1071" t="inlineStr">
        <is>
          <t xml:space="preserve">Draft 2026-10-13: new topic room, background not drawn yet.</t>
        </is>
      </c>
    </row>
    <row r="1072">
      <c r="A1072" t="inlineStr">
        <is>
          <t xml:space="preserve">ST59</t>
        </is>
      </c>
      <c r="B1072" t="inlineStr">
        <is>
          <t xml:space="preserve">Background</t>
        </is>
      </c>
      <c r="C1072" t="inlineStr">
        <is>
          <t xml:space="preserve">Party Caucus on Fishing Quota Reform</t>
        </is>
      </c>
      <c r="E1072" t="inlineStr">
        <is>
          <t xml:space="preserve">ST59.png</t>
        </is>
      </c>
      <c r="F1072" t="inlineStr">
        <is>
          <t xml:space="preserve">{STAGE_ID}.png, or OFFICE.png for the Office</t>
        </is>
      </c>
      <c r="G1072" t="inlineStr">
        <is>
          <t xml:space="preserve">assets/backgrounds/</t>
        </is>
      </c>
      <c r="H1072" t="inlineStr">
        <is>
          <t xml:space="preserve">The full-screen backdrop behind everything else on the room's own screen.</t>
        </is>
      </c>
      <c r="I1072" t="inlineStr">
        <is>
          <t xml:space="preserve">1080 x 2340 px (portrait, matches the game's own canvas)</t>
        </is>
      </c>
      <c r="J1072" t="inlineStr">
        <is>
          <t xml:space="preserve">No</t>
        </is>
      </c>
      <c r="K1072" t="inlineStr">
        <is>
          <t xml:space="preserve">Draft 2026-10-13: new topic room, background not drawn yet.</t>
        </is>
      </c>
    </row>
    <row r="1073">
      <c r="A1073" t="inlineStr">
        <is>
          <t xml:space="preserve">ST60</t>
        </is>
      </c>
      <c r="B1073" t="inlineStr">
        <is>
          <t xml:space="preserve">Background</t>
        </is>
      </c>
      <c r="C1073" t="inlineStr">
        <is>
          <t xml:space="preserve">Hearing on Shipbuilding Support</t>
        </is>
      </c>
      <c r="E1073" t="inlineStr">
        <is>
          <t xml:space="preserve">ST60.png</t>
        </is>
      </c>
      <c r="F1073" t="inlineStr">
        <is>
          <t xml:space="preserve">{STAGE_ID}.png, or OFFICE.png for the Office</t>
        </is>
      </c>
      <c r="G1073" t="inlineStr">
        <is>
          <t xml:space="preserve">assets/backgrounds/</t>
        </is>
      </c>
      <c r="H1073" t="inlineStr">
        <is>
          <t xml:space="preserve">The full-screen backdrop behind everything else on the room's own screen.</t>
        </is>
      </c>
      <c r="I1073" t="inlineStr">
        <is>
          <t xml:space="preserve">1080 x 2340 px (portrait, matches the game's own canvas)</t>
        </is>
      </c>
      <c r="J1073" t="inlineStr">
        <is>
          <t xml:space="preserve">No</t>
        </is>
      </c>
      <c r="K1073" t="inlineStr">
        <is>
          <t xml:space="preserve">Draft 2026-10-13: new topic room, background not drawn yet.</t>
        </is>
      </c>
    </row>
    <row r="1074">
      <c r="A1074" t="inlineStr">
        <is>
          <t xml:space="preserve">ST61</t>
        </is>
      </c>
      <c r="B1074" t="inlineStr">
        <is>
          <t xml:space="preserve">Background</t>
        </is>
      </c>
      <c r="C1074" t="inlineStr">
        <is>
          <t xml:space="preserve">Town Hall on Shipbuilding Support</t>
        </is>
      </c>
      <c r="E1074" t="inlineStr">
        <is>
          <t xml:space="preserve">ST61.png</t>
        </is>
      </c>
      <c r="F1074" t="inlineStr">
        <is>
          <t xml:space="preserve">{STAGE_ID}.png, or OFFICE.png for the Office</t>
        </is>
      </c>
      <c r="G1074" t="inlineStr">
        <is>
          <t xml:space="preserve">assets/backgrounds/</t>
        </is>
      </c>
      <c r="H1074" t="inlineStr">
        <is>
          <t xml:space="preserve">The full-screen backdrop behind everything else on the room's own screen.</t>
        </is>
      </c>
      <c r="I1074" t="inlineStr">
        <is>
          <t xml:space="preserve">1080 x 2340 px (portrait, matches the game's own canvas)</t>
        </is>
      </c>
      <c r="J1074" t="inlineStr">
        <is>
          <t xml:space="preserve">No</t>
        </is>
      </c>
      <c r="K1074" t="inlineStr">
        <is>
          <t xml:space="preserve">Draft 2026-10-13: new topic room, background not drawn yet.</t>
        </is>
      </c>
    </row>
    <row r="1075">
      <c r="A1075" t="inlineStr">
        <is>
          <t xml:space="preserve">ST62</t>
        </is>
      </c>
      <c r="B1075" t="inlineStr">
        <is>
          <t xml:space="preserve">Background</t>
        </is>
      </c>
      <c r="C1075" t="inlineStr">
        <is>
          <t xml:space="preserve">Party Caucus on Shipbuilding Support</t>
        </is>
      </c>
      <c r="E1075" t="inlineStr">
        <is>
          <t xml:space="preserve">ST62.png</t>
        </is>
      </c>
      <c r="F1075" t="inlineStr">
        <is>
          <t xml:space="preserve">{STAGE_ID}.png, or OFFICE.png for the Office</t>
        </is>
      </c>
      <c r="G1075" t="inlineStr">
        <is>
          <t xml:space="preserve">assets/backgrounds/</t>
        </is>
      </c>
      <c r="H1075" t="inlineStr">
        <is>
          <t xml:space="preserve">The full-screen backdrop behind everything else on the room's own screen.</t>
        </is>
      </c>
      <c r="I1075" t="inlineStr">
        <is>
          <t xml:space="preserve">1080 x 2340 px (portrait, matches the game's own canvas)</t>
        </is>
      </c>
      <c r="J1075" t="inlineStr">
        <is>
          <t xml:space="preserve">No</t>
        </is>
      </c>
      <c r="K1075" t="inlineStr">
        <is>
          <t xml:space="preserve">Draft 2026-10-13: new topic room, background not drawn yet.</t>
        </is>
      </c>
    </row>
    <row r="1076">
      <c r="A1076" t="inlineStr">
        <is>
          <t xml:space="preserve">ST63</t>
        </is>
      </c>
      <c r="B1076" t="inlineStr">
        <is>
          <t xml:space="preserve">Background</t>
        </is>
      </c>
      <c r="C1076" t="inlineStr">
        <is>
          <t xml:space="preserve">Hearing on the Constitutional Review</t>
        </is>
      </c>
      <c r="E1076" t="inlineStr">
        <is>
          <t xml:space="preserve">ST63.png</t>
        </is>
      </c>
      <c r="F1076" t="inlineStr">
        <is>
          <t xml:space="preserve">{STAGE_ID}.png, or OFFICE.png for the Office</t>
        </is>
      </c>
      <c r="G1076" t="inlineStr">
        <is>
          <t xml:space="preserve">assets/backgrounds/</t>
        </is>
      </c>
      <c r="H1076" t="inlineStr">
        <is>
          <t xml:space="preserve">The full-screen backdrop behind everything else on the room's own screen.</t>
        </is>
      </c>
      <c r="I1076" t="inlineStr">
        <is>
          <t xml:space="preserve">1080 x 2340 px (portrait, matches the game's own canvas)</t>
        </is>
      </c>
      <c r="J1076" t="inlineStr">
        <is>
          <t xml:space="preserve">No</t>
        </is>
      </c>
      <c r="K1076" t="inlineStr">
        <is>
          <t xml:space="preserve">Draft 2026-10-13: new topic room, background not drawn yet.</t>
        </is>
      </c>
    </row>
    <row r="1077">
      <c r="A1077" t="inlineStr">
        <is>
          <t xml:space="preserve">ST64</t>
        </is>
      </c>
      <c r="B1077" t="inlineStr">
        <is>
          <t xml:space="preserve">Background</t>
        </is>
      </c>
      <c r="C1077" t="inlineStr">
        <is>
          <t xml:space="preserve">Press Conference on the Constitutional Review</t>
        </is>
      </c>
      <c r="E1077" t="inlineStr">
        <is>
          <t xml:space="preserve">ST64.png</t>
        </is>
      </c>
      <c r="F1077" t="inlineStr">
        <is>
          <t xml:space="preserve">{STAGE_ID}.png, or OFFICE.png for the Office</t>
        </is>
      </c>
      <c r="G1077" t="inlineStr">
        <is>
          <t xml:space="preserve">assets/backgrounds/</t>
        </is>
      </c>
      <c r="H1077" t="inlineStr">
        <is>
          <t xml:space="preserve">The full-screen backdrop behind everything else on the room's own screen.</t>
        </is>
      </c>
      <c r="I1077" t="inlineStr">
        <is>
          <t xml:space="preserve">1080 x 2340 px (portrait, matches the game's own canvas)</t>
        </is>
      </c>
      <c r="J1077" t="inlineStr">
        <is>
          <t xml:space="preserve">No</t>
        </is>
      </c>
      <c r="K1077" t="inlineStr">
        <is>
          <t xml:space="preserve">Draft 2026-10-13: new topic room, background not drawn yet.</t>
        </is>
      </c>
    </row>
    <row r="1078">
      <c r="A1078" t="inlineStr">
        <is>
          <t xml:space="preserve">ST65</t>
        </is>
      </c>
      <c r="B1078" t="inlineStr">
        <is>
          <t xml:space="preserve">Background</t>
        </is>
      </c>
      <c r="C1078" t="inlineStr">
        <is>
          <t xml:space="preserve">Party Caucus on the Constitutional Review</t>
        </is>
      </c>
      <c r="E1078" t="inlineStr">
        <is>
          <t xml:space="preserve">ST65.png</t>
        </is>
      </c>
      <c r="F1078" t="inlineStr">
        <is>
          <t xml:space="preserve">{STAGE_ID}.png, or OFFICE.png for the Office</t>
        </is>
      </c>
      <c r="G1078" t="inlineStr">
        <is>
          <t xml:space="preserve">assets/backgrounds/</t>
        </is>
      </c>
      <c r="H1078" t="inlineStr">
        <is>
          <t xml:space="preserve">The full-screen backdrop behind everything else on the room's own screen.</t>
        </is>
      </c>
      <c r="I1078" t="inlineStr">
        <is>
          <t xml:space="preserve">1080 x 2340 px (portrait, matches the game's own canvas)</t>
        </is>
      </c>
      <c r="J1078" t="inlineStr">
        <is>
          <t xml:space="preserve">No</t>
        </is>
      </c>
      <c r="K1078" t="inlineStr">
        <is>
          <t xml:space="preserve">Draft 2026-10-13: new topic room, background not drawn yet.</t>
        </is>
      </c>
    </row>
    <row r="1079">
      <c r="A1079" t="inlineStr">
        <is>
          <t xml:space="preserve">ST66</t>
        </is>
      </c>
      <c r="B1079" t="inlineStr">
        <is>
          <t xml:space="preserve">Background</t>
        </is>
      </c>
      <c r="C1079" t="inlineStr">
        <is>
          <t xml:space="preserve">Hearing on Border Cooperation</t>
        </is>
      </c>
      <c r="E1079" t="inlineStr">
        <is>
          <t xml:space="preserve">ST66.png</t>
        </is>
      </c>
      <c r="F1079" t="inlineStr">
        <is>
          <t xml:space="preserve">{STAGE_ID}.png, or OFFICE.png for the Office</t>
        </is>
      </c>
      <c r="G1079" t="inlineStr">
        <is>
          <t xml:space="preserve">assets/backgrounds/</t>
        </is>
      </c>
      <c r="H1079" t="inlineStr">
        <is>
          <t xml:space="preserve">The full-screen backdrop behind everything else on the room's own screen.</t>
        </is>
      </c>
      <c r="I1079" t="inlineStr">
        <is>
          <t xml:space="preserve">1080 x 2340 px (portrait, matches the game's own canvas)</t>
        </is>
      </c>
      <c r="J1079" t="inlineStr">
        <is>
          <t xml:space="preserve">No</t>
        </is>
      </c>
      <c r="K1079" t="inlineStr">
        <is>
          <t xml:space="preserve">Draft 2026-10-13: new topic room, background not drawn yet.</t>
        </is>
      </c>
    </row>
    <row r="1080">
      <c r="A1080" t="inlineStr">
        <is>
          <t xml:space="preserve">ST67</t>
        </is>
      </c>
      <c r="B1080" t="inlineStr">
        <is>
          <t xml:space="preserve">Background</t>
        </is>
      </c>
      <c r="C1080" t="inlineStr">
        <is>
          <t xml:space="preserve">Lobbyist Meeting on Border Cooperation</t>
        </is>
      </c>
      <c r="E1080" t="inlineStr">
        <is>
          <t xml:space="preserve">ST67.png</t>
        </is>
      </c>
      <c r="F1080" t="inlineStr">
        <is>
          <t xml:space="preserve">{STAGE_ID}.png, or OFFICE.png for the Office</t>
        </is>
      </c>
      <c r="G1080" t="inlineStr">
        <is>
          <t xml:space="preserve">assets/backgrounds/</t>
        </is>
      </c>
      <c r="H1080" t="inlineStr">
        <is>
          <t xml:space="preserve">The full-screen backdrop behind everything else on the room's own screen.</t>
        </is>
      </c>
      <c r="I1080" t="inlineStr">
        <is>
          <t xml:space="preserve">1080 x 2340 px (portrait, matches the game's own canvas)</t>
        </is>
      </c>
      <c r="J1080" t="inlineStr">
        <is>
          <t xml:space="preserve">No</t>
        </is>
      </c>
      <c r="K1080" t="inlineStr">
        <is>
          <t xml:space="preserve">Draft 2026-10-13: new topic room, background not drawn yet.</t>
        </is>
      </c>
    </row>
    <row r="1081">
      <c r="A1081" t="inlineStr">
        <is>
          <t xml:space="preserve">ST68</t>
        </is>
      </c>
      <c r="B1081" t="inlineStr">
        <is>
          <t xml:space="preserve">Background</t>
        </is>
      </c>
      <c r="C1081" t="inlineStr">
        <is>
          <t xml:space="preserve">Party Caucus on Border Cooperation</t>
        </is>
      </c>
      <c r="E1081" t="inlineStr">
        <is>
          <t xml:space="preserve">ST68.png</t>
        </is>
      </c>
      <c r="F1081" t="inlineStr">
        <is>
          <t xml:space="preserve">{STAGE_ID}.png, or OFFICE.png for the Office</t>
        </is>
      </c>
      <c r="G1081" t="inlineStr">
        <is>
          <t xml:space="preserve">assets/backgrounds/</t>
        </is>
      </c>
      <c r="H1081" t="inlineStr">
        <is>
          <t xml:space="preserve">The full-screen backdrop behind everything else on the room's own screen.</t>
        </is>
      </c>
      <c r="I1081" t="inlineStr">
        <is>
          <t xml:space="preserve">1080 x 2340 px (portrait, matches the game's own canvas)</t>
        </is>
      </c>
      <c r="J1081" t="inlineStr">
        <is>
          <t xml:space="preserve">No</t>
        </is>
      </c>
      <c r="K1081" t="inlineStr">
        <is>
          <t xml:space="preserve">Draft 2026-10-13: new topic room, background not drawn yet.</t>
        </is>
      </c>
    </row>
    <row r="1082">
      <c r="A1082" t="inlineStr">
        <is>
          <t xml:space="preserve">ST69</t>
        </is>
      </c>
      <c r="B1082" t="inlineStr">
        <is>
          <t xml:space="preserve">Background</t>
        </is>
      </c>
      <c r="C1082" t="inlineStr">
        <is>
          <t xml:space="preserve">Hearing on Chishima Development</t>
        </is>
      </c>
      <c r="E1082" t="inlineStr">
        <is>
          <t xml:space="preserve">ST69.png</t>
        </is>
      </c>
      <c r="F1082" t="inlineStr">
        <is>
          <t xml:space="preserve">{STAGE_ID}.png, or OFFICE.png for the Office</t>
        </is>
      </c>
      <c r="G1082" t="inlineStr">
        <is>
          <t xml:space="preserve">assets/backgrounds/</t>
        </is>
      </c>
      <c r="H1082" t="inlineStr">
        <is>
          <t xml:space="preserve">The full-screen backdrop behind everything else on the room's own screen.</t>
        </is>
      </c>
      <c r="I1082" t="inlineStr">
        <is>
          <t xml:space="preserve">1080 x 2340 px (portrait, matches the game's own canvas)</t>
        </is>
      </c>
      <c r="J1082" t="inlineStr">
        <is>
          <t xml:space="preserve">No</t>
        </is>
      </c>
      <c r="K1082" t="inlineStr">
        <is>
          <t xml:space="preserve">Draft 2026-10-13: new topic room, background not drawn yet.</t>
        </is>
      </c>
    </row>
    <row r="1083">
      <c r="A1083" t="inlineStr">
        <is>
          <t xml:space="preserve">ST70</t>
        </is>
      </c>
      <c r="B1083" t="inlineStr">
        <is>
          <t xml:space="preserve">Background</t>
        </is>
      </c>
      <c r="C1083" t="inlineStr">
        <is>
          <t xml:space="preserve">Press Conference on Chishima Development</t>
        </is>
      </c>
      <c r="E1083" t="inlineStr">
        <is>
          <t xml:space="preserve">ST70.png</t>
        </is>
      </c>
      <c r="F1083" t="inlineStr">
        <is>
          <t xml:space="preserve">{STAGE_ID}.png, or OFFICE.png for the Office</t>
        </is>
      </c>
      <c r="G1083" t="inlineStr">
        <is>
          <t xml:space="preserve">assets/backgrounds/</t>
        </is>
      </c>
      <c r="H1083" t="inlineStr">
        <is>
          <t xml:space="preserve">The full-screen backdrop behind everything else on the room's own screen.</t>
        </is>
      </c>
      <c r="I1083" t="inlineStr">
        <is>
          <t xml:space="preserve">1080 x 2340 px (portrait, matches the game's own canvas)</t>
        </is>
      </c>
      <c r="J1083" t="inlineStr">
        <is>
          <t xml:space="preserve">No</t>
        </is>
      </c>
      <c r="K1083" t="inlineStr">
        <is>
          <t xml:space="preserve">Draft 2026-10-13: new topic room, background not drawn yet.</t>
        </is>
      </c>
    </row>
    <row r="1084">
      <c r="A1084" t="inlineStr">
        <is>
          <t xml:space="preserve">ST71</t>
        </is>
      </c>
      <c r="B1084" t="inlineStr">
        <is>
          <t xml:space="preserve">Background</t>
        </is>
      </c>
      <c r="C1084" t="inlineStr">
        <is>
          <t xml:space="preserve">Lobbyist Meeting on Chishima Development</t>
        </is>
      </c>
      <c r="E1084" t="inlineStr">
        <is>
          <t xml:space="preserve">ST71.png</t>
        </is>
      </c>
      <c r="F1084" t="inlineStr">
        <is>
          <t xml:space="preserve">{STAGE_ID}.png, or OFFICE.png for the Office</t>
        </is>
      </c>
      <c r="G1084" t="inlineStr">
        <is>
          <t xml:space="preserve">assets/backgrounds/</t>
        </is>
      </c>
      <c r="H1084" t="inlineStr">
        <is>
          <t xml:space="preserve">The full-screen backdrop behind everything else on the room's own screen.</t>
        </is>
      </c>
      <c r="I1084" t="inlineStr">
        <is>
          <t xml:space="preserve">1080 x 2340 px (portrait, matches the game's own canvas)</t>
        </is>
      </c>
      <c r="J1084" t="inlineStr">
        <is>
          <t xml:space="preserve">No</t>
        </is>
      </c>
      <c r="K1084" t="inlineStr">
        <is>
          <t xml:space="preserve">Draft 2026-10-13: new topic room, background not drawn yet.</t>
        </is>
      </c>
    </row>
    <row r="1085">
      <c r="A1085" t="inlineStr">
        <is>
          <t xml:space="preserve">ST72</t>
        </is>
      </c>
      <c r="B1085" t="inlineStr">
        <is>
          <t xml:space="preserve">Background</t>
        </is>
      </c>
      <c r="C1085" t="inlineStr">
        <is>
          <t xml:space="preserve">Party Caucus on Chishima Development</t>
        </is>
      </c>
      <c r="E1085" t="inlineStr">
        <is>
          <t xml:space="preserve">ST72.png</t>
        </is>
      </c>
      <c r="F1085" t="inlineStr">
        <is>
          <t xml:space="preserve">{STAGE_ID}.png, or OFFICE.png for the Office</t>
        </is>
      </c>
      <c r="G1085" t="inlineStr">
        <is>
          <t xml:space="preserve">assets/backgrounds/</t>
        </is>
      </c>
      <c r="H1085" t="inlineStr">
        <is>
          <t xml:space="preserve">The full-screen backdrop behind everything else on the room's own screen.</t>
        </is>
      </c>
      <c r="I1085" t="inlineStr">
        <is>
          <t xml:space="preserve">1080 x 2340 px (portrait, matches the game's own canvas)</t>
        </is>
      </c>
      <c r="J1085" t="inlineStr">
        <is>
          <t xml:space="preserve">No</t>
        </is>
      </c>
      <c r="K1085" t="inlineStr">
        <is>
          <t xml:space="preserve">Draft 2026-10-13: new topic room, background not drawn yet.</t>
        </is>
      </c>
    </row>
    <row r="1086">
      <c r="A1086" t="inlineStr">
        <is>
          <t xml:space="preserve">ST73</t>
        </is>
      </c>
      <c r="B1086" t="inlineStr">
        <is>
          <t xml:space="preserve">Background</t>
        </is>
      </c>
      <c r="C1086" t="inlineStr">
        <is>
          <t xml:space="preserve">TV Debate on China Trade</t>
        </is>
      </c>
      <c r="E1086" t="inlineStr">
        <is>
          <t xml:space="preserve">ST73.png</t>
        </is>
      </c>
      <c r="F1086" t="inlineStr">
        <is>
          <t xml:space="preserve">{STAGE_ID}.png, or OFFICE.png for the Office</t>
        </is>
      </c>
      <c r="G1086" t="inlineStr">
        <is>
          <t xml:space="preserve">assets/backgrounds/</t>
        </is>
      </c>
      <c r="H1086" t="inlineStr">
        <is>
          <t xml:space="preserve">The full-screen backdrop behind everything else on the room's own screen.</t>
        </is>
      </c>
      <c r="I1086" t="inlineStr">
        <is>
          <t xml:space="preserve">1080 x 2340 px (portrait, matches the game's own canvas)</t>
        </is>
      </c>
      <c r="J1086" t="inlineStr">
        <is>
          <t xml:space="preserve">No</t>
        </is>
      </c>
      <c r="K1086" t="inlineStr">
        <is>
          <t xml:space="preserve">Draft 2026-10-13: new topic room, background not drawn yet.</t>
        </is>
      </c>
    </row>
    <row r="1087">
      <c r="A1087" t="inlineStr">
        <is>
          <t xml:space="preserve">ST74</t>
        </is>
      </c>
      <c r="B1087" t="inlineStr">
        <is>
          <t xml:space="preserve">Background</t>
        </is>
      </c>
      <c r="C1087" t="inlineStr">
        <is>
          <t xml:space="preserve">Hearing on China Trade</t>
        </is>
      </c>
      <c r="E1087" t="inlineStr">
        <is>
          <t xml:space="preserve">ST74.png</t>
        </is>
      </c>
      <c r="F1087" t="inlineStr">
        <is>
          <t xml:space="preserve">{STAGE_ID}.png, or OFFICE.png for the Office</t>
        </is>
      </c>
      <c r="G1087" t="inlineStr">
        <is>
          <t xml:space="preserve">assets/backgrounds/</t>
        </is>
      </c>
      <c r="H1087" t="inlineStr">
        <is>
          <t xml:space="preserve">The full-screen backdrop behind everything else on the room's own screen.</t>
        </is>
      </c>
      <c r="I1087" t="inlineStr">
        <is>
          <t xml:space="preserve">1080 x 2340 px (portrait, matches the game's own canvas)</t>
        </is>
      </c>
      <c r="J1087" t="inlineStr">
        <is>
          <t xml:space="preserve">No</t>
        </is>
      </c>
      <c r="K1087" t="inlineStr">
        <is>
          <t xml:space="preserve">Draft 2026-10-13: new topic room, background not drawn yet.</t>
        </is>
      </c>
    </row>
    <row r="1088">
      <c r="A1088" t="inlineStr">
        <is>
          <t xml:space="preserve">ST75</t>
        </is>
      </c>
      <c r="B1088" t="inlineStr">
        <is>
          <t xml:space="preserve">Background</t>
        </is>
      </c>
      <c r="C1088" t="inlineStr">
        <is>
          <t xml:space="preserve">Party Caucus on China Trade</t>
        </is>
      </c>
      <c r="E1088" t="inlineStr">
        <is>
          <t xml:space="preserve">ST75.png</t>
        </is>
      </c>
      <c r="F1088" t="inlineStr">
        <is>
          <t xml:space="preserve">{STAGE_ID}.png, or OFFICE.png for the Office</t>
        </is>
      </c>
      <c r="G1088" t="inlineStr">
        <is>
          <t xml:space="preserve">assets/backgrounds/</t>
        </is>
      </c>
      <c r="H1088" t="inlineStr">
        <is>
          <t xml:space="preserve">The full-screen backdrop behind everything else on the room's own screen.</t>
        </is>
      </c>
      <c r="I1088" t="inlineStr">
        <is>
          <t xml:space="preserve">1080 x 2340 px (portrait, matches the game's own canvas)</t>
        </is>
      </c>
      <c r="J1088" t="inlineStr">
        <is>
          <t xml:space="preserve">No</t>
        </is>
      </c>
      <c r="K1088" t="inlineStr">
        <is>
          <t xml:space="preserve">Draft 2026-10-13: new topic room, background not drawn yet.</t>
        </is>
      </c>
    </row>
    <row r="1089">
      <c r="A1089" t="inlineStr">
        <is>
          <t xml:space="preserve">ST76</t>
        </is>
      </c>
      <c r="B1089" t="inlineStr">
        <is>
          <t xml:space="preserve">Background</t>
        </is>
      </c>
      <c r="C1089" t="inlineStr">
        <is>
          <t xml:space="preserve">Town Hall on Farm Succession</t>
        </is>
      </c>
      <c r="E1089" t="inlineStr">
        <is>
          <t xml:space="preserve">ST76.png</t>
        </is>
      </c>
      <c r="F1089" t="inlineStr">
        <is>
          <t xml:space="preserve">{STAGE_ID}.png, or OFFICE.png for the Office</t>
        </is>
      </c>
      <c r="G1089" t="inlineStr">
        <is>
          <t xml:space="preserve">assets/backgrounds/</t>
        </is>
      </c>
      <c r="H1089" t="inlineStr">
        <is>
          <t xml:space="preserve">The full-screen backdrop behind everything else on the room's own screen.</t>
        </is>
      </c>
      <c r="I1089" t="inlineStr">
        <is>
          <t xml:space="preserve">1080 x 2340 px (portrait, matches the game's own canvas)</t>
        </is>
      </c>
      <c r="J1089" t="inlineStr">
        <is>
          <t xml:space="preserve">No</t>
        </is>
      </c>
      <c r="K1089" t="inlineStr">
        <is>
          <t xml:space="preserve">Draft 2026-10-13: new topic room, background not drawn yet.</t>
        </is>
      </c>
    </row>
    <row r="1090">
      <c r="A1090" t="inlineStr">
        <is>
          <t xml:space="preserve">ST77</t>
        </is>
      </c>
      <c r="B1090" t="inlineStr">
        <is>
          <t xml:space="preserve">Background</t>
        </is>
      </c>
      <c r="C1090" t="inlineStr">
        <is>
          <t xml:space="preserve">Hearing on Farm Succession</t>
        </is>
      </c>
      <c r="E1090" t="inlineStr">
        <is>
          <t xml:space="preserve">ST77.png</t>
        </is>
      </c>
      <c r="F1090" t="inlineStr">
        <is>
          <t xml:space="preserve">{STAGE_ID}.png, or OFFICE.png for the Office</t>
        </is>
      </c>
      <c r="G1090" t="inlineStr">
        <is>
          <t xml:space="preserve">assets/backgrounds/</t>
        </is>
      </c>
      <c r="H1090" t="inlineStr">
        <is>
          <t xml:space="preserve">The full-screen backdrop behind everything else on the room's own screen.</t>
        </is>
      </c>
      <c r="I1090" t="inlineStr">
        <is>
          <t xml:space="preserve">1080 x 2340 px (portrait, matches the game's own canvas)</t>
        </is>
      </c>
      <c r="J1090" t="inlineStr">
        <is>
          <t xml:space="preserve">No</t>
        </is>
      </c>
      <c r="K1090" t="inlineStr">
        <is>
          <t xml:space="preserve">Draft 2026-10-13: new topic room, background not drawn yet.</t>
        </is>
      </c>
    </row>
    <row r="1091">
      <c r="A1091" t="inlineStr">
        <is>
          <t xml:space="preserve">ST78</t>
        </is>
      </c>
      <c r="B1091" t="inlineStr">
        <is>
          <t xml:space="preserve">Background</t>
        </is>
      </c>
      <c r="C1091" t="inlineStr">
        <is>
          <t xml:space="preserve">Party Caucus on Farm Succession</t>
        </is>
      </c>
      <c r="E1091" t="inlineStr">
        <is>
          <t xml:space="preserve">ST78.png</t>
        </is>
      </c>
      <c r="F1091" t="inlineStr">
        <is>
          <t xml:space="preserve">{STAGE_ID}.png, or OFFICE.png for the Office</t>
        </is>
      </c>
      <c r="G1091" t="inlineStr">
        <is>
          <t xml:space="preserve">assets/backgrounds/</t>
        </is>
      </c>
      <c r="H1091" t="inlineStr">
        <is>
          <t xml:space="preserve">The full-screen backdrop behind everything else on the room's own screen.</t>
        </is>
      </c>
      <c r="I1091" t="inlineStr">
        <is>
          <t xml:space="preserve">1080 x 2340 px (portrait, matches the game's own canvas)</t>
        </is>
      </c>
      <c r="J1091" t="inlineStr">
        <is>
          <t xml:space="preserve">No</t>
        </is>
      </c>
      <c r="K1091" t="inlineStr">
        <is>
          <t xml:space="preserve">Draft 2026-10-13: new topic room, background not drawn yet.</t>
        </is>
      </c>
    </row>
    <row r="1092">
      <c r="A1092" t="inlineStr">
        <is>
          <t xml:space="preserve">ST79</t>
        </is>
      </c>
      <c r="B1092" t="inlineStr">
        <is>
          <t xml:space="preserve">Background</t>
        </is>
      </c>
      <c r="C1092" t="inlineStr">
        <is>
          <t xml:space="preserve">Policy Study on University Research Funding</t>
        </is>
      </c>
      <c r="E1092" t="inlineStr">
        <is>
          <t xml:space="preserve">ST79.png</t>
        </is>
      </c>
      <c r="F1092" t="inlineStr">
        <is>
          <t xml:space="preserve">{STAGE_ID}.png, or OFFICE.png for the Office</t>
        </is>
      </c>
      <c r="G1092" t="inlineStr">
        <is>
          <t xml:space="preserve">assets/backgrounds/</t>
        </is>
      </c>
      <c r="H1092" t="inlineStr">
        <is>
          <t xml:space="preserve">The full-screen backdrop behind everything else on the room's own screen.</t>
        </is>
      </c>
      <c r="I1092" t="inlineStr">
        <is>
          <t xml:space="preserve">1080 x 2340 px (portrait, matches the game's own canvas)</t>
        </is>
      </c>
      <c r="J1092" t="inlineStr">
        <is>
          <t xml:space="preserve">No</t>
        </is>
      </c>
      <c r="K1092" t="inlineStr">
        <is>
          <t xml:space="preserve">Draft 2026-10-13: new topic room, background not drawn yet.</t>
        </is>
      </c>
    </row>
    <row r="1093">
      <c r="A1093" t="inlineStr">
        <is>
          <t xml:space="preserve">ST80</t>
        </is>
      </c>
      <c r="B1093" t="inlineStr">
        <is>
          <t xml:space="preserve">Background</t>
        </is>
      </c>
      <c r="C1093" t="inlineStr">
        <is>
          <t xml:space="preserve">Hearing on University Research Funding</t>
        </is>
      </c>
      <c r="E1093" t="inlineStr">
        <is>
          <t xml:space="preserve">ST80.png</t>
        </is>
      </c>
      <c r="F1093" t="inlineStr">
        <is>
          <t xml:space="preserve">{STAGE_ID}.png, or OFFICE.png for the Office</t>
        </is>
      </c>
      <c r="G1093" t="inlineStr">
        <is>
          <t xml:space="preserve">assets/backgrounds/</t>
        </is>
      </c>
      <c r="H1093" t="inlineStr">
        <is>
          <t xml:space="preserve">The full-screen backdrop behind everything else on the room's own screen.</t>
        </is>
      </c>
      <c r="I1093" t="inlineStr">
        <is>
          <t xml:space="preserve">1080 x 2340 px (portrait, matches the game's own canvas)</t>
        </is>
      </c>
      <c r="J1093" t="inlineStr">
        <is>
          <t xml:space="preserve">No</t>
        </is>
      </c>
      <c r="K1093" t="inlineStr">
        <is>
          <t xml:space="preserve">Draft 2026-10-13: new topic room, background not drawn yet.</t>
        </is>
      </c>
    </row>
    <row r="1094">
      <c r="A1094" t="inlineStr">
        <is>
          <t xml:space="preserve">ST81</t>
        </is>
      </c>
      <c r="B1094" t="inlineStr">
        <is>
          <t xml:space="preserve">Background</t>
        </is>
      </c>
      <c r="C1094" t="inlineStr">
        <is>
          <t xml:space="preserve">Party Caucus on University Research Funding</t>
        </is>
      </c>
      <c r="E1094" t="inlineStr">
        <is>
          <t xml:space="preserve">ST81.png</t>
        </is>
      </c>
      <c r="F1094" t="inlineStr">
        <is>
          <t xml:space="preserve">{STAGE_ID}.png, or OFFICE.png for the Office</t>
        </is>
      </c>
      <c r="G1094" t="inlineStr">
        <is>
          <t xml:space="preserve">assets/backgrounds/</t>
        </is>
      </c>
      <c r="H1094" t="inlineStr">
        <is>
          <t xml:space="preserve">The full-screen backdrop behind everything else on the room's own screen.</t>
        </is>
      </c>
      <c r="I1094" t="inlineStr">
        <is>
          <t xml:space="preserve">1080 x 2340 px (portrait, matches the game's own canvas)</t>
        </is>
      </c>
      <c r="J1094" t="inlineStr">
        <is>
          <t xml:space="preserve">No</t>
        </is>
      </c>
      <c r="K1094" t="inlineStr">
        <is>
          <t xml:space="preserve">Draft 2026-10-13: new topic room, background not drawn yet.</t>
        </is>
      </c>
    </row>
    <row r="1095">
      <c r="A1095" t="inlineStr">
        <is>
          <t xml:space="preserve">ST82</t>
        </is>
      </c>
      <c r="B1095" t="inlineStr">
        <is>
          <t xml:space="preserve">Background</t>
        </is>
      </c>
      <c r="C1095" t="inlineStr">
        <is>
          <t xml:space="preserve">Town Hall on Workplace Equality</t>
        </is>
      </c>
      <c r="E1095" t="inlineStr">
        <is>
          <t xml:space="preserve">ST82.png</t>
        </is>
      </c>
      <c r="F1095" t="inlineStr">
        <is>
          <t xml:space="preserve">{STAGE_ID}.png, or OFFICE.png for the Office</t>
        </is>
      </c>
      <c r="G1095" t="inlineStr">
        <is>
          <t xml:space="preserve">assets/backgrounds/</t>
        </is>
      </c>
      <c r="H1095" t="inlineStr">
        <is>
          <t xml:space="preserve">The full-screen backdrop behind everything else on the room's own screen.</t>
        </is>
      </c>
      <c r="I1095" t="inlineStr">
        <is>
          <t xml:space="preserve">1080 x 2340 px (portrait, matches the game's own canvas)</t>
        </is>
      </c>
      <c r="J1095" t="inlineStr">
        <is>
          <t xml:space="preserve">No</t>
        </is>
      </c>
      <c r="K1095" t="inlineStr">
        <is>
          <t xml:space="preserve">Draft 2026-10-13: new topic room, background not drawn yet.</t>
        </is>
      </c>
    </row>
    <row r="1096">
      <c r="A1096" t="inlineStr">
        <is>
          <t xml:space="preserve">ST83</t>
        </is>
      </c>
      <c r="B1096" t="inlineStr">
        <is>
          <t xml:space="preserve">Background</t>
        </is>
      </c>
      <c r="C1096" t="inlineStr">
        <is>
          <t xml:space="preserve">Press Conference on Workplace Equality</t>
        </is>
      </c>
      <c r="E1096" t="inlineStr">
        <is>
          <t xml:space="preserve">ST83.png</t>
        </is>
      </c>
      <c r="F1096" t="inlineStr">
        <is>
          <t xml:space="preserve">{STAGE_ID}.png, or OFFICE.png for the Office</t>
        </is>
      </c>
      <c r="G1096" t="inlineStr">
        <is>
          <t xml:space="preserve">assets/backgrounds/</t>
        </is>
      </c>
      <c r="H1096" t="inlineStr">
        <is>
          <t xml:space="preserve">The full-screen backdrop behind everything else on the room's own screen.</t>
        </is>
      </c>
      <c r="I1096" t="inlineStr">
        <is>
          <t xml:space="preserve">1080 x 2340 px (portrait, matches the game's own canvas)</t>
        </is>
      </c>
      <c r="J1096" t="inlineStr">
        <is>
          <t xml:space="preserve">No</t>
        </is>
      </c>
      <c r="K1096" t="inlineStr">
        <is>
          <t xml:space="preserve">Draft 2026-10-13: new topic room, background not drawn yet.</t>
        </is>
      </c>
    </row>
    <row r="1097">
      <c r="A1097" t="inlineStr">
        <is>
          <t xml:space="preserve">ST84</t>
        </is>
      </c>
      <c r="B1097" t="inlineStr">
        <is>
          <t xml:space="preserve">Background</t>
        </is>
      </c>
      <c r="C1097" t="inlineStr">
        <is>
          <t xml:space="preserve">TV Debate on Workplace Equality</t>
        </is>
      </c>
      <c r="E1097" t="inlineStr">
        <is>
          <t xml:space="preserve">ST84.png</t>
        </is>
      </c>
      <c r="F1097" t="inlineStr">
        <is>
          <t xml:space="preserve">{STAGE_ID}.png, or OFFICE.png for the Office</t>
        </is>
      </c>
      <c r="G1097" t="inlineStr">
        <is>
          <t xml:space="preserve">assets/backgrounds/</t>
        </is>
      </c>
      <c r="H1097" t="inlineStr">
        <is>
          <t xml:space="preserve">The full-screen backdrop behind everything else on the room's own screen.</t>
        </is>
      </c>
      <c r="I1097" t="inlineStr">
        <is>
          <t xml:space="preserve">1080 x 2340 px (portrait, matches the game's own canvas)</t>
        </is>
      </c>
      <c r="J1097" t="inlineStr">
        <is>
          <t xml:space="preserve">No</t>
        </is>
      </c>
      <c r="K1097" t="inlineStr">
        <is>
          <t xml:space="preserve">Draft 2026-10-13: new topic room, background not drawn yet.</t>
        </is>
      </c>
    </row>
    <row r="1098">
      <c r="A1098" t="inlineStr">
        <is>
          <t xml:space="preserve">ST85</t>
        </is>
      </c>
      <c r="B1098" t="inlineStr">
        <is>
          <t xml:space="preserve">Background</t>
        </is>
      </c>
      <c r="C1098" t="inlineStr">
        <is>
          <t xml:space="preserve">Party Caucus on Workplace Equality</t>
        </is>
      </c>
      <c r="E1098" t="inlineStr">
        <is>
          <t xml:space="preserve">ST85.png</t>
        </is>
      </c>
      <c r="F1098" t="inlineStr">
        <is>
          <t xml:space="preserve">{STAGE_ID}.png, or OFFICE.png for the Office</t>
        </is>
      </c>
      <c r="G1098" t="inlineStr">
        <is>
          <t xml:space="preserve">assets/backgrounds/</t>
        </is>
      </c>
      <c r="H1098" t="inlineStr">
        <is>
          <t xml:space="preserve">The full-screen backdrop behind everything else on the room's own screen.</t>
        </is>
      </c>
      <c r="I1098" t="inlineStr">
        <is>
          <t xml:space="preserve">1080 x 2340 px (portrait, matches the game's own canvas)</t>
        </is>
      </c>
      <c r="J1098" t="inlineStr">
        <is>
          <t xml:space="preserve">No</t>
        </is>
      </c>
      <c r="K1098" t="inlineStr">
        <is>
          <t xml:space="preserve">Draft 2026-10-13: new topic room, background not drawn yet.</t>
        </is>
      </c>
    </row>
    <row r="1099">
      <c r="A1099" t="inlineStr">
        <is>
          <t xml:space="preserve">ST86</t>
        </is>
      </c>
      <c r="B1099" t="inlineStr">
        <is>
          <t xml:space="preserve">Background</t>
        </is>
      </c>
      <c r="C1099" t="inlineStr">
        <is>
          <t xml:space="preserve">Town Hall on Parental Leave</t>
        </is>
      </c>
      <c r="E1099" t="inlineStr">
        <is>
          <t xml:space="preserve">ST86.png</t>
        </is>
      </c>
      <c r="F1099" t="inlineStr">
        <is>
          <t xml:space="preserve">{STAGE_ID}.png, or OFFICE.png for the Office</t>
        </is>
      </c>
      <c r="G1099" t="inlineStr">
        <is>
          <t xml:space="preserve">assets/backgrounds/</t>
        </is>
      </c>
      <c r="H1099" t="inlineStr">
        <is>
          <t xml:space="preserve">The full-screen backdrop behind everything else on the room's own screen.</t>
        </is>
      </c>
      <c r="I1099" t="inlineStr">
        <is>
          <t xml:space="preserve">1080 x 2340 px (portrait, matches the game's own canvas)</t>
        </is>
      </c>
      <c r="J1099" t="inlineStr">
        <is>
          <t xml:space="preserve">No</t>
        </is>
      </c>
      <c r="K1099" t="inlineStr">
        <is>
          <t xml:space="preserve">Draft 2026-10-13: new topic room, background not drawn yet.</t>
        </is>
      </c>
    </row>
    <row r="1100">
      <c r="A1100" t="inlineStr">
        <is>
          <t xml:space="preserve">ST87</t>
        </is>
      </c>
      <c r="B1100" t="inlineStr">
        <is>
          <t xml:space="preserve">Background</t>
        </is>
      </c>
      <c r="C1100" t="inlineStr">
        <is>
          <t xml:space="preserve">Policy Study on Parental Leave</t>
        </is>
      </c>
      <c r="E1100" t="inlineStr">
        <is>
          <t xml:space="preserve">ST87.png</t>
        </is>
      </c>
      <c r="F1100" t="inlineStr">
        <is>
          <t xml:space="preserve">{STAGE_ID}.png, or OFFICE.png for the Office</t>
        </is>
      </c>
      <c r="G1100" t="inlineStr">
        <is>
          <t xml:space="preserve">assets/backgrounds/</t>
        </is>
      </c>
      <c r="H1100" t="inlineStr">
        <is>
          <t xml:space="preserve">The full-screen backdrop behind everything else on the room's own screen.</t>
        </is>
      </c>
      <c r="I1100" t="inlineStr">
        <is>
          <t xml:space="preserve">1080 x 2340 px (portrait, matches the game's own canvas)</t>
        </is>
      </c>
      <c r="J1100" t="inlineStr">
        <is>
          <t xml:space="preserve">No</t>
        </is>
      </c>
      <c r="K1100" t="inlineStr">
        <is>
          <t xml:space="preserve">Draft 2026-10-13: new topic room, background not drawn yet.</t>
        </is>
      </c>
    </row>
    <row r="1101">
      <c r="A1101" t="inlineStr">
        <is>
          <t xml:space="preserve">ST88</t>
        </is>
      </c>
      <c r="B1101" t="inlineStr">
        <is>
          <t xml:space="preserve">Background</t>
        </is>
      </c>
      <c r="C1101" t="inlineStr">
        <is>
          <t xml:space="preserve">Lobbyist Meeting on Parental Leave</t>
        </is>
      </c>
      <c r="E1101" t="inlineStr">
        <is>
          <t xml:space="preserve">ST88.png</t>
        </is>
      </c>
      <c r="F1101" t="inlineStr">
        <is>
          <t xml:space="preserve">{STAGE_ID}.png, or OFFICE.png for the Office</t>
        </is>
      </c>
      <c r="G1101" t="inlineStr">
        <is>
          <t xml:space="preserve">assets/backgrounds/</t>
        </is>
      </c>
      <c r="H1101" t="inlineStr">
        <is>
          <t xml:space="preserve">The full-screen backdrop behind everything else on the room's own screen.</t>
        </is>
      </c>
      <c r="I1101" t="inlineStr">
        <is>
          <t xml:space="preserve">1080 x 2340 px (portrait, matches the game's own canvas)</t>
        </is>
      </c>
      <c r="J1101" t="inlineStr">
        <is>
          <t xml:space="preserve">No</t>
        </is>
      </c>
      <c r="K1101" t="inlineStr">
        <is>
          <t xml:space="preserve">Draft 2026-10-13: new topic room, background not drawn yet.</t>
        </is>
      </c>
    </row>
    <row r="1102">
      <c r="A1102" t="inlineStr">
        <is>
          <t xml:space="preserve">ST89</t>
        </is>
      </c>
      <c r="B1102" t="inlineStr">
        <is>
          <t xml:space="preserve">Background</t>
        </is>
      </c>
      <c r="C1102" t="inlineStr">
        <is>
          <t xml:space="preserve">Party Caucus on Parental Leave</t>
        </is>
      </c>
      <c r="E1102" t="inlineStr">
        <is>
          <t xml:space="preserve">ST89.png</t>
        </is>
      </c>
      <c r="F1102" t="inlineStr">
        <is>
          <t xml:space="preserve">{STAGE_ID}.png, or OFFICE.png for the Office</t>
        </is>
      </c>
      <c r="G1102" t="inlineStr">
        <is>
          <t xml:space="preserve">assets/backgrounds/</t>
        </is>
      </c>
      <c r="H1102" t="inlineStr">
        <is>
          <t xml:space="preserve">The full-screen backdrop behind everything else on the room's own screen.</t>
        </is>
      </c>
      <c r="I1102" t="inlineStr">
        <is>
          <t xml:space="preserve">1080 x 2340 px (portrait, matches the game's own canvas)</t>
        </is>
      </c>
      <c r="J1102" t="inlineStr">
        <is>
          <t xml:space="preserve">No</t>
        </is>
      </c>
      <c r="K1102" t="inlineStr">
        <is>
          <t xml:space="preserve">Draft 2026-10-13: new topic room, background not drawn yet.</t>
        </is>
      </c>
    </row>
    <row r="1103">
      <c r="A1103" t="inlineStr">
        <is>
          <t xml:space="preserve">ST90</t>
        </is>
      </c>
      <c r="B1103" t="inlineStr">
        <is>
          <t xml:space="preserve">Background</t>
        </is>
      </c>
      <c r="C1103" t="inlineStr">
        <is>
          <t xml:space="preserve">Hearing on Surveillance Cameras</t>
        </is>
      </c>
      <c r="E1103" t="inlineStr">
        <is>
          <t xml:space="preserve">ST90.png</t>
        </is>
      </c>
      <c r="F1103" t="inlineStr">
        <is>
          <t xml:space="preserve">{STAGE_ID}.png, or OFFICE.png for the Office</t>
        </is>
      </c>
      <c r="G1103" t="inlineStr">
        <is>
          <t xml:space="preserve">assets/backgrounds/</t>
        </is>
      </c>
      <c r="H1103" t="inlineStr">
        <is>
          <t xml:space="preserve">The full-screen backdrop behind everything else on the room's own screen.</t>
        </is>
      </c>
      <c r="I1103" t="inlineStr">
        <is>
          <t xml:space="preserve">1080 x 2340 px (portrait, matches the game's own canvas)</t>
        </is>
      </c>
      <c r="J1103" t="inlineStr">
        <is>
          <t xml:space="preserve">No</t>
        </is>
      </c>
      <c r="K1103" t="inlineStr">
        <is>
          <t xml:space="preserve">Draft 2026-10-13: new topic room, background not drawn yet.</t>
        </is>
      </c>
    </row>
    <row r="1104">
      <c r="A1104" t="inlineStr">
        <is>
          <t xml:space="preserve">ST91</t>
        </is>
      </c>
      <c r="B1104" t="inlineStr">
        <is>
          <t xml:space="preserve">Background</t>
        </is>
      </c>
      <c r="C1104" t="inlineStr">
        <is>
          <t xml:space="preserve">TV Debate on Surveillance Cameras</t>
        </is>
      </c>
      <c r="E1104" t="inlineStr">
        <is>
          <t xml:space="preserve">ST91.png</t>
        </is>
      </c>
      <c r="F1104" t="inlineStr">
        <is>
          <t xml:space="preserve">{STAGE_ID}.png, or OFFICE.png for the Office</t>
        </is>
      </c>
      <c r="G1104" t="inlineStr">
        <is>
          <t xml:space="preserve">assets/backgrounds/</t>
        </is>
      </c>
      <c r="H1104" t="inlineStr">
        <is>
          <t xml:space="preserve">The full-screen backdrop behind everything else on the room's own screen.</t>
        </is>
      </c>
      <c r="I1104" t="inlineStr">
        <is>
          <t xml:space="preserve">1080 x 2340 px (portrait, matches the game's own canvas)</t>
        </is>
      </c>
      <c r="J1104" t="inlineStr">
        <is>
          <t xml:space="preserve">No</t>
        </is>
      </c>
      <c r="K1104" t="inlineStr">
        <is>
          <t xml:space="preserve">Draft 2026-10-13: new topic room, background not drawn yet.</t>
        </is>
      </c>
    </row>
    <row r="1105">
      <c r="A1105" t="inlineStr">
        <is>
          <t xml:space="preserve">ST92</t>
        </is>
      </c>
      <c r="B1105" t="inlineStr">
        <is>
          <t xml:space="preserve">Background</t>
        </is>
      </c>
      <c r="C1105" t="inlineStr">
        <is>
          <t xml:space="preserve">Press Conference on Surveillance Cameras</t>
        </is>
      </c>
      <c r="E1105" t="inlineStr">
        <is>
          <t xml:space="preserve">ST92.png</t>
        </is>
      </c>
      <c r="F1105" t="inlineStr">
        <is>
          <t xml:space="preserve">{STAGE_ID}.png, or OFFICE.png for the Office</t>
        </is>
      </c>
      <c r="G1105" t="inlineStr">
        <is>
          <t xml:space="preserve">assets/backgrounds/</t>
        </is>
      </c>
      <c r="H1105" t="inlineStr">
        <is>
          <t xml:space="preserve">The full-screen backdrop behind everything else on the room's own screen.</t>
        </is>
      </c>
      <c r="I1105" t="inlineStr">
        <is>
          <t xml:space="preserve">1080 x 2340 px (portrait, matches the game's own canvas)</t>
        </is>
      </c>
      <c r="J1105" t="inlineStr">
        <is>
          <t xml:space="preserve">No</t>
        </is>
      </c>
      <c r="K1105" t="inlineStr">
        <is>
          <t xml:space="preserve">Draft 2026-10-13: new topic room, background not drawn yet.</t>
        </is>
      </c>
    </row>
    <row r="1106">
      <c r="A1106" t="inlineStr">
        <is>
          <t xml:space="preserve">ST93</t>
        </is>
      </c>
      <c r="B1106" t="inlineStr">
        <is>
          <t xml:space="preserve">Background</t>
        </is>
      </c>
      <c r="C1106" t="inlineStr">
        <is>
          <t xml:space="preserve">Party Caucus on Surveillance Cameras</t>
        </is>
      </c>
      <c r="E1106" t="inlineStr">
        <is>
          <t xml:space="preserve">ST93.png</t>
        </is>
      </c>
      <c r="F1106" t="inlineStr">
        <is>
          <t xml:space="preserve">{STAGE_ID}.png, or OFFICE.png for the Office</t>
        </is>
      </c>
      <c r="G1106" t="inlineStr">
        <is>
          <t xml:space="preserve">assets/backgrounds/</t>
        </is>
      </c>
      <c r="H1106" t="inlineStr">
        <is>
          <t xml:space="preserve">The full-screen backdrop behind everything else on the room's own screen.</t>
        </is>
      </c>
      <c r="I1106" t="inlineStr">
        <is>
          <t xml:space="preserve">1080 x 2340 px (portrait, matches the game's own canvas)</t>
        </is>
      </c>
      <c r="J1106" t="inlineStr">
        <is>
          <t xml:space="preserve">No</t>
        </is>
      </c>
      <c r="K1106" t="inlineStr">
        <is>
          <t xml:space="preserve">Draft 2026-10-13: new topic room, background not drawn yet.</t>
        </is>
      </c>
    </row>
    <row r="1107">
      <c r="A1107" t="inlineStr">
        <is>
          <t xml:space="preserve">ST94</t>
        </is>
      </c>
      <c r="B1107" t="inlineStr">
        <is>
          <t xml:space="preserve">Background</t>
        </is>
      </c>
      <c r="C1107" t="inlineStr">
        <is>
          <t xml:space="preserve">Town Hall on Town Mergers</t>
        </is>
      </c>
      <c r="E1107" t="inlineStr">
        <is>
          <t xml:space="preserve">ST94.png</t>
        </is>
      </c>
      <c r="F1107" t="inlineStr">
        <is>
          <t xml:space="preserve">{STAGE_ID}.png, or OFFICE.png for the Office</t>
        </is>
      </c>
      <c r="G1107" t="inlineStr">
        <is>
          <t xml:space="preserve">assets/backgrounds/</t>
        </is>
      </c>
      <c r="H1107" t="inlineStr">
        <is>
          <t xml:space="preserve">The full-screen backdrop behind everything else on the room's own screen.</t>
        </is>
      </c>
      <c r="I1107" t="inlineStr">
        <is>
          <t xml:space="preserve">1080 x 2340 px (portrait, matches the game's own canvas)</t>
        </is>
      </c>
      <c r="J1107" t="inlineStr">
        <is>
          <t xml:space="preserve">No</t>
        </is>
      </c>
      <c r="K1107" t="inlineStr">
        <is>
          <t xml:space="preserve">Draft 2026-10-13: new topic room, background not drawn yet.</t>
        </is>
      </c>
    </row>
    <row r="1108">
      <c r="A1108" t="inlineStr">
        <is>
          <t xml:space="preserve">ST95</t>
        </is>
      </c>
      <c r="B1108" t="inlineStr">
        <is>
          <t xml:space="preserve">Background</t>
        </is>
      </c>
      <c r="C1108" t="inlineStr">
        <is>
          <t xml:space="preserve">Hearing on Town Mergers</t>
        </is>
      </c>
      <c r="E1108" t="inlineStr">
        <is>
          <t xml:space="preserve">ST95.png</t>
        </is>
      </c>
      <c r="F1108" t="inlineStr">
        <is>
          <t xml:space="preserve">{STAGE_ID}.png, or OFFICE.png for the Office</t>
        </is>
      </c>
      <c r="G1108" t="inlineStr">
        <is>
          <t xml:space="preserve">assets/backgrounds/</t>
        </is>
      </c>
      <c r="H1108" t="inlineStr">
        <is>
          <t xml:space="preserve">The full-screen backdrop behind everything else on the room's own screen.</t>
        </is>
      </c>
      <c r="I1108" t="inlineStr">
        <is>
          <t xml:space="preserve">1080 x 2340 px (portrait, matches the game's own canvas)</t>
        </is>
      </c>
      <c r="J1108" t="inlineStr">
        <is>
          <t xml:space="preserve">No</t>
        </is>
      </c>
      <c r="K1108" t="inlineStr">
        <is>
          <t xml:space="preserve">Draft 2026-10-13: new topic room, background not drawn yet.</t>
        </is>
      </c>
    </row>
    <row r="1109">
      <c r="A1109" t="inlineStr">
        <is>
          <t xml:space="preserve">ST96</t>
        </is>
      </c>
      <c r="B1109" t="inlineStr">
        <is>
          <t xml:space="preserve">Background</t>
        </is>
      </c>
      <c r="C1109" t="inlineStr">
        <is>
          <t xml:space="preserve">Policy Study on Town Mergers</t>
        </is>
      </c>
      <c r="E1109" t="inlineStr">
        <is>
          <t xml:space="preserve">ST96.png</t>
        </is>
      </c>
      <c r="F1109" t="inlineStr">
        <is>
          <t xml:space="preserve">{STAGE_ID}.png, or OFFICE.png for the Office</t>
        </is>
      </c>
      <c r="G1109" t="inlineStr">
        <is>
          <t xml:space="preserve">assets/backgrounds/</t>
        </is>
      </c>
      <c r="H1109" t="inlineStr">
        <is>
          <t xml:space="preserve">The full-screen backdrop behind everything else on the room's own screen.</t>
        </is>
      </c>
      <c r="I1109" t="inlineStr">
        <is>
          <t xml:space="preserve">1080 x 2340 px (portrait, matches the game's own canvas)</t>
        </is>
      </c>
      <c r="J1109" t="inlineStr">
        <is>
          <t xml:space="preserve">No</t>
        </is>
      </c>
      <c r="K1109" t="inlineStr">
        <is>
          <t xml:space="preserve">Draft 2026-10-13: new topic room, background not drawn yet.</t>
        </is>
      </c>
    </row>
    <row r="1110">
      <c r="A1110" t="inlineStr">
        <is>
          <t xml:space="preserve">ST97</t>
        </is>
      </c>
      <c r="B1110" t="inlineStr">
        <is>
          <t xml:space="preserve">Background</t>
        </is>
      </c>
      <c r="C1110" t="inlineStr">
        <is>
          <t xml:space="preserve">Party Caucus on Town Mergers</t>
        </is>
      </c>
      <c r="E1110" t="inlineStr">
        <is>
          <t xml:space="preserve">ST97.png</t>
        </is>
      </c>
      <c r="F1110" t="inlineStr">
        <is>
          <t xml:space="preserve">{STAGE_ID}.png, or OFFICE.png for the Office</t>
        </is>
      </c>
      <c r="G1110" t="inlineStr">
        <is>
          <t xml:space="preserve">assets/backgrounds/</t>
        </is>
      </c>
      <c r="H1110" t="inlineStr">
        <is>
          <t xml:space="preserve">The full-screen backdrop behind everything else on the room's own screen.</t>
        </is>
      </c>
      <c r="I1110" t="inlineStr">
        <is>
          <t xml:space="preserve">1080 x 2340 px (portrait, matches the game's own canvas)</t>
        </is>
      </c>
      <c r="J1110" t="inlineStr">
        <is>
          <t xml:space="preserve">No</t>
        </is>
      </c>
      <c r="K1110" t="inlineStr">
        <is>
          <t xml:space="preserve">Draft 2026-10-13: new topic room, background not drawn yet.</t>
        </is>
      </c>
    </row>
    <row r="1111">
      <c r="A1111" t="inlineStr">
        <is>
          <t xml:space="preserve">ST98</t>
        </is>
      </c>
      <c r="B1111" t="inlineStr">
        <is>
          <t xml:space="preserve">Background</t>
        </is>
      </c>
      <c r="C1111" t="inlineStr">
        <is>
          <t xml:space="preserve">TV Debate on Party Leadership Ballots</t>
        </is>
      </c>
      <c r="E1111" t="inlineStr">
        <is>
          <t xml:space="preserve">ST98.png</t>
        </is>
      </c>
      <c r="F1111" t="inlineStr">
        <is>
          <t xml:space="preserve">{STAGE_ID}.png, or OFFICE.png for the Office</t>
        </is>
      </c>
      <c r="G1111" t="inlineStr">
        <is>
          <t xml:space="preserve">assets/backgrounds/</t>
        </is>
      </c>
      <c r="H1111" t="inlineStr">
        <is>
          <t xml:space="preserve">The full-screen backdrop behind everything else on the room's own screen.</t>
        </is>
      </c>
      <c r="I1111" t="inlineStr">
        <is>
          <t xml:space="preserve">1080 x 2340 px (portrait, matches the game's own canvas)</t>
        </is>
      </c>
      <c r="J1111" t="inlineStr">
        <is>
          <t xml:space="preserve">No</t>
        </is>
      </c>
      <c r="K1111" t="inlineStr">
        <is>
          <t xml:space="preserve">Draft 2026-10-13: new topic room, background not drawn yet.</t>
        </is>
      </c>
    </row>
    <row r="1112">
      <c r="A1112" t="inlineStr">
        <is>
          <t xml:space="preserve">ST99</t>
        </is>
      </c>
      <c r="B1112" t="inlineStr">
        <is>
          <t xml:space="preserve">Background</t>
        </is>
      </c>
      <c r="C1112" t="inlineStr">
        <is>
          <t xml:space="preserve">Press Conference on Party Leadership Ballots</t>
        </is>
      </c>
      <c r="E1112" t="inlineStr">
        <is>
          <t xml:space="preserve">ST99.png</t>
        </is>
      </c>
      <c r="F1112" t="inlineStr">
        <is>
          <t xml:space="preserve">{STAGE_ID}.png, or OFFICE.png for the Office</t>
        </is>
      </c>
      <c r="G1112" t="inlineStr">
        <is>
          <t xml:space="preserve">assets/backgrounds/</t>
        </is>
      </c>
      <c r="H1112" t="inlineStr">
        <is>
          <t xml:space="preserve">The full-screen backdrop behind everything else on the room's own screen.</t>
        </is>
      </c>
      <c r="I1112" t="inlineStr">
        <is>
          <t xml:space="preserve">1080 x 2340 px (portrait, matches the game's own canvas)</t>
        </is>
      </c>
      <c r="J1112" t="inlineStr">
        <is>
          <t xml:space="preserve">No</t>
        </is>
      </c>
      <c r="K1112" t="inlineStr">
        <is>
          <t xml:space="preserve">Draft 2026-10-13: new topic room, background not drawn yet.</t>
        </is>
      </c>
    </row>
    <row r="1113">
      <c r="A1113" t="inlineStr">
        <is>
          <t xml:space="preserve">ST100</t>
        </is>
      </c>
      <c r="B1113" t="inlineStr">
        <is>
          <t xml:space="preserve">Background</t>
        </is>
      </c>
      <c r="C1113" t="inlineStr">
        <is>
          <t xml:space="preserve">Party Caucus on Party Leadership Ballots</t>
        </is>
      </c>
      <c r="E1113" t="inlineStr">
        <is>
          <t xml:space="preserve">ST100.png</t>
        </is>
      </c>
      <c r="F1113" t="inlineStr">
        <is>
          <t xml:space="preserve">{STAGE_ID}.png, or OFFICE.png for the Office</t>
        </is>
      </c>
      <c r="G1113" t="inlineStr">
        <is>
          <t xml:space="preserve">assets/backgrounds/</t>
        </is>
      </c>
      <c r="H1113" t="inlineStr">
        <is>
          <t xml:space="preserve">The full-screen backdrop behind everything else on the room's own screen.</t>
        </is>
      </c>
      <c r="I1113" t="inlineStr">
        <is>
          <t xml:space="preserve">1080 x 2340 px (portrait, matches the game's own canvas)</t>
        </is>
      </c>
      <c r="J1113" t="inlineStr">
        <is>
          <t xml:space="preserve">No</t>
        </is>
      </c>
      <c r="K1113" t="inlineStr">
        <is>
          <t xml:space="preserve">Draft 2026-10-13: new topic room, background not drawn yet.</t>
        </is>
      </c>
    </row>
  </sheetData>
  <pageMargins left="0.75" right="0.75" top="1" bottom="1" header="0.5" footer="0.5"/>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
  <sheetViews>
    <sheetView workbookViewId="0">
      <selection activeCell="D16" sqref="D16"/>
    </sheetView>
  </sheetViews>
  <sheetFormatPr defaultRowHeight="15"/>
  <sheetData>
    <row r="1" spans="1:8">
      <c r="A1" t="s">
        <v>4506</v>
      </c>
      <c r="B1" t="s">
        <v>4507</v>
      </c>
      <c r="C1" t="s">
        <v>4508</v>
      </c>
      <c r="D1" t="s">
        <v>4509</v>
      </c>
      <c r="E1" t="s">
        <v>4510</v>
      </c>
      <c r="F1" t="s">
        <v>4511</v>
      </c>
      <c r="G1" t="s">
        <v>4848</v>
      </c>
      <c r="H1" t="s">
        <v>4853</v>
      </c>
    </row>
    <row r="2" spans="1:8">
      <c r="A2" t="s">
        <v>4512</v>
      </c>
      <c r="B2" t="s">
        <v>1704</v>
      </c>
      <c r="C2">
        <v>255</v>
      </c>
      <c r="D2">
        <v>140</v>
      </c>
      <c r="E2">
        <v>0</v>
      </c>
      <c r="F2" t="s">
        <v>1976</v>
      </c>
      <c r="G2">
        <v>19</v>
      </c>
      <c r="H2">
        <v>87</v>
      </c>
    </row>
    <row r="3" spans="1:8">
      <c r="A3" t="s">
        <v>4513</v>
      </c>
      <c r="B3" t="s">
        <v>1684</v>
      </c>
      <c r="C3">
        <v>0</v>
      </c>
      <c r="D3">
        <v>255</v>
      </c>
      <c r="E3">
        <v>255</v>
      </c>
      <c r="F3" t="s">
        <v>1707</v>
      </c>
      <c r="G3">
        <v>14</v>
      </c>
      <c r="H3">
        <v>82</v>
      </c>
    </row>
    <row r="4" spans="1:8">
      <c r="A4" t="s">
        <v>4514</v>
      </c>
      <c r="B4" t="s">
        <v>513</v>
      </c>
      <c r="C4">
        <v>0</v>
      </c>
      <c r="D4">
        <v>128</v>
      </c>
      <c r="E4">
        <v>0</v>
      </c>
      <c r="F4" t="s">
        <v>1817</v>
      </c>
      <c r="G4">
        <v>27</v>
      </c>
      <c r="H4">
        <v>71</v>
      </c>
    </row>
    <row r="5" spans="1:8">
      <c r="A5" t="s">
        <v>4515</v>
      </c>
      <c r="B5" t="s">
        <v>1673</v>
      </c>
      <c r="C5">
        <v>128</v>
      </c>
      <c r="D5">
        <v>0</v>
      </c>
      <c r="E5">
        <v>255</v>
      </c>
      <c r="F5" t="s">
        <v>1947</v>
      </c>
      <c r="G5">
        <v>5</v>
      </c>
      <c r="H5">
        <v>99</v>
      </c>
    </row>
    <row r="6" spans="1:8">
      <c r="A6" t="s">
        <v>4516</v>
      </c>
      <c r="B6" t="s">
        <v>531</v>
      </c>
      <c r="C6">
        <v>255</v>
      </c>
      <c r="D6">
        <v>0</v>
      </c>
      <c r="E6">
        <v>0</v>
      </c>
      <c r="F6" t="s">
        <v>1957</v>
      </c>
      <c r="G6">
        <v>25</v>
      </c>
      <c r="H6">
        <v>68</v>
      </c>
    </row>
    <row r="7" spans="1:8">
      <c r="A7" t="s">
        <v>4517</v>
      </c>
      <c r="B7" t="s">
        <v>540</v>
      </c>
      <c r="C7">
        <v>150</v>
      </c>
      <c r="D7">
        <v>75</v>
      </c>
      <c r="E7">
        <v>0</v>
      </c>
      <c r="F7" t="s">
        <v>1918</v>
      </c>
      <c r="G7">
        <v>11</v>
      </c>
      <c r="H7">
        <v>90</v>
      </c>
    </row>
  </sheetData>
  <pageMargins left="0.75" right="0.75" top="1" bottom="1" header="0.5" footer="0.5"/>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51"/>
  <sheetViews>
    <sheetView workbookViewId="0">
      <selection activeCell="J29" sqref="J29"/>
    </sheetView>
  </sheetViews>
  <sheetFormatPr defaultRowHeight="15"/>
  <cols>
    <col min="1" max="1" width="10" customWidth="1"/>
    <col min="2" max="2" width="38" customWidth="1"/>
    <col min="3" max="3" width="70" customWidth="1"/>
    <col min="4" max="8" width="16" customWidth="1"/>
  </cols>
  <sheetData>
    <row r="1" spans="1:8" ht="45">
      <c r="A1" s="120" t="s">
        <v>4843</v>
      </c>
      <c r="B1" s="120" t="s">
        <v>4518</v>
      </c>
      <c r="C1" s="120" t="s">
        <v>4519</v>
      </c>
      <c r="D1" s="120" t="s">
        <v>4520</v>
      </c>
      <c r="E1" s="120" t="s">
        <v>4521</v>
      </c>
      <c r="F1" s="120" t="s">
        <v>4522</v>
      </c>
      <c r="G1" s="120" t="s">
        <v>4854</v>
      </c>
      <c r="H1" s="120" t="s">
        <v>4855</v>
      </c>
    </row>
    <row r="2" spans="1:8" ht="30">
      <c r="A2" s="121" t="s">
        <v>4781</v>
      </c>
      <c r="B2" s="121" t="s">
        <v>4528</v>
      </c>
      <c r="C2" s="121" t="s">
        <v>4529</v>
      </c>
      <c r="D2" s="122">
        <v>1</v>
      </c>
      <c r="E2" s="122">
        <v>-1</v>
      </c>
      <c r="F2" s="122">
        <v>0</v>
      </c>
    </row>
    <row r="3" spans="1:8" ht="30">
      <c r="A3" s="121" t="s">
        <v>4782</v>
      </c>
      <c r="B3" s="121" t="s">
        <v>4530</v>
      </c>
      <c r="C3" s="121" t="s">
        <v>4531</v>
      </c>
      <c r="D3" s="122">
        <v>3</v>
      </c>
      <c r="E3" s="122">
        <v>-2</v>
      </c>
      <c r="F3" s="122">
        <v>0</v>
      </c>
    </row>
    <row r="4" spans="1:8" ht="30">
      <c r="A4" s="121" t="s">
        <v>4783</v>
      </c>
      <c r="B4" s="121" t="s">
        <v>4532</v>
      </c>
      <c r="C4" s="121" t="s">
        <v>4533</v>
      </c>
      <c r="D4" s="122">
        <v>3</v>
      </c>
      <c r="E4" s="122">
        <v>-2</v>
      </c>
      <c r="F4" s="122">
        <v>0</v>
      </c>
    </row>
    <row r="5" spans="1:8" ht="30">
      <c r="A5" s="121" t="s">
        <v>4784</v>
      </c>
      <c r="B5" s="121" t="s">
        <v>4534</v>
      </c>
      <c r="C5" s="121" t="s">
        <v>4535</v>
      </c>
      <c r="D5" s="122">
        <v>1</v>
      </c>
      <c r="E5" s="122">
        <v>-1</v>
      </c>
      <c r="F5" s="122">
        <v>0</v>
      </c>
    </row>
    <row r="6" spans="1:8" ht="30">
      <c r="A6" s="121" t="s">
        <v>4785</v>
      </c>
      <c r="B6" s="121" t="s">
        <v>4536</v>
      </c>
      <c r="C6" s="121" t="s">
        <v>4537</v>
      </c>
      <c r="D6" s="122">
        <v>1</v>
      </c>
      <c r="E6" s="122">
        <v>-1</v>
      </c>
      <c r="F6" s="122">
        <v>0</v>
      </c>
    </row>
    <row r="7" spans="1:8" ht="30">
      <c r="A7" s="121" t="s">
        <v>4786</v>
      </c>
      <c r="B7" s="121" t="s">
        <v>4538</v>
      </c>
      <c r="C7" s="121" t="s">
        <v>4539</v>
      </c>
      <c r="D7" s="122">
        <v>5</v>
      </c>
      <c r="E7" s="122">
        <v>-5</v>
      </c>
      <c r="F7" s="122">
        <v>0</v>
      </c>
    </row>
    <row r="8" spans="1:8" ht="30">
      <c r="A8" s="121" t="s">
        <v>4787</v>
      </c>
      <c r="B8" s="121" t="s">
        <v>4540</v>
      </c>
      <c r="C8" s="121" t="s">
        <v>4541</v>
      </c>
      <c r="D8" s="122">
        <v>5</v>
      </c>
      <c r="E8" s="122">
        <v>-5</v>
      </c>
      <c r="F8" s="122">
        <v>0</v>
      </c>
    </row>
    <row r="9" spans="1:8" ht="30">
      <c r="A9" s="121" t="s">
        <v>4788</v>
      </c>
      <c r="B9" s="121" t="s">
        <v>4542</v>
      </c>
      <c r="C9" s="121" t="s">
        <v>4543</v>
      </c>
      <c r="D9" s="122">
        <v>5</v>
      </c>
      <c r="E9" s="122">
        <v>-5</v>
      </c>
      <c r="F9" s="122">
        <v>0</v>
      </c>
    </row>
    <row r="10" spans="1:8" ht="30">
      <c r="A10" s="121" t="s">
        <v>4789</v>
      </c>
      <c r="B10" s="121" t="s">
        <v>4544</v>
      </c>
      <c r="C10" s="121" t="s">
        <v>4545</v>
      </c>
      <c r="D10" s="122">
        <v>5</v>
      </c>
      <c r="E10" s="122">
        <v>-5</v>
      </c>
      <c r="F10" s="122">
        <v>0</v>
      </c>
    </row>
    <row r="11" spans="1:8" ht="30">
      <c r="A11" s="121" t="s">
        <v>4790</v>
      </c>
      <c r="B11" s="121" t="s">
        <v>4546</v>
      </c>
      <c r="C11" s="121" t="s">
        <v>4547</v>
      </c>
      <c r="D11" s="122">
        <v>5</v>
      </c>
      <c r="E11" s="122">
        <v>-5</v>
      </c>
      <c r="F11" s="122">
        <v>0</v>
      </c>
    </row>
    <row r="12" spans="1:8" ht="30">
      <c r="A12" s="121" t="s">
        <v>4792</v>
      </c>
      <c r="B12" s="121" t="s">
        <v>4548</v>
      </c>
      <c r="C12" s="121" t="s">
        <v>4549</v>
      </c>
      <c r="D12" s="122">
        <v>3</v>
      </c>
      <c r="E12" s="122">
        <v>-2</v>
      </c>
      <c r="F12" s="122">
        <v>0</v>
      </c>
    </row>
    <row r="13" spans="1:8" ht="30">
      <c r="A13" s="121" t="s">
        <v>4793</v>
      </c>
      <c r="B13" s="121" t="s">
        <v>4550</v>
      </c>
      <c r="C13" s="121" t="s">
        <v>4551</v>
      </c>
      <c r="D13" s="122">
        <v>3</v>
      </c>
      <c r="E13" s="122">
        <v>-2</v>
      </c>
      <c r="F13" s="122">
        <v>0</v>
      </c>
    </row>
    <row r="14" spans="1:8">
      <c r="A14" s="121" t="s">
        <v>4794</v>
      </c>
      <c r="B14" s="121" t="s">
        <v>4552</v>
      </c>
      <c r="C14" s="121" t="s">
        <v>4553</v>
      </c>
      <c r="D14" s="122">
        <v>5</v>
      </c>
      <c r="E14" s="122">
        <v>-5</v>
      </c>
      <c r="F14" s="122">
        <v>0</v>
      </c>
    </row>
    <row r="15" spans="1:8" ht="30">
      <c r="A15" s="121" t="s">
        <v>4795</v>
      </c>
      <c r="B15" s="121" t="s">
        <v>4554</v>
      </c>
      <c r="C15" s="121" t="s">
        <v>4555</v>
      </c>
      <c r="D15" s="122">
        <v>3</v>
      </c>
      <c r="E15" s="122">
        <v>-2</v>
      </c>
      <c r="F15" s="122">
        <v>0</v>
      </c>
    </row>
    <row r="16" spans="1:8" ht="30">
      <c r="A16" s="121" t="s">
        <v>4796</v>
      </c>
      <c r="B16" s="121" t="s">
        <v>4556</v>
      </c>
      <c r="C16" s="121" t="s">
        <v>4557</v>
      </c>
      <c r="D16" s="122">
        <v>5</v>
      </c>
      <c r="E16" s="122">
        <v>-5</v>
      </c>
      <c r="F16" s="122">
        <v>0</v>
      </c>
    </row>
    <row r="17" spans="1:6" ht="30">
      <c r="A17" s="121" t="s">
        <v>4797</v>
      </c>
      <c r="B17" s="121" t="s">
        <v>4558</v>
      </c>
      <c r="C17" s="121" t="s">
        <v>4559</v>
      </c>
      <c r="D17" s="122">
        <v>5</v>
      </c>
      <c r="E17" s="122">
        <v>-5</v>
      </c>
      <c r="F17" s="122">
        <v>0</v>
      </c>
    </row>
    <row r="18" spans="1:6" ht="30">
      <c r="A18" s="121" t="s">
        <v>4798</v>
      </c>
      <c r="B18" s="121" t="s">
        <v>4560</v>
      </c>
      <c r="C18" s="121" t="s">
        <v>4561</v>
      </c>
      <c r="D18" s="122">
        <v>5</v>
      </c>
      <c r="E18" s="122">
        <v>-5</v>
      </c>
      <c r="F18" s="122">
        <v>0</v>
      </c>
    </row>
    <row r="19" spans="1:6" ht="30">
      <c r="A19" s="121" t="s">
        <v>4799</v>
      </c>
      <c r="B19" s="121" t="s">
        <v>4562</v>
      </c>
      <c r="C19" s="121" t="s">
        <v>4563</v>
      </c>
      <c r="D19" s="122">
        <v>5</v>
      </c>
      <c r="E19" s="122">
        <v>-5</v>
      </c>
      <c r="F19" s="122">
        <v>0</v>
      </c>
    </row>
    <row r="20" spans="1:6" ht="30">
      <c r="A20" s="121" t="s">
        <v>4800</v>
      </c>
      <c r="B20" s="121" t="s">
        <v>4564</v>
      </c>
      <c r="C20" s="121" t="s">
        <v>4565</v>
      </c>
      <c r="D20" s="122">
        <v>5</v>
      </c>
      <c r="E20" s="122">
        <v>-5</v>
      </c>
      <c r="F20" s="122">
        <v>0</v>
      </c>
    </row>
    <row r="21" spans="1:6" ht="30">
      <c r="A21" s="121" t="s">
        <v>4801</v>
      </c>
      <c r="B21" s="121" t="s">
        <v>4566</v>
      </c>
      <c r="C21" s="121" t="s">
        <v>4567</v>
      </c>
      <c r="D21" s="122">
        <v>5</v>
      </c>
      <c r="E21" s="122">
        <v>-5</v>
      </c>
      <c r="F21" s="122">
        <v>0</v>
      </c>
    </row>
    <row r="22" spans="1:6" ht="30">
      <c r="A22" s="121" t="s">
        <v>4802</v>
      </c>
      <c r="B22" s="121" t="s">
        <v>4568</v>
      </c>
      <c r="C22" s="121" t="s">
        <v>4569</v>
      </c>
      <c r="D22" s="122">
        <v>5</v>
      </c>
      <c r="E22" s="122">
        <v>-5</v>
      </c>
      <c r="F22" s="122">
        <v>0</v>
      </c>
    </row>
    <row r="23" spans="1:6">
      <c r="A23" s="121" t="s">
        <v>4803</v>
      </c>
      <c r="B23" s="121" t="s">
        <v>4570</v>
      </c>
      <c r="C23" s="121" t="s">
        <v>4571</v>
      </c>
      <c r="D23" s="122">
        <v>5</v>
      </c>
      <c r="E23" s="122">
        <v>-5</v>
      </c>
      <c r="F23" s="122">
        <v>0</v>
      </c>
    </row>
    <row r="24" spans="1:6" ht="30">
      <c r="A24" s="121" t="s">
        <v>4804</v>
      </c>
      <c r="B24" s="121" t="s">
        <v>4572</v>
      </c>
      <c r="C24" s="121" t="s">
        <v>4573</v>
      </c>
      <c r="D24" s="122">
        <v>5</v>
      </c>
      <c r="E24" s="122">
        <v>-5</v>
      </c>
      <c r="F24" s="122">
        <v>0</v>
      </c>
    </row>
    <row r="25" spans="1:6" ht="30">
      <c r="A25" s="121" t="s">
        <v>4805</v>
      </c>
      <c r="B25" s="121" t="s">
        <v>4574</v>
      </c>
      <c r="C25" s="121" t="s">
        <v>4575</v>
      </c>
      <c r="D25" s="122">
        <v>5</v>
      </c>
      <c r="E25" s="122">
        <v>-5</v>
      </c>
      <c r="F25" s="122">
        <v>0</v>
      </c>
    </row>
    <row r="26" spans="1:6" ht="30">
      <c r="A26" s="121" t="s">
        <v>4806</v>
      </c>
      <c r="B26" s="121" t="s">
        <v>4576</v>
      </c>
      <c r="C26" s="121" t="s">
        <v>4577</v>
      </c>
      <c r="D26" s="122">
        <v>5</v>
      </c>
      <c r="E26" s="122">
        <v>-5</v>
      </c>
      <c r="F26" s="122">
        <v>0</v>
      </c>
    </row>
    <row r="27" spans="1:6" ht="30">
      <c r="A27" s="121" t="s">
        <v>4807</v>
      </c>
      <c r="B27" s="121" t="s">
        <v>4578</v>
      </c>
      <c r="C27" s="121" t="s">
        <v>4579</v>
      </c>
      <c r="D27" s="122">
        <v>5</v>
      </c>
      <c r="E27" s="122">
        <v>-5</v>
      </c>
      <c r="F27" s="122">
        <v>0</v>
      </c>
    </row>
    <row r="28" spans="1:6" ht="30">
      <c r="A28" s="121" t="s">
        <v>4808</v>
      </c>
      <c r="B28" s="121" t="s">
        <v>4580</v>
      </c>
      <c r="C28" s="121" t="s">
        <v>4581</v>
      </c>
      <c r="D28" s="122">
        <v>5</v>
      </c>
      <c r="E28" s="122">
        <v>-5</v>
      </c>
      <c r="F28" s="122">
        <v>0</v>
      </c>
    </row>
    <row r="29" spans="1:6" ht="30">
      <c r="A29" s="121" t="s">
        <v>4809</v>
      </c>
      <c r="B29" s="121" t="s">
        <v>4582</v>
      </c>
      <c r="C29" s="121" t="s">
        <v>4583</v>
      </c>
      <c r="D29" s="122">
        <v>3</v>
      </c>
      <c r="E29" s="122">
        <v>-2</v>
      </c>
      <c r="F29" s="122">
        <v>0</v>
      </c>
    </row>
    <row r="30" spans="1:6" ht="30">
      <c r="A30" s="121" t="s">
        <v>4810</v>
      </c>
      <c r="B30" s="121" t="s">
        <v>4584</v>
      </c>
      <c r="C30" s="121" t="s">
        <v>4585</v>
      </c>
      <c r="D30" s="122">
        <v>5</v>
      </c>
      <c r="E30" s="122">
        <v>-5</v>
      </c>
      <c r="F30" s="122">
        <v>0</v>
      </c>
    </row>
    <row r="31" spans="1:6">
      <c r="A31" s="121" t="s">
        <v>4811</v>
      </c>
      <c r="B31" s="121" t="s">
        <v>4586</v>
      </c>
      <c r="C31" s="121" t="s">
        <v>4587</v>
      </c>
      <c r="D31" s="122">
        <v>5</v>
      </c>
      <c r="E31" s="122">
        <v>-5</v>
      </c>
      <c r="F31" s="122">
        <v>0</v>
      </c>
    </row>
    <row r="32">
      <c r="A32" s="121" t="inlineStr">
        <is>
          <t xml:space="preserve">BI31</t>
        </is>
      </c>
      <c r="B32" s="121" t="inlineStr">
        <is>
          <t xml:space="preserve">Wilderness and Wildlife Protection Act</t>
        </is>
      </c>
      <c r="C32" s="121" t="inlineStr">
        <is>
          <t xml:space="preserve">Sets aside protected wilderness across Hokkaido, limits logging and development inside it, and funds ranger stations.</t>
        </is>
      </c>
      <c r="D32" s="122">
        <v>3</v>
      </c>
      <c r="E32" s="122">
        <v>-2</v>
      </c>
      <c r="F32" s="122">
        <v>0</v>
      </c>
    </row>
    <row r="33">
      <c r="A33" s="121" t="inlineStr">
        <is>
          <t xml:space="preserve">BI32</t>
        </is>
      </c>
      <c r="B33" s="121" t="inlineStr">
        <is>
          <t xml:space="preserve">Rural Hospital Network Act</t>
        </is>
      </c>
      <c r="C33" s="121" t="inlineStr">
        <is>
          <t xml:space="preserve">Funds a chain of small regional hospitals and travelling clinics so no town is far from emergency care.</t>
        </is>
      </c>
      <c r="D33" s="122">
        <v>5</v>
      </c>
      <c r="E33" s="122">
        <v>-5</v>
      </c>
      <c r="F33" s="122">
        <v>0</v>
      </c>
    </row>
    <row r="34">
      <c r="A34" s="121" t="inlineStr">
        <is>
          <t xml:space="preserve">BI33</t>
        </is>
      </c>
      <c r="B34" s="121" t="inlineStr">
        <is>
          <t xml:space="preserve">Digital Identity Card Act</t>
        </is>
      </c>
      <c r="C34" s="121" t="inlineStr">
        <is>
          <t xml:space="preserve">Issues every resident a single digital identity card linking tax, health and benefit records.</t>
        </is>
      </c>
      <c r="D34" s="122">
        <v>5</v>
      </c>
      <c r="E34" s="122">
        <v>-5</v>
      </c>
      <c r="F34" s="122">
        <v>0</v>
      </c>
    </row>
    <row r="35">
      <c r="A35" s="121" t="inlineStr">
        <is>
          <t xml:space="preserve">BI34</t>
        </is>
      </c>
      <c r="B35" s="121" t="inlineStr">
        <is>
          <t xml:space="preserve">Public Broadcasting Independence Act</t>
        </is>
      </c>
      <c r="C35" s="121" t="inlineStr">
        <is>
          <t xml:space="preserve">Protects the public broadcaster's budget and board from ministerial direction.</t>
        </is>
      </c>
      <c r="D35" s="122">
        <v>3</v>
      </c>
      <c r="E35" s="122">
        <v>-2</v>
      </c>
      <c r="F35" s="122">
        <v>0</v>
      </c>
    </row>
    <row r="36">
      <c r="A36" s="121" t="inlineStr">
        <is>
          <t xml:space="preserve">BI35</t>
        </is>
      </c>
      <c r="B36" s="121" t="inlineStr">
        <is>
          <t xml:space="preserve">Political Donation Transparency Act</t>
        </is>
      </c>
      <c r="C36" s="121" t="inlineStr">
        <is>
          <t xml:space="preserve">Requires party and member fundraising to be published in full and caps donations from a single source.</t>
        </is>
      </c>
      <c r="D36" s="122">
        <v>5</v>
      </c>
      <c r="E36" s="122">
        <v>-5</v>
      </c>
      <c r="F36" s="122">
        <v>0</v>
      </c>
    </row>
    <row r="37">
      <c r="A37" s="121" t="inlineStr">
        <is>
          <t xml:space="preserve">BI36</t>
        </is>
      </c>
      <c r="B37" s="121" t="inlineStr">
        <is>
          <t xml:space="preserve">Corporate Tax Reduction Act</t>
        </is>
      </c>
      <c r="C37" s="121" t="inlineStr">
        <is>
          <t xml:space="preserve">Lowers the corporate tax rate to attract firms and investment, with a smaller cut for small businesses.</t>
        </is>
      </c>
      <c r="D37" s="122">
        <v>5</v>
      </c>
      <c r="E37" s="122">
        <v>-5</v>
      </c>
      <c r="F37" s="122">
        <v>0</v>
      </c>
    </row>
    <row r="38">
      <c r="A38" s="121" t="inlineStr">
        <is>
          <t xml:space="preserve">BI37</t>
        </is>
      </c>
      <c r="B38" s="121" t="inlineStr">
        <is>
          <t xml:space="preserve">Carbon Levy Act</t>
        </is>
      </c>
      <c r="C38" s="121" t="inlineStr">
        <is>
          <t xml:space="preserve">Puts a rising price on carbon emissions and returns part of the revenue to households.</t>
        </is>
      </c>
      <c r="D38" s="122">
        <v>5</v>
      </c>
      <c r="E38" s="122">
        <v>-5</v>
      </c>
      <c r="F38" s="122">
        <v>0</v>
      </c>
    </row>
    <row r="39">
      <c r="A39" s="121" t="inlineStr">
        <is>
          <t xml:space="preserve">BI38</t>
        </is>
      </c>
      <c r="B39" s="121" t="inlineStr">
        <is>
          <t xml:space="preserve">Fisheries Quota Modernization Act</t>
        </is>
      </c>
      <c r="C39" s="121" t="inlineStr">
        <is>
          <t xml:space="preserve">Replaces the old catch limits with tradeable quotas, monitored by onboard reporting.</t>
        </is>
      </c>
      <c r="D39" s="122">
        <v>3</v>
      </c>
      <c r="E39" s="122">
        <v>-2</v>
      </c>
      <c r="F39" s="122">
        <v>0</v>
      </c>
    </row>
    <row r="40">
      <c r="A40" s="121" t="inlineStr">
        <is>
          <t xml:space="preserve">BI39</t>
        </is>
      </c>
      <c r="B40" s="121" t="inlineStr">
        <is>
          <t xml:space="preserve">Shipbuilding and Defense Industry Act</t>
        </is>
      </c>
      <c r="C40" s="121" t="inlineStr">
        <is>
          <t xml:space="preserve">Subsidizes domestic shipyards and defense manufacturers and guarantees them long-term orders.</t>
        </is>
      </c>
      <c r="D40" s="122">
        <v>5</v>
      </c>
      <c r="E40" s="122">
        <v>-5</v>
      </c>
      <c r="F40" s="122">
        <v>0</v>
      </c>
    </row>
    <row r="41">
      <c r="A41" s="121" t="inlineStr">
        <is>
          <t xml:space="preserve">BI40</t>
        </is>
      </c>
      <c r="B41" s="121" t="inlineStr">
        <is>
          <t xml:space="preserve">Constitutional Review Commission Act</t>
        </is>
      </c>
      <c r="C41" s="121" t="inlineStr">
        <is>
          <t xml:space="preserve">Creates a standing commission to study amendments and report to the National Assembly.</t>
        </is>
      </c>
      <c r="D41" s="122">
        <v>3</v>
      </c>
      <c r="E41" s="122">
        <v>-2</v>
      </c>
      <c r="F41" s="122">
        <v>0</v>
      </c>
    </row>
    <row r="42">
      <c r="A42" s="121" t="inlineStr">
        <is>
          <t xml:space="preserve">BI41</t>
        </is>
      </c>
      <c r="B42" s="121" t="inlineStr">
        <is>
          <t xml:space="preserve">Japan Customs and Border Cooperation Act</t>
        </is>
      </c>
      <c r="C42" s="121" t="inlineStr">
        <is>
          <t xml:space="preserve">Merges customs checks and shares border data with Japan to speed trade and travel.</t>
        </is>
      </c>
      <c r="D42" s="122">
        <v>3</v>
      </c>
      <c r="E42" s="122">
        <v>-2</v>
      </c>
      <c r="F42" s="122">
        <v>0</v>
      </c>
    </row>
    <row r="43">
      <c r="A43" s="121" t="inlineStr">
        <is>
          <t xml:space="preserve">BI42</t>
        </is>
      </c>
      <c r="B43" s="121" t="inlineStr">
        <is>
          <t xml:space="preserve">Chishima Resource Development Agreement Act</t>
        </is>
      </c>
      <c r="C43" s="121" t="inlineStr">
        <is>
          <t xml:space="preserve">Approves a joint mining and fishing venture with a partner in non-China Asia on the Chishima islands.</t>
        </is>
      </c>
      <c r="D43" s="122">
        <v>3</v>
      </c>
      <c r="E43" s="122">
        <v>-2</v>
      </c>
      <c r="F43" s="122">
        <v>0</v>
      </c>
    </row>
    <row r="44">
      <c r="A44" s="121" t="inlineStr">
        <is>
          <t xml:space="preserve">BI43</t>
        </is>
      </c>
      <c r="B44" s="121" t="inlineStr">
        <is>
          <t xml:space="preserve">Yezo–China Trade Normalization Act</t>
        </is>
      </c>
      <c r="C44" s="121" t="inlineStr">
        <is>
          <t xml:space="preserve">Lifts remaining tariffs and licensing hurdles on trade with China.</t>
        </is>
      </c>
      <c r="D44" s="122">
        <v>5</v>
      </c>
      <c r="E44" s="122">
        <v>-5</v>
      </c>
      <c r="F44" s="122">
        <v>0</v>
      </c>
    </row>
    <row r="45">
      <c r="A45" s="121" t="inlineStr">
        <is>
          <t xml:space="preserve">BI44</t>
        </is>
      </c>
      <c r="B45" s="121" t="inlineStr">
        <is>
          <t xml:space="preserve">Farm Succession Support Act</t>
        </is>
      </c>
      <c r="C45" s="121" t="inlineStr">
        <is>
          <t xml:space="preserve">Pays grants and cuts inheritance costs for young people who take over family farms.</t>
        </is>
      </c>
      <c r="D45" s="122">
        <v>3</v>
      </c>
      <c r="E45" s="122">
        <v>-2</v>
      </c>
      <c r="F45" s="122">
        <v>0</v>
      </c>
    </row>
    <row r="46">
      <c r="A46" s="121" t="inlineStr">
        <is>
          <t xml:space="preserve">BI45</t>
        </is>
      </c>
      <c r="B46" s="121" t="inlineStr">
        <is>
          <t xml:space="preserve">University Autonomy and Research Funding Act</t>
        </is>
      </c>
      <c r="C46" s="121" t="inlineStr">
        <is>
          <t xml:space="preserve">Gives universities control of their budgets and doubles public research grants.</t>
        </is>
      </c>
      <c r="D46" s="122">
        <v>3</v>
      </c>
      <c r="E46" s="122">
        <v>-2</v>
      </c>
      <c r="F46" s="122">
        <v>0</v>
      </c>
    </row>
    <row r="47">
      <c r="A47" s="121" t="inlineStr">
        <is>
          <t xml:space="preserve">BI46</t>
        </is>
      </c>
      <c r="B47" s="121" t="inlineStr">
        <is>
          <t xml:space="preserve">Workplace Equality Act</t>
        </is>
      </c>
      <c r="C47" s="121" t="inlineStr">
        <is>
          <t xml:space="preserve">Bans workplace discrimination on gender, ethnicity and disability, with penalties for repeat offenders.</t>
        </is>
      </c>
      <c r="D47" s="122">
        <v>5</v>
      </c>
      <c r="E47" s="122">
        <v>-5</v>
      </c>
      <c r="F47" s="122">
        <v>0</v>
      </c>
    </row>
    <row r="48">
      <c r="A48" s="121" t="inlineStr">
        <is>
          <t xml:space="preserve">BI47</t>
        </is>
      </c>
      <c r="B48" s="121" t="inlineStr">
        <is>
          <t xml:space="preserve">Parental Leave and Childcare Act</t>
        </is>
      </c>
      <c r="C48" s="121" t="inlineStr">
        <is>
          <t xml:space="preserve">Gives both parents paid leave and expands subsidized childcare.</t>
        </is>
      </c>
      <c r="D48" s="122">
        <v>5</v>
      </c>
      <c r="E48" s="122">
        <v>-5</v>
      </c>
      <c r="F48" s="122">
        <v>0</v>
      </c>
    </row>
    <row r="49">
      <c r="A49" s="121" t="inlineStr">
        <is>
          <t xml:space="preserve">BI48</t>
        </is>
      </c>
      <c r="B49" s="121" t="inlineStr">
        <is>
          <t xml:space="preserve">Public Safety Surveillance Act</t>
        </is>
      </c>
      <c r="C49" s="121" t="inlineStr">
        <is>
          <t xml:space="preserve">Allows facial-recognition cameras in transport hubs and city centres, with police access to footage.</t>
        </is>
      </c>
      <c r="D49" s="122">
        <v>5</v>
      </c>
      <c r="E49" s="122">
        <v>-5</v>
      </c>
      <c r="F49" s="122">
        <v>0</v>
      </c>
    </row>
    <row r="50">
      <c r="A50" s="121" t="inlineStr">
        <is>
          <t xml:space="preserve">BI49</t>
        </is>
      </c>
      <c r="B50" s="121" t="inlineStr">
        <is>
          <t xml:space="preserve">Local Government Mergers Act</t>
        </is>
      </c>
      <c r="C50" s="121" t="inlineStr">
        <is>
          <t xml:space="preserve">Merges small municipalities to cut administrative costs and share services.</t>
        </is>
      </c>
      <c r="D50" s="122">
        <v>3</v>
      </c>
      <c r="E50" s="122">
        <v>-2</v>
      </c>
      <c r="F50" s="122">
        <v>0</v>
      </c>
    </row>
    <row r="51">
      <c r="A51" s="121" t="inlineStr">
        <is>
          <t xml:space="preserve">BI50</t>
        </is>
      </c>
      <c r="B51" s="121" t="inlineStr">
        <is>
          <t xml:space="preserve">Party Leadership Selection Act</t>
        </is>
      </c>
      <c r="C51" s="121" t="inlineStr">
        <is>
          <t xml:space="preserve">Requires parties to choose their leaders by open ballot of members.</t>
        </is>
      </c>
      <c r="D51" s="122">
        <v>1</v>
      </c>
      <c r="E51" s="122">
        <v>-1</v>
      </c>
      <c r="F51" s="122">
        <v>0</v>
      </c>
    </row>
  </sheetData>
  <phoneticPr fontId="20" type="noConversion"/>
  <pageMargins left="0.75" right="0.75" top="1" bottom="1" header="0.5" footer="0.5"/>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301"/>
  <sheetViews>
    <sheetView workbookViewId="0">
      <selection activeCell="L17" sqref="L17"/>
    </sheetView>
  </sheetViews>
  <sheetFormatPr defaultRowHeight="15"/>
  <cols>
    <col min="1" max="2" width="10" customWidth="1"/>
    <col min="3" max="4" width="11" customWidth="1"/>
    <col min="5" max="5" width="13" customWidth="1"/>
    <col min="6" max="6" width="14" customWidth="1"/>
    <col min="7" max="7" width="48" customWidth="1"/>
    <col min="8" max="8" width="26" customWidth="1"/>
  </cols>
  <sheetData>
    <row r="1" spans="1:8" ht="30">
      <c r="A1" s="120" t="s">
        <v>4843</v>
      </c>
      <c r="B1" s="120" t="s">
        <v>4506</v>
      </c>
      <c r="C1" s="120" t="s">
        <v>4523</v>
      </c>
      <c r="D1" s="120" t="s">
        <v>4524</v>
      </c>
      <c r="E1" s="120" t="s">
        <v>4525</v>
      </c>
      <c r="F1" s="120" t="s">
        <v>4526</v>
      </c>
      <c r="G1" s="120" t="s">
        <v>4527</v>
      </c>
      <c r="H1" s="123" t="s">
        <v>4588</v>
      </c>
    </row>
    <row r="2" spans="1:8">
      <c r="A2" s="121" t="s">
        <v>4781</v>
      </c>
      <c r="B2" s="121" t="s">
        <v>4512</v>
      </c>
      <c r="C2" s="121">
        <v>7</v>
      </c>
      <c r="D2" s="121">
        <v>4</v>
      </c>
      <c r="E2" s="121">
        <v>8</v>
      </c>
      <c r="F2" s="121" t="s">
        <v>4589</v>
      </c>
      <c r="G2" s="121" t="s">
        <v>4590</v>
      </c>
      <c r="H2" s="124" t="s">
        <v>1704</v>
      </c>
    </row>
    <row r="3" spans="1:8">
      <c r="A3" s="121" t="s">
        <v>4781</v>
      </c>
      <c r="B3" s="121" t="s">
        <v>4513</v>
      </c>
      <c r="C3" s="121">
        <v>13</v>
      </c>
      <c r="D3" s="121">
        <v>1</v>
      </c>
      <c r="E3" s="121">
        <v>0</v>
      </c>
      <c r="F3" s="121" t="s">
        <v>4591</v>
      </c>
      <c r="G3" s="121" t="s">
        <v>4592</v>
      </c>
      <c r="H3" s="124" t="s">
        <v>1684</v>
      </c>
    </row>
    <row r="4" spans="1:8">
      <c r="A4" s="121" t="s">
        <v>4781</v>
      </c>
      <c r="B4" s="121" t="s">
        <v>4514</v>
      </c>
      <c r="C4" s="121">
        <v>10</v>
      </c>
      <c r="D4" s="121">
        <v>17</v>
      </c>
      <c r="E4" s="121">
        <v>0</v>
      </c>
      <c r="F4" s="121" t="s">
        <v>4593</v>
      </c>
      <c r="G4" s="121" t="s">
        <v>4594</v>
      </c>
      <c r="H4" s="124" t="s">
        <v>513</v>
      </c>
    </row>
    <row r="5" spans="1:8">
      <c r="A5" s="121" t="s">
        <v>4781</v>
      </c>
      <c r="B5" s="121" t="s">
        <v>4515</v>
      </c>
      <c r="C5" s="121">
        <v>2</v>
      </c>
      <c r="D5" s="121">
        <v>3</v>
      </c>
      <c r="E5" s="121">
        <v>0</v>
      </c>
      <c r="F5" s="121" t="s">
        <v>4593</v>
      </c>
      <c r="G5" s="121" t="s">
        <v>4595</v>
      </c>
      <c r="H5" s="124" t="s">
        <v>1673</v>
      </c>
    </row>
    <row r="6" spans="1:8">
      <c r="A6" s="121" t="s">
        <v>4781</v>
      </c>
      <c r="B6" s="121" t="s">
        <v>4516</v>
      </c>
      <c r="C6" s="121">
        <v>9</v>
      </c>
      <c r="D6" s="121">
        <v>16</v>
      </c>
      <c r="E6" s="121">
        <v>0</v>
      </c>
      <c r="F6" s="121" t="s">
        <v>4593</v>
      </c>
      <c r="G6" s="121" t="s">
        <v>4596</v>
      </c>
      <c r="H6" s="124" t="s">
        <v>531</v>
      </c>
    </row>
    <row r="7" spans="1:8">
      <c r="A7" s="121" t="s">
        <v>4781</v>
      </c>
      <c r="B7" s="121" t="s">
        <v>4517</v>
      </c>
      <c r="C7" s="121">
        <v>4</v>
      </c>
      <c r="D7" s="121">
        <v>7</v>
      </c>
      <c r="E7" s="121">
        <v>0</v>
      </c>
      <c r="F7" s="121" t="s">
        <v>4593</v>
      </c>
      <c r="G7" s="121" t="s">
        <v>4597</v>
      </c>
      <c r="H7" s="124" t="s">
        <v>540</v>
      </c>
    </row>
    <row r="8" spans="1:8">
      <c r="A8" s="121" t="s">
        <v>4782</v>
      </c>
      <c r="B8" s="121" t="s">
        <v>4512</v>
      </c>
      <c r="C8" s="121">
        <v>18</v>
      </c>
      <c r="D8" s="121">
        <v>1</v>
      </c>
      <c r="E8" s="121">
        <v>0</v>
      </c>
      <c r="F8" s="121" t="s">
        <v>4591</v>
      </c>
      <c r="G8" s="121" t="s">
        <v>4598</v>
      </c>
      <c r="H8" s="124" t="s">
        <v>1704</v>
      </c>
    </row>
    <row r="9" spans="1:8">
      <c r="A9" s="121" t="s">
        <v>4782</v>
      </c>
      <c r="B9" s="121" t="s">
        <v>4513</v>
      </c>
      <c r="C9" s="121">
        <v>13</v>
      </c>
      <c r="D9" s="121">
        <v>1</v>
      </c>
      <c r="E9" s="121">
        <v>0</v>
      </c>
      <c r="F9" s="121" t="s">
        <v>4591</v>
      </c>
      <c r="G9" s="121" t="s">
        <v>4599</v>
      </c>
      <c r="H9" s="124" t="s">
        <v>1684</v>
      </c>
    </row>
    <row r="10" spans="1:8">
      <c r="A10" s="121" t="s">
        <v>4782</v>
      </c>
      <c r="B10" s="121" t="s">
        <v>4514</v>
      </c>
      <c r="C10" s="121">
        <v>25</v>
      </c>
      <c r="D10" s="121">
        <v>2</v>
      </c>
      <c r="E10" s="121">
        <v>0</v>
      </c>
      <c r="F10" s="121" t="s">
        <v>4591</v>
      </c>
      <c r="G10" s="121" t="s">
        <v>4600</v>
      </c>
      <c r="H10" s="124" t="s">
        <v>513</v>
      </c>
    </row>
    <row r="11" spans="1:8">
      <c r="A11" s="121" t="s">
        <v>4782</v>
      </c>
      <c r="B11" s="121" t="s">
        <v>4515</v>
      </c>
      <c r="C11" s="121">
        <v>2</v>
      </c>
      <c r="D11" s="121">
        <v>1</v>
      </c>
      <c r="E11" s="121">
        <v>2</v>
      </c>
      <c r="F11" s="121" t="s">
        <v>4589</v>
      </c>
      <c r="G11" s="121" t="s">
        <v>4601</v>
      </c>
      <c r="H11" s="124" t="s">
        <v>1673</v>
      </c>
    </row>
    <row r="12" spans="1:8">
      <c r="A12" s="121" t="s">
        <v>4782</v>
      </c>
      <c r="B12" s="121" t="s">
        <v>4516</v>
      </c>
      <c r="C12" s="121">
        <v>9</v>
      </c>
      <c r="D12" s="121">
        <v>16</v>
      </c>
      <c r="E12" s="121">
        <v>0</v>
      </c>
      <c r="F12" s="121" t="s">
        <v>4593</v>
      </c>
      <c r="G12" s="121" t="s">
        <v>4602</v>
      </c>
      <c r="H12" s="124" t="s">
        <v>531</v>
      </c>
    </row>
    <row r="13" spans="1:8">
      <c r="A13" s="121" t="s">
        <v>4782</v>
      </c>
      <c r="B13" s="121" t="s">
        <v>4517</v>
      </c>
      <c r="C13" s="121">
        <v>9</v>
      </c>
      <c r="D13" s="121">
        <v>2</v>
      </c>
      <c r="E13" s="121">
        <v>0</v>
      </c>
      <c r="F13" s="121" t="s">
        <v>4591</v>
      </c>
      <c r="G13" s="121" t="s">
        <v>4603</v>
      </c>
      <c r="H13" s="124" t="s">
        <v>540</v>
      </c>
    </row>
    <row r="14" spans="1:8">
      <c r="A14" s="121" t="s">
        <v>4783</v>
      </c>
      <c r="B14" s="121" t="s">
        <v>4512</v>
      </c>
      <c r="C14" s="121">
        <v>4</v>
      </c>
      <c r="D14" s="121">
        <v>15</v>
      </c>
      <c r="E14" s="121">
        <v>0</v>
      </c>
      <c r="F14" s="121" t="s">
        <v>4593</v>
      </c>
      <c r="G14" s="121" t="s">
        <v>4604</v>
      </c>
      <c r="H14" s="124" t="s">
        <v>1704</v>
      </c>
    </row>
    <row r="15" spans="1:8">
      <c r="A15" s="121" t="s">
        <v>4783</v>
      </c>
      <c r="B15" s="121" t="s">
        <v>4513</v>
      </c>
      <c r="C15" s="121">
        <v>5</v>
      </c>
      <c r="D15" s="121">
        <v>9</v>
      </c>
      <c r="E15" s="121">
        <v>0</v>
      </c>
      <c r="F15" s="121" t="s">
        <v>4593</v>
      </c>
      <c r="G15" s="121" t="s">
        <v>4605</v>
      </c>
      <c r="H15" s="124" t="s">
        <v>1684</v>
      </c>
    </row>
    <row r="16" spans="1:8">
      <c r="A16" s="121" t="s">
        <v>4783</v>
      </c>
      <c r="B16" s="121" t="s">
        <v>4514</v>
      </c>
      <c r="C16" s="121">
        <v>11</v>
      </c>
      <c r="D16" s="121">
        <v>7</v>
      </c>
      <c r="E16" s="121">
        <v>9</v>
      </c>
      <c r="F16" s="121" t="s">
        <v>4589</v>
      </c>
      <c r="G16" s="121" t="s">
        <v>4606</v>
      </c>
      <c r="H16" s="124" t="s">
        <v>513</v>
      </c>
    </row>
    <row r="17" spans="1:8">
      <c r="A17" s="121" t="s">
        <v>4783</v>
      </c>
      <c r="B17" s="121" t="s">
        <v>4515</v>
      </c>
      <c r="C17" s="121">
        <v>1</v>
      </c>
      <c r="D17" s="121">
        <v>2</v>
      </c>
      <c r="E17" s="121">
        <v>2</v>
      </c>
      <c r="F17" s="121" t="s">
        <v>4589</v>
      </c>
      <c r="G17" s="121" t="s">
        <v>4607</v>
      </c>
      <c r="H17" s="124" t="s">
        <v>1673</v>
      </c>
    </row>
    <row r="18" spans="1:8">
      <c r="A18" s="121" t="s">
        <v>4783</v>
      </c>
      <c r="B18" s="121" t="s">
        <v>4516</v>
      </c>
      <c r="C18" s="121">
        <v>23</v>
      </c>
      <c r="D18" s="121">
        <v>2</v>
      </c>
      <c r="E18" s="121">
        <v>0</v>
      </c>
      <c r="F18" s="121" t="s">
        <v>4591</v>
      </c>
      <c r="G18" s="121" t="s">
        <v>4608</v>
      </c>
      <c r="H18" s="124" t="s">
        <v>531</v>
      </c>
    </row>
    <row r="19" spans="1:8">
      <c r="A19" s="121" t="s">
        <v>4783</v>
      </c>
      <c r="B19" s="121" t="s">
        <v>4517</v>
      </c>
      <c r="C19" s="121">
        <v>9</v>
      </c>
      <c r="D19" s="121">
        <v>2</v>
      </c>
      <c r="E19" s="121">
        <v>0</v>
      </c>
      <c r="F19" s="121" t="s">
        <v>4591</v>
      </c>
      <c r="G19" s="121" t="s">
        <v>4609</v>
      </c>
      <c r="H19" s="124" t="s">
        <v>540</v>
      </c>
    </row>
    <row r="20" spans="1:8">
      <c r="A20" s="121" t="s">
        <v>4784</v>
      </c>
      <c r="B20" s="121" t="s">
        <v>4512</v>
      </c>
      <c r="C20" s="121">
        <v>12</v>
      </c>
      <c r="D20" s="121">
        <v>7</v>
      </c>
      <c r="E20" s="121">
        <v>0</v>
      </c>
      <c r="F20" s="121" t="s">
        <v>4591</v>
      </c>
      <c r="G20" s="121" t="s">
        <v>4610</v>
      </c>
      <c r="H20" s="124" t="s">
        <v>1704</v>
      </c>
    </row>
    <row r="21" spans="1:8">
      <c r="A21" s="121" t="s">
        <v>4784</v>
      </c>
      <c r="B21" s="121" t="s">
        <v>4513</v>
      </c>
      <c r="C21" s="121">
        <v>11</v>
      </c>
      <c r="D21" s="121">
        <v>3</v>
      </c>
      <c r="E21" s="121">
        <v>0</v>
      </c>
      <c r="F21" s="121" t="s">
        <v>4591</v>
      </c>
      <c r="G21" s="121" t="s">
        <v>4611</v>
      </c>
      <c r="H21" s="124" t="s">
        <v>1684</v>
      </c>
    </row>
    <row r="22" spans="1:8">
      <c r="A22" s="121" t="s">
        <v>4784</v>
      </c>
      <c r="B22" s="121" t="s">
        <v>4514</v>
      </c>
      <c r="C22" s="121">
        <v>25</v>
      </c>
      <c r="D22" s="121">
        <v>2</v>
      </c>
      <c r="E22" s="121">
        <v>0</v>
      </c>
      <c r="F22" s="121" t="s">
        <v>4591</v>
      </c>
      <c r="G22" s="121" t="s">
        <v>4612</v>
      </c>
      <c r="H22" s="124" t="s">
        <v>513</v>
      </c>
    </row>
    <row r="23" spans="1:8">
      <c r="A23" s="121" t="s">
        <v>4784</v>
      </c>
      <c r="B23" s="121" t="s">
        <v>4515</v>
      </c>
      <c r="C23" s="121">
        <v>4</v>
      </c>
      <c r="D23" s="121">
        <v>1</v>
      </c>
      <c r="E23" s="121">
        <v>0</v>
      </c>
      <c r="F23" s="121" t="s">
        <v>4591</v>
      </c>
      <c r="G23" s="121" t="s">
        <v>4613</v>
      </c>
      <c r="H23" s="124" t="s">
        <v>1673</v>
      </c>
    </row>
    <row r="24" spans="1:8">
      <c r="A24" s="121" t="s">
        <v>4784</v>
      </c>
      <c r="B24" s="121" t="s">
        <v>4516</v>
      </c>
      <c r="C24" s="121">
        <v>20</v>
      </c>
      <c r="D24" s="121">
        <v>5</v>
      </c>
      <c r="E24" s="121">
        <v>0</v>
      </c>
      <c r="F24" s="121" t="s">
        <v>4591</v>
      </c>
      <c r="G24" s="121" t="s">
        <v>4614</v>
      </c>
      <c r="H24" s="124" t="s">
        <v>531</v>
      </c>
    </row>
    <row r="25" spans="1:8">
      <c r="A25" s="121" t="s">
        <v>4784</v>
      </c>
      <c r="B25" s="121" t="s">
        <v>4517</v>
      </c>
      <c r="C25" s="121">
        <v>10</v>
      </c>
      <c r="D25" s="121">
        <v>1</v>
      </c>
      <c r="E25" s="121">
        <v>0</v>
      </c>
      <c r="F25" s="121" t="s">
        <v>4591</v>
      </c>
      <c r="G25" s="121" t="s">
        <v>4615</v>
      </c>
      <c r="H25" s="124" t="s">
        <v>540</v>
      </c>
    </row>
    <row r="26" spans="1:8">
      <c r="A26" s="121" t="s">
        <v>4785</v>
      </c>
      <c r="B26" s="121" t="s">
        <v>4512</v>
      </c>
      <c r="C26" s="121">
        <v>7</v>
      </c>
      <c r="D26" s="121">
        <v>11</v>
      </c>
      <c r="E26" s="121">
        <v>1</v>
      </c>
      <c r="F26" s="121" t="s">
        <v>4593</v>
      </c>
      <c r="G26" s="121" t="s">
        <v>4616</v>
      </c>
      <c r="H26" s="124" t="s">
        <v>1704</v>
      </c>
    </row>
    <row r="27" spans="1:8">
      <c r="A27" s="121" t="s">
        <v>4785</v>
      </c>
      <c r="B27" s="121" t="s">
        <v>4513</v>
      </c>
      <c r="C27" s="121">
        <v>7</v>
      </c>
      <c r="D27" s="121">
        <v>7</v>
      </c>
      <c r="E27" s="121">
        <v>0</v>
      </c>
      <c r="F27" s="121" t="s">
        <v>4593</v>
      </c>
      <c r="G27" s="121" t="s">
        <v>4617</v>
      </c>
      <c r="H27" s="124" t="s">
        <v>1684</v>
      </c>
    </row>
    <row r="28" spans="1:8">
      <c r="A28" s="121" t="s">
        <v>4785</v>
      </c>
      <c r="B28" s="121" t="s">
        <v>4514</v>
      </c>
      <c r="C28" s="121">
        <v>17</v>
      </c>
      <c r="D28" s="121">
        <v>10</v>
      </c>
      <c r="E28" s="121">
        <v>0</v>
      </c>
      <c r="F28" s="121" t="s">
        <v>4591</v>
      </c>
      <c r="G28" s="121" t="s">
        <v>4618</v>
      </c>
      <c r="H28" s="124" t="s">
        <v>513</v>
      </c>
    </row>
    <row r="29" spans="1:8">
      <c r="A29" s="121" t="s">
        <v>4785</v>
      </c>
      <c r="B29" s="121" t="s">
        <v>4515</v>
      </c>
      <c r="C29" s="121">
        <v>4</v>
      </c>
      <c r="D29" s="121">
        <v>1</v>
      </c>
      <c r="E29" s="121">
        <v>0</v>
      </c>
      <c r="F29" s="121" t="s">
        <v>4591</v>
      </c>
      <c r="G29" s="121" t="s">
        <v>4619</v>
      </c>
      <c r="H29" s="124" t="s">
        <v>1673</v>
      </c>
    </row>
    <row r="30" spans="1:8">
      <c r="A30" s="121" t="s">
        <v>4785</v>
      </c>
      <c r="B30" s="121" t="s">
        <v>4516</v>
      </c>
      <c r="C30" s="121">
        <v>10</v>
      </c>
      <c r="D30" s="121">
        <v>6</v>
      </c>
      <c r="E30" s="121">
        <v>9</v>
      </c>
      <c r="F30" s="121" t="s">
        <v>4589</v>
      </c>
      <c r="G30" s="121" t="s">
        <v>4620</v>
      </c>
      <c r="H30" s="124" t="s">
        <v>531</v>
      </c>
    </row>
    <row r="31" spans="1:8">
      <c r="A31" s="121" t="s">
        <v>4785</v>
      </c>
      <c r="B31" s="121" t="s">
        <v>4517</v>
      </c>
      <c r="C31" s="121">
        <v>7</v>
      </c>
      <c r="D31" s="121">
        <v>4</v>
      </c>
      <c r="E31" s="121">
        <v>0</v>
      </c>
      <c r="F31" s="121" t="s">
        <v>4591</v>
      </c>
      <c r="G31" s="121" t="s">
        <v>4621</v>
      </c>
      <c r="H31" s="124" t="s">
        <v>540</v>
      </c>
    </row>
    <row r="32" spans="1:8">
      <c r="A32" s="121" t="s">
        <v>4786</v>
      </c>
      <c r="B32" s="121" t="s">
        <v>4512</v>
      </c>
      <c r="C32" s="121">
        <v>4</v>
      </c>
      <c r="D32" s="121">
        <v>7</v>
      </c>
      <c r="E32" s="121">
        <v>8</v>
      </c>
      <c r="F32" s="121" t="s">
        <v>4589</v>
      </c>
      <c r="G32" s="121" t="s">
        <v>4622</v>
      </c>
      <c r="H32" s="124" t="s">
        <v>1704</v>
      </c>
    </row>
    <row r="33" spans="1:8">
      <c r="A33" s="121" t="s">
        <v>4786</v>
      </c>
      <c r="B33" s="121" t="s">
        <v>4513</v>
      </c>
      <c r="C33" s="121">
        <v>5</v>
      </c>
      <c r="D33" s="121">
        <v>9</v>
      </c>
      <c r="E33" s="121">
        <v>0</v>
      </c>
      <c r="F33" s="121" t="s">
        <v>4593</v>
      </c>
      <c r="G33" s="121" t="s">
        <v>4623</v>
      </c>
      <c r="H33" s="124" t="s">
        <v>1684</v>
      </c>
    </row>
    <row r="34" spans="1:8">
      <c r="A34" s="121" t="s">
        <v>4786</v>
      </c>
      <c r="B34" s="121" t="s">
        <v>4514</v>
      </c>
      <c r="C34" s="121">
        <v>25</v>
      </c>
      <c r="D34" s="121">
        <v>2</v>
      </c>
      <c r="E34" s="121">
        <v>0</v>
      </c>
      <c r="F34" s="121" t="s">
        <v>4591</v>
      </c>
      <c r="G34" s="121" t="s">
        <v>4624</v>
      </c>
      <c r="H34" s="124" t="s">
        <v>513</v>
      </c>
    </row>
    <row r="35" spans="1:8">
      <c r="A35" s="121" t="s">
        <v>4786</v>
      </c>
      <c r="B35" s="121" t="s">
        <v>4515</v>
      </c>
      <c r="C35" s="121">
        <v>4</v>
      </c>
      <c r="D35" s="121">
        <v>1</v>
      </c>
      <c r="E35" s="121">
        <v>0</v>
      </c>
      <c r="F35" s="121" t="s">
        <v>4591</v>
      </c>
      <c r="G35" s="121" t="s">
        <v>4625</v>
      </c>
      <c r="H35" s="124" t="s">
        <v>1673</v>
      </c>
    </row>
    <row r="36" spans="1:8">
      <c r="A36" s="121" t="s">
        <v>4786</v>
      </c>
      <c r="B36" s="121" t="s">
        <v>4516</v>
      </c>
      <c r="C36" s="121">
        <v>23</v>
      </c>
      <c r="D36" s="121">
        <v>2</v>
      </c>
      <c r="E36" s="121">
        <v>0</v>
      </c>
      <c r="F36" s="121" t="s">
        <v>4591</v>
      </c>
      <c r="G36" s="121" t="s">
        <v>4626</v>
      </c>
      <c r="H36" s="124" t="s">
        <v>531</v>
      </c>
    </row>
    <row r="37" spans="1:8">
      <c r="A37" s="121" t="s">
        <v>4786</v>
      </c>
      <c r="B37" s="121" t="s">
        <v>4517</v>
      </c>
      <c r="C37" s="121">
        <v>1</v>
      </c>
      <c r="D37" s="121">
        <v>10</v>
      </c>
      <c r="E37" s="121">
        <v>0</v>
      </c>
      <c r="F37" s="121" t="s">
        <v>4593</v>
      </c>
      <c r="G37" s="121" t="s">
        <v>4627</v>
      </c>
      <c r="H37" s="124" t="s">
        <v>540</v>
      </c>
    </row>
    <row r="38" spans="1:8">
      <c r="A38" s="121" t="s">
        <v>4787</v>
      </c>
      <c r="B38" s="121" t="s">
        <v>4512</v>
      </c>
      <c r="C38" s="121">
        <v>18</v>
      </c>
      <c r="D38" s="121">
        <v>1</v>
      </c>
      <c r="E38" s="121">
        <v>0</v>
      </c>
      <c r="F38" s="121" t="s">
        <v>4591</v>
      </c>
      <c r="G38" s="121" t="s">
        <v>4628</v>
      </c>
      <c r="H38" s="124" t="s">
        <v>1704</v>
      </c>
    </row>
    <row r="39" spans="1:8">
      <c r="A39" s="121" t="s">
        <v>4787</v>
      </c>
      <c r="B39" s="121" t="s">
        <v>4513</v>
      </c>
      <c r="C39" s="121">
        <v>11</v>
      </c>
      <c r="D39" s="121">
        <v>3</v>
      </c>
      <c r="E39" s="121">
        <v>0</v>
      </c>
      <c r="F39" s="121" t="s">
        <v>4591</v>
      </c>
      <c r="G39" s="121" t="s">
        <v>4629</v>
      </c>
      <c r="H39" s="124" t="s">
        <v>1684</v>
      </c>
    </row>
    <row r="40" spans="1:8">
      <c r="A40" s="121" t="s">
        <v>4787</v>
      </c>
      <c r="B40" s="121" t="s">
        <v>4514</v>
      </c>
      <c r="C40" s="121">
        <v>25</v>
      </c>
      <c r="D40" s="121">
        <v>2</v>
      </c>
      <c r="E40" s="121">
        <v>0</v>
      </c>
      <c r="F40" s="121" t="s">
        <v>4591</v>
      </c>
      <c r="G40" s="121" t="s">
        <v>4630</v>
      </c>
      <c r="H40" s="124" t="s">
        <v>513</v>
      </c>
    </row>
    <row r="41" spans="1:8">
      <c r="A41" s="121" t="s">
        <v>4787</v>
      </c>
      <c r="B41" s="121" t="s">
        <v>4515</v>
      </c>
      <c r="C41" s="121">
        <v>4</v>
      </c>
      <c r="D41" s="121">
        <v>1</v>
      </c>
      <c r="E41" s="121">
        <v>0</v>
      </c>
      <c r="F41" s="121" t="s">
        <v>4591</v>
      </c>
      <c r="G41" s="121" t="s">
        <v>4631</v>
      </c>
      <c r="H41" s="124" t="s">
        <v>1673</v>
      </c>
    </row>
    <row r="42" spans="1:8">
      <c r="A42" s="121" t="s">
        <v>4787</v>
      </c>
      <c r="B42" s="121" t="s">
        <v>4516</v>
      </c>
      <c r="C42" s="121">
        <v>9</v>
      </c>
      <c r="D42" s="121">
        <v>16</v>
      </c>
      <c r="E42" s="121">
        <v>0</v>
      </c>
      <c r="F42" s="121" t="s">
        <v>4593</v>
      </c>
      <c r="G42" s="121" t="s">
        <v>4632</v>
      </c>
      <c r="H42" s="124" t="s">
        <v>531</v>
      </c>
    </row>
    <row r="43" spans="1:8">
      <c r="A43" s="121" t="s">
        <v>4787</v>
      </c>
      <c r="B43" s="121" t="s">
        <v>4517</v>
      </c>
      <c r="C43" s="121">
        <v>1</v>
      </c>
      <c r="D43" s="121">
        <v>10</v>
      </c>
      <c r="E43" s="121">
        <v>0</v>
      </c>
      <c r="F43" s="121" t="s">
        <v>4593</v>
      </c>
      <c r="G43" s="121" t="s">
        <v>4633</v>
      </c>
      <c r="H43" s="124" t="s">
        <v>540</v>
      </c>
    </row>
    <row r="44" spans="1:8">
      <c r="A44" s="121" t="s">
        <v>4788</v>
      </c>
      <c r="B44" s="121" t="s">
        <v>4512</v>
      </c>
      <c r="C44" s="121">
        <v>12</v>
      </c>
      <c r="D44" s="121">
        <v>7</v>
      </c>
      <c r="E44" s="121">
        <v>0</v>
      </c>
      <c r="F44" s="121" t="s">
        <v>4591</v>
      </c>
      <c r="G44" s="121" t="s">
        <v>4634</v>
      </c>
      <c r="H44" s="124" t="s">
        <v>1704</v>
      </c>
    </row>
    <row r="45" spans="1:8">
      <c r="A45" s="121" t="s">
        <v>4788</v>
      </c>
      <c r="B45" s="121" t="s">
        <v>4513</v>
      </c>
      <c r="C45" s="121">
        <v>11</v>
      </c>
      <c r="D45" s="121">
        <v>3</v>
      </c>
      <c r="E45" s="121">
        <v>0</v>
      </c>
      <c r="F45" s="121" t="s">
        <v>4591</v>
      </c>
      <c r="G45" s="121" t="s">
        <v>4635</v>
      </c>
      <c r="H45" s="124" t="s">
        <v>1684</v>
      </c>
    </row>
    <row r="46" spans="1:8">
      <c r="A46" s="121" t="s">
        <v>4788</v>
      </c>
      <c r="B46" s="121" t="s">
        <v>4514</v>
      </c>
      <c r="C46" s="121">
        <v>25</v>
      </c>
      <c r="D46" s="121">
        <v>2</v>
      </c>
      <c r="E46" s="121">
        <v>0</v>
      </c>
      <c r="F46" s="121" t="s">
        <v>4591</v>
      </c>
      <c r="G46" s="121" t="s">
        <v>4636</v>
      </c>
      <c r="H46" s="124" t="s">
        <v>513</v>
      </c>
    </row>
    <row r="47" spans="1:8">
      <c r="A47" s="121" t="s">
        <v>4788</v>
      </c>
      <c r="B47" s="121" t="s">
        <v>4515</v>
      </c>
      <c r="C47" s="121">
        <v>4</v>
      </c>
      <c r="D47" s="121">
        <v>1</v>
      </c>
      <c r="E47" s="121">
        <v>0</v>
      </c>
      <c r="F47" s="121" t="s">
        <v>4591</v>
      </c>
      <c r="G47" s="121" t="s">
        <v>4637</v>
      </c>
      <c r="H47" s="124" t="s">
        <v>1673</v>
      </c>
    </row>
    <row r="48" spans="1:8">
      <c r="A48" s="121" t="s">
        <v>4788</v>
      </c>
      <c r="B48" s="121" t="s">
        <v>4516</v>
      </c>
      <c r="C48" s="121">
        <v>10</v>
      </c>
      <c r="D48" s="121">
        <v>6</v>
      </c>
      <c r="E48" s="121">
        <v>9</v>
      </c>
      <c r="F48" s="121" t="s">
        <v>4589</v>
      </c>
      <c r="G48" s="121" t="s">
        <v>4638</v>
      </c>
      <c r="H48" s="124" t="s">
        <v>531</v>
      </c>
    </row>
    <row r="49" spans="1:8">
      <c r="A49" s="121" t="s">
        <v>4788</v>
      </c>
      <c r="B49" s="121" t="s">
        <v>4517</v>
      </c>
      <c r="C49" s="121">
        <v>1</v>
      </c>
      <c r="D49" s="121">
        <v>10</v>
      </c>
      <c r="E49" s="121">
        <v>0</v>
      </c>
      <c r="F49" s="121" t="s">
        <v>4593</v>
      </c>
      <c r="G49" s="121" t="s">
        <v>4639</v>
      </c>
      <c r="H49" s="124" t="s">
        <v>540</v>
      </c>
    </row>
    <row r="50" spans="1:8">
      <c r="A50" s="121" t="s">
        <v>4789</v>
      </c>
      <c r="B50" s="121" t="s">
        <v>4512</v>
      </c>
      <c r="C50" s="121">
        <v>4</v>
      </c>
      <c r="D50" s="121">
        <v>7</v>
      </c>
      <c r="E50" s="121">
        <v>8</v>
      </c>
      <c r="F50" s="121" t="s">
        <v>4589</v>
      </c>
      <c r="G50" s="121" t="s">
        <v>4640</v>
      </c>
      <c r="H50" s="124" t="s">
        <v>1704</v>
      </c>
    </row>
    <row r="51" spans="1:8">
      <c r="A51" s="121" t="s">
        <v>4789</v>
      </c>
      <c r="B51" s="121" t="s">
        <v>4513</v>
      </c>
      <c r="C51" s="121">
        <v>13</v>
      </c>
      <c r="D51" s="121">
        <v>1</v>
      </c>
      <c r="E51" s="121">
        <v>0</v>
      </c>
      <c r="F51" s="121" t="s">
        <v>4591</v>
      </c>
      <c r="G51" s="121" t="s">
        <v>4641</v>
      </c>
      <c r="H51" s="124" t="s">
        <v>1684</v>
      </c>
    </row>
    <row r="52" spans="1:8">
      <c r="A52" s="121" t="s">
        <v>4789</v>
      </c>
      <c r="B52" s="121" t="s">
        <v>4514</v>
      </c>
      <c r="C52" s="121">
        <v>25</v>
      </c>
      <c r="D52" s="121">
        <v>2</v>
      </c>
      <c r="E52" s="121">
        <v>0</v>
      </c>
      <c r="F52" s="121" t="s">
        <v>4591</v>
      </c>
      <c r="G52" s="121" t="s">
        <v>4642</v>
      </c>
      <c r="H52" s="124" t="s">
        <v>513</v>
      </c>
    </row>
    <row r="53" spans="1:8">
      <c r="A53" s="121" t="s">
        <v>4789</v>
      </c>
      <c r="B53" s="121" t="s">
        <v>4515</v>
      </c>
      <c r="C53" s="121">
        <v>4</v>
      </c>
      <c r="D53" s="121">
        <v>1</v>
      </c>
      <c r="E53" s="121">
        <v>0</v>
      </c>
      <c r="F53" s="121" t="s">
        <v>4591</v>
      </c>
      <c r="G53" s="121" t="s">
        <v>4643</v>
      </c>
      <c r="H53" s="124" t="s">
        <v>1673</v>
      </c>
    </row>
    <row r="54" spans="1:8">
      <c r="A54" s="121" t="s">
        <v>4789</v>
      </c>
      <c r="B54" s="121" t="s">
        <v>4516</v>
      </c>
      <c r="C54" s="121">
        <v>5</v>
      </c>
      <c r="D54" s="121">
        <v>20</v>
      </c>
      <c r="E54" s="121">
        <v>0</v>
      </c>
      <c r="F54" s="121" t="s">
        <v>4593</v>
      </c>
      <c r="G54" s="121" t="s">
        <v>4644</v>
      </c>
      <c r="H54" s="124" t="s">
        <v>531</v>
      </c>
    </row>
    <row r="55" spans="1:8">
      <c r="A55" s="121" t="s">
        <v>4789</v>
      </c>
      <c r="B55" s="121" t="s">
        <v>4517</v>
      </c>
      <c r="C55" s="121">
        <v>3</v>
      </c>
      <c r="D55" s="121">
        <v>4</v>
      </c>
      <c r="E55" s="121">
        <v>4</v>
      </c>
      <c r="F55" s="121" t="s">
        <v>4589</v>
      </c>
      <c r="G55" s="121" t="s">
        <v>4645</v>
      </c>
      <c r="H55" s="124" t="s">
        <v>540</v>
      </c>
    </row>
    <row r="56" spans="1:8">
      <c r="A56" s="121" t="s">
        <v>4790</v>
      </c>
      <c r="B56" s="121" t="s">
        <v>4512</v>
      </c>
      <c r="C56" s="121">
        <v>15</v>
      </c>
      <c r="D56" s="121">
        <v>4</v>
      </c>
      <c r="E56" s="121">
        <v>0</v>
      </c>
      <c r="F56" s="121" t="s">
        <v>4591</v>
      </c>
      <c r="G56" s="121" t="s">
        <v>4646</v>
      </c>
      <c r="H56" s="124" t="s">
        <v>1704</v>
      </c>
    </row>
    <row r="57" spans="1:8">
      <c r="A57" s="121" t="s">
        <v>4790</v>
      </c>
      <c r="B57" s="121" t="s">
        <v>4513</v>
      </c>
      <c r="C57" s="121">
        <v>3</v>
      </c>
      <c r="D57" s="121">
        <v>5</v>
      </c>
      <c r="E57" s="121">
        <v>6</v>
      </c>
      <c r="F57" s="121" t="s">
        <v>4589</v>
      </c>
      <c r="G57" s="121" t="inlineStr">
        <is>
          <t xml:space="preserve">Our communities decide that for themselves.</t>
        </is>
      </c>
      <c r="H57" s="124" t="s">
        <v>1684</v>
      </c>
    </row>
    <row r="58" spans="1:8">
      <c r="A58" s="121" t="s">
        <v>4790</v>
      </c>
      <c r="B58" s="121" t="s">
        <v>4514</v>
      </c>
      <c r="C58" s="121">
        <v>17</v>
      </c>
      <c r="D58" s="121">
        <v>10</v>
      </c>
      <c r="E58" s="121">
        <v>0</v>
      </c>
      <c r="F58" s="121" t="s">
        <v>4591</v>
      </c>
      <c r="G58" s="121" t="s">
        <v>4647</v>
      </c>
      <c r="H58" s="124" t="s">
        <v>513</v>
      </c>
    </row>
    <row r="59" spans="1:8">
      <c r="A59" s="121" t="s">
        <v>4790</v>
      </c>
      <c r="B59" s="121" t="s">
        <v>4515</v>
      </c>
      <c r="C59" s="121">
        <v>3</v>
      </c>
      <c r="D59" s="121">
        <v>2</v>
      </c>
      <c r="E59" s="121">
        <v>0</v>
      </c>
      <c r="F59" s="121" t="s">
        <v>4591</v>
      </c>
      <c r="G59" s="121" t="s">
        <v>4648</v>
      </c>
      <c r="H59" s="124" t="s">
        <v>1673</v>
      </c>
    </row>
    <row r="60" spans="1:8">
      <c r="A60" s="121" t="s">
        <v>4790</v>
      </c>
      <c r="B60" s="121" t="s">
        <v>4516</v>
      </c>
      <c r="C60" s="121">
        <v>16</v>
      </c>
      <c r="D60" s="121">
        <v>9</v>
      </c>
      <c r="E60" s="121">
        <v>0</v>
      </c>
      <c r="F60" s="121" t="s">
        <v>4591</v>
      </c>
      <c r="G60" s="121" t="s">
        <v>4649</v>
      </c>
      <c r="H60" s="124" t="s">
        <v>531</v>
      </c>
    </row>
    <row r="61" spans="1:8">
      <c r="A61" s="121" t="s">
        <v>4790</v>
      </c>
      <c r="B61" s="121" t="s">
        <v>4517</v>
      </c>
      <c r="C61" s="121">
        <v>1</v>
      </c>
      <c r="D61" s="121">
        <v>10</v>
      </c>
      <c r="E61" s="121">
        <v>0</v>
      </c>
      <c r="F61" s="121" t="s">
        <v>4593</v>
      </c>
      <c r="G61" s="121" t="s">
        <v>4650</v>
      </c>
      <c r="H61" s="124" t="s">
        <v>540</v>
      </c>
    </row>
    <row r="62" spans="1:8">
      <c r="A62" s="121" t="s">
        <v>4792</v>
      </c>
      <c r="B62" s="121" t="s">
        <v>4512</v>
      </c>
      <c r="C62" s="121">
        <v>12</v>
      </c>
      <c r="D62" s="121">
        <v>7</v>
      </c>
      <c r="E62" s="121">
        <v>0</v>
      </c>
      <c r="F62" s="121" t="s">
        <v>4591</v>
      </c>
      <c r="G62" s="121" t="s">
        <v>4651</v>
      </c>
      <c r="H62" s="124" t="s">
        <v>1704</v>
      </c>
    </row>
    <row r="63" spans="1:8">
      <c r="A63" s="121" t="s">
        <v>4792</v>
      </c>
      <c r="B63" s="121" t="s">
        <v>4513</v>
      </c>
      <c r="C63" s="121">
        <v>3</v>
      </c>
      <c r="D63" s="121">
        <v>11</v>
      </c>
      <c r="E63" s="121">
        <v>0</v>
      </c>
      <c r="F63" s="121" t="s">
        <v>4593</v>
      </c>
      <c r="G63" s="121" t="s">
        <v>4652</v>
      </c>
      <c r="H63" s="124" t="s">
        <v>1684</v>
      </c>
    </row>
    <row r="64" spans="1:8">
      <c r="A64" s="121" t="s">
        <v>4792</v>
      </c>
      <c r="B64" s="121" t="s">
        <v>4514</v>
      </c>
      <c r="C64" s="121">
        <v>11</v>
      </c>
      <c r="D64" s="121">
        <v>7</v>
      </c>
      <c r="E64" s="121">
        <v>9</v>
      </c>
      <c r="F64" s="121" t="s">
        <v>4589</v>
      </c>
      <c r="G64" s="121" t="s">
        <v>4653</v>
      </c>
      <c r="H64" s="124" t="s">
        <v>513</v>
      </c>
    </row>
    <row r="65" spans="1:8">
      <c r="A65" s="121" t="s">
        <v>4792</v>
      </c>
      <c r="B65" s="121" t="s">
        <v>4515</v>
      </c>
      <c r="C65" s="121">
        <v>3</v>
      </c>
      <c r="D65" s="121">
        <v>2</v>
      </c>
      <c r="E65" s="121">
        <v>0</v>
      </c>
      <c r="F65" s="121" t="s">
        <v>4591</v>
      </c>
      <c r="G65" s="121" t="s">
        <v>4654</v>
      </c>
      <c r="H65" s="124" t="s">
        <v>1673</v>
      </c>
    </row>
    <row r="66" spans="1:8">
      <c r="A66" s="121" t="s">
        <v>4792</v>
      </c>
      <c r="B66" s="121" t="s">
        <v>4516</v>
      </c>
      <c r="C66" s="121">
        <v>5</v>
      </c>
      <c r="D66" s="121">
        <v>20</v>
      </c>
      <c r="E66" s="121">
        <v>0</v>
      </c>
      <c r="F66" s="121" t="s">
        <v>4593</v>
      </c>
      <c r="G66" s="121" t="s">
        <v>4655</v>
      </c>
      <c r="H66" s="124" t="s">
        <v>531</v>
      </c>
    </row>
    <row r="67" spans="1:8">
      <c r="A67" s="121" t="s">
        <v>4792</v>
      </c>
      <c r="B67" s="121" t="s">
        <v>4517</v>
      </c>
      <c r="C67" s="121">
        <v>7</v>
      </c>
      <c r="D67" s="121">
        <v>4</v>
      </c>
      <c r="E67" s="121">
        <v>0</v>
      </c>
      <c r="F67" s="121" t="s">
        <v>4591</v>
      </c>
      <c r="G67" s="121" t="s">
        <v>4656</v>
      </c>
      <c r="H67" s="124" t="s">
        <v>540</v>
      </c>
    </row>
    <row r="68" spans="1:8">
      <c r="A68" s="121" t="s">
        <v>4793</v>
      </c>
      <c r="B68" s="121" t="s">
        <v>4512</v>
      </c>
      <c r="C68" s="121">
        <v>7</v>
      </c>
      <c r="D68" s="121">
        <v>4</v>
      </c>
      <c r="E68" s="121">
        <v>8</v>
      </c>
      <c r="F68" s="121" t="s">
        <v>4589</v>
      </c>
      <c r="G68" s="121" t="s">
        <v>4657</v>
      </c>
      <c r="H68" s="124" t="s">
        <v>1704</v>
      </c>
    </row>
    <row r="69" spans="1:8">
      <c r="A69" s="121" t="s">
        <v>4793</v>
      </c>
      <c r="B69" s="121" t="s">
        <v>4513</v>
      </c>
      <c r="C69" s="121">
        <v>5</v>
      </c>
      <c r="D69" s="121">
        <v>9</v>
      </c>
      <c r="E69" s="121">
        <v>0</v>
      </c>
      <c r="F69" s="121" t="s">
        <v>4593</v>
      </c>
      <c r="G69" s="121" t="s">
        <v>4658</v>
      </c>
      <c r="H69" s="124" t="s">
        <v>1684</v>
      </c>
    </row>
    <row r="70" spans="1:8">
      <c r="A70" s="121" t="s">
        <v>4793</v>
      </c>
      <c r="B70" s="121" t="s">
        <v>4514</v>
      </c>
      <c r="C70" s="121">
        <v>17</v>
      </c>
      <c r="D70" s="121">
        <v>10</v>
      </c>
      <c r="E70" s="121">
        <v>0</v>
      </c>
      <c r="F70" s="121" t="s">
        <v>4591</v>
      </c>
      <c r="G70" s="121" t="s">
        <v>4659</v>
      </c>
      <c r="H70" s="124" t="s">
        <v>513</v>
      </c>
    </row>
    <row r="71" spans="1:8">
      <c r="A71" s="121" t="s">
        <v>4793</v>
      </c>
      <c r="B71" s="121" t="s">
        <v>4515</v>
      </c>
      <c r="C71" s="121">
        <v>5</v>
      </c>
      <c r="D71" s="121">
        <v>0</v>
      </c>
      <c r="E71" s="121">
        <v>0</v>
      </c>
      <c r="F71" s="121" t="s">
        <v>4591</v>
      </c>
      <c r="G71" s="121" t="s">
        <v>4660</v>
      </c>
      <c r="H71" s="124" t="s">
        <v>1673</v>
      </c>
    </row>
    <row r="72" spans="1:8">
      <c r="A72" s="121" t="s">
        <v>4793</v>
      </c>
      <c r="B72" s="121" t="s">
        <v>4516</v>
      </c>
      <c r="C72" s="121">
        <v>20</v>
      </c>
      <c r="D72" s="121">
        <v>5</v>
      </c>
      <c r="E72" s="121">
        <v>0</v>
      </c>
      <c r="F72" s="121" t="s">
        <v>4591</v>
      </c>
      <c r="G72" s="121" t="s">
        <v>4661</v>
      </c>
      <c r="H72" s="124" t="s">
        <v>531</v>
      </c>
    </row>
    <row r="73" spans="1:8">
      <c r="A73" s="121" t="s">
        <v>4793</v>
      </c>
      <c r="B73" s="121" t="s">
        <v>4517</v>
      </c>
      <c r="C73" s="121">
        <v>4</v>
      </c>
      <c r="D73" s="121">
        <v>7</v>
      </c>
      <c r="E73" s="121">
        <v>0</v>
      </c>
      <c r="F73" s="121" t="s">
        <v>4593</v>
      </c>
      <c r="G73" s="121" t="s">
        <v>4662</v>
      </c>
      <c r="H73" s="124" t="s">
        <v>540</v>
      </c>
    </row>
    <row r="74" spans="1:8">
      <c r="A74" s="121" t="s">
        <v>4794</v>
      </c>
      <c r="B74" s="121" t="s">
        <v>4512</v>
      </c>
      <c r="C74" s="121">
        <v>18</v>
      </c>
      <c r="D74" s="121">
        <v>1</v>
      </c>
      <c r="E74" s="121">
        <v>0</v>
      </c>
      <c r="F74" s="121" t="s">
        <v>4591</v>
      </c>
      <c r="G74" s="121" t="s">
        <v>4663</v>
      </c>
      <c r="H74" s="124" t="s">
        <v>1704</v>
      </c>
    </row>
    <row r="75" spans="1:8">
      <c r="A75" s="121" t="s">
        <v>4794</v>
      </c>
      <c r="B75" s="121" t="s">
        <v>4513</v>
      </c>
      <c r="C75" s="121">
        <v>9</v>
      </c>
      <c r="D75" s="121">
        <v>5</v>
      </c>
      <c r="E75" s="121">
        <v>0</v>
      </c>
      <c r="F75" s="121" t="s">
        <v>4591</v>
      </c>
      <c r="G75" s="121" t="s">
        <v>4664</v>
      </c>
      <c r="H75" s="124" t="s">
        <v>1684</v>
      </c>
    </row>
    <row r="76" spans="1:8">
      <c r="A76" s="121" t="s">
        <v>4794</v>
      </c>
      <c r="B76" s="121" t="s">
        <v>4514</v>
      </c>
      <c r="C76" s="121">
        <v>17</v>
      </c>
      <c r="D76" s="121">
        <v>10</v>
      </c>
      <c r="E76" s="121">
        <v>0</v>
      </c>
      <c r="F76" s="121" t="s">
        <v>4591</v>
      </c>
      <c r="G76" s="121" t="s">
        <v>4665</v>
      </c>
      <c r="H76" s="124" t="s">
        <v>513</v>
      </c>
    </row>
    <row r="77" spans="1:8">
      <c r="A77" s="121" t="s">
        <v>4794</v>
      </c>
      <c r="B77" s="121" t="s">
        <v>4515</v>
      </c>
      <c r="C77" s="121">
        <v>2</v>
      </c>
      <c r="D77" s="121">
        <v>1</v>
      </c>
      <c r="E77" s="121">
        <v>2</v>
      </c>
      <c r="F77" s="121" t="s">
        <v>4589</v>
      </c>
      <c r="G77" s="121" t="s">
        <v>4666</v>
      </c>
      <c r="H77" s="124" t="s">
        <v>1673</v>
      </c>
    </row>
    <row r="78" spans="1:8">
      <c r="A78" s="121" t="s">
        <v>4794</v>
      </c>
      <c r="B78" s="121" t="s">
        <v>4516</v>
      </c>
      <c r="C78" s="121">
        <v>10</v>
      </c>
      <c r="D78" s="121">
        <v>6</v>
      </c>
      <c r="E78" s="121">
        <v>9</v>
      </c>
      <c r="F78" s="121" t="s">
        <v>4589</v>
      </c>
      <c r="G78" s="121" t="s">
        <v>4667</v>
      </c>
      <c r="H78" s="124" t="s">
        <v>531</v>
      </c>
    </row>
    <row r="79" spans="1:8">
      <c r="A79" s="121" t="s">
        <v>4794</v>
      </c>
      <c r="B79" s="121" t="s">
        <v>4517</v>
      </c>
      <c r="C79" s="121">
        <v>4</v>
      </c>
      <c r="D79" s="121">
        <v>3</v>
      </c>
      <c r="E79" s="121">
        <v>4</v>
      </c>
      <c r="F79" s="121" t="s">
        <v>4589</v>
      </c>
      <c r="G79" s="121" t="s">
        <v>4668</v>
      </c>
      <c r="H79" s="124" t="s">
        <v>540</v>
      </c>
    </row>
    <row r="80" spans="1:8">
      <c r="A80" s="121" t="s">
        <v>4795</v>
      </c>
      <c r="B80" s="121" t="s">
        <v>4512</v>
      </c>
      <c r="C80" s="121">
        <v>12</v>
      </c>
      <c r="D80" s="121">
        <v>7</v>
      </c>
      <c r="E80" s="121">
        <v>0</v>
      </c>
      <c r="F80" s="121" t="s">
        <v>4591</v>
      </c>
      <c r="G80" s="121" t="s">
        <v>4669</v>
      </c>
      <c r="H80" s="124" t="s">
        <v>1704</v>
      </c>
    </row>
    <row r="81" spans="1:8">
      <c r="A81" s="121" t="s">
        <v>4795</v>
      </c>
      <c r="B81" s="121" t="s">
        <v>4513</v>
      </c>
      <c r="C81" s="121">
        <v>9</v>
      </c>
      <c r="D81" s="121">
        <v>5</v>
      </c>
      <c r="E81" s="121">
        <v>0</v>
      </c>
      <c r="F81" s="121" t="s">
        <v>4591</v>
      </c>
      <c r="G81" s="121" t="s">
        <v>4670</v>
      </c>
      <c r="H81" s="124" t="s">
        <v>1684</v>
      </c>
    </row>
    <row r="82" spans="1:8">
      <c r="A82" s="121" t="s">
        <v>4795</v>
      </c>
      <c r="B82" s="121" t="s">
        <v>4514</v>
      </c>
      <c r="C82" s="121">
        <v>22</v>
      </c>
      <c r="D82" s="121">
        <v>5</v>
      </c>
      <c r="E82" s="121">
        <v>0</v>
      </c>
      <c r="F82" s="121" t="s">
        <v>4591</v>
      </c>
      <c r="G82" s="121" t="s">
        <v>4671</v>
      </c>
      <c r="H82" s="124" t="s">
        <v>513</v>
      </c>
    </row>
    <row r="83" spans="1:8">
      <c r="A83" s="121" t="s">
        <v>4795</v>
      </c>
      <c r="B83" s="121" t="s">
        <v>4515</v>
      </c>
      <c r="C83" s="121">
        <v>5</v>
      </c>
      <c r="D83" s="121">
        <v>0</v>
      </c>
      <c r="E83" s="121">
        <v>0</v>
      </c>
      <c r="F83" s="121" t="s">
        <v>4591</v>
      </c>
      <c r="G83" s="121" t="s">
        <v>4672</v>
      </c>
      <c r="H83" s="124" t="s">
        <v>1673</v>
      </c>
    </row>
    <row r="84" spans="1:8">
      <c r="A84" s="121" t="s">
        <v>4795</v>
      </c>
      <c r="B84" s="121" t="s">
        <v>4516</v>
      </c>
      <c r="C84" s="121">
        <v>16</v>
      </c>
      <c r="D84" s="121">
        <v>9</v>
      </c>
      <c r="E84" s="121">
        <v>0</v>
      </c>
      <c r="F84" s="121" t="s">
        <v>4591</v>
      </c>
      <c r="G84" s="121" t="s">
        <v>4673</v>
      </c>
      <c r="H84" s="124" t="s">
        <v>531</v>
      </c>
    </row>
    <row r="85" spans="1:8">
      <c r="A85" s="121" t="s">
        <v>4795</v>
      </c>
      <c r="B85" s="121" t="s">
        <v>4517</v>
      </c>
      <c r="C85" s="121">
        <v>7</v>
      </c>
      <c r="D85" s="121">
        <v>4</v>
      </c>
      <c r="E85" s="121">
        <v>0</v>
      </c>
      <c r="F85" s="121" t="s">
        <v>4591</v>
      </c>
      <c r="G85" s="121" t="s">
        <v>4674</v>
      </c>
      <c r="H85" s="124" t="s">
        <v>540</v>
      </c>
    </row>
    <row r="86" spans="1:8">
      <c r="A86" s="121" t="s">
        <v>4796</v>
      </c>
      <c r="B86" s="121" t="s">
        <v>4512</v>
      </c>
      <c r="C86" s="121">
        <v>4</v>
      </c>
      <c r="D86" s="121">
        <v>7</v>
      </c>
      <c r="E86" s="121">
        <v>8</v>
      </c>
      <c r="F86" s="121" t="s">
        <v>4589</v>
      </c>
      <c r="G86" s="121" t="s">
        <v>4675</v>
      </c>
      <c r="H86" s="124" t="s">
        <v>1704</v>
      </c>
    </row>
    <row r="87" spans="1:8">
      <c r="A87" s="121" t="s">
        <v>4796</v>
      </c>
      <c r="B87" s="121" t="s">
        <v>4513</v>
      </c>
      <c r="C87" s="121">
        <v>5</v>
      </c>
      <c r="D87" s="121">
        <v>9</v>
      </c>
      <c r="E87" s="121">
        <v>0</v>
      </c>
      <c r="F87" s="121" t="s">
        <v>4593</v>
      </c>
      <c r="G87" s="121" t="s">
        <v>4676</v>
      </c>
      <c r="H87" s="124" t="s">
        <v>1684</v>
      </c>
    </row>
    <row r="88" spans="1:8">
      <c r="A88" s="121" t="s">
        <v>4796</v>
      </c>
      <c r="B88" s="121" t="s">
        <v>4514</v>
      </c>
      <c r="C88" s="121">
        <v>11</v>
      </c>
      <c r="D88" s="121">
        <v>7</v>
      </c>
      <c r="E88" s="121">
        <v>9</v>
      </c>
      <c r="F88" s="121" t="s">
        <v>4589</v>
      </c>
      <c r="G88" s="121" t="s">
        <v>4677</v>
      </c>
      <c r="H88" s="124" t="s">
        <v>513</v>
      </c>
    </row>
    <row r="89" spans="1:8">
      <c r="A89" s="121" t="s">
        <v>4796</v>
      </c>
      <c r="B89" s="121" t="s">
        <v>4515</v>
      </c>
      <c r="C89" s="121">
        <v>1</v>
      </c>
      <c r="D89" s="121">
        <v>2</v>
      </c>
      <c r="E89" s="121">
        <v>2</v>
      </c>
      <c r="F89" s="121" t="s">
        <v>4589</v>
      </c>
      <c r="G89" s="121" t="s">
        <v>4678</v>
      </c>
      <c r="H89" s="124" t="s">
        <v>1673</v>
      </c>
    </row>
    <row r="90" spans="1:8">
      <c r="A90" s="121" t="s">
        <v>4796</v>
      </c>
      <c r="B90" s="121" t="s">
        <v>4516</v>
      </c>
      <c r="C90" s="121">
        <v>23</v>
      </c>
      <c r="D90" s="121">
        <v>2</v>
      </c>
      <c r="E90" s="121">
        <v>0</v>
      </c>
      <c r="F90" s="121" t="s">
        <v>4591</v>
      </c>
      <c r="G90" s="121" t="s">
        <v>4679</v>
      </c>
      <c r="H90" s="124" t="s">
        <v>531</v>
      </c>
    </row>
    <row r="91" spans="1:8">
      <c r="A91" s="121" t="s">
        <v>4796</v>
      </c>
      <c r="B91" s="121" t="s">
        <v>4517</v>
      </c>
      <c r="C91" s="121">
        <v>4</v>
      </c>
      <c r="D91" s="121">
        <v>7</v>
      </c>
      <c r="E91" s="121">
        <v>0</v>
      </c>
      <c r="F91" s="121" t="s">
        <v>4593</v>
      </c>
      <c r="G91" s="121" t="s">
        <v>4680</v>
      </c>
      <c r="H91" s="124" t="s">
        <v>540</v>
      </c>
    </row>
    <row r="92" spans="1:8">
      <c r="A92" s="121" t="s">
        <v>4797</v>
      </c>
      <c r="B92" s="121" t="s">
        <v>4512</v>
      </c>
      <c r="C92" s="121">
        <v>7</v>
      </c>
      <c r="D92" s="121">
        <v>12</v>
      </c>
      <c r="E92" s="121">
        <v>0</v>
      </c>
      <c r="F92" s="121" t="s">
        <v>4593</v>
      </c>
      <c r="G92" s="121" t="s">
        <v>4681</v>
      </c>
      <c r="H92" s="124" t="s">
        <v>1704</v>
      </c>
    </row>
    <row r="93" spans="1:8">
      <c r="A93" s="121" t="s">
        <v>4797</v>
      </c>
      <c r="B93" s="121" t="s">
        <v>4513</v>
      </c>
      <c r="C93" s="121">
        <v>9</v>
      </c>
      <c r="D93" s="121">
        <v>5</v>
      </c>
      <c r="E93" s="121">
        <v>0</v>
      </c>
      <c r="F93" s="121" t="s">
        <v>4591</v>
      </c>
      <c r="G93" s="121" t="s">
        <v>4682</v>
      </c>
      <c r="H93" s="124" t="s">
        <v>1684</v>
      </c>
    </row>
    <row r="94" spans="1:8">
      <c r="A94" s="121" t="s">
        <v>4797</v>
      </c>
      <c r="B94" s="121" t="s">
        <v>4514</v>
      </c>
      <c r="C94" s="121">
        <v>2</v>
      </c>
      <c r="D94" s="121">
        <v>25</v>
      </c>
      <c r="E94" s="121">
        <v>0</v>
      </c>
      <c r="F94" s="121" t="s">
        <v>4593</v>
      </c>
      <c r="G94" s="121" t="s">
        <v>4683</v>
      </c>
      <c r="H94" s="124" t="s">
        <v>513</v>
      </c>
    </row>
    <row r="95" spans="1:8">
      <c r="A95" s="121" t="s">
        <v>4797</v>
      </c>
      <c r="B95" s="121" t="s">
        <v>4515</v>
      </c>
      <c r="C95" s="121">
        <v>2</v>
      </c>
      <c r="D95" s="121">
        <v>3</v>
      </c>
      <c r="E95" s="121">
        <v>0</v>
      </c>
      <c r="F95" s="121" t="s">
        <v>4593</v>
      </c>
      <c r="G95" s="121" t="s">
        <v>4684</v>
      </c>
      <c r="H95" s="124" t="s">
        <v>1673</v>
      </c>
    </row>
    <row r="96" spans="1:8">
      <c r="A96" s="121" t="s">
        <v>4797</v>
      </c>
      <c r="B96" s="121" t="s">
        <v>4516</v>
      </c>
      <c r="C96" s="121">
        <v>5</v>
      </c>
      <c r="D96" s="121">
        <v>20</v>
      </c>
      <c r="E96" s="121">
        <v>0</v>
      </c>
      <c r="F96" s="121" t="s">
        <v>4593</v>
      </c>
      <c r="G96" s="121" t="s">
        <v>4685</v>
      </c>
      <c r="H96" s="124" t="s">
        <v>531</v>
      </c>
    </row>
    <row r="97" spans="1:8">
      <c r="A97" s="121" t="s">
        <v>4797</v>
      </c>
      <c r="B97" s="121" t="s">
        <v>4517</v>
      </c>
      <c r="C97" s="121">
        <v>10</v>
      </c>
      <c r="D97" s="121">
        <v>1</v>
      </c>
      <c r="E97" s="121">
        <v>0</v>
      </c>
      <c r="F97" s="121" t="s">
        <v>4591</v>
      </c>
      <c r="G97" s="121" t="s">
        <v>4686</v>
      </c>
      <c r="H97" s="124" t="s">
        <v>540</v>
      </c>
    </row>
    <row r="98" spans="1:8">
      <c r="A98" s="121" t="s">
        <v>4798</v>
      </c>
      <c r="B98" s="121" t="s">
        <v>4512</v>
      </c>
      <c r="C98" s="121">
        <v>15</v>
      </c>
      <c r="D98" s="121">
        <v>4</v>
      </c>
      <c r="E98" s="121">
        <v>0</v>
      </c>
      <c r="F98" s="121" t="s">
        <v>4591</v>
      </c>
      <c r="G98" s="121" t="s">
        <v>4687</v>
      </c>
      <c r="H98" s="124" t="s">
        <v>1704</v>
      </c>
    </row>
    <row r="99" spans="1:8">
      <c r="A99" s="121" t="s">
        <v>4798</v>
      </c>
      <c r="B99" s="121" t="s">
        <v>4513</v>
      </c>
      <c r="C99" s="121">
        <v>5</v>
      </c>
      <c r="D99" s="121">
        <v>3</v>
      </c>
      <c r="E99" s="121">
        <v>6</v>
      </c>
      <c r="F99" s="121" t="s">
        <v>4589</v>
      </c>
      <c r="G99" s="121" t="s">
        <v>4688</v>
      </c>
      <c r="H99" s="124" t="s">
        <v>1684</v>
      </c>
    </row>
    <row r="100" spans="1:8">
      <c r="A100" s="121" t="s">
        <v>4798</v>
      </c>
      <c r="B100" s="121" t="s">
        <v>4514</v>
      </c>
      <c r="C100" s="121">
        <v>22</v>
      </c>
      <c r="D100" s="121">
        <v>5</v>
      </c>
      <c r="E100" s="121">
        <v>0</v>
      </c>
      <c r="F100" s="121" t="s">
        <v>4591</v>
      </c>
      <c r="G100" s="121" t="s">
        <v>4689</v>
      </c>
      <c r="H100" s="124" t="s">
        <v>513</v>
      </c>
    </row>
    <row r="101" spans="1:8">
      <c r="A101" s="121" t="s">
        <v>4798</v>
      </c>
      <c r="B101" s="121" t="s">
        <v>4515</v>
      </c>
      <c r="C101" s="121">
        <v>3</v>
      </c>
      <c r="D101" s="121">
        <v>2</v>
      </c>
      <c r="E101" s="121">
        <v>0</v>
      </c>
      <c r="F101" s="121" t="s">
        <v>4591</v>
      </c>
      <c r="G101" s="121" t="s">
        <v>4690</v>
      </c>
      <c r="H101" s="124" t="s">
        <v>1673</v>
      </c>
    </row>
    <row r="102" spans="1:8">
      <c r="A102" s="121" t="s">
        <v>4798</v>
      </c>
      <c r="B102" s="121" t="s">
        <v>4516</v>
      </c>
      <c r="C102" s="121">
        <v>16</v>
      </c>
      <c r="D102" s="121">
        <v>9</v>
      </c>
      <c r="E102" s="121">
        <v>0</v>
      </c>
      <c r="F102" s="121" t="s">
        <v>4591</v>
      </c>
      <c r="G102" s="121" t="s">
        <v>4691</v>
      </c>
      <c r="H102" s="124" t="s">
        <v>531</v>
      </c>
    </row>
    <row r="103" spans="1:8">
      <c r="A103" s="121" t="s">
        <v>4798</v>
      </c>
      <c r="B103" s="121" t="s">
        <v>4517</v>
      </c>
      <c r="C103" s="121">
        <v>1</v>
      </c>
      <c r="D103" s="121">
        <v>10</v>
      </c>
      <c r="E103" s="121">
        <v>0</v>
      </c>
      <c r="F103" s="121" t="s">
        <v>4593</v>
      </c>
      <c r="G103" s="121" t="s">
        <v>4692</v>
      </c>
      <c r="H103" s="124" t="s">
        <v>540</v>
      </c>
    </row>
    <row r="104" spans="1:8">
      <c r="A104" s="121" t="s">
        <v>4799</v>
      </c>
      <c r="B104" s="121" t="s">
        <v>4512</v>
      </c>
      <c r="C104" s="121">
        <v>7</v>
      </c>
      <c r="D104" s="121">
        <v>12</v>
      </c>
      <c r="E104" s="121">
        <v>0</v>
      </c>
      <c r="F104" s="121" t="s">
        <v>4593</v>
      </c>
      <c r="G104" s="121" t="s">
        <v>4693</v>
      </c>
      <c r="H104" s="124" t="s">
        <v>1704</v>
      </c>
    </row>
    <row r="105" spans="1:8">
      <c r="A105" s="121" t="s">
        <v>4799</v>
      </c>
      <c r="B105" s="121" t="s">
        <v>4513</v>
      </c>
      <c r="C105" s="121">
        <v>3</v>
      </c>
      <c r="D105" s="121">
        <v>11</v>
      </c>
      <c r="E105" s="121">
        <v>0</v>
      </c>
      <c r="F105" s="121" t="s">
        <v>4593</v>
      </c>
      <c r="G105" s="121" t="s">
        <v>4694</v>
      </c>
      <c r="H105" s="124" t="s">
        <v>1684</v>
      </c>
    </row>
    <row r="106" spans="1:8">
      <c r="A106" s="121" t="s">
        <v>4799</v>
      </c>
      <c r="B106" s="121" t="s">
        <v>4514</v>
      </c>
      <c r="C106" s="121">
        <v>10</v>
      </c>
      <c r="D106" s="121">
        <v>17</v>
      </c>
      <c r="E106" s="121">
        <v>0</v>
      </c>
      <c r="F106" s="121" t="s">
        <v>4593</v>
      </c>
      <c r="G106" s="121" t="s">
        <v>4695</v>
      </c>
      <c r="H106" s="124" t="s">
        <v>513</v>
      </c>
    </row>
    <row r="107" spans="1:8">
      <c r="A107" s="121" t="s">
        <v>4799</v>
      </c>
      <c r="B107" s="121" t="s">
        <v>4515</v>
      </c>
      <c r="C107" s="121">
        <v>2</v>
      </c>
      <c r="D107" s="121">
        <v>3</v>
      </c>
      <c r="E107" s="121">
        <v>0</v>
      </c>
      <c r="F107" s="121" t="s">
        <v>4593</v>
      </c>
      <c r="G107" s="121" t="s">
        <v>4696</v>
      </c>
      <c r="H107" s="124" t="s">
        <v>1673</v>
      </c>
    </row>
    <row r="108" spans="1:8">
      <c r="A108" s="121" t="s">
        <v>4799</v>
      </c>
      <c r="B108" s="121" t="s">
        <v>4516</v>
      </c>
      <c r="C108" s="121">
        <v>23</v>
      </c>
      <c r="D108" s="121">
        <v>2</v>
      </c>
      <c r="E108" s="121">
        <v>0</v>
      </c>
      <c r="F108" s="121" t="s">
        <v>4591</v>
      </c>
      <c r="G108" s="121" t="s">
        <v>4697</v>
      </c>
      <c r="H108" s="124" t="s">
        <v>531</v>
      </c>
    </row>
    <row r="109" spans="1:8">
      <c r="A109" s="121" t="s">
        <v>4799</v>
      </c>
      <c r="B109" s="121" t="s">
        <v>4517</v>
      </c>
      <c r="C109" s="121">
        <v>10</v>
      </c>
      <c r="D109" s="121">
        <v>1</v>
      </c>
      <c r="E109" s="121">
        <v>0</v>
      </c>
      <c r="F109" s="121" t="s">
        <v>4591</v>
      </c>
      <c r="G109" s="121" t="s">
        <v>4698</v>
      </c>
      <c r="H109" s="124" t="s">
        <v>540</v>
      </c>
    </row>
    <row r="110" spans="1:8">
      <c r="A110" s="121" t="s">
        <v>4800</v>
      </c>
      <c r="B110" s="121" t="s">
        <v>4512</v>
      </c>
      <c r="C110" s="121">
        <v>7</v>
      </c>
      <c r="D110" s="121">
        <v>12</v>
      </c>
      <c r="E110" s="121">
        <v>0</v>
      </c>
      <c r="F110" s="121" t="s">
        <v>4593</v>
      </c>
      <c r="G110" s="121" t="s">
        <v>4699</v>
      </c>
      <c r="H110" s="124" t="s">
        <v>1704</v>
      </c>
    </row>
    <row r="111" spans="1:8">
      <c r="A111" s="121" t="s">
        <v>4800</v>
      </c>
      <c r="B111" s="121" t="s">
        <v>4513</v>
      </c>
      <c r="C111" s="121">
        <v>5</v>
      </c>
      <c r="D111" s="121">
        <v>9</v>
      </c>
      <c r="E111" s="121">
        <v>0</v>
      </c>
      <c r="F111" s="121" t="s">
        <v>4593</v>
      </c>
      <c r="G111" s="121" t="s">
        <v>4700</v>
      </c>
      <c r="H111" s="124" t="s">
        <v>1684</v>
      </c>
    </row>
    <row r="112" spans="1:8">
      <c r="A112" s="121" t="s">
        <v>4800</v>
      </c>
      <c r="B112" s="121" t="s">
        <v>4514</v>
      </c>
      <c r="C112" s="121">
        <v>7</v>
      </c>
      <c r="D112" s="121">
        <v>11</v>
      </c>
      <c r="E112" s="121">
        <v>9</v>
      </c>
      <c r="F112" s="121" t="s">
        <v>4589</v>
      </c>
      <c r="G112" s="121" t="s">
        <v>4701</v>
      </c>
      <c r="H112" s="124" t="s">
        <v>513</v>
      </c>
    </row>
    <row r="113" spans="1:8">
      <c r="A113" s="121" t="s">
        <v>4800</v>
      </c>
      <c r="B113" s="121" t="s">
        <v>4515</v>
      </c>
      <c r="C113" s="121">
        <v>2</v>
      </c>
      <c r="D113" s="121">
        <v>1</v>
      </c>
      <c r="E113" s="121">
        <v>2</v>
      </c>
      <c r="F113" s="121" t="s">
        <v>4589</v>
      </c>
      <c r="G113" s="121" t="s">
        <v>4702</v>
      </c>
      <c r="H113" s="124" t="s">
        <v>1673</v>
      </c>
    </row>
    <row r="114" spans="1:8">
      <c r="A114" s="121" t="s">
        <v>4800</v>
      </c>
      <c r="B114" s="121" t="s">
        <v>4516</v>
      </c>
      <c r="C114" s="121">
        <v>20</v>
      </c>
      <c r="D114" s="121">
        <v>5</v>
      </c>
      <c r="E114" s="121">
        <v>0</v>
      </c>
      <c r="F114" s="121" t="s">
        <v>4591</v>
      </c>
      <c r="G114" s="121" t="s">
        <v>4703</v>
      </c>
      <c r="H114" s="124" t="s">
        <v>531</v>
      </c>
    </row>
    <row r="115" spans="1:8">
      <c r="A115" s="121" t="s">
        <v>4800</v>
      </c>
      <c r="B115" s="121" t="s">
        <v>4517</v>
      </c>
      <c r="C115" s="121">
        <v>3</v>
      </c>
      <c r="D115" s="121">
        <v>4</v>
      </c>
      <c r="E115" s="121">
        <v>4</v>
      </c>
      <c r="F115" s="121" t="s">
        <v>4589</v>
      </c>
      <c r="G115" s="121" t="s">
        <v>4704</v>
      </c>
      <c r="H115" s="124" t="s">
        <v>540</v>
      </c>
    </row>
    <row r="116" spans="1:8">
      <c r="A116" s="121" t="s">
        <v>4801</v>
      </c>
      <c r="B116" s="121" t="s">
        <v>4512</v>
      </c>
      <c r="C116" s="121">
        <v>12</v>
      </c>
      <c r="D116" s="121">
        <v>7</v>
      </c>
      <c r="E116" s="121">
        <v>0</v>
      </c>
      <c r="F116" s="121" t="s">
        <v>4591</v>
      </c>
      <c r="G116" s="121" t="s">
        <v>4705</v>
      </c>
      <c r="H116" s="124" t="s">
        <v>1704</v>
      </c>
    </row>
    <row r="117" spans="1:8">
      <c r="A117" s="121" t="s">
        <v>4801</v>
      </c>
      <c r="B117" s="121" t="s">
        <v>4513</v>
      </c>
      <c r="C117" s="121">
        <v>5</v>
      </c>
      <c r="D117" s="121">
        <v>9</v>
      </c>
      <c r="E117" s="121">
        <v>0</v>
      </c>
      <c r="F117" s="121" t="s">
        <v>4593</v>
      </c>
      <c r="G117" s="121" t="s">
        <v>4706</v>
      </c>
      <c r="H117" s="124" t="s">
        <v>1684</v>
      </c>
    </row>
    <row r="118" spans="1:8">
      <c r="A118" s="121" t="s">
        <v>4801</v>
      </c>
      <c r="B118" s="121" t="s">
        <v>4514</v>
      </c>
      <c r="C118" s="121">
        <v>11</v>
      </c>
      <c r="D118" s="121">
        <v>7</v>
      </c>
      <c r="E118" s="121">
        <v>9</v>
      </c>
      <c r="F118" s="121" t="s">
        <v>4589</v>
      </c>
      <c r="G118" s="121" t="s">
        <v>4707</v>
      </c>
      <c r="H118" s="124" t="s">
        <v>513</v>
      </c>
    </row>
    <row r="119" spans="1:8">
      <c r="A119" s="121" t="s">
        <v>4801</v>
      </c>
      <c r="B119" s="121" t="s">
        <v>4515</v>
      </c>
      <c r="C119" s="121">
        <v>1</v>
      </c>
      <c r="D119" s="121">
        <v>2</v>
      </c>
      <c r="E119" s="121">
        <v>2</v>
      </c>
      <c r="F119" s="121" t="s">
        <v>4589</v>
      </c>
      <c r="G119" s="121" t="s">
        <v>4708</v>
      </c>
      <c r="H119" s="124" t="s">
        <v>1673</v>
      </c>
    </row>
    <row r="120" spans="1:8">
      <c r="A120" s="121" t="s">
        <v>4801</v>
      </c>
      <c r="B120" s="121" t="s">
        <v>4516</v>
      </c>
      <c r="C120" s="121">
        <v>23</v>
      </c>
      <c r="D120" s="121">
        <v>2</v>
      </c>
      <c r="E120" s="121">
        <v>0</v>
      </c>
      <c r="F120" s="121" t="s">
        <v>4591</v>
      </c>
      <c r="G120" s="121" t="s">
        <v>4709</v>
      </c>
      <c r="H120" s="124" t="s">
        <v>531</v>
      </c>
    </row>
    <row r="121" spans="1:8">
      <c r="A121" s="121" t="s">
        <v>4801</v>
      </c>
      <c r="B121" s="121" t="s">
        <v>4517</v>
      </c>
      <c r="C121" s="121">
        <v>4</v>
      </c>
      <c r="D121" s="121">
        <v>7</v>
      </c>
      <c r="E121" s="121">
        <v>0</v>
      </c>
      <c r="F121" s="121" t="s">
        <v>4593</v>
      </c>
      <c r="G121" s="121" t="s">
        <v>4710</v>
      </c>
      <c r="H121" s="124" t="s">
        <v>540</v>
      </c>
    </row>
    <row r="122" spans="1:8">
      <c r="A122" s="121" t="s">
        <v>4802</v>
      </c>
      <c r="B122" s="121" t="s">
        <v>4512</v>
      </c>
      <c r="C122" s="121">
        <v>15</v>
      </c>
      <c r="D122" s="121">
        <v>4</v>
      </c>
      <c r="E122" s="121">
        <v>0</v>
      </c>
      <c r="F122" s="121" t="s">
        <v>4591</v>
      </c>
      <c r="G122" s="121" t="s">
        <v>4711</v>
      </c>
      <c r="H122" s="124" t="s">
        <v>1704</v>
      </c>
    </row>
    <row r="123" spans="1:8">
      <c r="A123" s="121" t="s">
        <v>4802</v>
      </c>
      <c r="B123" s="121" t="s">
        <v>4513</v>
      </c>
      <c r="C123" s="121">
        <v>9</v>
      </c>
      <c r="D123" s="121">
        <v>5</v>
      </c>
      <c r="E123" s="121">
        <v>0</v>
      </c>
      <c r="F123" s="121" t="s">
        <v>4591</v>
      </c>
      <c r="G123" s="121" t="s">
        <v>4712</v>
      </c>
      <c r="H123" s="124" t="s">
        <v>1684</v>
      </c>
    </row>
    <row r="124" spans="1:8">
      <c r="A124" s="121" t="s">
        <v>4802</v>
      </c>
      <c r="B124" s="121" t="s">
        <v>4514</v>
      </c>
      <c r="C124" s="121">
        <v>22</v>
      </c>
      <c r="D124" s="121">
        <v>5</v>
      </c>
      <c r="E124" s="121">
        <v>0</v>
      </c>
      <c r="F124" s="121" t="s">
        <v>4591</v>
      </c>
      <c r="G124" s="121" t="s">
        <v>4713</v>
      </c>
      <c r="H124" s="124" t="s">
        <v>513</v>
      </c>
    </row>
    <row r="125" spans="1:8">
      <c r="A125" s="121" t="s">
        <v>4802</v>
      </c>
      <c r="B125" s="121" t="s">
        <v>4515</v>
      </c>
      <c r="C125" s="121">
        <v>3</v>
      </c>
      <c r="D125" s="121">
        <v>2</v>
      </c>
      <c r="E125" s="121">
        <v>0</v>
      </c>
      <c r="F125" s="121" t="s">
        <v>4591</v>
      </c>
      <c r="G125" s="121" t="s">
        <v>4714</v>
      </c>
      <c r="H125" s="124" t="s">
        <v>1673</v>
      </c>
    </row>
    <row r="126" spans="1:8">
      <c r="A126" s="121" t="s">
        <v>4802</v>
      </c>
      <c r="B126" s="121" t="s">
        <v>4516</v>
      </c>
      <c r="C126" s="121">
        <v>2</v>
      </c>
      <c r="D126" s="121">
        <v>23</v>
      </c>
      <c r="E126" s="121">
        <v>0</v>
      </c>
      <c r="F126" s="121" t="s">
        <v>4593</v>
      </c>
      <c r="G126" s="121" t="s">
        <v>4715</v>
      </c>
      <c r="H126" s="124" t="s">
        <v>531</v>
      </c>
    </row>
    <row r="127" spans="1:8">
      <c r="A127" s="121" t="s">
        <v>4802</v>
      </c>
      <c r="B127" s="121" t="s">
        <v>4517</v>
      </c>
      <c r="C127" s="121">
        <v>10</v>
      </c>
      <c r="D127" s="121">
        <v>1</v>
      </c>
      <c r="E127" s="121">
        <v>0</v>
      </c>
      <c r="F127" s="121" t="s">
        <v>4591</v>
      </c>
      <c r="G127" s="121" t="s">
        <v>4716</v>
      </c>
      <c r="H127" s="124" t="s">
        <v>540</v>
      </c>
    </row>
    <row r="128" spans="1:8">
      <c r="A128" s="121" t="s">
        <v>4803</v>
      </c>
      <c r="B128" s="121" t="s">
        <v>4512</v>
      </c>
      <c r="C128" s="121">
        <v>15</v>
      </c>
      <c r="D128" s="121">
        <v>4</v>
      </c>
      <c r="E128" s="121">
        <v>0</v>
      </c>
      <c r="F128" s="121" t="s">
        <v>4591</v>
      </c>
      <c r="G128" s="121" t="s">
        <v>4717</v>
      </c>
      <c r="H128" s="124" t="s">
        <v>1704</v>
      </c>
    </row>
    <row r="129" spans="1:8">
      <c r="A129" s="121" t="s">
        <v>4803</v>
      </c>
      <c r="B129" s="121" t="s">
        <v>4513</v>
      </c>
      <c r="C129" s="121">
        <v>5</v>
      </c>
      <c r="D129" s="121">
        <v>9</v>
      </c>
      <c r="E129" s="121">
        <v>0</v>
      </c>
      <c r="F129" s="121" t="s">
        <v>4593</v>
      </c>
      <c r="G129" s="121" t="s">
        <v>4718</v>
      </c>
      <c r="H129" s="124" t="s">
        <v>1684</v>
      </c>
    </row>
    <row r="130" spans="1:8">
      <c r="A130" s="121" t="s">
        <v>4803</v>
      </c>
      <c r="B130" s="121" t="s">
        <v>4514</v>
      </c>
      <c r="C130" s="121">
        <v>22</v>
      </c>
      <c r="D130" s="121">
        <v>5</v>
      </c>
      <c r="E130" s="121">
        <v>0</v>
      </c>
      <c r="F130" s="121" t="s">
        <v>4591</v>
      </c>
      <c r="G130" s="121" t="s">
        <v>4719</v>
      </c>
      <c r="H130" s="124" t="s">
        <v>513</v>
      </c>
    </row>
    <row r="131" spans="1:8">
      <c r="A131" s="121" t="s">
        <v>4803</v>
      </c>
      <c r="B131" s="121" t="s">
        <v>4515</v>
      </c>
      <c r="C131" s="121">
        <v>3</v>
      </c>
      <c r="D131" s="121">
        <v>2</v>
      </c>
      <c r="E131" s="121">
        <v>0</v>
      </c>
      <c r="F131" s="121" t="s">
        <v>4591</v>
      </c>
      <c r="G131" s="121" t="s">
        <v>4720</v>
      </c>
      <c r="H131" s="124" t="s">
        <v>1673</v>
      </c>
    </row>
    <row r="132" spans="1:8">
      <c r="A132" s="121" t="s">
        <v>4803</v>
      </c>
      <c r="B132" s="121" t="s">
        <v>4516</v>
      </c>
      <c r="C132" s="121">
        <v>6</v>
      </c>
      <c r="D132" s="121">
        <v>10</v>
      </c>
      <c r="E132" s="121">
        <v>9</v>
      </c>
      <c r="F132" s="121" t="s">
        <v>4589</v>
      </c>
      <c r="G132" s="121" t="s">
        <v>4721</v>
      </c>
      <c r="H132" s="124" t="s">
        <v>531</v>
      </c>
    </row>
    <row r="133" spans="1:8">
      <c r="A133" s="121" t="s">
        <v>4803</v>
      </c>
      <c r="B133" s="121" t="s">
        <v>4517</v>
      </c>
      <c r="C133" s="121">
        <v>1</v>
      </c>
      <c r="D133" s="121">
        <v>10</v>
      </c>
      <c r="E133" s="121">
        <v>0</v>
      </c>
      <c r="F133" s="121" t="s">
        <v>4593</v>
      </c>
      <c r="G133" s="121" t="s">
        <v>4722</v>
      </c>
      <c r="H133" s="124" t="s">
        <v>540</v>
      </c>
    </row>
    <row r="134" spans="1:8">
      <c r="A134" s="121" t="s">
        <v>4804</v>
      </c>
      <c r="B134" s="121" t="s">
        <v>4512</v>
      </c>
      <c r="C134" s="121">
        <v>4</v>
      </c>
      <c r="D134" s="121">
        <v>15</v>
      </c>
      <c r="E134" s="121">
        <v>0</v>
      </c>
      <c r="F134" s="121" t="s">
        <v>4593</v>
      </c>
      <c r="G134" s="121" t="s">
        <v>4723</v>
      </c>
      <c r="H134" s="124" t="s">
        <v>1704</v>
      </c>
    </row>
    <row r="135" spans="1:8">
      <c r="A135" s="121" t="s">
        <v>4804</v>
      </c>
      <c r="B135" s="121" t="s">
        <v>4513</v>
      </c>
      <c r="C135" s="121">
        <v>13</v>
      </c>
      <c r="D135" s="121">
        <v>1</v>
      </c>
      <c r="E135" s="121">
        <v>0</v>
      </c>
      <c r="F135" s="121" t="s">
        <v>4591</v>
      </c>
      <c r="G135" s="121" t="s">
        <v>4724</v>
      </c>
      <c r="H135" s="124" t="s">
        <v>1684</v>
      </c>
    </row>
    <row r="136" spans="1:8">
      <c r="A136" s="121" t="s">
        <v>4804</v>
      </c>
      <c r="B136" s="121" t="s">
        <v>4514</v>
      </c>
      <c r="C136" s="121">
        <v>11</v>
      </c>
      <c r="D136" s="121">
        <v>7</v>
      </c>
      <c r="E136" s="121">
        <v>9</v>
      </c>
      <c r="F136" s="121" t="s">
        <v>4589</v>
      </c>
      <c r="G136" s="121" t="s">
        <v>4725</v>
      </c>
      <c r="H136" s="124" t="s">
        <v>513</v>
      </c>
    </row>
    <row r="137" spans="1:8">
      <c r="A137" s="121" t="s">
        <v>4804</v>
      </c>
      <c r="B137" s="121" t="s">
        <v>4515</v>
      </c>
      <c r="C137" s="121">
        <v>4</v>
      </c>
      <c r="D137" s="121">
        <v>1</v>
      </c>
      <c r="E137" s="121">
        <v>0</v>
      </c>
      <c r="F137" s="121" t="s">
        <v>4591</v>
      </c>
      <c r="G137" s="121" t="s">
        <v>4726</v>
      </c>
      <c r="H137" s="124" t="s">
        <v>1673</v>
      </c>
    </row>
    <row r="138" spans="1:8">
      <c r="A138" s="121" t="s">
        <v>4804</v>
      </c>
      <c r="B138" s="121" t="s">
        <v>4516</v>
      </c>
      <c r="C138" s="121">
        <v>5</v>
      </c>
      <c r="D138" s="121">
        <v>20</v>
      </c>
      <c r="E138" s="121">
        <v>0</v>
      </c>
      <c r="F138" s="121" t="s">
        <v>4593</v>
      </c>
      <c r="G138" s="121" t="s">
        <v>4727</v>
      </c>
      <c r="H138" s="124" t="s">
        <v>531</v>
      </c>
    </row>
    <row r="139" spans="1:8">
      <c r="A139" s="121" t="s">
        <v>4804</v>
      </c>
      <c r="B139" s="121" t="s">
        <v>4517</v>
      </c>
      <c r="C139" s="121">
        <v>4</v>
      </c>
      <c r="D139" s="121">
        <v>7</v>
      </c>
      <c r="E139" s="121">
        <v>0</v>
      </c>
      <c r="F139" s="121" t="s">
        <v>4593</v>
      </c>
      <c r="G139" s="121" t="s">
        <v>4728</v>
      </c>
      <c r="H139" s="124" t="s">
        <v>540</v>
      </c>
    </row>
    <row r="140" spans="1:8">
      <c r="A140" s="121" t="s">
        <v>4805</v>
      </c>
      <c r="B140" s="121" t="s">
        <v>4512</v>
      </c>
      <c r="C140" s="121">
        <v>1</v>
      </c>
      <c r="D140" s="121">
        <v>18</v>
      </c>
      <c r="E140" s="121">
        <v>0</v>
      </c>
      <c r="F140" s="121" t="s">
        <v>4593</v>
      </c>
      <c r="G140" s="121" t="s">
        <v>4729</v>
      </c>
      <c r="H140" s="124" t="s">
        <v>1704</v>
      </c>
    </row>
    <row r="141" spans="1:8">
      <c r="A141" s="121" t="s">
        <v>4805</v>
      </c>
      <c r="B141" s="121" t="s">
        <v>4513</v>
      </c>
      <c r="C141" s="121">
        <v>1</v>
      </c>
      <c r="D141" s="121">
        <v>13</v>
      </c>
      <c r="E141" s="121">
        <v>0</v>
      </c>
      <c r="F141" s="121" t="s">
        <v>4593</v>
      </c>
      <c r="G141" s="121" t="s">
        <v>4730</v>
      </c>
      <c r="H141" s="124" t="s">
        <v>1684</v>
      </c>
    </row>
    <row r="142" spans="1:8">
      <c r="A142" s="121" t="s">
        <v>4805</v>
      </c>
      <c r="B142" s="121" t="s">
        <v>4514</v>
      </c>
      <c r="C142" s="121">
        <v>7</v>
      </c>
      <c r="D142" s="121">
        <v>11</v>
      </c>
      <c r="E142" s="121">
        <v>9</v>
      </c>
      <c r="F142" s="121" t="s">
        <v>4589</v>
      </c>
      <c r="G142" s="121" t="s">
        <v>4731</v>
      </c>
      <c r="H142" s="124" t="s">
        <v>513</v>
      </c>
    </row>
    <row r="143" spans="1:8">
      <c r="A143" s="121" t="s">
        <v>4805</v>
      </c>
      <c r="B143" s="121" t="s">
        <v>4515</v>
      </c>
      <c r="C143" s="121">
        <v>1</v>
      </c>
      <c r="D143" s="121">
        <v>2</v>
      </c>
      <c r="E143" s="121">
        <v>2</v>
      </c>
      <c r="F143" s="121" t="s">
        <v>4589</v>
      </c>
      <c r="G143" s="121" t="s">
        <v>4732</v>
      </c>
      <c r="H143" s="124" t="s">
        <v>1673</v>
      </c>
    </row>
    <row r="144" spans="1:8">
      <c r="A144" s="121" t="s">
        <v>4805</v>
      </c>
      <c r="B144" s="121" t="s">
        <v>4516</v>
      </c>
      <c r="C144" s="121">
        <v>20</v>
      </c>
      <c r="D144" s="121">
        <v>5</v>
      </c>
      <c r="E144" s="121">
        <v>0</v>
      </c>
      <c r="F144" s="121" t="s">
        <v>4591</v>
      </c>
      <c r="G144" s="121" t="s">
        <v>4733</v>
      </c>
      <c r="H144" s="124" t="s">
        <v>531</v>
      </c>
    </row>
    <row r="145" spans="1:8">
      <c r="A145" s="121" t="s">
        <v>4805</v>
      </c>
      <c r="B145" s="121" t="s">
        <v>4517</v>
      </c>
      <c r="C145" s="121">
        <v>10</v>
      </c>
      <c r="D145" s="121">
        <v>1</v>
      </c>
      <c r="E145" s="121">
        <v>0</v>
      </c>
      <c r="F145" s="121" t="s">
        <v>4591</v>
      </c>
      <c r="G145" s="121" t="s">
        <v>4734</v>
      </c>
      <c r="H145" s="124" t="s">
        <v>540</v>
      </c>
    </row>
    <row r="146" spans="1:8" ht="30">
      <c r="A146" s="121" t="s">
        <v>4806</v>
      </c>
      <c r="B146" s="121" t="s">
        <v>4512</v>
      </c>
      <c r="C146" s="121">
        <v>0</v>
      </c>
      <c r="D146" s="121">
        <v>19</v>
      </c>
      <c r="E146" s="121">
        <v>0</v>
      </c>
      <c r="F146" s="121" t="s">
        <v>4593</v>
      </c>
      <c r="G146" s="121" t="s">
        <v>4846</v>
      </c>
      <c r="H146" s="124" t="s">
        <v>1704</v>
      </c>
    </row>
    <row r="147" spans="1:8">
      <c r="A147" s="121" t="s">
        <v>4806</v>
      </c>
      <c r="B147" s="121" t="s">
        <v>4513</v>
      </c>
      <c r="C147" s="121">
        <v>6</v>
      </c>
      <c r="D147" s="121">
        <v>8</v>
      </c>
      <c r="E147" s="121">
        <v>0</v>
      </c>
      <c r="F147" s="121" t="s">
        <v>4593</v>
      </c>
      <c r="G147" s="121" t="s">
        <v>4847</v>
      </c>
      <c r="H147" s="124" t="s">
        <v>1684</v>
      </c>
    </row>
    <row r="148" spans="1:8">
      <c r="A148" s="121" t="s">
        <v>4806</v>
      </c>
      <c r="B148" s="121" t="s">
        <v>4514</v>
      </c>
      <c r="C148" s="121">
        <v>7</v>
      </c>
      <c r="D148" s="121">
        <v>11</v>
      </c>
      <c r="E148" s="121">
        <v>9</v>
      </c>
      <c r="F148" s="121" t="s">
        <v>4589</v>
      </c>
      <c r="G148" s="121" t="s">
        <v>4844</v>
      </c>
      <c r="H148" s="124" t="s">
        <v>513</v>
      </c>
    </row>
    <row r="149" spans="1:8">
      <c r="A149" s="121" t="s">
        <v>4806</v>
      </c>
      <c r="B149" s="121" t="s">
        <v>4515</v>
      </c>
      <c r="C149" s="121">
        <v>4</v>
      </c>
      <c r="D149" s="121">
        <v>0</v>
      </c>
      <c r="E149" s="121">
        <v>1</v>
      </c>
      <c r="F149" s="121" t="s">
        <v>4591</v>
      </c>
      <c r="G149" s="121" t="s">
        <v>4735</v>
      </c>
      <c r="H149" s="124" t="s">
        <v>1673</v>
      </c>
    </row>
    <row r="150" spans="1:8">
      <c r="A150" s="121" t="s">
        <v>4806</v>
      </c>
      <c r="B150" s="121" t="s">
        <v>4516</v>
      </c>
      <c r="C150" s="121">
        <v>25</v>
      </c>
      <c r="D150" s="121">
        <v>0</v>
      </c>
      <c r="E150" s="121">
        <v>0</v>
      </c>
      <c r="F150" s="121" t="s">
        <v>4591</v>
      </c>
      <c r="G150" s="121" t="s">
        <v>4736</v>
      </c>
      <c r="H150" s="124" t="s">
        <v>531</v>
      </c>
    </row>
    <row r="151" spans="1:8">
      <c r="A151" s="121" t="s">
        <v>4806</v>
      </c>
      <c r="B151" s="121" t="s">
        <v>4517</v>
      </c>
      <c r="C151" s="121">
        <v>6</v>
      </c>
      <c r="D151" s="121">
        <v>5</v>
      </c>
      <c r="E151" s="121">
        <v>0</v>
      </c>
      <c r="F151" s="121" t="s">
        <v>4591</v>
      </c>
      <c r="G151" s="121" t="s">
        <v>4845</v>
      </c>
      <c r="H151" s="124" t="s">
        <v>540</v>
      </c>
    </row>
    <row r="152" spans="1:8">
      <c r="A152" s="121" t="s">
        <v>4807</v>
      </c>
      <c r="B152" s="121" t="s">
        <v>4512</v>
      </c>
      <c r="C152" s="121">
        <v>7</v>
      </c>
      <c r="D152" s="121">
        <v>12</v>
      </c>
      <c r="E152" s="121">
        <v>0</v>
      </c>
      <c r="F152" s="121" t="s">
        <v>4593</v>
      </c>
      <c r="G152" s="121" t="s">
        <v>4737</v>
      </c>
      <c r="H152" s="124" t="s">
        <v>1704</v>
      </c>
    </row>
    <row r="153" spans="1:8">
      <c r="A153" s="121" t="s">
        <v>4807</v>
      </c>
      <c r="B153" s="121" t="s">
        <v>4513</v>
      </c>
      <c r="C153" s="121">
        <v>5</v>
      </c>
      <c r="D153" s="121">
        <v>9</v>
      </c>
      <c r="E153" s="121">
        <v>0</v>
      </c>
      <c r="F153" s="121" t="s">
        <v>4593</v>
      </c>
      <c r="G153" s="121" t="s">
        <v>4738</v>
      </c>
      <c r="H153" s="124" t="s">
        <v>1684</v>
      </c>
    </row>
    <row r="154" spans="1:8">
      <c r="A154" s="121" t="s">
        <v>4807</v>
      </c>
      <c r="B154" s="121" t="s">
        <v>4514</v>
      </c>
      <c r="C154" s="121">
        <v>5</v>
      </c>
      <c r="D154" s="121">
        <v>22</v>
      </c>
      <c r="E154" s="121">
        <v>0</v>
      </c>
      <c r="F154" s="121" t="s">
        <v>4593</v>
      </c>
      <c r="G154" s="121" t="s">
        <v>4739</v>
      </c>
      <c r="H154" s="124" t="s">
        <v>513</v>
      </c>
    </row>
    <row r="155" spans="1:8">
      <c r="A155" s="121" t="s">
        <v>4807</v>
      </c>
      <c r="B155" s="121" t="s">
        <v>4515</v>
      </c>
      <c r="C155" s="121">
        <v>0</v>
      </c>
      <c r="D155" s="121">
        <v>5</v>
      </c>
      <c r="E155" s="121">
        <v>0</v>
      </c>
      <c r="F155" s="121" t="s">
        <v>4593</v>
      </c>
      <c r="G155" s="121" t="s">
        <v>4740</v>
      </c>
      <c r="H155" s="124" t="s">
        <v>1673</v>
      </c>
    </row>
    <row r="156" spans="1:8">
      <c r="A156" s="121" t="s">
        <v>4807</v>
      </c>
      <c r="B156" s="121" t="s">
        <v>4516</v>
      </c>
      <c r="C156" s="121">
        <v>2</v>
      </c>
      <c r="D156" s="121">
        <v>23</v>
      </c>
      <c r="E156" s="121">
        <v>0</v>
      </c>
      <c r="F156" s="121" t="s">
        <v>4593</v>
      </c>
      <c r="G156" s="121" t="s">
        <v>4741</v>
      </c>
      <c r="H156" s="124" t="s">
        <v>531</v>
      </c>
    </row>
    <row r="157" spans="1:8">
      <c r="A157" s="121" t="s">
        <v>4807</v>
      </c>
      <c r="B157" s="121" t="s">
        <v>4517</v>
      </c>
      <c r="C157" s="121">
        <v>4</v>
      </c>
      <c r="D157" s="121">
        <v>7</v>
      </c>
      <c r="E157" s="121">
        <v>0</v>
      </c>
      <c r="F157" s="121" t="s">
        <v>4593</v>
      </c>
      <c r="G157" s="121" t="s">
        <v>4742</v>
      </c>
      <c r="H157" s="124" t="s">
        <v>540</v>
      </c>
    </row>
    <row r="158" spans="1:8">
      <c r="A158" s="121" t="s">
        <v>4808</v>
      </c>
      <c r="B158" s="121" t="s">
        <v>4512</v>
      </c>
      <c r="C158" s="121">
        <v>15</v>
      </c>
      <c r="D158" s="121">
        <v>4</v>
      </c>
      <c r="E158" s="121">
        <v>0</v>
      </c>
      <c r="F158" s="121" t="s">
        <v>4591</v>
      </c>
      <c r="G158" s="121" t="s">
        <v>4743</v>
      </c>
      <c r="H158" s="124" t="s">
        <v>1704</v>
      </c>
    </row>
    <row r="159" spans="1:8">
      <c r="A159" s="121" t="s">
        <v>4808</v>
      </c>
      <c r="B159" s="121" t="s">
        <v>4513</v>
      </c>
      <c r="C159" s="121">
        <v>9</v>
      </c>
      <c r="D159" s="121">
        <v>5</v>
      </c>
      <c r="E159" s="121">
        <v>0</v>
      </c>
      <c r="F159" s="121" t="s">
        <v>4591</v>
      </c>
      <c r="G159" s="121" t="s">
        <v>4744</v>
      </c>
      <c r="H159" s="124" t="s">
        <v>1684</v>
      </c>
    </row>
    <row r="160" spans="1:8">
      <c r="A160" s="121" t="s">
        <v>4808</v>
      </c>
      <c r="B160" s="121" t="s">
        <v>4514</v>
      </c>
      <c r="C160" s="121">
        <v>7</v>
      </c>
      <c r="D160" s="121">
        <v>11</v>
      </c>
      <c r="E160" s="121">
        <v>9</v>
      </c>
      <c r="F160" s="121" t="s">
        <v>4589</v>
      </c>
      <c r="G160" s="121" t="s">
        <v>4745</v>
      </c>
      <c r="H160" s="124" t="s">
        <v>513</v>
      </c>
    </row>
    <row r="161" spans="1:8">
      <c r="A161" s="121" t="s">
        <v>4808</v>
      </c>
      <c r="B161" s="121" t="s">
        <v>4515</v>
      </c>
      <c r="C161" s="121">
        <v>2</v>
      </c>
      <c r="D161" s="121">
        <v>1</v>
      </c>
      <c r="E161" s="121">
        <v>2</v>
      </c>
      <c r="F161" s="121" t="s">
        <v>4589</v>
      </c>
      <c r="G161" s="121" t="s">
        <v>4746</v>
      </c>
      <c r="H161" s="124" t="s">
        <v>1673</v>
      </c>
    </row>
    <row r="162" spans="1:8">
      <c r="A162" s="121" t="s">
        <v>4808</v>
      </c>
      <c r="B162" s="121" t="s">
        <v>4516</v>
      </c>
      <c r="C162" s="121">
        <v>2</v>
      </c>
      <c r="D162" s="121">
        <v>23</v>
      </c>
      <c r="E162" s="121">
        <v>0</v>
      </c>
      <c r="F162" s="121" t="s">
        <v>4593</v>
      </c>
      <c r="G162" s="121" t="s">
        <v>4747</v>
      </c>
      <c r="H162" s="124" t="s">
        <v>531</v>
      </c>
    </row>
    <row r="163" spans="1:8">
      <c r="A163" s="121" t="s">
        <v>4808</v>
      </c>
      <c r="B163" s="121" t="s">
        <v>4517</v>
      </c>
      <c r="C163" s="121">
        <v>2</v>
      </c>
      <c r="D163" s="121">
        <v>9</v>
      </c>
      <c r="E163" s="121">
        <v>0</v>
      </c>
      <c r="F163" s="121" t="s">
        <v>4593</v>
      </c>
      <c r="G163" s="121" t="s">
        <v>4748</v>
      </c>
      <c r="H163" s="124" t="s">
        <v>540</v>
      </c>
    </row>
    <row r="164" spans="1:8">
      <c r="A164" s="121" t="s">
        <v>4809</v>
      </c>
      <c r="B164" s="121" t="s">
        <v>4512</v>
      </c>
      <c r="C164" s="121">
        <v>7</v>
      </c>
      <c r="D164" s="121">
        <v>4</v>
      </c>
      <c r="E164" s="121">
        <v>8</v>
      </c>
      <c r="F164" s="121" t="s">
        <v>4589</v>
      </c>
      <c r="G164" s="121" t="s">
        <v>4749</v>
      </c>
      <c r="H164" s="124" t="s">
        <v>1704</v>
      </c>
    </row>
    <row r="165" spans="1:8">
      <c r="A165" s="121" t="s">
        <v>4809</v>
      </c>
      <c r="B165" s="121" t="s">
        <v>4513</v>
      </c>
      <c r="C165" s="121">
        <v>3</v>
      </c>
      <c r="D165" s="121">
        <v>5</v>
      </c>
      <c r="E165" s="121">
        <v>6</v>
      </c>
      <c r="F165" s="121" t="s">
        <v>4589</v>
      </c>
      <c r="G165" s="121" t="s">
        <v>4750</v>
      </c>
      <c r="H165" s="124" t="s">
        <v>1684</v>
      </c>
    </row>
    <row r="166" spans="1:8">
      <c r="A166" s="121" t="s">
        <v>4809</v>
      </c>
      <c r="B166" s="121" t="s">
        <v>4514</v>
      </c>
      <c r="C166" s="121">
        <v>17</v>
      </c>
      <c r="D166" s="121">
        <v>10</v>
      </c>
      <c r="E166" s="121">
        <v>0</v>
      </c>
      <c r="F166" s="121" t="s">
        <v>4591</v>
      </c>
      <c r="G166" s="121" t="s">
        <v>4751</v>
      </c>
      <c r="H166" s="124" t="s">
        <v>513</v>
      </c>
    </row>
    <row r="167" spans="1:8">
      <c r="A167" s="121" t="s">
        <v>4809</v>
      </c>
      <c r="B167" s="121" t="s">
        <v>4515</v>
      </c>
      <c r="C167" s="121">
        <v>2</v>
      </c>
      <c r="D167" s="121">
        <v>1</v>
      </c>
      <c r="E167" s="121">
        <v>2</v>
      </c>
      <c r="F167" s="121" t="s">
        <v>4589</v>
      </c>
      <c r="G167" s="121" t="s">
        <v>4752</v>
      </c>
      <c r="H167" s="124" t="s">
        <v>1673</v>
      </c>
    </row>
    <row r="168" spans="1:8">
      <c r="A168" s="121" t="s">
        <v>4809</v>
      </c>
      <c r="B168" s="121" t="s">
        <v>4516</v>
      </c>
      <c r="C168" s="121">
        <v>10</v>
      </c>
      <c r="D168" s="121">
        <v>6</v>
      </c>
      <c r="E168" s="121">
        <v>9</v>
      </c>
      <c r="F168" s="121" t="s">
        <v>4589</v>
      </c>
      <c r="G168" s="121" t="s">
        <v>4753</v>
      </c>
      <c r="H168" s="124" t="s">
        <v>531</v>
      </c>
    </row>
    <row r="169" spans="1:8">
      <c r="A169" s="121" t="s">
        <v>4809</v>
      </c>
      <c r="B169" s="121" t="s">
        <v>4517</v>
      </c>
      <c r="C169" s="121">
        <v>4</v>
      </c>
      <c r="D169" s="121">
        <v>7</v>
      </c>
      <c r="E169" s="121">
        <v>0</v>
      </c>
      <c r="F169" s="121" t="s">
        <v>4593</v>
      </c>
      <c r="G169" s="121" t="s">
        <v>4754</v>
      </c>
      <c r="H169" s="124" t="s">
        <v>540</v>
      </c>
    </row>
    <row r="170" spans="1:8">
      <c r="A170" s="121" t="s">
        <v>4810</v>
      </c>
      <c r="B170" s="121" t="s">
        <v>4512</v>
      </c>
      <c r="C170" s="121">
        <v>18</v>
      </c>
      <c r="D170" s="121">
        <v>1</v>
      </c>
      <c r="E170" s="121">
        <v>0</v>
      </c>
      <c r="F170" s="121" t="s">
        <v>4591</v>
      </c>
      <c r="G170" s="121" t="s">
        <v>4755</v>
      </c>
      <c r="H170" s="124" t="s">
        <v>1704</v>
      </c>
    </row>
    <row r="171" spans="1:8">
      <c r="A171" s="121" t="s">
        <v>4810</v>
      </c>
      <c r="B171" s="121" t="s">
        <v>4513</v>
      </c>
      <c r="C171" s="121">
        <v>13</v>
      </c>
      <c r="D171" s="121">
        <v>1</v>
      </c>
      <c r="E171" s="121">
        <v>0</v>
      </c>
      <c r="F171" s="121" t="s">
        <v>4591</v>
      </c>
      <c r="G171" s="121" t="s">
        <v>4756</v>
      </c>
      <c r="H171" s="124" t="s">
        <v>1684</v>
      </c>
    </row>
    <row r="172" spans="1:8">
      <c r="A172" s="121" t="s">
        <v>4810</v>
      </c>
      <c r="B172" s="121" t="s">
        <v>4514</v>
      </c>
      <c r="C172" s="121">
        <v>17</v>
      </c>
      <c r="D172" s="121">
        <v>10</v>
      </c>
      <c r="E172" s="121">
        <v>0</v>
      </c>
      <c r="F172" s="121" t="s">
        <v>4591</v>
      </c>
      <c r="G172" s="121" t="s">
        <v>4774</v>
      </c>
      <c r="H172" s="124" t="s">
        <v>513</v>
      </c>
    </row>
    <row r="173" spans="1:8">
      <c r="A173" s="121" t="s">
        <v>4810</v>
      </c>
      <c r="B173" s="121" t="s">
        <v>4515</v>
      </c>
      <c r="C173" s="121">
        <v>1</v>
      </c>
      <c r="D173" s="121">
        <v>2</v>
      </c>
      <c r="E173" s="121">
        <v>2</v>
      </c>
      <c r="F173" s="121" t="s">
        <v>4589</v>
      </c>
      <c r="G173" s="121" t="s">
        <v>4757</v>
      </c>
      <c r="H173" s="124" t="s">
        <v>1673</v>
      </c>
    </row>
    <row r="174" spans="1:8">
      <c r="A174" s="121" t="s">
        <v>4810</v>
      </c>
      <c r="B174" s="121" t="s">
        <v>4516</v>
      </c>
      <c r="C174" s="121">
        <v>4</v>
      </c>
      <c r="D174" s="121">
        <v>16</v>
      </c>
      <c r="E174" s="121">
        <v>5</v>
      </c>
      <c r="F174" s="121" t="s">
        <v>4589</v>
      </c>
      <c r="G174" s="121" t="s">
        <v>4773</v>
      </c>
      <c r="H174" s="124" t="s">
        <v>531</v>
      </c>
    </row>
    <row r="175" spans="1:8">
      <c r="A175" s="121" t="s">
        <v>4810</v>
      </c>
      <c r="B175" s="121" t="s">
        <v>4517</v>
      </c>
      <c r="C175" s="121">
        <v>10</v>
      </c>
      <c r="D175" s="121">
        <v>1</v>
      </c>
      <c r="E175" s="121">
        <v>0</v>
      </c>
      <c r="F175" s="121" t="s">
        <v>4591</v>
      </c>
      <c r="G175" s="121" t="s">
        <v>4758</v>
      </c>
      <c r="H175" s="124" t="s">
        <v>540</v>
      </c>
    </row>
    <row r="176" spans="1:8">
      <c r="A176" s="121" t="s">
        <v>4811</v>
      </c>
      <c r="B176" s="121" t="s">
        <v>4512</v>
      </c>
      <c r="C176" s="121">
        <v>12</v>
      </c>
      <c r="D176" s="121">
        <v>7</v>
      </c>
      <c r="E176" s="121">
        <v>0</v>
      </c>
      <c r="F176" s="121" t="s">
        <v>4591</v>
      </c>
      <c r="G176" s="121" t="s">
        <v>4759</v>
      </c>
      <c r="H176" s="124" t="s">
        <v>1704</v>
      </c>
    </row>
    <row r="177" spans="1:8">
      <c r="A177" s="121" t="s">
        <v>4811</v>
      </c>
      <c r="B177" s="121" t="s">
        <v>4513</v>
      </c>
      <c r="C177" s="121">
        <v>5</v>
      </c>
      <c r="D177" s="121">
        <v>3</v>
      </c>
      <c r="E177" s="121">
        <v>6</v>
      </c>
      <c r="F177" s="121" t="s">
        <v>4589</v>
      </c>
      <c r="G177" s="121" t="s">
        <v>4760</v>
      </c>
      <c r="H177" s="124" t="s">
        <v>1684</v>
      </c>
    </row>
    <row r="178" spans="1:8">
      <c r="A178" s="121" t="s">
        <v>4811</v>
      </c>
      <c r="B178" s="121" t="s">
        <v>4514</v>
      </c>
      <c r="C178" s="121">
        <v>7</v>
      </c>
      <c r="D178" s="121">
        <v>11</v>
      </c>
      <c r="E178" s="121">
        <v>9</v>
      </c>
      <c r="F178" s="121" t="s">
        <v>4593</v>
      </c>
      <c r="G178" s="121" t="s">
        <v>4763</v>
      </c>
      <c r="H178" s="124" t="s">
        <v>513</v>
      </c>
    </row>
    <row r="179" spans="1:8">
      <c r="A179" s="121" t="s">
        <v>4811</v>
      </c>
      <c r="B179" s="121" t="s">
        <v>4515</v>
      </c>
      <c r="C179" s="121">
        <v>2</v>
      </c>
      <c r="D179" s="121">
        <v>3</v>
      </c>
      <c r="E179" s="121">
        <v>0</v>
      </c>
      <c r="F179" s="121" t="s">
        <v>4589</v>
      </c>
      <c r="G179" s="121" t="s">
        <v>4761</v>
      </c>
      <c r="H179" s="124" t="s">
        <v>1673</v>
      </c>
    </row>
    <row r="180" spans="1:8" ht="30">
      <c r="A180" s="121" t="s">
        <v>4811</v>
      </c>
      <c r="B180" s="121" t="s">
        <v>4516</v>
      </c>
      <c r="C180" s="121">
        <v>0</v>
      </c>
      <c r="D180" s="121">
        <v>16</v>
      </c>
      <c r="E180" s="121">
        <v>9</v>
      </c>
      <c r="F180" s="121" t="s">
        <v>4593</v>
      </c>
      <c r="G180" s="121" t="s">
        <v>4772</v>
      </c>
      <c r="H180" s="124" t="s">
        <v>531</v>
      </c>
    </row>
    <row r="181" spans="1:8">
      <c r="A181" s="121" t="s">
        <v>4811</v>
      </c>
      <c r="B181" s="121" t="s">
        <v>4517</v>
      </c>
      <c r="C181" s="121">
        <v>0</v>
      </c>
      <c r="D181" s="121">
        <v>11</v>
      </c>
      <c r="E181" s="121">
        <v>0</v>
      </c>
      <c r="F181" s="121" t="s">
        <v>4593</v>
      </c>
      <c r="G181" s="121" t="s">
        <v>4762</v>
      </c>
      <c r="H181" s="124" t="s">
        <v>540</v>
      </c>
    </row>
    <row r="182">
      <c r="A182" s="121" t="inlineStr">
        <is>
          <t xml:space="preserve">BI31</t>
        </is>
      </c>
      <c r="B182" s="121" t="inlineStr">
        <is>
          <t xml:space="preserve">PT01</t>
        </is>
      </c>
      <c r="C182" s="121">
        <v>18</v>
      </c>
      <c r="D182" s="121">
        <v>1</v>
      </c>
      <c r="E182" s="121">
        <v>0</v>
      </c>
      <c r="F182" s="121" t="inlineStr">
        <is>
          <t xml:space="preserve">Supportive</t>
        </is>
      </c>
      <c r="G182" s="121" t="inlineStr">
        <is>
          <t xml:space="preserve">The forests deserve peace, and so do we.</t>
        </is>
      </c>
      <c r="H182" s="124" t="inlineStr">
        <is>
          <t xml:space="preserve">Butsutou</t>
        </is>
      </c>
    </row>
    <row r="183">
      <c r="A183" s="121" t="inlineStr">
        <is>
          <t xml:space="preserve">BI31</t>
        </is>
      </c>
      <c r="B183" s="121" t="inlineStr">
        <is>
          <t xml:space="preserve">PT02</t>
        </is>
      </c>
      <c r="C183" s="121">
        <v>7</v>
      </c>
      <c r="D183" s="121">
        <v>2</v>
      </c>
      <c r="E183" s="121">
        <v>5</v>
      </c>
      <c r="F183" s="121" t="inlineStr">
        <is>
          <t xml:space="preserve">Neutral</t>
        </is>
      </c>
      <c r="G183" s="121" t="inlineStr">
        <is>
          <t xml:space="preserve">Protect the land, but ask the people first.</t>
        </is>
      </c>
      <c r="H183" s="124" t="inlineStr">
        <is>
          <t xml:space="preserve">Yezo Heritage Party</t>
        </is>
      </c>
    </row>
    <row r="184">
      <c r="A184" s="121" t="inlineStr">
        <is>
          <t xml:space="preserve">BI31</t>
        </is>
      </c>
      <c r="B184" s="121" t="inlineStr">
        <is>
          <t xml:space="preserve">PT03</t>
        </is>
      </c>
      <c r="C184" s="121">
        <v>7</v>
      </c>
      <c r="D184" s="121">
        <v>20</v>
      </c>
      <c r="E184" s="121">
        <v>0</v>
      </c>
      <c r="F184" s="121" t="inlineStr">
        <is>
          <t xml:space="preserve">Opposed</t>
        </is>
      </c>
      <c r="G184" s="121" t="inlineStr">
        <is>
          <t xml:space="preserve">Farmers and loggers pay for this wilderness.</t>
        </is>
      </c>
      <c r="H184" s="124" t="inlineStr">
        <is>
          <t xml:space="preserve">Frontier Party</t>
        </is>
      </c>
    </row>
    <row r="185">
      <c r="A185" s="121" t="inlineStr">
        <is>
          <t xml:space="preserve">BI31</t>
        </is>
      </c>
      <c r="B185" s="121" t="inlineStr">
        <is>
          <t xml:space="preserve">PT04</t>
        </is>
      </c>
      <c r="C185" s="121">
        <v>2</v>
      </c>
      <c r="D185" s="121">
        <v>1</v>
      </c>
      <c r="E185" s="121">
        <v>2</v>
      </c>
      <c r="F185" s="121" t="inlineStr">
        <is>
          <t xml:space="preserve">Neutral</t>
        </is>
      </c>
      <c r="G185" s="121" t="inlineStr">
        <is>
          <t xml:space="preserve">Show us who gains before we commit.</t>
        </is>
      </c>
      <c r="H185" s="124" t="inlineStr">
        <is>
          <t xml:space="preserve">Five Point Independents</t>
        </is>
      </c>
    </row>
    <row r="186">
      <c r="A186" s="121" t="inlineStr">
        <is>
          <t xml:space="preserve">BI31</t>
        </is>
      </c>
      <c r="B186" s="121" t="inlineStr">
        <is>
          <t xml:space="preserve">PT05</t>
        </is>
      </c>
      <c r="C186" s="121">
        <v>1</v>
      </c>
      <c r="D186" s="121">
        <v>24</v>
      </c>
      <c r="E186" s="121">
        <v>0</v>
      </c>
      <c r="F186" s="121" t="inlineStr">
        <is>
          <t xml:space="preserve">Opposed</t>
        </is>
      </c>
      <c r="G186" s="121" t="inlineStr">
        <is>
          <t xml:space="preserve">Locking up land locks out jobs.</t>
        </is>
      </c>
      <c r="H186" s="124" t="inlineStr">
        <is>
          <t xml:space="preserve">Keizaijiyuutou</t>
        </is>
      </c>
    </row>
    <row r="187">
      <c r="A187" s="121" t="inlineStr">
        <is>
          <t xml:space="preserve">BI31</t>
        </is>
      </c>
      <c r="B187" s="121" t="inlineStr">
        <is>
          <t xml:space="preserve">PT06</t>
        </is>
      </c>
      <c r="C187" s="121">
        <v>1</v>
      </c>
      <c r="D187" s="121">
        <v>10</v>
      </c>
      <c r="E187" s="121">
        <v>0</v>
      </c>
      <c r="F187" s="121" t="inlineStr">
        <is>
          <t xml:space="preserve">Opposed</t>
        </is>
      </c>
      <c r="G187" s="121" t="inlineStr">
        <is>
          <t xml:space="preserve">A nation cannot live in a nature reserve.</t>
        </is>
      </c>
      <c r="H187" s="124" t="inlineStr">
        <is>
          <t xml:space="preserve">Country Initiative</t>
        </is>
      </c>
    </row>
    <row r="188">
      <c r="A188" s="121" t="inlineStr">
        <is>
          <t xml:space="preserve">BI32</t>
        </is>
      </c>
      <c r="B188" s="121" t="inlineStr">
        <is>
          <t xml:space="preserve">PT01</t>
        </is>
      </c>
      <c r="C188" s="121">
        <v>5</v>
      </c>
      <c r="D188" s="121">
        <v>7</v>
      </c>
      <c r="E188" s="121">
        <v>7</v>
      </c>
      <c r="F188" s="121" t="inlineStr">
        <is>
          <t xml:space="preserve">Neutral</t>
        </is>
      </c>
      <c r="G188" s="121" t="inlineStr">
        <is>
          <t xml:space="preserve">Good care, unclear funding. We will watch closely.</t>
        </is>
      </c>
      <c r="H188" s="124" t="inlineStr">
        <is>
          <t xml:space="preserve">Butsutou</t>
        </is>
      </c>
    </row>
    <row r="189">
      <c r="A189" s="121" t="inlineStr">
        <is>
          <t xml:space="preserve">BI32</t>
        </is>
      </c>
      <c r="B189" s="121" t="inlineStr">
        <is>
          <t xml:space="preserve">PT02</t>
        </is>
      </c>
      <c r="C189" s="121">
        <v>13</v>
      </c>
      <c r="D189" s="121">
        <v>1</v>
      </c>
      <c r="E189" s="121">
        <v>0</v>
      </c>
      <c r="F189" s="121" t="inlineStr">
        <is>
          <t xml:space="preserve">Supportive</t>
        </is>
      </c>
      <c r="G189" s="121" t="inlineStr">
        <is>
          <t xml:space="preserve">Every village deserves a doctor within reach.</t>
        </is>
      </c>
      <c r="H189" s="124" t="inlineStr">
        <is>
          <t xml:space="preserve">Yezo Heritage Party</t>
        </is>
      </c>
    </row>
    <row r="190">
      <c r="A190" s="121" t="inlineStr">
        <is>
          <t xml:space="preserve">BI32</t>
        </is>
      </c>
      <c r="B190" s="121" t="inlineStr">
        <is>
          <t xml:space="preserve">PT03</t>
        </is>
      </c>
      <c r="C190" s="121">
        <v>26</v>
      </c>
      <c r="D190" s="121">
        <v>1</v>
      </c>
      <c r="E190" s="121">
        <v>0</v>
      </c>
      <c r="F190" s="121" t="inlineStr">
        <is>
          <t xml:space="preserve">Supportive</t>
        </is>
      </c>
      <c r="G190" s="121" t="inlineStr">
        <is>
          <t xml:space="preserve">Finally, a hospital where the farmer lives!</t>
        </is>
      </c>
      <c r="H190" s="124" t="inlineStr">
        <is>
          <t xml:space="preserve">Frontier Party</t>
        </is>
      </c>
    </row>
    <row r="191">
      <c r="A191" s="121" t="inlineStr">
        <is>
          <t xml:space="preserve">BI32</t>
        </is>
      </c>
      <c r="B191" s="121" t="inlineStr">
        <is>
          <t xml:space="preserve">PT04</t>
        </is>
      </c>
      <c r="C191" s="121">
        <v>4</v>
      </c>
      <c r="D191" s="121">
        <v>1</v>
      </c>
      <c r="E191" s="121">
        <v>0</v>
      </c>
      <c r="F191" s="121" t="inlineStr">
        <is>
          <t xml:space="preserve">Supportive</t>
        </is>
      </c>
      <c r="G191" s="121" t="inlineStr">
        <is>
          <t xml:space="preserve">A clinic in every district. Count us in.</t>
        </is>
      </c>
      <c r="H191" s="124" t="inlineStr">
        <is>
          <t xml:space="preserve">Five Point Independents</t>
        </is>
      </c>
    </row>
    <row r="192">
      <c r="A192" s="121" t="inlineStr">
        <is>
          <t xml:space="preserve">BI32</t>
        </is>
      </c>
      <c r="B192" s="121" t="inlineStr">
        <is>
          <t xml:space="preserve">PT05</t>
        </is>
      </c>
      <c r="C192" s="121">
        <v>3</v>
      </c>
      <c r="D192" s="121">
        <v>13</v>
      </c>
      <c r="E192" s="121">
        <v>9</v>
      </c>
      <c r="F192" s="121" t="inlineStr">
        <is>
          <t xml:space="preserve">Neutral</t>
        </is>
      </c>
      <c r="G192" s="121" t="inlineStr">
        <is>
          <t xml:space="preserve">Clinics yes, waste no. Show the savings.</t>
        </is>
      </c>
      <c r="H192" s="124" t="inlineStr">
        <is>
          <t xml:space="preserve">Keizaijiyuutou</t>
        </is>
      </c>
    </row>
    <row r="193">
      <c r="A193" s="121" t="inlineStr">
        <is>
          <t xml:space="preserve">BI32</t>
        </is>
      </c>
      <c r="B193" s="121" t="inlineStr">
        <is>
          <t xml:space="preserve">PT06</t>
        </is>
      </c>
      <c r="C193" s="121">
        <v>8</v>
      </c>
      <c r="D193" s="121">
        <v>3</v>
      </c>
      <c r="E193" s="121">
        <v>0</v>
      </c>
      <c r="F193" s="121" t="inlineStr">
        <is>
          <t xml:space="preserve">Supportive</t>
        </is>
      </c>
      <c r="G193" s="121" t="inlineStr">
        <is>
          <t xml:space="preserve">Care for every region. We will back it.</t>
        </is>
      </c>
      <c r="H193" s="124" t="inlineStr">
        <is>
          <t xml:space="preserve">Country Initiative</t>
        </is>
      </c>
    </row>
    <row r="194">
      <c r="A194" s="121" t="inlineStr">
        <is>
          <t xml:space="preserve">BI33</t>
        </is>
      </c>
      <c r="B194" s="121" t="inlineStr">
        <is>
          <t xml:space="preserve">PT01</t>
        </is>
      </c>
      <c r="C194" s="121">
        <v>5</v>
      </c>
      <c r="D194" s="121">
        <v>14</v>
      </c>
      <c r="E194" s="121">
        <v>0</v>
      </c>
      <c r="F194" s="121" t="inlineStr">
        <is>
          <t xml:space="preserve">Opposed</t>
        </is>
      </c>
      <c r="G194" s="121" t="inlineStr">
        <is>
          <t xml:space="preserve">A card that tracks every person? No.</t>
        </is>
      </c>
      <c r="H194" s="124" t="inlineStr">
        <is>
          <t xml:space="preserve">Butsutou</t>
        </is>
      </c>
    </row>
    <row r="195">
      <c r="A195" s="121" t="inlineStr">
        <is>
          <t xml:space="preserve">BI33</t>
        </is>
      </c>
      <c r="B195" s="121" t="inlineStr">
        <is>
          <t xml:space="preserve">PT02</t>
        </is>
      </c>
      <c r="C195" s="121">
        <v>5</v>
      </c>
      <c r="D195" s="121">
        <v>4</v>
      </c>
      <c r="E195" s="121">
        <v>5</v>
      </c>
      <c r="F195" s="121" t="inlineStr">
        <is>
          <t xml:space="preserve">Neutral</t>
        </is>
      </c>
      <c r="G195" s="121" t="inlineStr">
        <is>
          <t xml:space="preserve">Our people want privacy before convenience.</t>
        </is>
      </c>
      <c r="H195" s="124" t="inlineStr">
        <is>
          <t xml:space="preserve">Yezo Heritage Party</t>
        </is>
      </c>
    </row>
    <row r="196">
      <c r="A196" s="121" t="inlineStr">
        <is>
          <t xml:space="preserve">BI33</t>
        </is>
      </c>
      <c r="B196" s="121" t="inlineStr">
        <is>
          <t xml:space="preserve">PT03</t>
        </is>
      </c>
      <c r="C196" s="121">
        <v>8</v>
      </c>
      <c r="D196" s="121">
        <v>19</v>
      </c>
      <c r="E196" s="121">
        <v>0</v>
      </c>
      <c r="F196" s="121" t="inlineStr">
        <is>
          <t xml:space="preserve">Opposed</t>
        </is>
      </c>
      <c r="G196" s="121" t="inlineStr">
        <is>
          <t xml:space="preserve">No signal, no card. Villages lose out.</t>
        </is>
      </c>
      <c r="H196" s="124" t="inlineStr">
        <is>
          <t xml:space="preserve">Frontier Party</t>
        </is>
      </c>
    </row>
    <row r="197">
      <c r="A197" s="121" t="inlineStr">
        <is>
          <t xml:space="preserve">BI33</t>
        </is>
      </c>
      <c r="B197" s="121" t="inlineStr">
        <is>
          <t xml:space="preserve">PT04</t>
        </is>
      </c>
      <c r="C197" s="121">
        <v>1</v>
      </c>
      <c r="D197" s="121">
        <v>2</v>
      </c>
      <c r="E197" s="121">
        <v>2</v>
      </c>
      <c r="F197" s="121" t="inlineStr">
        <is>
          <t xml:space="preserve">Neutral</t>
        </is>
      </c>
      <c r="G197" s="121" t="inlineStr">
        <is>
          <t xml:space="preserve">One card, one more thing to lose.</t>
        </is>
      </c>
      <c r="H197" s="124" t="inlineStr">
        <is>
          <t xml:space="preserve">Five Point Independents</t>
        </is>
      </c>
    </row>
    <row r="198">
      <c r="A198" s="121" t="inlineStr">
        <is>
          <t xml:space="preserve">BI33</t>
        </is>
      </c>
      <c r="B198" s="121" t="inlineStr">
        <is>
          <t xml:space="preserve">PT05</t>
        </is>
      </c>
      <c r="C198" s="121">
        <v>18</v>
      </c>
      <c r="D198" s="121">
        <v>7</v>
      </c>
      <c r="E198" s="121">
        <v>0</v>
      </c>
      <c r="F198" s="121" t="inlineStr">
        <is>
          <t xml:space="preserve">Supportive</t>
        </is>
      </c>
      <c r="G198" s="121" t="inlineStr">
        <is>
          <t xml:space="preserve">One secure card makes commerce faster.</t>
        </is>
      </c>
      <c r="H198" s="124" t="inlineStr">
        <is>
          <t xml:space="preserve">Keizaijiyuutou</t>
        </is>
      </c>
    </row>
    <row r="199">
      <c r="A199" s="121" t="inlineStr">
        <is>
          <t xml:space="preserve">BI33</t>
        </is>
      </c>
      <c r="B199" s="121" t="inlineStr">
        <is>
          <t xml:space="preserve">PT06</t>
        </is>
      </c>
      <c r="C199" s="121">
        <v>1</v>
      </c>
      <c r="D199" s="121">
        <v>6</v>
      </c>
      <c r="E199" s="121">
        <v>4</v>
      </c>
      <c r="F199" s="121" t="inlineStr">
        <is>
          <t xml:space="preserve">Neutral</t>
        </is>
      </c>
      <c r="G199" s="121" t="inlineStr">
        <is>
          <t xml:space="preserve">Order is good, but who holds the data?</t>
        </is>
      </c>
      <c r="H199" s="124" t="inlineStr">
        <is>
          <t xml:space="preserve">Country Initiative</t>
        </is>
      </c>
    </row>
    <row r="200">
      <c r="A200" s="121" t="inlineStr">
        <is>
          <t xml:space="preserve">BI34</t>
        </is>
      </c>
      <c r="B200" s="121" t="inlineStr">
        <is>
          <t xml:space="preserve">PT01</t>
        </is>
      </c>
      <c r="C200" s="121">
        <v>10</v>
      </c>
      <c r="D200" s="121">
        <v>2</v>
      </c>
      <c r="E200" s="121">
        <v>7</v>
      </c>
      <c r="F200" s="121" t="inlineStr">
        <is>
          <t xml:space="preserve">Neutral</t>
        </is>
      </c>
      <c r="G200" s="121" t="inlineStr">
        <is>
          <t xml:space="preserve">A free press matters; the details need care.</t>
        </is>
      </c>
      <c r="H200" s="124" t="inlineStr">
        <is>
          <t xml:space="preserve">Butsutou</t>
        </is>
      </c>
    </row>
    <row r="201">
      <c r="A201" s="121" t="inlineStr">
        <is>
          <t xml:space="preserve">BI34</t>
        </is>
      </c>
      <c r="B201" s="121" t="inlineStr">
        <is>
          <t xml:space="preserve">PT02</t>
        </is>
      </c>
      <c r="C201" s="121">
        <v>6</v>
      </c>
      <c r="D201" s="121">
        <v>3</v>
      </c>
      <c r="E201" s="121">
        <v>5</v>
      </c>
      <c r="F201" s="121" t="inlineStr">
        <is>
          <t xml:space="preserve">Neutral</t>
        </is>
      </c>
      <c r="G201" s="121" t="inlineStr">
        <is>
          <t xml:space="preserve">Our stories need a broadcaster that listens.</t>
        </is>
      </c>
      <c r="H201" s="124" t="inlineStr">
        <is>
          <t xml:space="preserve">Yezo Heritage Party</t>
        </is>
      </c>
    </row>
    <row r="202">
      <c r="A202" s="121" t="inlineStr">
        <is>
          <t xml:space="preserve">BI34</t>
        </is>
      </c>
      <c r="B202" s="121" t="inlineStr">
        <is>
          <t xml:space="preserve">PT03</t>
        </is>
      </c>
      <c r="C202" s="121">
        <v>9</v>
      </c>
      <c r="D202" s="121">
        <v>8</v>
      </c>
      <c r="E202" s="121">
        <v>10</v>
      </c>
      <c r="F202" s="121" t="inlineStr">
        <is>
          <t xml:space="preserve">Neutral</t>
        </is>
      </c>
      <c r="G202" s="121" t="inlineStr">
        <is>
          <t xml:space="preserve">Fair broadcast, but fund the countryside first.</t>
        </is>
      </c>
      <c r="H202" s="124" t="inlineStr">
        <is>
          <t xml:space="preserve">Frontier Party</t>
        </is>
      </c>
    </row>
    <row r="203">
      <c r="A203" s="121" t="inlineStr">
        <is>
          <t xml:space="preserve">BI34</t>
        </is>
      </c>
      <c r="B203" s="121" t="inlineStr">
        <is>
          <t xml:space="preserve">PT04</t>
        </is>
      </c>
      <c r="C203" s="121">
        <v>4</v>
      </c>
      <c r="D203" s="121">
        <v>1</v>
      </c>
      <c r="E203" s="121">
        <v>0</v>
      </c>
      <c r="F203" s="121" t="inlineStr">
        <is>
          <t xml:space="preserve">Supportive</t>
        </is>
      </c>
      <c r="G203" s="121" t="inlineStr">
        <is>
          <t xml:space="preserve">A free broadcaster serves our voters.</t>
        </is>
      </c>
      <c r="H203" s="124" t="inlineStr">
        <is>
          <t xml:space="preserve">Five Point Independents</t>
        </is>
      </c>
    </row>
    <row r="204">
      <c r="A204" s="121" t="inlineStr">
        <is>
          <t xml:space="preserve">BI34</t>
        </is>
      </c>
      <c r="B204" s="121" t="inlineStr">
        <is>
          <t xml:space="preserve">PT05</t>
        </is>
      </c>
      <c r="C204" s="121">
        <v>4</v>
      </c>
      <c r="D204" s="121">
        <v>11</v>
      </c>
      <c r="E204" s="121">
        <v>10</v>
      </c>
      <c r="F204" s="121" t="inlineStr">
        <is>
          <t xml:space="preserve">Neutral</t>
        </is>
      </c>
      <c r="G204" s="121" t="inlineStr">
        <is>
          <t xml:space="preserve">Fund it, but make it earn its audience.</t>
        </is>
      </c>
      <c r="H204" s="124" t="inlineStr">
        <is>
          <t xml:space="preserve">Keizaijiyuutou</t>
        </is>
      </c>
    </row>
    <row r="205">
      <c r="A205" s="121" t="inlineStr">
        <is>
          <t xml:space="preserve">BI34</t>
        </is>
      </c>
      <c r="B205" s="121" t="inlineStr">
        <is>
          <t xml:space="preserve">PT06</t>
        </is>
      </c>
      <c r="C205" s="121">
        <v>8</v>
      </c>
      <c r="D205" s="121">
        <v>3</v>
      </c>
      <c r="E205" s="121">
        <v>0</v>
      </c>
      <c r="F205" s="121" t="inlineStr">
        <is>
          <t xml:space="preserve">Supportive</t>
        </is>
      </c>
      <c r="G205" s="121" t="inlineStr">
        <is>
          <t xml:space="preserve">Decency in the public broadcast. We agree.</t>
        </is>
      </c>
      <c r="H205" s="124" t="inlineStr">
        <is>
          <t xml:space="preserve">Country Initiative</t>
        </is>
      </c>
    </row>
    <row r="206">
      <c r="A206" s="121" t="inlineStr">
        <is>
          <t xml:space="preserve">BI35</t>
        </is>
      </c>
      <c r="B206" s="121" t="inlineStr">
        <is>
          <t xml:space="preserve">PT01</t>
        </is>
      </c>
      <c r="C206" s="121">
        <v>3</v>
      </c>
      <c r="D206" s="121">
        <v>9</v>
      </c>
      <c r="E206" s="121">
        <v>7</v>
      </c>
      <c r="F206" s="121" t="inlineStr">
        <is>
          <t xml:space="preserve">Neutral</t>
        </is>
      </c>
      <c r="G206" s="121" t="inlineStr">
        <is>
          <t xml:space="preserve">Sunlight helps, but small groups need time.</t>
        </is>
      </c>
      <c r="H206" s="124" t="inlineStr">
        <is>
          <t xml:space="preserve">Butsutou</t>
        </is>
      </c>
    </row>
    <row r="207">
      <c r="A207" s="121" t="inlineStr">
        <is>
          <t xml:space="preserve">BI35</t>
        </is>
      </c>
      <c r="B207" s="121" t="inlineStr">
        <is>
          <t xml:space="preserve">PT02</t>
        </is>
      </c>
      <c r="C207" s="121">
        <v>4</v>
      </c>
      <c r="D207" s="121">
        <v>5</v>
      </c>
      <c r="E207" s="121">
        <v>5</v>
      </c>
      <c r="F207" s="121" t="inlineStr">
        <is>
          <t xml:space="preserve">Neutral</t>
        </is>
      </c>
      <c r="G207" s="121" t="inlineStr">
        <is>
          <t xml:space="preserve">Open books, but protect small donors.</t>
        </is>
      </c>
      <c r="H207" s="124" t="inlineStr">
        <is>
          <t xml:space="preserve">Yezo Heritage Party</t>
        </is>
      </c>
    </row>
    <row r="208">
      <c r="A208" s="121" t="inlineStr">
        <is>
          <t xml:space="preserve">BI35</t>
        </is>
      </c>
      <c r="B208" s="121" t="inlineStr">
        <is>
          <t xml:space="preserve">PT03</t>
        </is>
      </c>
      <c r="C208" s="121">
        <v>8</v>
      </c>
      <c r="D208" s="121">
        <v>18</v>
      </c>
      <c r="E208" s="121">
        <v>1</v>
      </c>
      <c r="F208" s="121" t="inlineStr">
        <is>
          <t xml:space="preserve">Opposed</t>
        </is>
      </c>
      <c r="G208" s="121" t="inlineStr">
        <is>
          <t xml:space="preserve">Local fundraising is not a scandal.</t>
        </is>
      </c>
      <c r="H208" s="124" t="inlineStr">
        <is>
          <t xml:space="preserve">Frontier Party</t>
        </is>
      </c>
    </row>
    <row r="209">
      <c r="A209" s="121" t="inlineStr">
        <is>
          <t xml:space="preserve">BI35</t>
        </is>
      </c>
      <c r="B209" s="121" t="inlineStr">
        <is>
          <t xml:space="preserve">PT04</t>
        </is>
      </c>
      <c r="C209" s="121">
        <v>0</v>
      </c>
      <c r="D209" s="121">
        <v>5</v>
      </c>
      <c r="E209" s="121">
        <v>0</v>
      </c>
      <c r="F209" s="121" t="inlineStr">
        <is>
          <t xml:space="preserve">Opposed</t>
        </is>
      </c>
      <c r="G209" s="121" t="inlineStr">
        <is>
          <t xml:space="preserve">Disclosure will chill honest support for us.</t>
        </is>
      </c>
      <c r="H209" s="124" t="inlineStr">
        <is>
          <t xml:space="preserve">Five Point Independents</t>
        </is>
      </c>
    </row>
    <row r="210">
      <c r="A210" s="121" t="inlineStr">
        <is>
          <t xml:space="preserve">BI35</t>
        </is>
      </c>
      <c r="B210" s="121" t="inlineStr">
        <is>
          <t xml:space="preserve">PT05</t>
        </is>
      </c>
      <c r="C210" s="121">
        <v>7</v>
      </c>
      <c r="D210" s="121">
        <v>17</v>
      </c>
      <c r="E210" s="121">
        <v>1</v>
      </c>
      <c r="F210" s="121" t="inlineStr">
        <is>
          <t xml:space="preserve">Opposed</t>
        </is>
      </c>
      <c r="G210" s="121" t="inlineStr">
        <is>
          <t xml:space="preserve">Caps on giving are caps on speech.</t>
        </is>
      </c>
      <c r="H210" s="124" t="inlineStr">
        <is>
          <t xml:space="preserve">Keizaijiyuutou</t>
        </is>
      </c>
    </row>
    <row r="211">
      <c r="A211" s="121" t="inlineStr">
        <is>
          <t xml:space="preserve">BI35</t>
        </is>
      </c>
      <c r="B211" s="121" t="inlineStr">
        <is>
          <t xml:space="preserve">PT06</t>
        </is>
      </c>
      <c r="C211" s="121">
        <v>3</v>
      </c>
      <c r="D211" s="121">
        <v>7</v>
      </c>
      <c r="E211" s="121">
        <v>1</v>
      </c>
      <c r="F211" s="121" t="inlineStr">
        <is>
          <t xml:space="preserve">Opposed</t>
        </is>
      </c>
      <c r="G211" s="121" t="inlineStr">
        <is>
          <t xml:space="preserve">Let members answer to voters, not auditors.</t>
        </is>
      </c>
      <c r="H211" s="124" t="inlineStr">
        <is>
          <t xml:space="preserve">Country Initiative</t>
        </is>
      </c>
    </row>
    <row r="212">
      <c r="A212" s="121" t="inlineStr">
        <is>
          <t xml:space="preserve">BI36</t>
        </is>
      </c>
      <c r="B212" s="121" t="inlineStr">
        <is>
          <t xml:space="preserve">PT01</t>
        </is>
      </c>
      <c r="C212" s="121">
        <v>5</v>
      </c>
      <c r="D212" s="121">
        <v>14</v>
      </c>
      <c r="E212" s="121">
        <v>0</v>
      </c>
      <c r="F212" s="121" t="inlineStr">
        <is>
          <t xml:space="preserve">Opposed</t>
        </is>
      </c>
      <c r="G212" s="121" t="inlineStr">
        <is>
          <t xml:space="preserve">Tax cuts for firms, nothing for the poor.</t>
        </is>
      </c>
      <c r="H212" s="124" t="inlineStr">
        <is>
          <t xml:space="preserve">Butsutou</t>
        </is>
      </c>
    </row>
    <row r="213">
      <c r="A213" s="121" t="inlineStr">
        <is>
          <t xml:space="preserve">BI36</t>
        </is>
      </c>
      <c r="B213" s="121" t="inlineStr">
        <is>
          <t xml:space="preserve">PT02</t>
        </is>
      </c>
      <c r="C213" s="121">
        <v>4</v>
      </c>
      <c r="D213" s="121">
        <v>9</v>
      </c>
      <c r="E213" s="121">
        <v>1</v>
      </c>
      <c r="F213" s="121" t="inlineStr">
        <is>
          <t xml:space="preserve">Opposed</t>
        </is>
      </c>
      <c r="G213" s="121" t="inlineStr">
        <is>
          <t xml:space="preserve">Corporations gain; our towns pay the difference.</t>
        </is>
      </c>
      <c r="H213" s="124" t="inlineStr">
        <is>
          <t xml:space="preserve">Yezo Heritage Party</t>
        </is>
      </c>
    </row>
    <row r="214">
      <c r="A214" s="121" t="inlineStr">
        <is>
          <t xml:space="preserve">BI36</t>
        </is>
      </c>
      <c r="B214" s="121" t="inlineStr">
        <is>
          <t xml:space="preserve">PT03</t>
        </is>
      </c>
      <c r="C214" s="121">
        <v>8</v>
      </c>
      <c r="D214" s="121">
        <v>19</v>
      </c>
      <c r="E214" s="121">
        <v>0</v>
      </c>
      <c r="F214" s="121" t="inlineStr">
        <is>
          <t xml:space="preserve">Opposed</t>
        </is>
      </c>
      <c r="G214" s="121" t="inlineStr">
        <is>
          <t xml:space="preserve">Cuts for big firms leave towns behind.</t>
        </is>
      </c>
      <c r="H214" s="124" t="inlineStr">
        <is>
          <t xml:space="preserve">Frontier Party</t>
        </is>
      </c>
    </row>
    <row r="215">
      <c r="A215" s="121" t="inlineStr">
        <is>
          <t xml:space="preserve">BI36</t>
        </is>
      </c>
      <c r="B215" s="121" t="inlineStr">
        <is>
          <t xml:space="preserve">PT04</t>
        </is>
      </c>
      <c r="C215" s="121">
        <v>1</v>
      </c>
      <c r="D215" s="121">
        <v>4</v>
      </c>
      <c r="E215" s="121">
        <v>0</v>
      </c>
      <c r="F215" s="121" t="inlineStr">
        <is>
          <t xml:space="preserve">Opposed</t>
        </is>
      </c>
      <c r="G215" s="121" t="inlineStr">
        <is>
          <t xml:space="preserve">Corporate cuts do nothing for our districts.</t>
        </is>
      </c>
      <c r="H215" s="124" t="inlineStr">
        <is>
          <t xml:space="preserve">Five Point Independents</t>
        </is>
      </c>
    </row>
    <row r="216">
      <c r="A216" s="121" t="inlineStr">
        <is>
          <t xml:space="preserve">BI36</t>
        </is>
      </c>
      <c r="B216" s="121" t="inlineStr">
        <is>
          <t xml:space="preserve">PT05</t>
        </is>
      </c>
      <c r="C216" s="121">
        <v>24</v>
      </c>
      <c r="D216" s="121">
        <v>1</v>
      </c>
      <c r="E216" s="121">
        <v>0</v>
      </c>
      <c r="F216" s="121" t="inlineStr">
        <is>
          <t xml:space="preserve">Supportive</t>
        </is>
      </c>
      <c r="G216" s="121" t="inlineStr">
        <is>
          <t xml:space="preserve">Lower taxes bring investment. Pass it.</t>
        </is>
      </c>
      <c r="H216" s="124" t="inlineStr">
        <is>
          <t xml:space="preserve">Keizaijiyuutou</t>
        </is>
      </c>
    </row>
    <row r="217">
      <c r="A217" s="121" t="inlineStr">
        <is>
          <t xml:space="preserve">BI36</t>
        </is>
      </c>
      <c r="B217" s="121" t="inlineStr">
        <is>
          <t xml:space="preserve">PT06</t>
        </is>
      </c>
      <c r="C217" s="121">
        <v>11</v>
      </c>
      <c r="D217" s="121">
        <v>0</v>
      </c>
      <c r="E217" s="121">
        <v>0</v>
      </c>
      <c r="F217" s="121" t="inlineStr">
        <is>
          <t xml:space="preserve">Supportive</t>
        </is>
      </c>
      <c r="G217" s="121" t="inlineStr">
        <is>
          <t xml:space="preserve">Strong firms build a strong nation.</t>
        </is>
      </c>
      <c r="H217" s="124" t="inlineStr">
        <is>
          <t xml:space="preserve">Country Initiative</t>
        </is>
      </c>
    </row>
    <row r="218">
      <c r="A218" s="121" t="inlineStr">
        <is>
          <t xml:space="preserve">BI37</t>
        </is>
      </c>
      <c r="B218" s="121" t="inlineStr">
        <is>
          <t xml:space="preserve">PT01</t>
        </is>
      </c>
      <c r="C218" s="121">
        <v>18</v>
      </c>
      <c r="D218" s="121">
        <v>1</v>
      </c>
      <c r="E218" s="121">
        <v>0</v>
      </c>
      <c r="F218" s="121" t="inlineStr">
        <is>
          <t xml:space="preserve">Supportive</t>
        </is>
      </c>
      <c r="G218" s="121" t="inlineStr">
        <is>
          <t xml:space="preserve">Make polluters pay and protect the north.</t>
        </is>
      </c>
      <c r="H218" s="124" t="inlineStr">
        <is>
          <t xml:space="preserve">Butsutou</t>
        </is>
      </c>
    </row>
    <row r="219">
      <c r="A219" s="121" t="inlineStr">
        <is>
          <t xml:space="preserve">BI37</t>
        </is>
      </c>
      <c r="B219" s="121" t="inlineStr">
        <is>
          <t xml:space="preserve">PT02</t>
        </is>
      </c>
      <c r="C219" s="121">
        <v>11</v>
      </c>
      <c r="D219" s="121">
        <v>3</v>
      </c>
      <c r="E219" s="121">
        <v>0</v>
      </c>
      <c r="F219" s="121" t="inlineStr">
        <is>
          <t xml:space="preserve">Supportive</t>
        </is>
      </c>
      <c r="G219" s="121" t="inlineStr">
        <is>
          <t xml:space="preserve">The land cannot wait for cheaper excuses.</t>
        </is>
      </c>
      <c r="H219" s="124" t="inlineStr">
        <is>
          <t xml:space="preserve">Yezo Heritage Party</t>
        </is>
      </c>
    </row>
    <row r="220">
      <c r="A220" s="121" t="inlineStr">
        <is>
          <t xml:space="preserve">BI37</t>
        </is>
      </c>
      <c r="B220" s="121" t="inlineStr">
        <is>
          <t xml:space="preserve">PT03</t>
        </is>
      </c>
      <c r="C220" s="121">
        <v>8</v>
      </c>
      <c r="D220" s="121">
        <v>19</v>
      </c>
      <c r="E220" s="121">
        <v>0</v>
      </c>
      <c r="F220" s="121" t="inlineStr">
        <is>
          <t xml:space="preserve">Opposed</t>
        </is>
      </c>
      <c r="G220" s="121" t="inlineStr">
        <is>
          <t xml:space="preserve">Farmers cannot carry a new levy.</t>
        </is>
      </c>
      <c r="H220" s="124" t="inlineStr">
        <is>
          <t xml:space="preserve">Frontier Party</t>
        </is>
      </c>
    </row>
    <row r="221">
      <c r="A221" s="121" t="inlineStr">
        <is>
          <t xml:space="preserve">BI37</t>
        </is>
      </c>
      <c r="B221" s="121" t="inlineStr">
        <is>
          <t xml:space="preserve">PT04</t>
        </is>
      </c>
      <c r="C221" s="121">
        <v>1</v>
      </c>
      <c r="D221" s="121">
        <v>4</v>
      </c>
      <c r="E221" s="121">
        <v>0</v>
      </c>
      <c r="F221" s="121" t="inlineStr">
        <is>
          <t xml:space="preserve">Opposed</t>
        </is>
      </c>
      <c r="G221" s="121" t="inlineStr">
        <is>
          <t xml:space="preserve">A new levy lands on our voters.</t>
        </is>
      </c>
      <c r="H221" s="124" t="inlineStr">
        <is>
          <t xml:space="preserve">Five Point Independents</t>
        </is>
      </c>
    </row>
    <row r="222">
      <c r="A222" s="121" t="inlineStr">
        <is>
          <t xml:space="preserve">BI37</t>
        </is>
      </c>
      <c r="B222" s="121" t="inlineStr">
        <is>
          <t xml:space="preserve">PT05</t>
        </is>
      </c>
      <c r="C222" s="121">
        <v>1</v>
      </c>
      <c r="D222" s="121">
        <v>24</v>
      </c>
      <c r="E222" s="121">
        <v>0</v>
      </c>
      <c r="F222" s="121" t="inlineStr">
        <is>
          <t xml:space="preserve">Opposed</t>
        </is>
      </c>
      <c r="G222" s="121" t="inlineStr">
        <is>
          <t xml:space="preserve">A new tax by any other name.</t>
        </is>
      </c>
      <c r="H222" s="124" t="inlineStr">
        <is>
          <t xml:space="preserve">Keizaijiyuutou</t>
        </is>
      </c>
    </row>
    <row r="223">
      <c r="A223" s="121" t="inlineStr">
        <is>
          <t xml:space="preserve">BI37</t>
        </is>
      </c>
      <c r="B223" s="121" t="inlineStr">
        <is>
          <t xml:space="preserve">PT06</t>
        </is>
      </c>
      <c r="C223" s="121">
        <v>0</v>
      </c>
      <c r="D223" s="121">
        <v>11</v>
      </c>
      <c r="E223" s="121">
        <v>0</v>
      </c>
      <c r="F223" s="121" t="inlineStr">
        <is>
          <t xml:space="preserve">Opposed</t>
        </is>
      </c>
      <c r="G223" s="121" t="inlineStr">
        <is>
          <t xml:space="preserve">Our industry cannot carry another burden.</t>
        </is>
      </c>
      <c r="H223" s="124" t="inlineStr">
        <is>
          <t xml:space="preserve">Country Initiative</t>
        </is>
      </c>
    </row>
    <row r="224">
      <c r="A224" s="121" t="inlineStr">
        <is>
          <t xml:space="preserve">BI38</t>
        </is>
      </c>
      <c r="B224" s="121" t="inlineStr">
        <is>
          <t xml:space="preserve">PT01</t>
        </is>
      </c>
      <c r="C224" s="121">
        <v>6</v>
      </c>
      <c r="D224" s="121">
        <v>6</v>
      </c>
      <c r="E224" s="121">
        <v>7</v>
      </c>
      <c r="F224" s="121" t="inlineStr">
        <is>
          <t xml:space="preserve">Neutral</t>
        </is>
      </c>
      <c r="G224" s="121" t="inlineStr">
        <is>
          <t xml:space="preserve">Fishers and the sea both deserve care.</t>
        </is>
      </c>
      <c r="H224" s="124" t="inlineStr">
        <is>
          <t xml:space="preserve">Butsutou</t>
        </is>
      </c>
    </row>
    <row r="225">
      <c r="A225" s="121" t="inlineStr">
        <is>
          <t xml:space="preserve">BI38</t>
        </is>
      </c>
      <c r="B225" s="121" t="inlineStr">
        <is>
          <t xml:space="preserve">PT02</t>
        </is>
      </c>
      <c r="C225" s="121">
        <v>13</v>
      </c>
      <c r="D225" s="121">
        <v>1</v>
      </c>
      <c r="E225" s="121">
        <v>0</v>
      </c>
      <c r="F225" s="121" t="inlineStr">
        <is>
          <t xml:space="preserve">Supportive</t>
        </is>
      </c>
      <c r="G225" s="121" t="inlineStr">
        <is>
          <t xml:space="preserve">The sea fed us. Manage it wisely.</t>
        </is>
      </c>
      <c r="H225" s="124" t="inlineStr">
        <is>
          <t xml:space="preserve">Yezo Heritage Party</t>
        </is>
      </c>
    </row>
    <row r="226">
      <c r="A226" s="121" t="inlineStr">
        <is>
          <t xml:space="preserve">BI38</t>
        </is>
      </c>
      <c r="B226" s="121" t="inlineStr">
        <is>
          <t xml:space="preserve">PT03</t>
        </is>
      </c>
      <c r="C226" s="121">
        <v>26</v>
      </c>
      <c r="D226" s="121">
        <v>1</v>
      </c>
      <c r="E226" s="121">
        <v>0</v>
      </c>
      <c r="F226" s="121" t="inlineStr">
        <is>
          <t xml:space="preserve">Supportive</t>
        </is>
      </c>
      <c r="G226" s="121" t="inlineStr">
        <is>
          <t xml:space="preserve">Fishing families need rules they can trust.</t>
        </is>
      </c>
      <c r="H226" s="124" t="inlineStr">
        <is>
          <t xml:space="preserve">Frontier Party</t>
        </is>
      </c>
    </row>
    <row r="227">
      <c r="A227" s="121" t="inlineStr">
        <is>
          <t xml:space="preserve">BI38</t>
        </is>
      </c>
      <c r="B227" s="121" t="inlineStr">
        <is>
          <t xml:space="preserve">PT04</t>
        </is>
      </c>
      <c r="C227" s="121">
        <v>4</v>
      </c>
      <c r="D227" s="121">
        <v>1</v>
      </c>
      <c r="E227" s="121">
        <v>0</v>
      </c>
      <c r="F227" s="121" t="inlineStr">
        <is>
          <t xml:space="preserve">Supportive</t>
        </is>
      </c>
      <c r="G227" s="121" t="inlineStr">
        <is>
          <t xml:space="preserve">Clear quotas, fair shares. We back it.</t>
        </is>
      </c>
      <c r="H227" s="124" t="inlineStr">
        <is>
          <t xml:space="preserve">Five Point Independents</t>
        </is>
      </c>
    </row>
    <row r="228">
      <c r="A228" s="121" t="inlineStr">
        <is>
          <t xml:space="preserve">BI38</t>
        </is>
      </c>
      <c r="B228" s="121" t="inlineStr">
        <is>
          <t xml:space="preserve">PT05</t>
        </is>
      </c>
      <c r="C228" s="121">
        <v>1</v>
      </c>
      <c r="D228" s="121">
        <v>24</v>
      </c>
      <c r="E228" s="121">
        <v>0</v>
      </c>
      <c r="F228" s="121" t="inlineStr">
        <is>
          <t xml:space="preserve">Opposed</t>
        </is>
      </c>
      <c r="G228" s="121" t="inlineStr">
        <is>
          <t xml:space="preserve">More rules on every boat is no reform.</t>
        </is>
      </c>
      <c r="H228" s="124" t="inlineStr">
        <is>
          <t xml:space="preserve">Keizaijiyuutou</t>
        </is>
      </c>
    </row>
    <row r="229">
      <c r="A229" s="121" t="inlineStr">
        <is>
          <t xml:space="preserve">BI38</t>
        </is>
      </c>
      <c r="B229" s="121" t="inlineStr">
        <is>
          <t xml:space="preserve">PT06</t>
        </is>
      </c>
      <c r="C229" s="121">
        <v>4</v>
      </c>
      <c r="D229" s="121">
        <v>3</v>
      </c>
      <c r="E229" s="121">
        <v>4</v>
      </c>
      <c r="F229" s="121" t="inlineStr">
        <is>
          <t xml:space="preserve">Neutral</t>
        </is>
      </c>
      <c r="G229" s="121" t="inlineStr">
        <is>
          <t xml:space="preserve">Quotas matter, but not at the cost of tradition.</t>
        </is>
      </c>
      <c r="H229" s="124" t="inlineStr">
        <is>
          <t xml:space="preserve">Country Initiative</t>
        </is>
      </c>
    </row>
    <row r="230">
      <c r="A230" s="121" t="inlineStr">
        <is>
          <t xml:space="preserve">BI39</t>
        </is>
      </c>
      <c r="B230" s="121" t="inlineStr">
        <is>
          <t xml:space="preserve">PT01</t>
        </is>
      </c>
      <c r="C230" s="121">
        <v>5</v>
      </c>
      <c r="D230" s="121">
        <v>12</v>
      </c>
      <c r="E230" s="121">
        <v>2</v>
      </c>
      <c r="F230" s="121" t="inlineStr">
        <is>
          <t xml:space="preserve">Opposed</t>
        </is>
      </c>
      <c r="G230" s="121" t="inlineStr">
        <is>
          <t xml:space="preserve">Warships will not feed the hungry.</t>
        </is>
      </c>
      <c r="H230" s="124" t="inlineStr">
        <is>
          <t xml:space="preserve">Butsutou</t>
        </is>
      </c>
    </row>
    <row r="231">
      <c r="A231" s="121" t="inlineStr">
        <is>
          <t xml:space="preserve">BI39</t>
        </is>
      </c>
      <c r="B231" s="121" t="inlineStr">
        <is>
          <t xml:space="preserve">PT02</t>
        </is>
      </c>
      <c r="C231" s="121">
        <v>6</v>
      </c>
      <c r="D231" s="121">
        <v>3</v>
      </c>
      <c r="E231" s="121">
        <v>5</v>
      </c>
      <c r="F231" s="121" t="inlineStr">
        <is>
          <t xml:space="preserve">Neutral</t>
        </is>
      </c>
      <c r="G231" s="121" t="inlineStr">
        <is>
          <t xml:space="preserve">Jobs on the coast, but at what cost?</t>
        </is>
      </c>
      <c r="H231" s="124" t="inlineStr">
        <is>
          <t xml:space="preserve">Yezo Heritage Party</t>
        </is>
      </c>
    </row>
    <row r="232">
      <c r="A232" s="121" t="inlineStr">
        <is>
          <t xml:space="preserve">BI39</t>
        </is>
      </c>
      <c r="B232" s="121" t="inlineStr">
        <is>
          <t xml:space="preserve">PT03</t>
        </is>
      </c>
      <c r="C232" s="121">
        <v>8</v>
      </c>
      <c r="D232" s="121">
        <v>19</v>
      </c>
      <c r="E232" s="121">
        <v>0</v>
      </c>
      <c r="F232" s="121" t="inlineStr">
        <is>
          <t xml:space="preserve">Opposed</t>
        </is>
      </c>
      <c r="G232" s="121" t="inlineStr">
        <is>
          <t xml:space="preserve">Warship money should reach rural clinics first.</t>
        </is>
      </c>
      <c r="H232" s="124" t="inlineStr">
        <is>
          <t xml:space="preserve">Frontier Party</t>
        </is>
      </c>
    </row>
    <row r="233">
      <c r="A233" s="121" t="inlineStr">
        <is>
          <t xml:space="preserve">BI39</t>
        </is>
      </c>
      <c r="B233" s="121" t="inlineStr">
        <is>
          <t xml:space="preserve">PT04</t>
        </is>
      </c>
      <c r="C233" s="121">
        <v>1</v>
      </c>
      <c r="D233" s="121">
        <v>4</v>
      </c>
      <c r="E233" s="121">
        <v>0</v>
      </c>
      <c r="F233" s="121" t="inlineStr">
        <is>
          <t xml:space="preserve">Opposed</t>
        </is>
      </c>
      <c r="G233" s="121" t="inlineStr">
        <is>
          <t xml:space="preserve">Shipyards will not help our districts.</t>
        </is>
      </c>
      <c r="H233" s="124" t="inlineStr">
        <is>
          <t xml:space="preserve">Five Point Independents</t>
        </is>
      </c>
    </row>
    <row r="234">
      <c r="A234" s="121" t="inlineStr">
        <is>
          <t xml:space="preserve">BI39</t>
        </is>
      </c>
      <c r="B234" s="121" t="inlineStr">
        <is>
          <t xml:space="preserve">PT05</t>
        </is>
      </c>
      <c r="C234" s="121">
        <v>17</v>
      </c>
      <c r="D234" s="121">
        <v>7</v>
      </c>
      <c r="E234" s="121">
        <v>1</v>
      </c>
      <c r="F234" s="121" t="inlineStr">
        <is>
          <t xml:space="preserve">Supportive</t>
        </is>
      </c>
      <c r="G234" s="121" t="inlineStr">
        <is>
          <t xml:space="preserve">Industry and defense grow the economy.</t>
        </is>
      </c>
      <c r="H234" s="124" t="inlineStr">
        <is>
          <t xml:space="preserve">Keizaijiyuutou</t>
        </is>
      </c>
    </row>
    <row r="235">
      <c r="A235" s="121" t="inlineStr">
        <is>
          <t xml:space="preserve">BI39</t>
        </is>
      </c>
      <c r="B235" s="121" t="inlineStr">
        <is>
          <t xml:space="preserve">PT06</t>
        </is>
      </c>
      <c r="C235" s="121">
        <v>8</v>
      </c>
      <c r="D235" s="121">
        <v>3</v>
      </c>
      <c r="E235" s="121">
        <v>0</v>
      </c>
      <c r="F235" s="121" t="inlineStr">
        <is>
          <t xml:space="preserve">Supportive</t>
        </is>
      </c>
      <c r="G235" s="121" t="inlineStr">
        <is>
          <t xml:space="preserve">A nation needs ships to defend itself.</t>
        </is>
      </c>
      <c r="H235" s="124" t="inlineStr">
        <is>
          <t xml:space="preserve">Country Initiative</t>
        </is>
      </c>
    </row>
    <row r="236">
      <c r="A236" s="121" t="inlineStr">
        <is>
          <t xml:space="preserve">BI40</t>
        </is>
      </c>
      <c r="B236" s="121" t="inlineStr">
        <is>
          <t xml:space="preserve">PT01</t>
        </is>
      </c>
      <c r="C236" s="121">
        <v>6</v>
      </c>
      <c r="D236" s="121">
        <v>6</v>
      </c>
      <c r="E236" s="121">
        <v>7</v>
      </c>
      <c r="F236" s="121" t="inlineStr">
        <is>
          <t xml:space="preserve">Neutral</t>
        </is>
      </c>
      <c r="G236" s="121" t="inlineStr">
        <is>
          <t xml:space="preserve">Study the rules, but protect rights first.</t>
        </is>
      </c>
      <c r="H236" s="124" t="inlineStr">
        <is>
          <t xml:space="preserve">Butsutou</t>
        </is>
      </c>
    </row>
    <row r="237">
      <c r="A237" s="121" t="inlineStr">
        <is>
          <t xml:space="preserve">BI40</t>
        </is>
      </c>
      <c r="B237" s="121" t="inlineStr">
        <is>
          <t xml:space="preserve">PT02</t>
        </is>
      </c>
      <c r="C237" s="121">
        <v>3</v>
      </c>
      <c r="D237" s="121">
        <v>6</v>
      </c>
      <c r="E237" s="121">
        <v>5</v>
      </c>
      <c r="F237" s="121" t="inlineStr">
        <is>
          <t xml:space="preserve">Neutral</t>
        </is>
      </c>
      <c r="G237" s="121" t="inlineStr">
        <is>
          <t xml:space="preserve">Any change must include our voices.</t>
        </is>
      </c>
      <c r="H237" s="124" t="inlineStr">
        <is>
          <t xml:space="preserve">Yezo Heritage Party</t>
        </is>
      </c>
    </row>
    <row r="238">
      <c r="A238" s="121" t="inlineStr">
        <is>
          <t xml:space="preserve">BI40</t>
        </is>
      </c>
      <c r="B238" s="121" t="inlineStr">
        <is>
          <t xml:space="preserve">PT03</t>
        </is>
      </c>
      <c r="C238" s="121">
        <v>9</v>
      </c>
      <c r="D238" s="121">
        <v>8</v>
      </c>
      <c r="E238" s="121">
        <v>10</v>
      </c>
      <c r="F238" s="121" t="inlineStr">
        <is>
          <t xml:space="preserve">Neutral</t>
        </is>
      </c>
      <c r="G238" s="121" t="inlineStr">
        <is>
          <t xml:space="preserve">Study it, but keep the regions heard.</t>
        </is>
      </c>
      <c r="H238" s="124" t="inlineStr">
        <is>
          <t xml:space="preserve">Frontier Party</t>
        </is>
      </c>
    </row>
    <row r="239">
      <c r="A239" s="121" t="inlineStr">
        <is>
          <t xml:space="preserve">BI40</t>
        </is>
      </c>
      <c r="B239" s="121" t="inlineStr">
        <is>
          <t xml:space="preserve">PT04</t>
        </is>
      </c>
      <c r="C239" s="121">
        <v>2</v>
      </c>
      <c r="D239" s="121">
        <v>1</v>
      </c>
      <c r="E239" s="121">
        <v>2</v>
      </c>
      <c r="F239" s="121" t="inlineStr">
        <is>
          <t xml:space="preserve">Neutral</t>
        </is>
      </c>
      <c r="G239" s="121" t="inlineStr">
        <is>
          <t xml:space="preserve">A commission is only as good as its members.</t>
        </is>
      </c>
      <c r="H239" s="124" t="inlineStr">
        <is>
          <t xml:space="preserve">Five Point Independents</t>
        </is>
      </c>
    </row>
    <row r="240">
      <c r="A240" s="121" t="inlineStr">
        <is>
          <t xml:space="preserve">BI40</t>
        </is>
      </c>
      <c r="B240" s="121" t="inlineStr">
        <is>
          <t xml:space="preserve">PT05</t>
        </is>
      </c>
      <c r="C240" s="121">
        <v>21</v>
      </c>
      <c r="D240" s="121">
        <v>4</v>
      </c>
      <c r="E240" s="121">
        <v>0</v>
      </c>
      <c r="F240" s="121" t="inlineStr">
        <is>
          <t xml:space="preserve">Supportive</t>
        </is>
      </c>
      <c r="G240" s="121" t="inlineStr">
        <is>
          <t xml:space="preserve">Orderly reform beats ad hoc fixes.</t>
        </is>
      </c>
      <c r="H240" s="124" t="inlineStr">
        <is>
          <t xml:space="preserve">Keizaijiyuutou</t>
        </is>
      </c>
    </row>
    <row r="241">
      <c r="A241" s="121" t="inlineStr">
        <is>
          <t xml:space="preserve">BI40</t>
        </is>
      </c>
      <c r="B241" s="121" t="inlineStr">
        <is>
          <t xml:space="preserve">PT06</t>
        </is>
      </c>
      <c r="C241" s="121">
        <v>4</v>
      </c>
      <c r="D241" s="121">
        <v>3</v>
      </c>
      <c r="E241" s="121">
        <v>4</v>
      </c>
      <c r="F241" s="121" t="inlineStr">
        <is>
          <t xml:space="preserve">Neutral</t>
        </is>
      </c>
      <c r="G241" s="121" t="inlineStr">
        <is>
          <t xml:space="preserve">Tradition must guide any amendment.</t>
        </is>
      </c>
      <c r="H241" s="124" t="inlineStr">
        <is>
          <t xml:space="preserve">Country Initiative</t>
        </is>
      </c>
    </row>
    <row r="242">
      <c r="A242" s="121" t="inlineStr">
        <is>
          <t xml:space="preserve">BI41</t>
        </is>
      </c>
      <c r="B242" s="121" t="inlineStr">
        <is>
          <t xml:space="preserve">PT01</t>
        </is>
      </c>
      <c r="C242" s="121">
        <v>14</v>
      </c>
      <c r="D242" s="121">
        <v>5</v>
      </c>
      <c r="E242" s="121">
        <v>0</v>
      </c>
      <c r="F242" s="121" t="inlineStr">
        <is>
          <t xml:space="preserve">Supportive</t>
        </is>
      </c>
      <c r="G242" s="121" t="inlineStr">
        <is>
          <t xml:space="preserve">Fewer border delays help ordinary travelers.</t>
        </is>
      </c>
      <c r="H242" s="124" t="inlineStr">
        <is>
          <t xml:space="preserve">Butsutou</t>
        </is>
      </c>
    </row>
    <row r="243">
      <c r="A243" s="121" t="inlineStr">
        <is>
          <t xml:space="preserve">BI41</t>
        </is>
      </c>
      <c r="B243" s="121" t="inlineStr">
        <is>
          <t xml:space="preserve">PT02</t>
        </is>
      </c>
      <c r="C243" s="121">
        <v>3</v>
      </c>
      <c r="D243" s="121">
        <v>11</v>
      </c>
      <c r="E243" s="121">
        <v>0</v>
      </c>
      <c r="F243" s="121" t="inlineStr">
        <is>
          <t xml:space="preserve">Opposed</t>
        </is>
      </c>
      <c r="G243" s="121" t="inlineStr">
        <is>
          <t xml:space="preserve">We should not hand our borders away.</t>
        </is>
      </c>
      <c r="H243" s="124" t="inlineStr">
        <is>
          <t xml:space="preserve">Yezo Heritage Party</t>
        </is>
      </c>
    </row>
    <row r="244">
      <c r="A244" s="121" t="inlineStr">
        <is>
          <t xml:space="preserve">BI41</t>
        </is>
      </c>
      <c r="B244" s="121" t="inlineStr">
        <is>
          <t xml:space="preserve">PT03</t>
        </is>
      </c>
      <c r="C244" s="121">
        <v>12</v>
      </c>
      <c r="D244" s="121">
        <v>5</v>
      </c>
      <c r="E244" s="121">
        <v>10</v>
      </c>
      <c r="F244" s="121" t="inlineStr">
        <is>
          <t xml:space="preserve">Neutral</t>
        </is>
      </c>
      <c r="G244" s="121" t="inlineStr">
        <is>
          <t xml:space="preserve">Good for trade; wary of the details.</t>
        </is>
      </c>
      <c r="H244" s="124" t="inlineStr">
        <is>
          <t xml:space="preserve">Frontier Party</t>
        </is>
      </c>
    </row>
    <row r="245">
      <c r="A245" s="121" t="inlineStr">
        <is>
          <t xml:space="preserve">BI41</t>
        </is>
      </c>
      <c r="B245" s="121" t="inlineStr">
        <is>
          <t xml:space="preserve">PT04</t>
        </is>
      </c>
      <c r="C245" s="121">
        <v>1</v>
      </c>
      <c r="D245" s="121">
        <v>4</v>
      </c>
      <c r="E245" s="121">
        <v>0</v>
      </c>
      <c r="F245" s="121" t="inlineStr">
        <is>
          <t xml:space="preserve">Opposed</t>
        </is>
      </c>
      <c r="G245" s="121" t="inlineStr">
        <is>
          <t xml:space="preserve">Our districts see no gain from this.</t>
        </is>
      </c>
      <c r="H245" s="124" t="inlineStr">
        <is>
          <t xml:space="preserve">Five Point Independents</t>
        </is>
      </c>
    </row>
    <row r="246">
      <c r="A246" s="121" t="inlineStr">
        <is>
          <t xml:space="preserve">BI41</t>
        </is>
      </c>
      <c r="B246" s="121" t="inlineStr">
        <is>
          <t xml:space="preserve">PT05</t>
        </is>
      </c>
      <c r="C246" s="121">
        <v>18</v>
      </c>
      <c r="D246" s="121">
        <v>7</v>
      </c>
      <c r="E246" s="121">
        <v>0</v>
      </c>
      <c r="F246" s="121" t="inlineStr">
        <is>
          <t xml:space="preserve">Supportive</t>
        </is>
      </c>
      <c r="G246" s="121" t="inlineStr">
        <is>
          <t xml:space="preserve">Faster customs mean faster trade.</t>
        </is>
      </c>
      <c r="H246" s="124" t="inlineStr">
        <is>
          <t xml:space="preserve">Keizaijiyuutou</t>
        </is>
      </c>
    </row>
    <row r="247">
      <c r="A247" s="121" t="inlineStr">
        <is>
          <t xml:space="preserve">BI41</t>
        </is>
      </c>
      <c r="B247" s="121" t="inlineStr">
        <is>
          <t xml:space="preserve">PT06</t>
        </is>
      </c>
      <c r="C247" s="121">
        <v>8</v>
      </c>
      <c r="D247" s="121">
        <v>3</v>
      </c>
      <c r="E247" s="121">
        <v>0</v>
      </c>
      <c r="F247" s="121" t="inlineStr">
        <is>
          <t xml:space="preserve">Supportive</t>
        </is>
      </c>
      <c r="G247" s="121" t="inlineStr">
        <is>
          <t xml:space="preserve">Close ties with Japan serve us well.</t>
        </is>
      </c>
      <c r="H247" s="124" t="inlineStr">
        <is>
          <t xml:space="preserve">Country Initiative</t>
        </is>
      </c>
    </row>
    <row r="248">
      <c r="A248" s="121" t="inlineStr">
        <is>
          <t xml:space="preserve">BI42</t>
        </is>
      </c>
      <c r="B248" s="121" t="inlineStr">
        <is>
          <t xml:space="preserve">PT01</t>
        </is>
      </c>
      <c r="C248" s="121">
        <v>14</v>
      </c>
      <c r="D248" s="121">
        <v>5</v>
      </c>
      <c r="E248" s="121">
        <v>0</v>
      </c>
      <c r="F248" s="121" t="inlineStr">
        <is>
          <t xml:space="preserve">Supportive</t>
        </is>
      </c>
      <c r="G248" s="121" t="inlineStr">
        <is>
          <t xml:space="preserve">Shared prosperity beats rivalry on the islands.</t>
        </is>
      </c>
      <c r="H248" s="124" t="inlineStr">
        <is>
          <t xml:space="preserve">Butsutou</t>
        </is>
      </c>
    </row>
    <row r="249">
      <c r="A249" s="121" t="inlineStr">
        <is>
          <t xml:space="preserve">BI42</t>
        </is>
      </c>
      <c r="B249" s="121" t="inlineStr">
        <is>
          <t xml:space="preserve">PT02</t>
        </is>
      </c>
      <c r="C249" s="121">
        <v>4</v>
      </c>
      <c r="D249" s="121">
        <v>5</v>
      </c>
      <c r="E249" s="121">
        <v>5</v>
      </c>
      <c r="F249" s="121" t="inlineStr">
        <is>
          <t xml:space="preserve">Neutral</t>
        </is>
      </c>
      <c r="G249" s="121" t="inlineStr">
        <is>
          <t xml:space="preserve">Develop the islands only with local consent.</t>
        </is>
      </c>
      <c r="H249" s="124" t="inlineStr">
        <is>
          <t xml:space="preserve">Yezo Heritage Party</t>
        </is>
      </c>
    </row>
    <row r="250">
      <c r="A250" s="121" t="inlineStr">
        <is>
          <t xml:space="preserve">BI42</t>
        </is>
      </c>
      <c r="B250" s="121" t="inlineStr">
        <is>
          <t xml:space="preserve">PT03</t>
        </is>
      </c>
      <c r="C250" s="121">
        <v>9</v>
      </c>
      <c r="D250" s="121">
        <v>8</v>
      </c>
      <c r="E250" s="121">
        <v>10</v>
      </c>
      <c r="F250" s="121" t="inlineStr">
        <is>
          <t xml:space="preserve">Neutral</t>
        </is>
      </c>
      <c r="G250" s="121" t="inlineStr">
        <is>
          <t xml:space="preserve">Jobs matter, but so do fishing rights.</t>
        </is>
      </c>
      <c r="H250" s="124" t="inlineStr">
        <is>
          <t xml:space="preserve">Frontier Party</t>
        </is>
      </c>
    </row>
    <row r="251">
      <c r="A251" s="121" t="inlineStr">
        <is>
          <t xml:space="preserve">BI42</t>
        </is>
      </c>
      <c r="B251" s="121" t="inlineStr">
        <is>
          <t xml:space="preserve">PT04</t>
        </is>
      </c>
      <c r="C251" s="121">
        <v>1</v>
      </c>
      <c r="D251" s="121">
        <v>2</v>
      </c>
      <c r="E251" s="121">
        <v>2</v>
      </c>
      <c r="F251" s="121" t="inlineStr">
        <is>
          <t xml:space="preserve">Neutral</t>
        </is>
      </c>
      <c r="G251" s="121" t="inlineStr">
        <is>
          <t xml:space="preserve">Another deal, another set of winners.</t>
        </is>
      </c>
      <c r="H251" s="124" t="inlineStr">
        <is>
          <t xml:space="preserve">Five Point Independents</t>
        </is>
      </c>
    </row>
    <row r="252">
      <c r="A252" s="121" t="inlineStr">
        <is>
          <t xml:space="preserve">BI42</t>
        </is>
      </c>
      <c r="B252" s="121" t="inlineStr">
        <is>
          <t xml:space="preserve">PT05</t>
        </is>
      </c>
      <c r="C252" s="121">
        <v>19</v>
      </c>
      <c r="D252" s="121">
        <v>6</v>
      </c>
      <c r="E252" s="121">
        <v>0</v>
      </c>
      <c r="F252" s="121" t="inlineStr">
        <is>
          <t xml:space="preserve">Supportive</t>
        </is>
      </c>
      <c r="G252" s="121" t="inlineStr">
        <is>
          <t xml:space="preserve">Open resources create growth. We say yes.</t>
        </is>
      </c>
      <c r="H252" s="124" t="inlineStr">
        <is>
          <t xml:space="preserve">Keizaijiyuutou</t>
        </is>
      </c>
    </row>
    <row r="253">
      <c r="A253" s="121" t="inlineStr">
        <is>
          <t xml:space="preserve">BI42</t>
        </is>
      </c>
      <c r="B253" s="121" t="inlineStr">
        <is>
          <t xml:space="preserve">PT06</t>
        </is>
      </c>
      <c r="C253" s="121">
        <v>8</v>
      </c>
      <c r="D253" s="121">
        <v>3</v>
      </c>
      <c r="E253" s="121">
        <v>0</v>
      </c>
      <c r="F253" s="121" t="inlineStr">
        <is>
          <t xml:space="preserve">Supportive</t>
        </is>
      </c>
      <c r="G253" s="121" t="inlineStr">
        <is>
          <t xml:space="preserve">Chishima's wealth should serve Yezo first.</t>
        </is>
      </c>
      <c r="H253" s="124" t="inlineStr">
        <is>
          <t xml:space="preserve">Country Initiative</t>
        </is>
      </c>
    </row>
    <row r="254">
      <c r="A254" s="121" t="inlineStr">
        <is>
          <t xml:space="preserve">BI43</t>
        </is>
      </c>
      <c r="B254" s="121" t="inlineStr">
        <is>
          <t xml:space="preserve">PT01</t>
        </is>
      </c>
      <c r="C254" s="121">
        <v>5</v>
      </c>
      <c r="D254" s="121">
        <v>14</v>
      </c>
      <c r="E254" s="121">
        <v>0</v>
      </c>
      <c r="F254" s="121" t="inlineStr">
        <is>
          <t xml:space="preserve">Opposed</t>
        </is>
      </c>
      <c r="G254" s="121" t="inlineStr">
        <is>
          <t xml:space="preserve">Trade must not trample the vulnerable.</t>
        </is>
      </c>
      <c r="H254" s="124" t="inlineStr">
        <is>
          <t xml:space="preserve">Butsutou</t>
        </is>
      </c>
    </row>
    <row r="255">
      <c r="A255" s="121" t="inlineStr">
        <is>
          <t xml:space="preserve">BI43</t>
        </is>
      </c>
      <c r="B255" s="121" t="inlineStr">
        <is>
          <t xml:space="preserve">PT02</t>
        </is>
      </c>
      <c r="C255" s="121">
        <v>2</v>
      </c>
      <c r="D255" s="121">
        <v>7</v>
      </c>
      <c r="E255" s="121">
        <v>5</v>
      </c>
      <c r="F255" s="121" t="inlineStr">
        <is>
          <t xml:space="preserve">Neutral</t>
        </is>
      </c>
      <c r="G255" s="121" t="inlineStr">
        <is>
          <t xml:space="preserve">Prices matter, but so does our independence.</t>
        </is>
      </c>
      <c r="H255" s="124" t="inlineStr">
        <is>
          <t xml:space="preserve">Yezo Heritage Party</t>
        </is>
      </c>
    </row>
    <row r="256">
      <c r="A256" s="121" t="inlineStr">
        <is>
          <t xml:space="preserve">BI43</t>
        </is>
      </c>
      <c r="B256" s="121" t="inlineStr">
        <is>
          <t xml:space="preserve">PT03</t>
        </is>
      </c>
      <c r="C256" s="121">
        <v>8</v>
      </c>
      <c r="D256" s="121">
        <v>19</v>
      </c>
      <c r="E256" s="121">
        <v>0</v>
      </c>
      <c r="F256" s="121" t="inlineStr">
        <is>
          <t xml:space="preserve">Opposed</t>
        </is>
      </c>
      <c r="G256" s="121" t="inlineStr">
        <is>
          <t xml:space="preserve">Cheap imports will hollow out our farms.</t>
        </is>
      </c>
      <c r="H256" s="124" t="inlineStr">
        <is>
          <t xml:space="preserve">Frontier Party</t>
        </is>
      </c>
    </row>
    <row r="257">
      <c r="A257" s="121" t="inlineStr">
        <is>
          <t xml:space="preserve">BI43</t>
        </is>
      </c>
      <c r="B257" s="121" t="inlineStr">
        <is>
          <t xml:space="preserve">PT04</t>
        </is>
      </c>
      <c r="C257" s="121">
        <v>1</v>
      </c>
      <c r="D257" s="121">
        <v>4</v>
      </c>
      <c r="E257" s="121">
        <v>0</v>
      </c>
      <c r="F257" s="121" t="inlineStr">
        <is>
          <t xml:space="preserve">Opposed</t>
        </is>
      </c>
      <c r="G257" s="121" t="inlineStr">
        <is>
          <t xml:space="preserve">Our voters did not ask for this.</t>
        </is>
      </c>
      <c r="H257" s="124" t="inlineStr">
        <is>
          <t xml:space="preserve">Five Point Independents</t>
        </is>
      </c>
    </row>
    <row r="258">
      <c r="A258" s="121" t="inlineStr">
        <is>
          <t xml:space="preserve">BI43</t>
        </is>
      </c>
      <c r="B258" s="121" t="inlineStr">
        <is>
          <t xml:space="preserve">PT05</t>
        </is>
      </c>
      <c r="C258" s="121">
        <v>20</v>
      </c>
      <c r="D258" s="121">
        <v>5</v>
      </c>
      <c r="E258" s="121">
        <v>0</v>
      </c>
      <c r="F258" s="121" t="inlineStr">
        <is>
          <t xml:space="preserve">Supportive</t>
        </is>
      </c>
      <c r="G258" s="121" t="inlineStr">
        <is>
          <t xml:space="preserve">Free trade makes everyone richer.</t>
        </is>
      </c>
      <c r="H258" s="124" t="inlineStr">
        <is>
          <t xml:space="preserve">Keizaijiyuutou</t>
        </is>
      </c>
    </row>
    <row r="259">
      <c r="A259" s="121" t="inlineStr">
        <is>
          <t xml:space="preserve">BI43</t>
        </is>
      </c>
      <c r="B259" s="121" t="inlineStr">
        <is>
          <t xml:space="preserve">PT06</t>
        </is>
      </c>
      <c r="C259" s="121">
        <v>3</v>
      </c>
      <c r="D259" s="121">
        <v>8</v>
      </c>
      <c r="E259" s="121">
        <v>0</v>
      </c>
      <c r="F259" s="121" t="inlineStr">
        <is>
          <t xml:space="preserve">Opposed</t>
        </is>
      </c>
      <c r="G259" s="121" t="inlineStr">
        <is>
          <t xml:space="preserve">We should not depend on a rival power.</t>
        </is>
      </c>
      <c r="H259" s="124" t="inlineStr">
        <is>
          <t xml:space="preserve">Country Initiative</t>
        </is>
      </c>
    </row>
    <row r="260">
      <c r="A260" s="121" t="inlineStr">
        <is>
          <t xml:space="preserve">BI44</t>
        </is>
      </c>
      <c r="B260" s="121" t="inlineStr">
        <is>
          <t xml:space="preserve">PT01</t>
        </is>
      </c>
      <c r="C260" s="121">
        <v>17</v>
      </c>
      <c r="D260" s="121">
        <v>2</v>
      </c>
      <c r="E260" s="121">
        <v>0</v>
      </c>
      <c r="F260" s="121" t="inlineStr">
        <is>
          <t xml:space="preserve">Supportive</t>
        </is>
      </c>
      <c r="G260" s="121" t="inlineStr">
        <is>
          <t xml:space="preserve">Keep the farms alive for the next generation.</t>
        </is>
      </c>
      <c r="H260" s="124" t="inlineStr">
        <is>
          <t xml:space="preserve">Butsutou</t>
        </is>
      </c>
    </row>
    <row r="261">
      <c r="A261" s="121" t="inlineStr">
        <is>
          <t xml:space="preserve">BI44</t>
        </is>
      </c>
      <c r="B261" s="121" t="inlineStr">
        <is>
          <t xml:space="preserve">PT02</t>
        </is>
      </c>
      <c r="C261" s="121">
        <v>13</v>
      </c>
      <c r="D261" s="121">
        <v>1</v>
      </c>
      <c r="E261" s="121">
        <v>0</v>
      </c>
      <c r="F261" s="121" t="inlineStr">
        <is>
          <t xml:space="preserve">Supportive</t>
        </is>
      </c>
      <c r="G261" s="121" t="inlineStr">
        <is>
          <t xml:space="preserve">The land passes to those who love it.</t>
        </is>
      </c>
      <c r="H261" s="124" t="inlineStr">
        <is>
          <t xml:space="preserve">Yezo Heritage Party</t>
        </is>
      </c>
    </row>
    <row r="262">
      <c r="A262" s="121" t="inlineStr">
        <is>
          <t xml:space="preserve">BI44</t>
        </is>
      </c>
      <c r="B262" s="121" t="inlineStr">
        <is>
          <t xml:space="preserve">PT03</t>
        </is>
      </c>
      <c r="C262" s="121">
        <v>26</v>
      </c>
      <c r="D262" s="121">
        <v>1</v>
      </c>
      <c r="E262" s="121">
        <v>0</v>
      </c>
      <c r="F262" s="121" t="inlineStr">
        <is>
          <t xml:space="preserve">Supportive</t>
        </is>
      </c>
      <c r="G262" s="121" t="inlineStr">
        <is>
          <t xml:space="preserve">Finally, a future for young farmers!</t>
        </is>
      </c>
      <c r="H262" s="124" t="inlineStr">
        <is>
          <t xml:space="preserve">Frontier Party</t>
        </is>
      </c>
    </row>
    <row r="263">
      <c r="A263" s="121" t="inlineStr">
        <is>
          <t xml:space="preserve">BI44</t>
        </is>
      </c>
      <c r="B263" s="121" t="inlineStr">
        <is>
          <t xml:space="preserve">PT04</t>
        </is>
      </c>
      <c r="C263" s="121">
        <v>3</v>
      </c>
      <c r="D263" s="121">
        <v>2</v>
      </c>
      <c r="E263" s="121">
        <v>0</v>
      </c>
      <c r="F263" s="121" t="inlineStr">
        <is>
          <t xml:space="preserve">Supportive</t>
        </is>
      </c>
      <c r="G263" s="121" t="inlineStr">
        <is>
          <t xml:space="preserve">Back the farm families. It is simple.</t>
        </is>
      </c>
      <c r="H263" s="124" t="inlineStr">
        <is>
          <t xml:space="preserve">Five Point Independents</t>
        </is>
      </c>
    </row>
    <row r="264">
      <c r="A264" s="121" t="inlineStr">
        <is>
          <t xml:space="preserve">BI44</t>
        </is>
      </c>
      <c r="B264" s="121" t="inlineStr">
        <is>
          <t xml:space="preserve">PT05</t>
        </is>
      </c>
      <c r="C264" s="121">
        <v>8</v>
      </c>
      <c r="D264" s="121">
        <v>8</v>
      </c>
      <c r="E264" s="121">
        <v>9</v>
      </c>
      <c r="F264" s="121" t="inlineStr">
        <is>
          <t xml:space="preserve">Neutral</t>
        </is>
      </c>
      <c r="G264" s="121" t="inlineStr">
        <is>
          <t xml:space="preserve">Support farms, but watch the bill.</t>
        </is>
      </c>
      <c r="H264" s="124" t="inlineStr">
        <is>
          <t xml:space="preserve">Keizaijiyuutou</t>
        </is>
      </c>
    </row>
    <row r="265">
      <c r="A265" s="121" t="inlineStr">
        <is>
          <t xml:space="preserve">BI44</t>
        </is>
      </c>
      <c r="B265" s="121" t="inlineStr">
        <is>
          <t xml:space="preserve">PT06</t>
        </is>
      </c>
      <c r="C265" s="121">
        <v>1</v>
      </c>
      <c r="D265" s="121">
        <v>6</v>
      </c>
      <c r="E265" s="121">
        <v>4</v>
      </c>
      <c r="F265" s="121" t="inlineStr">
        <is>
          <t xml:space="preserve">Neutral</t>
        </is>
      </c>
      <c r="G265" s="121" t="inlineStr">
        <is>
          <t xml:space="preserve">Farms are tradition, but money is tight.</t>
        </is>
      </c>
      <c r="H265" s="124" t="inlineStr">
        <is>
          <t xml:space="preserve">Country Initiative</t>
        </is>
      </c>
    </row>
    <row r="266">
      <c r="A266" s="121" t="inlineStr">
        <is>
          <t xml:space="preserve">BI45</t>
        </is>
      </c>
      <c r="B266" s="121" t="inlineStr">
        <is>
          <t xml:space="preserve">PT01</t>
        </is>
      </c>
      <c r="C266" s="121">
        <v>6</v>
      </c>
      <c r="D266" s="121">
        <v>6</v>
      </c>
      <c r="E266" s="121">
        <v>7</v>
      </c>
      <c r="F266" s="121" t="inlineStr">
        <is>
          <t xml:space="preserve">Neutral</t>
        </is>
      </c>
      <c r="G266" s="121" t="inlineStr">
        <is>
          <t xml:space="preserve">Research is good; care for the needy first.</t>
        </is>
      </c>
      <c r="H266" s="124" t="inlineStr">
        <is>
          <t xml:space="preserve">Butsutou</t>
        </is>
      </c>
    </row>
    <row r="267">
      <c r="A267" s="121" t="inlineStr">
        <is>
          <t xml:space="preserve">BI45</t>
        </is>
      </c>
      <c r="B267" s="121" t="inlineStr">
        <is>
          <t xml:space="preserve">PT02</t>
        </is>
      </c>
      <c r="C267" s="121">
        <v>9</v>
      </c>
      <c r="D267" s="121">
        <v>4</v>
      </c>
      <c r="E267" s="121">
        <v>1</v>
      </c>
      <c r="F267" s="121" t="inlineStr">
        <is>
          <t xml:space="preserve">Supportive</t>
        </is>
      </c>
      <c r="G267" s="121" t="inlineStr">
        <is>
          <t xml:space="preserve">Our young people deserve research at home.</t>
        </is>
      </c>
      <c r="H267" s="124" t="inlineStr">
        <is>
          <t xml:space="preserve">Yezo Heritage Party</t>
        </is>
      </c>
    </row>
    <row r="268">
      <c r="A268" s="121" t="inlineStr">
        <is>
          <t xml:space="preserve">BI45</t>
        </is>
      </c>
      <c r="B268" s="121" t="inlineStr">
        <is>
          <t xml:space="preserve">PT03</t>
        </is>
      </c>
      <c r="C268" s="121">
        <v>23</v>
      </c>
      <c r="D268" s="121">
        <v>4</v>
      </c>
      <c r="E268" s="121">
        <v>0</v>
      </c>
      <c r="F268" s="121" t="inlineStr">
        <is>
          <t xml:space="preserve">Supportive</t>
        </is>
      </c>
      <c r="G268" s="121" t="inlineStr">
        <is>
          <t xml:space="preserve">Fund research, and rural minds will use it.</t>
        </is>
      </c>
      <c r="H268" s="124" t="inlineStr">
        <is>
          <t xml:space="preserve">Frontier Party</t>
        </is>
      </c>
    </row>
    <row r="269">
      <c r="A269" s="121" t="inlineStr">
        <is>
          <t xml:space="preserve">BI45</t>
        </is>
      </c>
      <c r="B269" s="121" t="inlineStr">
        <is>
          <t xml:space="preserve">PT04</t>
        </is>
      </c>
      <c r="C269" s="121">
        <v>4</v>
      </c>
      <c r="D269" s="121">
        <v>1</v>
      </c>
      <c r="E269" s="121">
        <v>0</v>
      </c>
      <c r="F269" s="121" t="inlineStr">
        <is>
          <t xml:space="preserve">Supportive</t>
        </is>
      </c>
      <c r="G269" s="121" t="inlineStr">
        <is>
          <t xml:space="preserve">Universities that serve their regions. Yes.</t>
        </is>
      </c>
      <c r="H269" s="124" t="inlineStr">
        <is>
          <t xml:space="preserve">Five Point Independents</t>
        </is>
      </c>
    </row>
    <row r="270">
      <c r="A270" s="121" t="inlineStr">
        <is>
          <t xml:space="preserve">BI45</t>
        </is>
      </c>
      <c r="B270" s="121" t="inlineStr">
        <is>
          <t xml:space="preserve">PT05</t>
        </is>
      </c>
      <c r="C270" s="121">
        <v>22</v>
      </c>
      <c r="D270" s="121">
        <v>3</v>
      </c>
      <c r="E270" s="121">
        <v>0</v>
      </c>
      <c r="F270" s="121" t="inlineStr">
        <is>
          <t xml:space="preserve">Supportive</t>
        </is>
      </c>
      <c r="G270" s="121" t="inlineStr">
        <is>
          <t xml:space="preserve">Research feeds the next industries.</t>
        </is>
      </c>
      <c r="H270" s="124" t="inlineStr">
        <is>
          <t xml:space="preserve">Keizaijiyuutou</t>
        </is>
      </c>
    </row>
    <row r="271">
      <c r="A271" s="121" t="inlineStr">
        <is>
          <t xml:space="preserve">BI45</t>
        </is>
      </c>
      <c r="B271" s="121" t="inlineStr">
        <is>
          <t xml:space="preserve">PT06</t>
        </is>
      </c>
      <c r="C271" s="121">
        <v>8</v>
      </c>
      <c r="D271" s="121">
        <v>3</v>
      </c>
      <c r="E271" s="121">
        <v>0</v>
      </c>
      <c r="F271" s="121" t="inlineStr">
        <is>
          <t xml:space="preserve">Supportive</t>
        </is>
      </c>
      <c r="G271" s="121" t="inlineStr">
        <is>
          <t xml:space="preserve">A learned nation is a strong nation.</t>
        </is>
      </c>
      <c r="H271" s="124" t="inlineStr">
        <is>
          <t xml:space="preserve">Country Initiative</t>
        </is>
      </c>
    </row>
    <row r="272">
      <c r="A272" s="121" t="inlineStr">
        <is>
          <t xml:space="preserve">BI46</t>
        </is>
      </c>
      <c r="B272" s="121" t="inlineStr">
        <is>
          <t xml:space="preserve">PT01</t>
        </is>
      </c>
      <c r="C272" s="121">
        <v>18</v>
      </c>
      <c r="D272" s="121">
        <v>1</v>
      </c>
      <c r="E272" s="121">
        <v>0</v>
      </c>
      <c r="F272" s="121" t="inlineStr">
        <is>
          <t xml:space="preserve">Supportive</t>
        </is>
      </c>
      <c r="G272" s="121" t="inlineStr">
        <is>
          <t xml:space="preserve">Fair treatment at work is a basic right.</t>
        </is>
      </c>
      <c r="H272" s="124" t="inlineStr">
        <is>
          <t xml:space="preserve">Butsutou</t>
        </is>
      </c>
    </row>
    <row r="273">
      <c r="A273" s="121" t="inlineStr">
        <is>
          <t xml:space="preserve">BI46</t>
        </is>
      </c>
      <c r="B273" s="121" t="inlineStr">
        <is>
          <t xml:space="preserve">PT02</t>
        </is>
      </c>
      <c r="C273" s="121">
        <v>10</v>
      </c>
      <c r="D273" s="121">
        <v>4</v>
      </c>
      <c r="E273" s="121">
        <v>0</v>
      </c>
      <c r="F273" s="121" t="inlineStr">
        <is>
          <t xml:space="preserve">Supportive</t>
        </is>
      </c>
      <c r="G273" s="121" t="inlineStr">
        <is>
          <t xml:space="preserve">No one is turned away for who they are.</t>
        </is>
      </c>
      <c r="H273" s="124" t="inlineStr">
        <is>
          <t xml:space="preserve">Yezo Heritage Party</t>
        </is>
      </c>
    </row>
    <row r="274">
      <c r="A274" s="121" t="inlineStr">
        <is>
          <t xml:space="preserve">BI46</t>
        </is>
      </c>
      <c r="B274" s="121" t="inlineStr">
        <is>
          <t xml:space="preserve">PT03</t>
        </is>
      </c>
      <c r="C274" s="121">
        <v>26</v>
      </c>
      <c r="D274" s="121">
        <v>1</v>
      </c>
      <c r="E274" s="121">
        <v>0</v>
      </c>
      <c r="F274" s="121" t="inlineStr">
        <is>
          <t xml:space="preserve">Supportive</t>
        </is>
      </c>
      <c r="G274" s="121" t="inlineStr">
        <is>
          <t xml:space="preserve">Equal pay and equal respect. Pass it.</t>
        </is>
      </c>
      <c r="H274" s="124" t="inlineStr">
        <is>
          <t xml:space="preserve">Frontier Party</t>
        </is>
      </c>
    </row>
    <row r="275">
      <c r="A275" s="121" t="inlineStr">
        <is>
          <t xml:space="preserve">BI46</t>
        </is>
      </c>
      <c r="B275" s="121" t="inlineStr">
        <is>
          <t xml:space="preserve">PT04</t>
        </is>
      </c>
      <c r="C275" s="121">
        <v>4</v>
      </c>
      <c r="D275" s="121">
        <v>1</v>
      </c>
      <c r="E275" s="121">
        <v>0</v>
      </c>
      <c r="F275" s="121" t="inlineStr">
        <is>
          <t xml:space="preserve">Supportive</t>
        </is>
      </c>
      <c r="G275" s="121" t="inlineStr">
        <is>
          <t xml:space="preserve">Fair rules for every worker. We agree.</t>
        </is>
      </c>
      <c r="H275" s="124" t="inlineStr">
        <is>
          <t xml:space="preserve">Five Point Independents</t>
        </is>
      </c>
    </row>
    <row r="276">
      <c r="A276" s="121" t="inlineStr">
        <is>
          <t xml:space="preserve">BI46</t>
        </is>
      </c>
      <c r="B276" s="121" t="inlineStr">
        <is>
          <t xml:space="preserve">PT05</t>
        </is>
      </c>
      <c r="C276" s="121">
        <v>5</v>
      </c>
      <c r="D276" s="121">
        <v>20</v>
      </c>
      <c r="E276" s="121">
        <v>0</v>
      </c>
      <c r="F276" s="121" t="inlineStr">
        <is>
          <t xml:space="preserve">Opposed</t>
        </is>
      </c>
      <c r="G276" s="121" t="inlineStr">
        <is>
          <t xml:space="preserve">More regulation means fewer hires.</t>
        </is>
      </c>
      <c r="H276" s="124" t="inlineStr">
        <is>
          <t xml:space="preserve">Keizaijiyuutou</t>
        </is>
      </c>
    </row>
    <row r="277">
      <c r="A277" s="121" t="inlineStr">
        <is>
          <t xml:space="preserve">BI46</t>
        </is>
      </c>
      <c r="B277" s="121" t="inlineStr">
        <is>
          <t xml:space="preserve">PT06</t>
        </is>
      </c>
      <c r="C277" s="121">
        <v>3</v>
      </c>
      <c r="D277" s="121">
        <v>8</v>
      </c>
      <c r="E277" s="121">
        <v>0</v>
      </c>
      <c r="F277" s="121" t="inlineStr">
        <is>
          <t xml:space="preserve">Opposed</t>
        </is>
      </c>
      <c r="G277" s="121" t="inlineStr">
        <is>
          <t xml:space="preserve">Employers, not the state, should decide.</t>
        </is>
      </c>
      <c r="H277" s="124" t="inlineStr">
        <is>
          <t xml:space="preserve">Country Initiative</t>
        </is>
      </c>
    </row>
    <row r="278">
      <c r="A278" s="121" t="inlineStr">
        <is>
          <t xml:space="preserve">BI47</t>
        </is>
      </c>
      <c r="B278" s="121" t="inlineStr">
        <is>
          <t xml:space="preserve">PT01</t>
        </is>
      </c>
      <c r="C278" s="121">
        <v>16</v>
      </c>
      <c r="D278" s="121">
        <v>3</v>
      </c>
      <c r="E278" s="121">
        <v>0</v>
      </c>
      <c r="F278" s="121" t="inlineStr">
        <is>
          <t xml:space="preserve">Supportive</t>
        </is>
      </c>
      <c r="G278" s="121" t="inlineStr">
        <is>
          <t xml:space="preserve">Families need time together. Make it law.</t>
        </is>
      </c>
      <c r="H278" s="124" t="inlineStr">
        <is>
          <t xml:space="preserve">Butsutou</t>
        </is>
      </c>
    </row>
    <row r="279">
      <c r="A279" s="121" t="inlineStr">
        <is>
          <t xml:space="preserve">BI47</t>
        </is>
      </c>
      <c r="B279" s="121" t="inlineStr">
        <is>
          <t xml:space="preserve">PT02</t>
        </is>
      </c>
      <c r="C279" s="121">
        <v>9</v>
      </c>
      <c r="D279" s="121">
        <v>4</v>
      </c>
      <c r="E279" s="121">
        <v>1</v>
      </c>
      <c r="F279" s="121" t="inlineStr">
        <is>
          <t xml:space="preserve">Supportive</t>
        </is>
      </c>
      <c r="G279" s="121" t="inlineStr">
        <is>
          <t xml:space="preserve">Children and parents both deserve support.</t>
        </is>
      </c>
      <c r="H279" s="124" t="inlineStr">
        <is>
          <t xml:space="preserve">Yezo Heritage Party</t>
        </is>
      </c>
    </row>
    <row r="280">
      <c r="A280" s="121" t="inlineStr">
        <is>
          <t xml:space="preserve">BI47</t>
        </is>
      </c>
      <c r="B280" s="121" t="inlineStr">
        <is>
          <t xml:space="preserve">PT03</t>
        </is>
      </c>
      <c r="C280" s="121">
        <v>26</v>
      </c>
      <c r="D280" s="121">
        <v>1</v>
      </c>
      <c r="E280" s="121">
        <v>0</v>
      </c>
      <c r="F280" s="121" t="inlineStr">
        <is>
          <t xml:space="preserve">Supportive</t>
        </is>
      </c>
      <c r="G280" s="121" t="inlineStr">
        <is>
          <t xml:space="preserve">Rural families need childcare close to home.</t>
        </is>
      </c>
      <c r="H280" s="124" t="inlineStr">
        <is>
          <t xml:space="preserve">Frontier Party</t>
        </is>
      </c>
    </row>
    <row r="281">
      <c r="A281" s="121" t="inlineStr">
        <is>
          <t xml:space="preserve">BI47</t>
        </is>
      </c>
      <c r="B281" s="121" t="inlineStr">
        <is>
          <t xml:space="preserve">PT04</t>
        </is>
      </c>
      <c r="C281" s="121">
        <v>4</v>
      </c>
      <c r="D281" s="121">
        <v>1</v>
      </c>
      <c r="E281" s="121">
        <v>0</v>
      </c>
      <c r="F281" s="121" t="inlineStr">
        <is>
          <t xml:space="preserve">Supportive</t>
        </is>
      </c>
      <c r="G281" s="121" t="inlineStr">
        <is>
          <t xml:space="preserve">Practical help for working parents. Yes.</t>
        </is>
      </c>
      <c r="H281" s="124" t="inlineStr">
        <is>
          <t xml:space="preserve">Five Point Independents</t>
        </is>
      </c>
    </row>
    <row r="282">
      <c r="A282" s="121" t="inlineStr">
        <is>
          <t xml:space="preserve">BI47</t>
        </is>
      </c>
      <c r="B282" s="121" t="inlineStr">
        <is>
          <t xml:space="preserve">PT05</t>
        </is>
      </c>
      <c r="C282" s="121">
        <v>8</v>
      </c>
      <c r="D282" s="121">
        <v>8</v>
      </c>
      <c r="E282" s="121">
        <v>9</v>
      </c>
      <c r="F282" s="121" t="inlineStr">
        <is>
          <t xml:space="preserve">Neutral</t>
        </is>
      </c>
      <c r="G282" s="121" t="inlineStr">
        <is>
          <t xml:space="preserve">Families need help, but costs matter.</t>
        </is>
      </c>
      <c r="H282" s="124" t="inlineStr">
        <is>
          <t xml:space="preserve">Keizaijiyuutou</t>
        </is>
      </c>
    </row>
    <row r="283">
      <c r="A283" s="121" t="inlineStr">
        <is>
          <t xml:space="preserve">BI47</t>
        </is>
      </c>
      <c r="B283" s="121" t="inlineStr">
        <is>
          <t xml:space="preserve">PT06</t>
        </is>
      </c>
      <c r="C283" s="121">
        <v>8</v>
      </c>
      <c r="D283" s="121">
        <v>3</v>
      </c>
      <c r="E283" s="121">
        <v>0</v>
      </c>
      <c r="F283" s="121" t="inlineStr">
        <is>
          <t xml:space="preserve">Supportive</t>
        </is>
      </c>
      <c r="G283" s="121" t="inlineStr">
        <is>
          <t xml:space="preserve">Strong families make a strong nation.</t>
        </is>
      </c>
      <c r="H283" s="124" t="inlineStr">
        <is>
          <t xml:space="preserve">Country Initiative</t>
        </is>
      </c>
    </row>
    <row r="284">
      <c r="A284" s="121" t="inlineStr">
        <is>
          <t xml:space="preserve">BI48</t>
        </is>
      </c>
      <c r="B284" s="121" t="inlineStr">
        <is>
          <t xml:space="preserve">PT01</t>
        </is>
      </c>
      <c r="C284" s="121">
        <v>5</v>
      </c>
      <c r="D284" s="121">
        <v>14</v>
      </c>
      <c r="E284" s="121">
        <v>0</v>
      </c>
      <c r="F284" s="121" t="inlineStr">
        <is>
          <t xml:space="preserve">Opposed</t>
        </is>
      </c>
      <c r="G284" s="121" t="inlineStr">
        <is>
          <t xml:space="preserve">Cameras watching everyone betray basic dignity.</t>
        </is>
      </c>
      <c r="H284" s="124" t="inlineStr">
        <is>
          <t xml:space="preserve">Butsutou</t>
        </is>
      </c>
    </row>
    <row r="285">
      <c r="A285" s="121" t="inlineStr">
        <is>
          <t xml:space="preserve">BI48</t>
        </is>
      </c>
      <c r="B285" s="121" t="inlineStr">
        <is>
          <t xml:space="preserve">PT02</t>
        </is>
      </c>
      <c r="C285" s="121">
        <v>5</v>
      </c>
      <c r="D285" s="121">
        <v>4</v>
      </c>
      <c r="E285" s="121">
        <v>5</v>
      </c>
      <c r="F285" s="121" t="inlineStr">
        <is>
          <t xml:space="preserve">Neutral</t>
        </is>
      </c>
      <c r="G285" s="121" t="inlineStr">
        <is>
          <t xml:space="preserve">Watching everyone makes no one safer.</t>
        </is>
      </c>
      <c r="H285" s="124" t="inlineStr">
        <is>
          <t xml:space="preserve">Yezo Heritage Party</t>
        </is>
      </c>
    </row>
    <row r="286">
      <c r="A286" s="121" t="inlineStr">
        <is>
          <t xml:space="preserve">BI48</t>
        </is>
      </c>
      <c r="B286" s="121" t="inlineStr">
        <is>
          <t xml:space="preserve">PT03</t>
        </is>
      </c>
      <c r="C286" s="121">
        <v>7</v>
      </c>
      <c r="D286" s="121">
        <v>10</v>
      </c>
      <c r="E286" s="121">
        <v>10</v>
      </c>
      <c r="F286" s="121" t="inlineStr">
        <is>
          <t xml:space="preserve">Neutral</t>
        </is>
      </c>
      <c r="G286" s="121" t="inlineStr">
        <is>
          <t xml:space="preserve">Our towns have little crime to watch.</t>
        </is>
      </c>
      <c r="H286" s="124" t="inlineStr">
        <is>
          <t xml:space="preserve">Frontier Party</t>
        </is>
      </c>
    </row>
    <row r="287">
      <c r="A287" s="121" t="inlineStr">
        <is>
          <t xml:space="preserve">BI48</t>
        </is>
      </c>
      <c r="B287" s="121" t="inlineStr">
        <is>
          <t xml:space="preserve">PT04</t>
        </is>
      </c>
      <c r="C287" s="121">
        <v>1</v>
      </c>
      <c r="D287" s="121">
        <v>2</v>
      </c>
      <c r="E287" s="121">
        <v>2</v>
      </c>
      <c r="F287" s="121" t="inlineStr">
        <is>
          <t xml:space="preserve">Neutral</t>
        </is>
      </c>
      <c r="G287" s="121" t="inlineStr">
        <is>
          <t xml:space="preserve">Cameras are fine if the rules are clear.</t>
        </is>
      </c>
      <c r="H287" s="124" t="inlineStr">
        <is>
          <t xml:space="preserve">Five Point Independents</t>
        </is>
      </c>
    </row>
    <row r="288">
      <c r="A288" s="121" t="inlineStr">
        <is>
          <t xml:space="preserve">BI48</t>
        </is>
      </c>
      <c r="B288" s="121" t="inlineStr">
        <is>
          <t xml:space="preserve">PT05</t>
        </is>
      </c>
      <c r="C288" s="121">
        <v>18</v>
      </c>
      <c r="D288" s="121">
        <v>7</v>
      </c>
      <c r="E288" s="121">
        <v>0</v>
      </c>
      <c r="F288" s="121" t="inlineStr">
        <is>
          <t xml:space="preserve">Supportive</t>
        </is>
      </c>
      <c r="G288" s="121" t="inlineStr">
        <is>
          <t xml:space="preserve">Safer streets are good for business.</t>
        </is>
      </c>
      <c r="H288" s="124" t="inlineStr">
        <is>
          <t xml:space="preserve">Keizaijiyuutou</t>
        </is>
      </c>
    </row>
    <row r="289">
      <c r="A289" s="121" t="inlineStr">
        <is>
          <t xml:space="preserve">BI48</t>
        </is>
      </c>
      <c r="B289" s="121" t="inlineStr">
        <is>
          <t xml:space="preserve">PT06</t>
        </is>
      </c>
      <c r="C289" s="121">
        <v>4</v>
      </c>
      <c r="D289" s="121">
        <v>3</v>
      </c>
      <c r="E289" s="121">
        <v>4</v>
      </c>
      <c r="F289" s="121" t="inlineStr">
        <is>
          <t xml:space="preserve">Neutral</t>
        </is>
      </c>
      <c r="G289" s="121" t="inlineStr">
        <is>
          <t xml:space="preserve">Order matters, but oversight must be strict.</t>
        </is>
      </c>
      <c r="H289" s="124" t="inlineStr">
        <is>
          <t xml:space="preserve">Country Initiative</t>
        </is>
      </c>
    </row>
    <row r="290">
      <c r="A290" s="121" t="inlineStr">
        <is>
          <t xml:space="preserve">BI49</t>
        </is>
      </c>
      <c r="B290" s="121" t="inlineStr">
        <is>
          <t xml:space="preserve">PT01</t>
        </is>
      </c>
      <c r="C290" s="121">
        <v>6</v>
      </c>
      <c r="D290" s="121">
        <v>6</v>
      </c>
      <c r="E290" s="121">
        <v>7</v>
      </c>
      <c r="F290" s="121" t="inlineStr">
        <is>
          <t xml:space="preserve">Neutral</t>
        </is>
      </c>
      <c r="G290" s="121" t="inlineStr">
        <is>
          <t xml:space="preserve">Efficiency is fine; communities must have a say.</t>
        </is>
      </c>
      <c r="H290" s="124" t="inlineStr">
        <is>
          <t xml:space="preserve">Butsutou</t>
        </is>
      </c>
    </row>
    <row r="291">
      <c r="A291" s="121" t="inlineStr">
        <is>
          <t xml:space="preserve">BI49</t>
        </is>
      </c>
      <c r="B291" s="121" t="inlineStr">
        <is>
          <t xml:space="preserve">PT02</t>
        </is>
      </c>
      <c r="C291" s="121">
        <v>1</v>
      </c>
      <c r="D291" s="121">
        <v>13</v>
      </c>
      <c r="E291" s="121">
        <v>0</v>
      </c>
      <c r="F291" s="121" t="inlineStr">
        <is>
          <t xml:space="preserve">Opposed</t>
        </is>
      </c>
      <c r="G291" s="121" t="inlineStr">
        <is>
          <t xml:space="preserve">Merged towns forget their own people.</t>
        </is>
      </c>
      <c r="H291" s="124" t="inlineStr">
        <is>
          <t xml:space="preserve">Yezo Heritage Party</t>
        </is>
      </c>
    </row>
    <row r="292">
      <c r="A292" s="121" t="inlineStr">
        <is>
          <t xml:space="preserve">BI49</t>
        </is>
      </c>
      <c r="B292" s="121" t="inlineStr">
        <is>
          <t xml:space="preserve">PT03</t>
        </is>
      </c>
      <c r="C292" s="121">
        <v>4</v>
      </c>
      <c r="D292" s="121">
        <v>23</v>
      </c>
      <c r="E292" s="121">
        <v>0</v>
      </c>
      <c r="F292" s="121" t="inlineStr">
        <is>
          <t xml:space="preserve">Opposed</t>
        </is>
      </c>
      <c r="G292" s="121" t="inlineStr">
        <is>
          <t xml:space="preserve">Our villages will vanish into larger towns.</t>
        </is>
      </c>
      <c r="H292" s="124" t="inlineStr">
        <is>
          <t xml:space="preserve">Frontier Party</t>
        </is>
      </c>
    </row>
    <row r="293">
      <c r="A293" s="121" t="inlineStr">
        <is>
          <t xml:space="preserve">BI49</t>
        </is>
      </c>
      <c r="B293" s="121" t="inlineStr">
        <is>
          <t xml:space="preserve">PT04</t>
        </is>
      </c>
      <c r="C293" s="121">
        <v>0</v>
      </c>
      <c r="D293" s="121">
        <v>5</v>
      </c>
      <c r="E293" s="121">
        <v>0</v>
      </c>
      <c r="F293" s="121" t="inlineStr">
        <is>
          <t xml:space="preserve">Opposed</t>
        </is>
      </c>
      <c r="G293" s="121" t="inlineStr">
        <is>
          <t xml:space="preserve">Local voices should not be merged away.</t>
        </is>
      </c>
      <c r="H293" s="124" t="inlineStr">
        <is>
          <t xml:space="preserve">Five Point Independents</t>
        </is>
      </c>
    </row>
    <row r="294">
      <c r="A294" s="121" t="inlineStr">
        <is>
          <t xml:space="preserve">BI49</t>
        </is>
      </c>
      <c r="B294" s="121" t="inlineStr">
        <is>
          <t xml:space="preserve">PT05</t>
        </is>
      </c>
      <c r="C294" s="121">
        <v>9</v>
      </c>
      <c r="D294" s="121">
        <v>7</v>
      </c>
      <c r="E294" s="121">
        <v>9</v>
      </c>
      <c r="F294" s="121" t="inlineStr">
        <is>
          <t xml:space="preserve">Neutral</t>
        </is>
      </c>
      <c r="G294" s="121" t="inlineStr">
        <is>
          <t xml:space="preserve">Savings are real, but so are local ties.</t>
        </is>
      </c>
      <c r="H294" s="124" t="inlineStr">
        <is>
          <t xml:space="preserve">Keizaijiyuutou</t>
        </is>
      </c>
    </row>
    <row r="295">
      <c r="A295" s="121" t="inlineStr">
        <is>
          <t xml:space="preserve">BI49</t>
        </is>
      </c>
      <c r="B295" s="121" t="inlineStr">
        <is>
          <t xml:space="preserve">PT06</t>
        </is>
      </c>
      <c r="C295" s="121">
        <v>6</v>
      </c>
      <c r="D295" s="121">
        <v>1</v>
      </c>
      <c r="E295" s="121">
        <v>4</v>
      </c>
      <c r="F295" s="121" t="inlineStr">
        <is>
          <t xml:space="preserve">Neutral</t>
        </is>
      </c>
      <c r="G295" s="121" t="inlineStr">
        <is>
          <t xml:space="preserve">Keep local ties, trim the waste.</t>
        </is>
      </c>
      <c r="H295" s="124" t="inlineStr">
        <is>
          <t xml:space="preserve">Country Initiative</t>
        </is>
      </c>
    </row>
    <row r="296">
      <c r="A296" s="121" t="inlineStr">
        <is>
          <t xml:space="preserve">BI50</t>
        </is>
      </c>
      <c r="B296" s="121" t="inlineStr">
        <is>
          <t xml:space="preserve">PT01</t>
        </is>
      </c>
      <c r="C296" s="121">
        <v>9</v>
      </c>
      <c r="D296" s="121">
        <v>3</v>
      </c>
      <c r="E296" s="121">
        <v>7</v>
      </c>
      <c r="F296" s="121" t="inlineStr">
        <is>
          <t xml:space="preserve">Neutral</t>
        </is>
      </c>
      <c r="G296" s="121" t="inlineStr">
        <is>
          <t xml:space="preserve">Open ballots are good, if done fairly.</t>
        </is>
      </c>
      <c r="H296" s="124" t="inlineStr">
        <is>
          <t xml:space="preserve">Butsutou</t>
        </is>
      </c>
    </row>
    <row r="297">
      <c r="A297" s="121" t="inlineStr">
        <is>
          <t xml:space="preserve">BI50</t>
        </is>
      </c>
      <c r="B297" s="121" t="inlineStr">
        <is>
          <t xml:space="preserve">PT02</t>
        </is>
      </c>
      <c r="C297" s="121">
        <v>9</v>
      </c>
      <c r="D297" s="121">
        <v>4</v>
      </c>
      <c r="E297" s="121">
        <v>1</v>
      </c>
      <c r="F297" s="121" t="inlineStr">
        <is>
          <t xml:space="preserve">Supportive</t>
        </is>
      </c>
      <c r="G297" s="121" t="inlineStr">
        <is>
          <t xml:space="preserve">Let the members choose their leader.</t>
        </is>
      </c>
      <c r="H297" s="124" t="inlineStr">
        <is>
          <t xml:space="preserve">Yezo Heritage Party</t>
        </is>
      </c>
    </row>
    <row r="298">
      <c r="A298" s="121" t="inlineStr">
        <is>
          <t xml:space="preserve">BI50</t>
        </is>
      </c>
      <c r="B298" s="121" t="inlineStr">
        <is>
          <t xml:space="preserve">PT03</t>
        </is>
      </c>
      <c r="C298" s="121">
        <v>8</v>
      </c>
      <c r="D298" s="121">
        <v>9</v>
      </c>
      <c r="E298" s="121">
        <v>10</v>
      </c>
      <c r="F298" s="121" t="inlineStr">
        <is>
          <t xml:space="preserve">Neutral</t>
        </is>
      </c>
      <c r="G298" s="121" t="inlineStr">
        <is>
          <t xml:space="preserve">Our party already listens to its members.</t>
        </is>
      </c>
      <c r="H298" s="124" t="inlineStr">
        <is>
          <t xml:space="preserve">Frontier Party</t>
        </is>
      </c>
    </row>
    <row r="299">
      <c r="A299" s="121" t="inlineStr">
        <is>
          <t xml:space="preserve">BI50</t>
        </is>
      </c>
      <c r="B299" s="121" t="inlineStr">
        <is>
          <t xml:space="preserve">PT04</t>
        </is>
      </c>
      <c r="C299" s="121">
        <v>2</v>
      </c>
      <c r="D299" s="121">
        <v>1</v>
      </c>
      <c r="E299" s="121">
        <v>2</v>
      </c>
      <c r="F299" s="121" t="inlineStr">
        <is>
          <t xml:space="preserve">Neutral</t>
        </is>
      </c>
      <c r="G299" s="121" t="inlineStr">
        <is>
          <t xml:space="preserve">A small party needs a steady hand.</t>
        </is>
      </c>
      <c r="H299" s="124" t="inlineStr">
        <is>
          <t xml:space="preserve">Five Point Independents</t>
        </is>
      </c>
    </row>
    <row r="300">
      <c r="A300" s="121" t="inlineStr">
        <is>
          <t xml:space="preserve">BI50</t>
        </is>
      </c>
      <c r="B300" s="121" t="inlineStr">
        <is>
          <t xml:space="preserve">PT05</t>
        </is>
      </c>
      <c r="C300" s="121">
        <v>1</v>
      </c>
      <c r="D300" s="121">
        <v>24</v>
      </c>
      <c r="E300" s="121">
        <v>0</v>
      </c>
      <c r="F300" s="121" t="inlineStr">
        <is>
          <t xml:space="preserve">Opposed</t>
        </is>
      </c>
      <c r="G300" s="121" t="inlineStr">
        <is>
          <t xml:space="preserve">Parties should run themselves.</t>
        </is>
      </c>
      <c r="H300" s="124" t="inlineStr">
        <is>
          <t xml:space="preserve">Keizaijiyuutou</t>
        </is>
      </c>
    </row>
    <row r="301">
      <c r="A301" s="121" t="inlineStr">
        <is>
          <t xml:space="preserve">BI50</t>
        </is>
      </c>
      <c r="B301" s="121" t="inlineStr">
        <is>
          <t xml:space="preserve">PT06</t>
        </is>
      </c>
      <c r="C301" s="121">
        <v>3</v>
      </c>
      <c r="D301" s="121">
        <v>8</v>
      </c>
      <c r="E301" s="121">
        <v>0</v>
      </c>
      <c r="F301" s="121" t="inlineStr">
        <is>
          <t xml:space="preserve">Opposed</t>
        </is>
      </c>
      <c r="G301" s="121" t="inlineStr">
        <is>
          <t xml:space="preserve">Leadership is earned, not voted by the crowd.</t>
        </is>
      </c>
      <c r="H301" s="124" t="inlineStr">
        <is>
          <t xml:space="preserve">Country Initiative</t>
        </is>
      </c>
    </row>
  </sheetData>
  <phoneticPr fontId="20" type="noConversion"/>
  <pageMargins left="0.75" right="0.75" top="1" bottom="1" header="0.5" footer="0.5"/>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DCF67-3ADC-4C17-96DE-EB797CC48467}">
  <dimension ref="A1:J34"/>
  <sheetViews>
    <sheetView workbookViewId="0">
      <selection activeCell="M14" sqref="M14"/>
    </sheetView>
  </sheetViews>
  <sheetFormatPr defaultColWidth="8.7109375" defaultRowHeight="15"/>
  <cols>
    <col min="1" max="1" width="10" customWidth="1"/>
    <col min="2" max="2" width="36" customWidth="1"/>
    <col min="3" max="4" width="7" customWidth="1"/>
    <col min="5" max="5" width="9" customWidth="1"/>
    <col min="6" max="6" width="8" customWidth="1"/>
    <col min="7" max="7" width="14" customWidth="1"/>
    <col min="8" max="8" width="13" customWidth="1"/>
    <col min="9" max="9" width="16" customWidth="1"/>
    <col min="10" max="10" width="14" customWidth="1"/>
  </cols>
  <sheetData>
    <row r="1" spans="1:10" ht="60">
      <c r="A1" s="120" t="s">
        <v>4843</v>
      </c>
      <c r="B1" s="120" t="s">
        <v>4764</v>
      </c>
      <c r="C1" s="120" t="s">
        <v>671</v>
      </c>
      <c r="D1" s="120" t="s">
        <v>650</v>
      </c>
      <c r="E1" s="120" t="s">
        <v>2839</v>
      </c>
      <c r="F1" s="120" t="s">
        <v>4765</v>
      </c>
      <c r="G1" s="120" t="s">
        <v>4766</v>
      </c>
      <c r="H1" s="120" t="s">
        <v>4767</v>
      </c>
      <c r="I1" s="120" t="s">
        <v>4768</v>
      </c>
      <c r="J1" s="120" t="s">
        <v>4769</v>
      </c>
    </row>
    <row r="2" spans="1:10">
      <c r="A2" s="121" t="s">
        <v>4781</v>
      </c>
      <c r="B2" s="121" t="s">
        <v>4528</v>
      </c>
      <c r="C2" s="121">
        <f>SUMIFS('Floor Vote Party Positions'!$C:$C,'Floor Vote Party Positions'!$A:$A,A2)</f>
        <v>45</v>
      </c>
      <c r="D2" s="121">
        <f>SUMIFS('Floor Vote Party Positions'!$D:$D,'Floor Vote Party Positions'!$A:$A,A2)</f>
        <v>48</v>
      </c>
      <c r="E2" s="121">
        <f>SUMIFS('Floor Vote Party Positions'!$E:$E,'Floor Vote Party Positions'!$A:$A,A2)</f>
        <v>8</v>
      </c>
      <c r="F2" s="121">
        <f>SUM(C2:E2)</f>
        <v>101</v>
      </c>
      <c r="G2" s="121" t="str">
        <f>IF(C2&gt;=51,"Passes","Fails")</f>
        <v>Fails</v>
      </c>
      <c r="H2" s="121">
        <f>C2-51</f>
        <v>-6</v>
      </c>
      <c r="I2" s="121" t="str">
        <f>IF(OR(C2=51,C2=51-1),"SWING","—")</f>
        <v>—</v>
      </c>
      <c r="J2" s="121" t="str">
        <f>IF(C2&gt;50,"Passes","Fails")</f>
        <v>Fails</v>
      </c>
    </row>
    <row r="3" spans="1:10">
      <c r="A3" s="121" t="s">
        <v>4782</v>
      </c>
      <c r="B3" s="121" t="s">
        <v>4530</v>
      </c>
      <c r="C3" s="121">
        <f>SUMIFS('Floor Vote Party Positions'!$C:$C,'Floor Vote Party Positions'!$A:$A,A3)</f>
        <v>76</v>
      </c>
      <c r="D3" s="121">
        <f>SUMIFS('Floor Vote Party Positions'!$D:$D,'Floor Vote Party Positions'!$A:$A,A3)</f>
        <v>23</v>
      </c>
      <c r="E3" s="121">
        <f>SUMIFS('Floor Vote Party Positions'!$E:$E,'Floor Vote Party Positions'!$A:$A,A3)</f>
        <v>2</v>
      </c>
      <c r="F3" s="121">
        <f t="shared" ref="F3:F31" si="0">SUM(C3:E3)</f>
        <v>101</v>
      </c>
      <c r="G3" s="121" t="str">
        <f t="shared" ref="G3:G31" si="1">IF(C3&gt;=51,"Passes","Fails")</f>
        <v>Passes</v>
      </c>
      <c r="H3" s="121">
        <f t="shared" ref="H3:H31" si="2">C3-51</f>
        <v>25</v>
      </c>
      <c r="I3" s="121" t="str">
        <f t="shared" ref="I3:I31" si="3">IF(OR(C3=51,C3=51-1),"SWING","—")</f>
        <v>—</v>
      </c>
      <c r="J3" s="121" t="str">
        <f t="shared" ref="J3:J31" si="4">IF(C3&gt;50,"Passes","Fails")</f>
        <v>Passes</v>
      </c>
    </row>
    <row r="4" spans="1:10">
      <c r="A4" s="121" t="s">
        <v>4783</v>
      </c>
      <c r="B4" s="121" t="s">
        <v>4532</v>
      </c>
      <c r="C4" s="121">
        <f>SUMIFS('Floor Vote Party Positions'!$C:$C,'Floor Vote Party Positions'!$A:$A,A4)</f>
        <v>53</v>
      </c>
      <c r="D4" s="121">
        <f>SUMIFS('Floor Vote Party Positions'!$D:$D,'Floor Vote Party Positions'!$A:$A,A4)</f>
        <v>37</v>
      </c>
      <c r="E4" s="121">
        <f>SUMIFS('Floor Vote Party Positions'!$E:$E,'Floor Vote Party Positions'!$A:$A,A4)</f>
        <v>11</v>
      </c>
      <c r="F4" s="121">
        <f t="shared" si="0"/>
        <v>101</v>
      </c>
      <c r="G4" s="121" t="str">
        <f t="shared" si="1"/>
        <v>Passes</v>
      </c>
      <c r="H4" s="121">
        <f t="shared" si="2"/>
        <v>2</v>
      </c>
      <c r="I4" s="121" t="str">
        <f t="shared" si="3"/>
        <v>—</v>
      </c>
      <c r="J4" s="121" t="str">
        <f t="shared" si="4"/>
        <v>Passes</v>
      </c>
    </row>
    <row r="5" spans="1:10">
      <c r="A5" s="121" t="s">
        <v>4784</v>
      </c>
      <c r="B5" s="121" t="s">
        <v>4534</v>
      </c>
      <c r="C5" s="121">
        <f>SUMIFS('Floor Vote Party Positions'!$C:$C,'Floor Vote Party Positions'!$A:$A,A5)</f>
        <v>82</v>
      </c>
      <c r="D5" s="121">
        <f>SUMIFS('Floor Vote Party Positions'!$D:$D,'Floor Vote Party Positions'!$A:$A,A5)</f>
        <v>19</v>
      </c>
      <c r="E5" s="121">
        <f>SUMIFS('Floor Vote Party Positions'!$E:$E,'Floor Vote Party Positions'!$A:$A,A5)</f>
        <v>0</v>
      </c>
      <c r="F5" s="121">
        <f t="shared" si="0"/>
        <v>101</v>
      </c>
      <c r="G5" s="121" t="str">
        <f t="shared" si="1"/>
        <v>Passes</v>
      </c>
      <c r="H5" s="121">
        <f t="shared" si="2"/>
        <v>31</v>
      </c>
      <c r="I5" s="121" t="str">
        <f t="shared" si="3"/>
        <v>—</v>
      </c>
      <c r="J5" s="121" t="str">
        <f t="shared" si="4"/>
        <v>Passes</v>
      </c>
    </row>
    <row r="6" spans="1:10" ht="30">
      <c r="A6" s="121" t="s">
        <v>4785</v>
      </c>
      <c r="B6" s="121" t="s">
        <v>4536</v>
      </c>
      <c r="C6" s="121">
        <f>SUMIFS('Floor Vote Party Positions'!$C:$C,'Floor Vote Party Positions'!$A:$A,A6)</f>
        <v>52</v>
      </c>
      <c r="D6" s="121">
        <f>SUMIFS('Floor Vote Party Positions'!$D:$D,'Floor Vote Party Positions'!$A:$A,A6)</f>
        <v>39</v>
      </c>
      <c r="E6" s="121">
        <f>SUMIFS('Floor Vote Party Positions'!$E:$E,'Floor Vote Party Positions'!$A:$A,A6)</f>
        <v>10</v>
      </c>
      <c r="F6" s="121">
        <f t="shared" si="0"/>
        <v>101</v>
      </c>
      <c r="G6" s="121" t="str">
        <f t="shared" si="1"/>
        <v>Passes</v>
      </c>
      <c r="H6" s="121">
        <f t="shared" si="2"/>
        <v>1</v>
      </c>
      <c r="I6" s="121" t="str">
        <f t="shared" si="3"/>
        <v>—</v>
      </c>
      <c r="J6" s="121" t="str">
        <f t="shared" si="4"/>
        <v>Passes</v>
      </c>
    </row>
    <row r="7" spans="1:10">
      <c r="A7" s="121" t="s">
        <v>4786</v>
      </c>
      <c r="B7" s="121" t="s">
        <v>4538</v>
      </c>
      <c r="C7" s="121">
        <f>SUMIFS('Floor Vote Party Positions'!$C:$C,'Floor Vote Party Positions'!$A:$A,A7)</f>
        <v>62</v>
      </c>
      <c r="D7" s="121">
        <f>SUMIFS('Floor Vote Party Positions'!$D:$D,'Floor Vote Party Positions'!$A:$A,A7)</f>
        <v>31</v>
      </c>
      <c r="E7" s="121">
        <f>SUMIFS('Floor Vote Party Positions'!$E:$E,'Floor Vote Party Positions'!$A:$A,A7)</f>
        <v>8</v>
      </c>
      <c r="F7" s="121">
        <f t="shared" si="0"/>
        <v>101</v>
      </c>
      <c r="G7" s="121" t="str">
        <f t="shared" si="1"/>
        <v>Passes</v>
      </c>
      <c r="H7" s="121">
        <f t="shared" si="2"/>
        <v>11</v>
      </c>
      <c r="I7" s="121" t="str">
        <f t="shared" si="3"/>
        <v>—</v>
      </c>
      <c r="J7" s="121" t="str">
        <f t="shared" si="4"/>
        <v>Passes</v>
      </c>
    </row>
    <row r="8" spans="1:10" ht="30">
      <c r="A8" s="121" t="s">
        <v>4787</v>
      </c>
      <c r="B8" s="121" t="s">
        <v>4540</v>
      </c>
      <c r="C8" s="121">
        <f>SUMIFS('Floor Vote Party Positions'!$C:$C,'Floor Vote Party Positions'!$A:$A,A8)</f>
        <v>68</v>
      </c>
      <c r="D8" s="121">
        <f>SUMIFS('Floor Vote Party Positions'!$D:$D,'Floor Vote Party Positions'!$A:$A,A8)</f>
        <v>33</v>
      </c>
      <c r="E8" s="121">
        <f>SUMIFS('Floor Vote Party Positions'!$E:$E,'Floor Vote Party Positions'!$A:$A,A8)</f>
        <v>0</v>
      </c>
      <c r="F8" s="121">
        <f t="shared" si="0"/>
        <v>101</v>
      </c>
      <c r="G8" s="121" t="str">
        <f t="shared" si="1"/>
        <v>Passes</v>
      </c>
      <c r="H8" s="121">
        <f t="shared" si="2"/>
        <v>17</v>
      </c>
      <c r="I8" s="121" t="str">
        <f t="shared" si="3"/>
        <v>—</v>
      </c>
      <c r="J8" s="121" t="str">
        <f t="shared" si="4"/>
        <v>Passes</v>
      </c>
    </row>
    <row r="9" spans="1:10">
      <c r="A9" s="121" t="s">
        <v>4788</v>
      </c>
      <c r="B9" s="121" t="s">
        <v>4542</v>
      </c>
      <c r="C9" s="121">
        <f>SUMIFS('Floor Vote Party Positions'!$C:$C,'Floor Vote Party Positions'!$A:$A,A9)</f>
        <v>63</v>
      </c>
      <c r="D9" s="121">
        <f>SUMIFS('Floor Vote Party Positions'!$D:$D,'Floor Vote Party Positions'!$A:$A,A9)</f>
        <v>29</v>
      </c>
      <c r="E9" s="121">
        <f>SUMIFS('Floor Vote Party Positions'!$E:$E,'Floor Vote Party Positions'!$A:$A,A9)</f>
        <v>9</v>
      </c>
      <c r="F9" s="121">
        <f t="shared" si="0"/>
        <v>101</v>
      </c>
      <c r="G9" s="121" t="str">
        <f t="shared" si="1"/>
        <v>Passes</v>
      </c>
      <c r="H9" s="121">
        <f t="shared" si="2"/>
        <v>12</v>
      </c>
      <c r="I9" s="121" t="str">
        <f t="shared" si="3"/>
        <v>—</v>
      </c>
      <c r="J9" s="121" t="str">
        <f t="shared" si="4"/>
        <v>Passes</v>
      </c>
    </row>
    <row r="10" spans="1:10">
      <c r="A10" s="121" t="s">
        <v>4789</v>
      </c>
      <c r="B10" s="121" t="s">
        <v>4544</v>
      </c>
      <c r="C10" s="121">
        <f>SUMIFS('Floor Vote Party Positions'!$C:$C,'Floor Vote Party Positions'!$A:$A,A10)</f>
        <v>54</v>
      </c>
      <c r="D10" s="121">
        <f>SUMIFS('Floor Vote Party Positions'!$D:$D,'Floor Vote Party Positions'!$A:$A,A10)</f>
        <v>35</v>
      </c>
      <c r="E10" s="121">
        <f>SUMIFS('Floor Vote Party Positions'!$E:$E,'Floor Vote Party Positions'!$A:$A,A10)</f>
        <v>12</v>
      </c>
      <c r="F10" s="121">
        <f t="shared" si="0"/>
        <v>101</v>
      </c>
      <c r="G10" s="121" t="str">
        <f t="shared" si="1"/>
        <v>Passes</v>
      </c>
      <c r="H10" s="121">
        <f t="shared" si="2"/>
        <v>3</v>
      </c>
      <c r="I10" s="121" t="str">
        <f t="shared" si="3"/>
        <v>—</v>
      </c>
      <c r="J10" s="121" t="str">
        <f t="shared" si="4"/>
        <v>Passes</v>
      </c>
    </row>
    <row r="11" spans="1:10">
      <c r="A11" s="121" t="s">
        <v>4790</v>
      </c>
      <c r="B11" s="121" t="s">
        <v>4546</v>
      </c>
      <c r="C11" s="121">
        <f>SUMIFS('Floor Vote Party Positions'!$C:$C,'Floor Vote Party Positions'!$A:$A,A11)</f>
        <v>55</v>
      </c>
      <c r="D11" s="121">
        <f>SUMIFS('Floor Vote Party Positions'!$D:$D,'Floor Vote Party Positions'!$A:$A,A11)</f>
        <v>40</v>
      </c>
      <c r="E11" s="121">
        <f>SUMIFS('Floor Vote Party Positions'!$E:$E,'Floor Vote Party Positions'!$A:$A,A11)</f>
        <v>6</v>
      </c>
      <c r="F11" s="121">
        <f t="shared" si="0"/>
        <v>101</v>
      </c>
      <c r="G11" s="121" t="str">
        <f t="shared" si="1"/>
        <v>Passes</v>
      </c>
      <c r="H11" s="121">
        <f t="shared" si="2"/>
        <v>4</v>
      </c>
      <c r="I11" s="121" t="str">
        <f t="shared" si="3"/>
        <v>—</v>
      </c>
      <c r="J11" s="121" t="str">
        <f t="shared" si="4"/>
        <v>Passes</v>
      </c>
    </row>
    <row r="12" spans="1:10">
      <c r="A12" s="121" t="s">
        <v>4792</v>
      </c>
      <c r="B12" s="121" t="s">
        <v>4548</v>
      </c>
      <c r="C12" s="121">
        <f>SUMIFS('Floor Vote Party Positions'!$C:$C,'Floor Vote Party Positions'!$A:$A,A12)</f>
        <v>41</v>
      </c>
      <c r="D12" s="121">
        <f>SUMIFS('Floor Vote Party Positions'!$D:$D,'Floor Vote Party Positions'!$A:$A,A12)</f>
        <v>51</v>
      </c>
      <c r="E12" s="121">
        <f>SUMIFS('Floor Vote Party Positions'!$E:$E,'Floor Vote Party Positions'!$A:$A,A12)</f>
        <v>9</v>
      </c>
      <c r="F12" s="121">
        <f t="shared" si="0"/>
        <v>101</v>
      </c>
      <c r="G12" s="121" t="str">
        <f t="shared" si="1"/>
        <v>Fails</v>
      </c>
      <c r="H12" s="121">
        <f t="shared" si="2"/>
        <v>-10</v>
      </c>
      <c r="I12" s="121" t="str">
        <f t="shared" si="3"/>
        <v>—</v>
      </c>
      <c r="J12" s="121" t="str">
        <f t="shared" si="4"/>
        <v>Fails</v>
      </c>
    </row>
    <row r="13" spans="1:10" ht="30">
      <c r="A13" s="121" t="s">
        <v>4793</v>
      </c>
      <c r="B13" s="121" t="s">
        <v>4550</v>
      </c>
      <c r="C13" s="121">
        <f>SUMIFS('Floor Vote Party Positions'!$C:$C,'Floor Vote Party Positions'!$A:$A,A13)</f>
        <v>58</v>
      </c>
      <c r="D13" s="121">
        <f>SUMIFS('Floor Vote Party Positions'!$D:$D,'Floor Vote Party Positions'!$A:$A,A13)</f>
        <v>35</v>
      </c>
      <c r="E13" s="121">
        <f>SUMIFS('Floor Vote Party Positions'!$E:$E,'Floor Vote Party Positions'!$A:$A,A13)</f>
        <v>8</v>
      </c>
      <c r="F13" s="121">
        <f t="shared" si="0"/>
        <v>101</v>
      </c>
      <c r="G13" s="121" t="str">
        <f t="shared" si="1"/>
        <v>Passes</v>
      </c>
      <c r="H13" s="121">
        <f t="shared" si="2"/>
        <v>7</v>
      </c>
      <c r="I13" s="121" t="str">
        <f t="shared" si="3"/>
        <v>—</v>
      </c>
      <c r="J13" s="121" t="str">
        <f t="shared" si="4"/>
        <v>Passes</v>
      </c>
    </row>
    <row r="14" spans="1:10">
      <c r="A14" s="121" t="s">
        <v>4794</v>
      </c>
      <c r="B14" s="121" t="s">
        <v>4552</v>
      </c>
      <c r="C14" s="121">
        <f>SUMIFS('Floor Vote Party Positions'!$C:$C,'Floor Vote Party Positions'!$A:$A,A14)</f>
        <v>60</v>
      </c>
      <c r="D14" s="121">
        <f>SUMIFS('Floor Vote Party Positions'!$D:$D,'Floor Vote Party Positions'!$A:$A,A14)</f>
        <v>26</v>
      </c>
      <c r="E14" s="121">
        <f>SUMIFS('Floor Vote Party Positions'!$E:$E,'Floor Vote Party Positions'!$A:$A,A14)</f>
        <v>15</v>
      </c>
      <c r="F14" s="121">
        <f t="shared" si="0"/>
        <v>101</v>
      </c>
      <c r="G14" s="121" t="str">
        <f t="shared" si="1"/>
        <v>Passes</v>
      </c>
      <c r="H14" s="121">
        <f t="shared" si="2"/>
        <v>9</v>
      </c>
      <c r="I14" s="121" t="str">
        <f t="shared" si="3"/>
        <v>—</v>
      </c>
      <c r="J14" s="121" t="str">
        <f t="shared" si="4"/>
        <v>Passes</v>
      </c>
    </row>
    <row r="15" spans="1:10">
      <c r="A15" s="121" t="s">
        <v>4795</v>
      </c>
      <c r="B15" s="121" t="s">
        <v>4554</v>
      </c>
      <c r="C15" s="121">
        <f>SUMIFS('Floor Vote Party Positions'!$C:$C,'Floor Vote Party Positions'!$A:$A,A15)</f>
        <v>71</v>
      </c>
      <c r="D15" s="121">
        <f>SUMIFS('Floor Vote Party Positions'!$D:$D,'Floor Vote Party Positions'!$A:$A,A15)</f>
        <v>30</v>
      </c>
      <c r="E15" s="121">
        <f>SUMIFS('Floor Vote Party Positions'!$E:$E,'Floor Vote Party Positions'!$A:$A,A15)</f>
        <v>0</v>
      </c>
      <c r="F15" s="121">
        <f t="shared" si="0"/>
        <v>101</v>
      </c>
      <c r="G15" s="121" t="str">
        <f t="shared" si="1"/>
        <v>Passes</v>
      </c>
      <c r="H15" s="121">
        <f t="shared" si="2"/>
        <v>20</v>
      </c>
      <c r="I15" s="121" t="str">
        <f t="shared" si="3"/>
        <v>—</v>
      </c>
      <c r="J15" s="121" t="str">
        <f t="shared" si="4"/>
        <v>Passes</v>
      </c>
    </row>
    <row r="16" spans="1:10">
      <c r="A16" s="121" t="s">
        <v>4796</v>
      </c>
      <c r="B16" s="121" t="s">
        <v>4556</v>
      </c>
      <c r="C16" s="121">
        <f>SUMIFS('Floor Vote Party Positions'!$C:$C,'Floor Vote Party Positions'!$A:$A,A16)</f>
        <v>48</v>
      </c>
      <c r="D16" s="121">
        <f>SUMIFS('Floor Vote Party Positions'!$D:$D,'Floor Vote Party Positions'!$A:$A,A16)</f>
        <v>34</v>
      </c>
      <c r="E16" s="121">
        <f>SUMIFS('Floor Vote Party Positions'!$E:$E,'Floor Vote Party Positions'!$A:$A,A16)</f>
        <v>19</v>
      </c>
      <c r="F16" s="121">
        <f t="shared" si="0"/>
        <v>101</v>
      </c>
      <c r="G16" s="121" t="str">
        <f t="shared" si="1"/>
        <v>Fails</v>
      </c>
      <c r="H16" s="121">
        <f t="shared" si="2"/>
        <v>-3</v>
      </c>
      <c r="I16" s="121" t="str">
        <f t="shared" si="3"/>
        <v>—</v>
      </c>
      <c r="J16" s="121" t="str">
        <f t="shared" si="4"/>
        <v>Fails</v>
      </c>
    </row>
    <row r="17" spans="1:10">
      <c r="A17" s="121" t="s">
        <v>4797</v>
      </c>
      <c r="B17" s="121" t="s">
        <v>4558</v>
      </c>
      <c r="C17" s="121">
        <f>SUMIFS('Floor Vote Party Positions'!$C:$C,'Floor Vote Party Positions'!$A:$A,A17)</f>
        <v>35</v>
      </c>
      <c r="D17" s="121">
        <f>SUMIFS('Floor Vote Party Positions'!$D:$D,'Floor Vote Party Positions'!$A:$A,A17)</f>
        <v>66</v>
      </c>
      <c r="E17" s="121">
        <f>SUMIFS('Floor Vote Party Positions'!$E:$E,'Floor Vote Party Positions'!$A:$A,A17)</f>
        <v>0</v>
      </c>
      <c r="F17" s="121">
        <f t="shared" si="0"/>
        <v>101</v>
      </c>
      <c r="G17" s="121" t="str">
        <f t="shared" si="1"/>
        <v>Fails</v>
      </c>
      <c r="H17" s="121">
        <f t="shared" si="2"/>
        <v>-16</v>
      </c>
      <c r="I17" s="121" t="str">
        <f t="shared" si="3"/>
        <v>—</v>
      </c>
      <c r="J17" s="121" t="str">
        <f t="shared" si="4"/>
        <v>Fails</v>
      </c>
    </row>
    <row r="18" spans="1:10">
      <c r="A18" s="121" t="s">
        <v>4798</v>
      </c>
      <c r="B18" s="121" t="s">
        <v>4560</v>
      </c>
      <c r="C18" s="121">
        <f>SUMIFS('Floor Vote Party Positions'!$C:$C,'Floor Vote Party Positions'!$A:$A,A18)</f>
        <v>62</v>
      </c>
      <c r="D18" s="121">
        <f>SUMIFS('Floor Vote Party Positions'!$D:$D,'Floor Vote Party Positions'!$A:$A,A18)</f>
        <v>33</v>
      </c>
      <c r="E18" s="121">
        <f>SUMIFS('Floor Vote Party Positions'!$E:$E,'Floor Vote Party Positions'!$A:$A,A18)</f>
        <v>6</v>
      </c>
      <c r="F18" s="121">
        <f t="shared" si="0"/>
        <v>101</v>
      </c>
      <c r="G18" s="121" t="str">
        <f t="shared" si="1"/>
        <v>Passes</v>
      </c>
      <c r="H18" s="121">
        <f t="shared" si="2"/>
        <v>11</v>
      </c>
      <c r="I18" s="121" t="str">
        <f t="shared" si="3"/>
        <v>—</v>
      </c>
      <c r="J18" s="121" t="str">
        <f t="shared" si="4"/>
        <v>Passes</v>
      </c>
    </row>
    <row r="19" spans="1:10">
      <c r="A19" s="121" t="s">
        <v>4799</v>
      </c>
      <c r="B19" s="121" t="s">
        <v>4562</v>
      </c>
      <c r="C19" s="121">
        <f>SUMIFS('Floor Vote Party Positions'!$C:$C,'Floor Vote Party Positions'!$A:$A,A19)</f>
        <v>55</v>
      </c>
      <c r="D19" s="121">
        <f>SUMIFS('Floor Vote Party Positions'!$D:$D,'Floor Vote Party Positions'!$A:$A,A19)</f>
        <v>46</v>
      </c>
      <c r="E19" s="121">
        <f>SUMIFS('Floor Vote Party Positions'!$E:$E,'Floor Vote Party Positions'!$A:$A,A19)</f>
        <v>0</v>
      </c>
      <c r="F19" s="121">
        <f t="shared" si="0"/>
        <v>101</v>
      </c>
      <c r="G19" s="121" t="str">
        <f t="shared" si="1"/>
        <v>Passes</v>
      </c>
      <c r="H19" s="121">
        <f t="shared" si="2"/>
        <v>4</v>
      </c>
      <c r="I19" s="121" t="str">
        <f t="shared" si="3"/>
        <v>—</v>
      </c>
      <c r="J19" s="121" t="str">
        <f t="shared" si="4"/>
        <v>Passes</v>
      </c>
    </row>
    <row r="20" spans="1:10" ht="30">
      <c r="A20" s="121" t="s">
        <v>4800</v>
      </c>
      <c r="B20" s="121" t="s">
        <v>4564</v>
      </c>
      <c r="C20" s="121">
        <f>SUMIFS('Floor Vote Party Positions'!$C:$C,'Floor Vote Party Positions'!$A:$A,A20)</f>
        <v>44</v>
      </c>
      <c r="D20" s="121">
        <f>SUMIFS('Floor Vote Party Positions'!$D:$D,'Floor Vote Party Positions'!$A:$A,A20)</f>
        <v>42</v>
      </c>
      <c r="E20" s="121">
        <f>SUMIFS('Floor Vote Party Positions'!$E:$E,'Floor Vote Party Positions'!$A:$A,A20)</f>
        <v>15</v>
      </c>
      <c r="F20" s="121">
        <f t="shared" si="0"/>
        <v>101</v>
      </c>
      <c r="G20" s="121" t="str">
        <f t="shared" si="1"/>
        <v>Fails</v>
      </c>
      <c r="H20" s="121">
        <f t="shared" si="2"/>
        <v>-7</v>
      </c>
      <c r="I20" s="121" t="str">
        <f t="shared" si="3"/>
        <v>—</v>
      </c>
      <c r="J20" s="121" t="str">
        <f t="shared" si="4"/>
        <v>Fails</v>
      </c>
    </row>
    <row r="21" spans="1:10" ht="30">
      <c r="A21" s="121" t="s">
        <v>4801</v>
      </c>
      <c r="B21" s="121" t="s">
        <v>4566</v>
      </c>
      <c r="C21" s="121">
        <f>SUMIFS('Floor Vote Party Positions'!$C:$C,'Floor Vote Party Positions'!$A:$A,A21)</f>
        <v>56</v>
      </c>
      <c r="D21" s="121">
        <f>SUMIFS('Floor Vote Party Positions'!$D:$D,'Floor Vote Party Positions'!$A:$A,A21)</f>
        <v>34</v>
      </c>
      <c r="E21" s="121">
        <f>SUMIFS('Floor Vote Party Positions'!$E:$E,'Floor Vote Party Positions'!$A:$A,A21)</f>
        <v>11</v>
      </c>
      <c r="F21" s="121">
        <f t="shared" si="0"/>
        <v>101</v>
      </c>
      <c r="G21" s="121" t="str">
        <f t="shared" si="1"/>
        <v>Passes</v>
      </c>
      <c r="H21" s="121">
        <f t="shared" si="2"/>
        <v>5</v>
      </c>
      <c r="I21" s="121" t="str">
        <f t="shared" si="3"/>
        <v>—</v>
      </c>
      <c r="J21" s="121" t="str">
        <f t="shared" si="4"/>
        <v>Passes</v>
      </c>
    </row>
    <row r="22" spans="1:10">
      <c r="A22" s="121" t="s">
        <v>4802</v>
      </c>
      <c r="B22" s="121" t="s">
        <v>4568</v>
      </c>
      <c r="C22" s="121">
        <f>SUMIFS('Floor Vote Party Positions'!$C:$C,'Floor Vote Party Positions'!$A:$A,A22)</f>
        <v>61</v>
      </c>
      <c r="D22" s="121">
        <f>SUMIFS('Floor Vote Party Positions'!$D:$D,'Floor Vote Party Positions'!$A:$A,A22)</f>
        <v>40</v>
      </c>
      <c r="E22" s="121">
        <f>SUMIFS('Floor Vote Party Positions'!$E:$E,'Floor Vote Party Positions'!$A:$A,A22)</f>
        <v>0</v>
      </c>
      <c r="F22" s="121">
        <f t="shared" si="0"/>
        <v>101</v>
      </c>
      <c r="G22" s="121" t="str">
        <f t="shared" si="1"/>
        <v>Passes</v>
      </c>
      <c r="H22" s="121">
        <f t="shared" si="2"/>
        <v>10</v>
      </c>
      <c r="I22" s="121" t="str">
        <f t="shared" si="3"/>
        <v>—</v>
      </c>
      <c r="J22" s="121" t="str">
        <f t="shared" si="4"/>
        <v>Passes</v>
      </c>
    </row>
    <row r="23" spans="1:10">
      <c r="A23" s="121" t="s">
        <v>4803</v>
      </c>
      <c r="B23" s="121" t="s">
        <v>4570</v>
      </c>
      <c r="C23" s="121">
        <f>SUMIFS('Floor Vote Party Positions'!$C:$C,'Floor Vote Party Positions'!$A:$A,A23)</f>
        <v>52</v>
      </c>
      <c r="D23" s="121">
        <f>SUMIFS('Floor Vote Party Positions'!$D:$D,'Floor Vote Party Positions'!$A:$A,A23)</f>
        <v>40</v>
      </c>
      <c r="E23" s="121">
        <f>SUMIFS('Floor Vote Party Positions'!$E:$E,'Floor Vote Party Positions'!$A:$A,A23)</f>
        <v>9</v>
      </c>
      <c r="F23" s="121">
        <f t="shared" si="0"/>
        <v>101</v>
      </c>
      <c r="G23" s="121" t="str">
        <f t="shared" si="1"/>
        <v>Passes</v>
      </c>
      <c r="H23" s="121">
        <f t="shared" si="2"/>
        <v>1</v>
      </c>
      <c r="I23" s="121" t="str">
        <f t="shared" si="3"/>
        <v>—</v>
      </c>
      <c r="J23" s="121" t="str">
        <f t="shared" si="4"/>
        <v>Passes</v>
      </c>
    </row>
    <row r="24" spans="1:10">
      <c r="A24" s="121" t="s">
        <v>4804</v>
      </c>
      <c r="B24" s="121" t="s">
        <v>4572</v>
      </c>
      <c r="C24" s="121">
        <f>SUMIFS('Floor Vote Party Positions'!$C:$C,'Floor Vote Party Positions'!$A:$A,A24)</f>
        <v>41</v>
      </c>
      <c r="D24" s="121">
        <f>SUMIFS('Floor Vote Party Positions'!$D:$D,'Floor Vote Party Positions'!$A:$A,A24)</f>
        <v>51</v>
      </c>
      <c r="E24" s="121">
        <f>SUMIFS('Floor Vote Party Positions'!$E:$E,'Floor Vote Party Positions'!$A:$A,A24)</f>
        <v>9</v>
      </c>
      <c r="F24" s="121">
        <f t="shared" si="0"/>
        <v>101</v>
      </c>
      <c r="G24" s="121" t="str">
        <f t="shared" si="1"/>
        <v>Fails</v>
      </c>
      <c r="H24" s="121">
        <f t="shared" si="2"/>
        <v>-10</v>
      </c>
      <c r="I24" s="121" t="str">
        <f t="shared" si="3"/>
        <v>—</v>
      </c>
      <c r="J24" s="121" t="str">
        <f t="shared" si="4"/>
        <v>Fails</v>
      </c>
    </row>
    <row r="25" spans="1:10">
      <c r="A25" s="121" t="s">
        <v>4805</v>
      </c>
      <c r="B25" s="121" t="s">
        <v>4574</v>
      </c>
      <c r="C25" s="121">
        <f>SUMIFS('Floor Vote Party Positions'!$C:$C,'Floor Vote Party Positions'!$A:$A,A25)</f>
        <v>40</v>
      </c>
      <c r="D25" s="121">
        <f>SUMIFS('Floor Vote Party Positions'!$D:$D,'Floor Vote Party Positions'!$A:$A,A25)</f>
        <v>50</v>
      </c>
      <c r="E25" s="121">
        <f>SUMIFS('Floor Vote Party Positions'!$E:$E,'Floor Vote Party Positions'!$A:$A,A25)</f>
        <v>11</v>
      </c>
      <c r="F25" s="121">
        <f t="shared" si="0"/>
        <v>101</v>
      </c>
      <c r="G25" s="121" t="str">
        <f t="shared" si="1"/>
        <v>Fails</v>
      </c>
      <c r="H25" s="121">
        <f t="shared" si="2"/>
        <v>-11</v>
      </c>
      <c r="I25" s="121" t="str">
        <f t="shared" si="3"/>
        <v>—</v>
      </c>
      <c r="J25" s="121" t="str">
        <f t="shared" si="4"/>
        <v>Fails</v>
      </c>
    </row>
    <row r="26" spans="1:10">
      <c r="A26" s="121" t="s">
        <v>4806</v>
      </c>
      <c r="B26" s="121" t="s">
        <v>4576</v>
      </c>
      <c r="C26" s="121">
        <f>SUMIFS('Floor Vote Party Positions'!$C:$C,'Floor Vote Party Positions'!$A:$A,A26)</f>
        <v>48</v>
      </c>
      <c r="D26" s="121">
        <f>SUMIFS('Floor Vote Party Positions'!$D:$D,'Floor Vote Party Positions'!$A:$A,A26)</f>
        <v>43</v>
      </c>
      <c r="E26" s="121">
        <f>SUMIFS('Floor Vote Party Positions'!$E:$E,'Floor Vote Party Positions'!$A:$A,A26)</f>
        <v>10</v>
      </c>
      <c r="F26" s="121">
        <f t="shared" si="0"/>
        <v>101</v>
      </c>
      <c t="str" r="G26" s="121">
        <f t="shared" si="1"/>
        <v>Fails</v>
      </c>
      <c r="H26" s="121">
        <f t="shared" si="2"/>
        <v>-3</v>
      </c>
      <c t="str" r="I26" s="121">
        <f t="shared" si="3"/>
        <v>—</v>
      </c>
      <c t="str" r="J26" s="121">
        <f t="shared" si="4"/>
        <v>Fails</v>
      </c>
    </row>
    <row r="27" spans="1:10">
      <c r="A27" s="121" t="s">
        <v>4807</v>
      </c>
      <c r="B27" s="121" t="s">
        <v>4578</v>
      </c>
      <c r="C27" s="121">
        <f>SUMIFS('Floor Vote Party Positions'!$C:$C,'Floor Vote Party Positions'!$A:$A,A27)</f>
        <v>23</v>
      </c>
      <c r="D27" s="121">
        <f>SUMIFS('Floor Vote Party Positions'!$D:$D,'Floor Vote Party Positions'!$A:$A,A27)</f>
        <v>78</v>
      </c>
      <c r="E27" s="121">
        <f>SUMIFS('Floor Vote Party Positions'!$E:$E,'Floor Vote Party Positions'!$A:$A,A27)</f>
        <v>0</v>
      </c>
      <c r="F27" s="121">
        <f t="shared" si="0"/>
        <v>101</v>
      </c>
      <c r="G27" s="121" t="str">
        <f t="shared" si="1"/>
        <v>Fails</v>
      </c>
      <c r="H27" s="121">
        <f t="shared" si="2"/>
        <v>-28</v>
      </c>
      <c r="I27" s="121" t="str">
        <f t="shared" si="3"/>
        <v>—</v>
      </c>
      <c r="J27" s="121" t="str">
        <f t="shared" si="4"/>
        <v>Fails</v>
      </c>
    </row>
    <row r="28" spans="1:10">
      <c r="A28" s="121" t="s">
        <v>4808</v>
      </c>
      <c r="B28" s="121" t="s">
        <v>4580</v>
      </c>
      <c r="C28" s="121">
        <f>SUMIFS('Floor Vote Party Positions'!$C:$C,'Floor Vote Party Positions'!$A:$A,A28)</f>
        <v>37</v>
      </c>
      <c r="D28" s="121">
        <f>SUMIFS('Floor Vote Party Positions'!$D:$D,'Floor Vote Party Positions'!$A:$A,A28)</f>
        <v>53</v>
      </c>
      <c r="E28" s="121">
        <f>SUMIFS('Floor Vote Party Positions'!$E:$E,'Floor Vote Party Positions'!$A:$A,A28)</f>
        <v>11</v>
      </c>
      <c r="F28" s="121">
        <f t="shared" si="0"/>
        <v>101</v>
      </c>
      <c r="G28" s="121" t="str">
        <f t="shared" si="1"/>
        <v>Fails</v>
      </c>
      <c r="H28" s="121">
        <f t="shared" si="2"/>
        <v>-14</v>
      </c>
      <c r="I28" s="121" t="str">
        <f t="shared" si="3"/>
        <v>—</v>
      </c>
      <c r="J28" s="121" t="str">
        <f t="shared" si="4"/>
        <v>Fails</v>
      </c>
    </row>
    <row r="29" spans="1:10">
      <c r="A29" s="121" t="s">
        <v>4809</v>
      </c>
      <c r="B29" s="121" t="s">
        <v>4582</v>
      </c>
      <c r="C29" s="121">
        <f>SUMIFS('Floor Vote Party Positions'!$C:$C,'Floor Vote Party Positions'!$A:$A,A29)</f>
        <v>43</v>
      </c>
      <c r="D29" s="121">
        <f>SUMIFS('Floor Vote Party Positions'!$D:$D,'Floor Vote Party Positions'!$A:$A,A29)</f>
        <v>33</v>
      </c>
      <c r="E29" s="121">
        <f>SUMIFS('Floor Vote Party Positions'!$E:$E,'Floor Vote Party Positions'!$A:$A,A29)</f>
        <v>25</v>
      </c>
      <c r="F29" s="121">
        <f t="shared" si="0"/>
        <v>101</v>
      </c>
      <c r="G29" s="121" t="str">
        <f t="shared" si="1"/>
        <v>Fails</v>
      </c>
      <c r="H29" s="121">
        <f t="shared" si="2"/>
        <v>-8</v>
      </c>
      <c r="I29" s="121" t="str">
        <f t="shared" si="3"/>
        <v>—</v>
      </c>
      <c r="J29" s="121" t="str">
        <f t="shared" si="4"/>
        <v>Fails</v>
      </c>
    </row>
    <row r="30" spans="1:10">
      <c r="A30" s="121" t="s">
        <v>4810</v>
      </c>
      <c r="B30" s="121" t="s">
        <v>4584</v>
      </c>
      <c r="C30" s="121">
        <f>SUMIFS('Floor Vote Party Positions'!$C:$C,'Floor Vote Party Positions'!$A:$A,A30)</f>
        <v>63</v>
      </c>
      <c r="D30" s="121">
        <f>SUMIFS('Floor Vote Party Positions'!$D:$D,'Floor Vote Party Positions'!$A:$A,A30)</f>
        <v>31</v>
      </c>
      <c r="E30" s="121">
        <f>SUMIFS('Floor Vote Party Positions'!$E:$E,'Floor Vote Party Positions'!$A:$A,A30)</f>
        <v>7</v>
      </c>
      <c r="F30" s="121">
        <f t="shared" si="0"/>
        <v>101</v>
      </c>
      <c r="G30" s="121" t="str">
        <f t="shared" si="1"/>
        <v>Passes</v>
      </c>
      <c r="H30" s="121">
        <f t="shared" si="2"/>
        <v>12</v>
      </c>
      <c r="I30" s="121" t="str">
        <f t="shared" si="3"/>
        <v>—</v>
      </c>
      <c r="J30" s="121" t="str">
        <f t="shared" si="4"/>
        <v>Passes</v>
      </c>
    </row>
    <row r="31" spans="1:10">
      <c r="A31" s="121" t="s">
        <v>4811</v>
      </c>
      <c r="B31" s="121" t="s">
        <v>4586</v>
      </c>
      <c r="C31" s="121">
        <f>SUMIFS('Floor Vote Party Positions'!$C:$C,'Floor Vote Party Positions'!$A:$A,A31)</f>
        <v>26</v>
      </c>
      <c r="D31" s="121">
        <f>SUMIFS('Floor Vote Party Positions'!$D:$D,'Floor Vote Party Positions'!$A:$A,A31)</f>
        <v>51</v>
      </c>
      <c r="E31" s="121">
        <f>SUMIFS('Floor Vote Party Positions'!$E:$E,'Floor Vote Party Positions'!$A:$A,A31)</f>
        <v>24</v>
      </c>
      <c r="F31" s="121">
        <f t="shared" si="0"/>
        <v>101</v>
      </c>
      <c r="G31" s="121" t="str">
        <f t="shared" si="1"/>
        <v>Fails</v>
      </c>
      <c r="H31" s="121">
        <f t="shared" si="2"/>
        <v>-25</v>
      </c>
      <c r="I31" s="121" t="str">
        <f t="shared" si="3"/>
        <v>—</v>
      </c>
      <c r="J31" s="121" t="str">
        <f t="shared" si="4"/>
        <v>Fails</v>
      </c>
    </row>
    <row r="33" spans="1:10">
      <c r="A33" s="125" t="s">
        <v>4770</v>
      </c>
      <c r="B33" s="126"/>
      <c r="C33" s="126"/>
      <c r="D33" s="126"/>
      <c r="E33" s="126"/>
      <c r="F33" s="126" t="str">
        <f>IF(COUNTIF(F2:F31,"&lt;&gt;101")=0,"All bills = 101","CHECK")</f>
        <v>CHECK</v>
      </c>
      <c r="G33" s="126"/>
      <c r="H33" s="126"/>
      <c r="I33" s="126"/>
      <c r="J33" s="126" cm="1">
        <f t="array" ref="J33">COUNTIF(J2:J31, Passes)</f>
        <v>0</v>
      </c>
    </row>
    <row r="34" spans="1:10" ht="31.5" customHeight="1">
      <c r="A34" s="140" t="s">
        <v>4771</v>
      </c>
      <c r="B34" s="140"/>
      <c r="C34" s="140"/>
      <c r="D34" s="140"/>
      <c r="E34" s="140"/>
      <c r="F34" s="140"/>
      <c r="G34" s="140"/>
      <c r="H34" s="140"/>
      <c r="I34" s="140"/>
      <c r="J34" s="140"/>
    </row>
  </sheetData>
  <mergeCells count="1">
    <mergeCell ref="A34:J34"/>
  </mergeCells>
  <conditionalFormatting sqref="I2:I31">
    <cfRule type="expression" dxfId="0" priority="1">
      <formula>I2="SWING"</formula>
    </cfRule>
  </conditionalFormatting>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
  <sheetViews>
    <sheetView workbookViewId="0">
      <selection activeCell="B3" sqref="B3"/>
    </sheetView>
  </sheetViews>
  <sheetFormatPr defaultRowHeight="15"/>
  <sheetData>
    <row r="1" spans="1:3">
      <c r="A1" t="s">
        <v>755</v>
      </c>
      <c r="B1" t="s">
        <v>1664</v>
      </c>
      <c r="C1" t="s">
        <v>4527</v>
      </c>
    </row>
  </sheetData>
  <pageMargins left="0.75" right="0.75" top="1" bottom="1" header="0.5" footer="0.5"/>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4"/>
  <sheetViews>
    <sheetView workbookViewId="0">
      <selection activeCell="F14" sqref="F14"/>
    </sheetView>
  </sheetViews>
  <sheetFormatPr defaultRowHeight="15"/>
  <sheetData>
    <row r="1" spans="1:6">
      <c r="A1" t="s">
        <v>4979</v>
      </c>
      <c r="B1" t="s">
        <v>548</v>
      </c>
      <c r="C1" t="s">
        <v>549</v>
      </c>
      <c r="D1" t="s">
        <v>550</v>
      </c>
      <c r="E1" t="s">
        <v>551</v>
      </c>
      <c r="F1" t="s">
        <v>552</v>
      </c>
    </row>
    <row r="2" spans="1:6">
      <c r="A2" t="s">
        <v>4980</v>
      </c>
      <c r="B2" t="s">
        <v>4981</v>
      </c>
      <c r="F2" t="s">
        <v>5162</v>
      </c>
    </row>
    <row r="3" spans="1:6">
      <c r="A3" t="s">
        <v>4982</v>
      </c>
      <c r="B3" t="s">
        <v>4981</v>
      </c>
      <c r="F3" t="s">
        <v>5163</v>
      </c>
    </row>
    <row r="4" spans="1:6">
      <c r="A4" t="s">
        <v>4983</v>
      </c>
      <c r="B4" t="s">
        <v>4981</v>
      </c>
      <c r="F4" t="s">
        <v>5164</v>
      </c>
    </row>
    <row r="5" spans="1:6">
      <c r="A5" t="s">
        <v>4984</v>
      </c>
      <c r="B5" t="s">
        <v>564</v>
      </c>
      <c r="C5" t="s">
        <v>499</v>
      </c>
      <c r="D5" t="s">
        <v>565</v>
      </c>
      <c r="E5" t="s">
        <v>4985</v>
      </c>
      <c r="F5" t="s">
        <v>5224</v>
      </c>
    </row>
    <row r="6" spans="1:6">
      <c r="A6" t="s">
        <v>4986</v>
      </c>
      <c r="B6" t="s">
        <v>564</v>
      </c>
      <c r="C6" t="s">
        <v>499</v>
      </c>
      <c r="D6" t="s">
        <v>565</v>
      </c>
      <c r="E6">
        <v>45</v>
      </c>
      <c r="F6" t="s">
        <v>5165</v>
      </c>
    </row>
    <row r="7" spans="1:6">
      <c r="A7" t="s">
        <v>4988</v>
      </c>
      <c r="B7" t="s">
        <v>564</v>
      </c>
      <c r="C7" t="s">
        <v>499</v>
      </c>
      <c r="D7" t="s">
        <v>565</v>
      </c>
      <c r="E7">
        <v>40</v>
      </c>
      <c r="F7" t="s">
        <v>5166</v>
      </c>
    </row>
    <row r="8" spans="1:6">
      <c r="A8" t="s">
        <v>5152</v>
      </c>
      <c r="B8" t="s">
        <v>564</v>
      </c>
      <c r="C8" t="s">
        <v>499</v>
      </c>
      <c r="D8" t="s">
        <v>565</v>
      </c>
      <c r="E8">
        <v>25</v>
      </c>
      <c r="F8" t="s">
        <v>5167</v>
      </c>
    </row>
    <row r="9" spans="1:6">
      <c r="A9" t="s">
        <v>5153</v>
      </c>
      <c r="B9" t="s">
        <v>564</v>
      </c>
      <c r="C9" t="s">
        <v>499</v>
      </c>
      <c r="D9" t="s">
        <v>565</v>
      </c>
      <c r="E9">
        <v>30</v>
      </c>
      <c r="F9" t="s">
        <v>5168</v>
      </c>
    </row>
    <row r="10" spans="1:6">
      <c r="A10" t="s">
        <v>5154</v>
      </c>
      <c r="B10" t="s">
        <v>564</v>
      </c>
      <c r="C10" t="s">
        <v>499</v>
      </c>
      <c r="D10" t="s">
        <v>5160</v>
      </c>
      <c r="E10">
        <v>50</v>
      </c>
      <c r="F10" t="s">
        <v>5169</v>
      </c>
    </row>
    <row r="11" spans="1:6">
      <c r="A11" t="s">
        <v>5155</v>
      </c>
      <c r="B11" t="s">
        <v>564</v>
      </c>
      <c r="C11" t="s">
        <v>499</v>
      </c>
      <c r="D11" t="s">
        <v>5160</v>
      </c>
      <c r="E11">
        <v>50</v>
      </c>
      <c r="F11" t="s">
        <v>5225</v>
      </c>
    </row>
    <row r="12" spans="1:6">
      <c r="A12" t="s">
        <v>5156</v>
      </c>
      <c r="B12" t="s">
        <v>564</v>
      </c>
      <c r="C12" t="s">
        <v>499</v>
      </c>
      <c r="D12" t="s">
        <v>5160</v>
      </c>
      <c r="E12">
        <v>50</v>
      </c>
      <c r="F12" t="s">
        <v>5171</v>
      </c>
    </row>
    <row r="13" spans="1:6">
      <c r="A13" t="s">
        <v>5157</v>
      </c>
      <c r="B13" t="s">
        <v>564</v>
      </c>
      <c r="C13" t="s">
        <v>499</v>
      </c>
      <c r="D13" t="s">
        <v>565</v>
      </c>
      <c r="E13">
        <v>55</v>
      </c>
      <c r="F13" t="s">
        <v>6700</v>
      </c>
    </row>
    <row r="14" spans="1:6">
      <c r="A14" t="s">
        <v>5158</v>
      </c>
      <c r="B14" t="s">
        <v>564</v>
      </c>
      <c r="C14" t="s">
        <v>499</v>
      </c>
      <c r="D14" t="s">
        <v>4987</v>
      </c>
      <c r="E14">
        <v>45</v>
      </c>
      <c r="F14" t="s">
        <v>5170</v>
      </c>
    </row>
    <row r="15" spans="1:6">
      <c r="A15" t="s">
        <v>5172</v>
      </c>
      <c r="B15" t="s">
        <v>564</v>
      </c>
      <c r="C15" t="s">
        <v>499</v>
      </c>
      <c r="D15" t="s">
        <v>4987</v>
      </c>
      <c r="E15">
        <v>45</v>
      </c>
      <c r="F15" t="s">
        <v>5174</v>
      </c>
    </row>
    <row r="16" spans="1:6">
      <c r="A16" t="s">
        <v>5173</v>
      </c>
      <c r="B16" t="s">
        <v>564</v>
      </c>
      <c r="C16" t="s">
        <v>499</v>
      </c>
      <c r="D16" t="s">
        <v>4987</v>
      </c>
      <c r="E16">
        <v>55</v>
      </c>
      <c r="F16" t="s">
        <v>5175</v>
      </c>
    </row>
    <row r="17" spans="1:6">
      <c r="A17" t="s">
        <v>5176</v>
      </c>
      <c r="B17" t="s">
        <v>4981</v>
      </c>
      <c r="F17" t="s">
        <v>5178</v>
      </c>
    </row>
    <row r="18" spans="1:6">
      <c r="A18" t="s">
        <v>5177</v>
      </c>
      <c r="B18" t="s">
        <v>4981</v>
      </c>
      <c r="F18" t="s">
        <v>5179</v>
      </c>
    </row>
    <row r="19" spans="1:6">
      <c r="A19" t="s">
        <v>5182</v>
      </c>
      <c r="B19" t="s">
        <v>4981</v>
      </c>
      <c r="F19" t="s">
        <v>5180</v>
      </c>
    </row>
    <row r="20" spans="1:6">
      <c r="A20" t="s">
        <v>5183</v>
      </c>
      <c r="B20" t="s">
        <v>4981</v>
      </c>
      <c r="F20" t="s">
        <v>5181</v>
      </c>
    </row>
    <row r="21" spans="1:6">
      <c r="A21" t="s">
        <v>5185</v>
      </c>
      <c r="B21" t="s">
        <v>564</v>
      </c>
      <c r="C21" t="s">
        <v>500</v>
      </c>
      <c r="D21" t="s">
        <v>5159</v>
      </c>
      <c r="E21">
        <v>20000</v>
      </c>
      <c r="F21" t="s">
        <v>5184</v>
      </c>
    </row>
    <row r="22" spans="1:6">
      <c r="A22" t="s">
        <v>5186</v>
      </c>
      <c r="B22" t="s">
        <v>564</v>
      </c>
      <c r="C22" t="s">
        <v>500</v>
      </c>
      <c r="D22" t="s">
        <v>5159</v>
      </c>
      <c r="E22">
        <v>30000</v>
      </c>
      <c r="F22" t="s">
        <v>5188</v>
      </c>
    </row>
    <row r="23" spans="1:6">
      <c r="A23" t="s">
        <v>5187</v>
      </c>
      <c r="B23" t="s">
        <v>564</v>
      </c>
      <c r="C23" t="s">
        <v>500</v>
      </c>
      <c r="D23" t="s">
        <v>5159</v>
      </c>
      <c r="E23">
        <v>35000</v>
      </c>
      <c r="F23" t="s">
        <v>5215</v>
      </c>
    </row>
    <row r="24" spans="1:6">
      <c r="A24" t="s">
        <v>5189</v>
      </c>
      <c r="B24" t="s">
        <v>564</v>
      </c>
      <c r="C24" t="s">
        <v>500</v>
      </c>
      <c r="D24" t="s">
        <v>567</v>
      </c>
      <c r="E24">
        <v>500000</v>
      </c>
      <c r="F24" t="s">
        <v>5226</v>
      </c>
    </row>
    <row r="25" spans="1:6">
      <c r="A25" t="s">
        <v>5190</v>
      </c>
      <c r="B25" t="s">
        <v>564</v>
      </c>
      <c r="C25" t="s">
        <v>500</v>
      </c>
      <c r="D25" t="s">
        <v>567</v>
      </c>
      <c r="E25">
        <v>700000</v>
      </c>
      <c r="F25" t="s">
        <v>5227</v>
      </c>
    </row>
    <row r="26" spans="1:6">
      <c r="A26" t="s">
        <v>5191</v>
      </c>
      <c r="B26" t="s">
        <v>564</v>
      </c>
      <c r="C26" t="s">
        <v>500</v>
      </c>
      <c r="D26" t="s">
        <v>567</v>
      </c>
      <c r="E26">
        <v>20000</v>
      </c>
      <c r="F26" t="s">
        <v>5201</v>
      </c>
    </row>
    <row r="27" spans="1:6">
      <c r="A27" t="s">
        <v>5192</v>
      </c>
      <c r="B27" t="s">
        <v>564</v>
      </c>
      <c r="C27" t="s">
        <v>500</v>
      </c>
      <c r="D27" t="s">
        <v>567</v>
      </c>
      <c r="E27">
        <v>30000</v>
      </c>
      <c r="F27" t="s">
        <v>5202</v>
      </c>
    </row>
    <row r="28" spans="1:6">
      <c r="A28" t="s">
        <v>5193</v>
      </c>
      <c r="B28" t="s">
        <v>564</v>
      </c>
      <c r="C28" t="s">
        <v>500</v>
      </c>
      <c r="D28" t="s">
        <v>567</v>
      </c>
      <c r="E28">
        <v>75000</v>
      </c>
      <c r="F28" t="s">
        <v>5203</v>
      </c>
    </row>
    <row r="29" spans="1:6">
      <c r="A29" t="s">
        <v>5194</v>
      </c>
      <c r="B29" t="s">
        <v>564</v>
      </c>
      <c r="C29" t="s">
        <v>500</v>
      </c>
      <c r="D29" t="s">
        <v>567</v>
      </c>
      <c r="E29">
        <v>500000</v>
      </c>
      <c r="F29" t="s">
        <v>5200</v>
      </c>
    </row>
    <row r="30" spans="1:6">
      <c r="A30" t="s">
        <v>5195</v>
      </c>
      <c r="B30" t="s">
        <v>564</v>
      </c>
      <c r="C30" t="s">
        <v>500</v>
      </c>
      <c r="D30" t="s">
        <v>567</v>
      </c>
      <c r="E30">
        <v>700000</v>
      </c>
      <c r="F30" t="s">
        <v>5199</v>
      </c>
    </row>
    <row r="31" spans="1:6">
      <c r="A31" t="s">
        <v>5196</v>
      </c>
      <c r="B31" t="s">
        <v>4981</v>
      </c>
      <c r="F31" t="s">
        <v>5204</v>
      </c>
    </row>
    <row r="32" spans="1:6">
      <c r="A32" t="s">
        <v>5197</v>
      </c>
      <c r="B32" t="s">
        <v>4981</v>
      </c>
      <c r="F32" t="s">
        <v>5205</v>
      </c>
    </row>
    <row r="33" spans="1:6">
      <c r="A33" t="s">
        <v>5198</v>
      </c>
      <c r="B33" t="s">
        <v>564</v>
      </c>
      <c r="C33" t="s">
        <v>499</v>
      </c>
      <c r="D33" t="s">
        <v>565</v>
      </c>
      <c r="E33">
        <v>40</v>
      </c>
      <c r="F33" t="s">
        <v>5206</v>
      </c>
    </row>
    <row r="34" spans="1:6">
      <c r="A34" t="s">
        <v>5207</v>
      </c>
      <c r="B34" t="s">
        <v>564</v>
      </c>
      <c r="C34" t="s">
        <v>499</v>
      </c>
      <c r="D34" t="s">
        <v>567</v>
      </c>
      <c r="E34">
        <v>65</v>
      </c>
      <c r="F34" t="s">
        <v>5214</v>
      </c>
    </row>
    <row r="35" spans="1:6">
      <c r="A35" t="s">
        <v>5208</v>
      </c>
      <c r="B35" t="s">
        <v>564</v>
      </c>
      <c r="C35" t="s">
        <v>501</v>
      </c>
      <c r="D35" t="s">
        <v>5159</v>
      </c>
      <c r="E35">
        <v>45</v>
      </c>
      <c r="F35" t="s">
        <v>5216</v>
      </c>
    </row>
    <row r="36" spans="1:6">
      <c r="A36" t="s">
        <v>5209</v>
      </c>
      <c r="B36" t="s">
        <v>564</v>
      </c>
      <c r="C36" t="s">
        <v>501</v>
      </c>
      <c r="D36" t="s">
        <v>5159</v>
      </c>
      <c r="E36">
        <v>30</v>
      </c>
      <c r="F36" t="s">
        <v>5222</v>
      </c>
    </row>
    <row r="37" spans="1:6">
      <c r="A37" t="s">
        <v>5210</v>
      </c>
      <c r="B37" t="s">
        <v>564</v>
      </c>
      <c r="C37" t="s">
        <v>501</v>
      </c>
      <c r="D37" t="s">
        <v>4987</v>
      </c>
      <c r="E37">
        <v>75</v>
      </c>
      <c r="F37" t="s">
        <v>5217</v>
      </c>
    </row>
    <row r="38" spans="1:6">
      <c r="A38" t="s">
        <v>5211</v>
      </c>
      <c r="B38" t="s">
        <v>564</v>
      </c>
      <c r="C38" t="s">
        <v>501</v>
      </c>
      <c r="D38" t="s">
        <v>4987</v>
      </c>
      <c r="E38">
        <v>60</v>
      </c>
      <c r="F38" t="s">
        <v>5223</v>
      </c>
    </row>
    <row r="39" spans="1:6">
      <c r="A39" t="s">
        <v>5212</v>
      </c>
      <c r="B39" t="s">
        <v>555</v>
      </c>
      <c r="C39" t="inlineStr">
        <is>
          <t xml:space="preserve">Media Spokesperson</t>
        </is>
      </c>
      <c r="D39" t="s">
        <v>557</v>
      </c>
      <c r="F39" t="s">
        <v>5218</v>
      </c>
    </row>
    <row r="40" spans="1:6">
      <c r="A40" t="s">
        <v>5213</v>
      </c>
      <c r="B40" t="s">
        <v>555</v>
      </c>
      <c r="C40" t="inlineStr">
        <is>
          <t xml:space="preserve">Media Spokesperson</t>
        </is>
      </c>
      <c r="D40" t="s">
        <v>560</v>
      </c>
      <c r="F40" t="s">
        <v>5228</v>
      </c>
    </row>
    <row r="41" spans="1:6">
      <c r="A41" t="s">
        <v>5220</v>
      </c>
      <c r="B41" t="s">
        <v>555</v>
      </c>
      <c r="C41" t="inlineStr">
        <is>
          <t xml:space="preserve">Media Spokesperson</t>
        </is>
      </c>
      <c r="D41" t="s">
        <v>560</v>
      </c>
      <c r="F41" t="s">
        <v>5219</v>
      </c>
    </row>
    <row r="42" spans="1:6">
      <c r="A42" t="s">
        <v>5221</v>
      </c>
      <c r="B42" t="s">
        <v>564</v>
      </c>
      <c r="C42" t="s">
        <v>498</v>
      </c>
      <c r="D42" t="s">
        <v>5159</v>
      </c>
      <c r="E42">
        <v>30</v>
      </c>
      <c r="F42" t="s">
        <v>5229</v>
      </c>
    </row>
    <row r="43" spans="1:6">
      <c r="A43" t="s">
        <v>5232</v>
      </c>
      <c r="B43" t="s">
        <v>564</v>
      </c>
      <c r="C43" t="s">
        <v>498</v>
      </c>
      <c r="D43" t="s">
        <v>567</v>
      </c>
      <c r="E43">
        <v>60</v>
      </c>
      <c r="F43" t="s">
        <v>5230</v>
      </c>
    </row>
    <row r="44" spans="1:6">
      <c r="A44" t="s">
        <v>5233</v>
      </c>
      <c r="B44" t="s">
        <v>564</v>
      </c>
      <c r="C44" t="s">
        <v>498</v>
      </c>
      <c r="D44" t="s">
        <v>567</v>
      </c>
      <c r="E44">
        <v>90</v>
      </c>
      <c r="F44" t="s">
        <v>5231</v>
      </c>
    </row>
  </sheetData>
  <phoneticPr fontId="20" type="noConversion"/>
  <pageMargins left="0.75" right="0.75" top="1" bottom="1" header="0.5" footer="0.5"/>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7"/>
  <sheetViews>
    <sheetView workbookViewId="0">
      <selection activeCell="D3" sqref="D3"/>
    </sheetView>
  </sheetViews>
  <sheetFormatPr defaultRowHeight="15"/>
  <sheetData>
    <row r="1" spans="1:4">
      <c r="A1" t="s">
        <v>1998</v>
      </c>
      <c r="B1" t="s">
        <v>4989</v>
      </c>
      <c r="C1" t="s">
        <v>5145</v>
      </c>
      <c r="D1" t="s">
        <v>4990</v>
      </c>
    </row>
    <row r="2" spans="1:4">
      <c r="A2" t="s">
        <v>499</v>
      </c>
      <c r="B2" t="s">
        <v>671</v>
      </c>
      <c r="D2">
        <v>60</v>
      </c>
    </row>
    <row r="3" spans="1:4">
      <c r="A3" t="s">
        <v>1233</v>
      </c>
      <c r="B3" t="s">
        <v>671</v>
      </c>
      <c r="D3">
        <v>75</v>
      </c>
    </row>
    <row r="4" spans="1:4">
      <c r="A4" t="s">
        <v>1292</v>
      </c>
      <c r="B4" t="s">
        <v>671</v>
      </c>
      <c r="D4">
        <v>70</v>
      </c>
    </row>
    <row r="5" spans="1:4">
      <c r="A5" t="s">
        <v>500</v>
      </c>
      <c r="B5" t="s">
        <v>671</v>
      </c>
      <c r="C5" t="s">
        <v>5150</v>
      </c>
      <c r="D5" s="129">
        <v>500000</v>
      </c>
    </row>
    <row r="6" spans="1:4">
      <c r="A6" t="s">
        <v>498</v>
      </c>
      <c r="B6" t="s">
        <v>671</v>
      </c>
      <c r="C6" t="s">
        <v>5151</v>
      </c>
      <c r="D6">
        <v>60</v>
      </c>
    </row>
    <row r="7" spans="1:4">
      <c r="A7" t="s">
        <v>1265</v>
      </c>
      <c r="B7" t="s">
        <v>671</v>
      </c>
      <c r="C7" t="s">
        <v>4515</v>
      </c>
      <c r="D7">
        <v>70</v>
      </c>
    </row>
    <row r="8" spans="1:4">
      <c r="A8" t="s">
        <v>1302</v>
      </c>
      <c r="B8" t="s">
        <v>671</v>
      </c>
      <c r="C8" t="s">
        <v>4516</v>
      </c>
      <c r="D8">
        <v>70</v>
      </c>
    </row>
    <row r="9" spans="1:4">
      <c r="A9" t="s">
        <v>1314</v>
      </c>
      <c r="B9" t="s">
        <v>671</v>
      </c>
      <c r="C9" t="s">
        <v>4513</v>
      </c>
      <c r="D9">
        <v>70</v>
      </c>
    </row>
    <row r="10" spans="1:4">
      <c r="A10" t="s">
        <v>1226</v>
      </c>
      <c r="B10" t="s">
        <v>671</v>
      </c>
      <c r="C10" t="s">
        <v>5150</v>
      </c>
      <c r="D10">
        <v>65</v>
      </c>
    </row>
    <row r="11" spans="1:4">
      <c r="A11" t="s">
        <v>1220</v>
      </c>
      <c r="B11" t="s">
        <v>671</v>
      </c>
      <c r="C11" t="s">
        <v>4512</v>
      </c>
      <c r="D11">
        <v>70</v>
      </c>
    </row>
    <row r="12" spans="1:4">
      <c r="A12" t="s">
        <v>1214</v>
      </c>
      <c r="B12" t="s">
        <v>671</v>
      </c>
      <c r="C12" t="s">
        <v>5146</v>
      </c>
      <c r="D12">
        <v>65</v>
      </c>
    </row>
    <row r="13" spans="1:4">
      <c r="A13" t="s">
        <v>1333</v>
      </c>
      <c r="B13" t="s">
        <v>671</v>
      </c>
      <c r="C13" t="s">
        <v>4512</v>
      </c>
      <c r="D13">
        <v>70</v>
      </c>
    </row>
    <row r="14" spans="1:4">
      <c r="A14" t="s">
        <v>1339</v>
      </c>
      <c r="B14" t="s">
        <v>671</v>
      </c>
      <c r="C14" t="s">
        <v>4512</v>
      </c>
      <c r="D14">
        <v>70</v>
      </c>
    </row>
    <row r="15" spans="1:4">
      <c r="A15" t="s">
        <v>1345</v>
      </c>
      <c r="B15" t="s">
        <v>671</v>
      </c>
      <c r="C15" t="s">
        <v>5147</v>
      </c>
      <c r="D15">
        <v>65</v>
      </c>
    </row>
    <row r="16" spans="1:4">
      <c r="A16" t="s">
        <v>1356</v>
      </c>
      <c r="B16" t="s">
        <v>671</v>
      </c>
      <c r="C16" t="s">
        <v>5148</v>
      </c>
      <c r="D16">
        <v>65</v>
      </c>
    </row>
    <row r="17" spans="1:4">
      <c r="A17" t="s">
        <v>1362</v>
      </c>
      <c r="B17" t="s">
        <v>671</v>
      </c>
      <c r="C17" t="s">
        <v>5149</v>
      </c>
      <c r="D17">
        <v>65</v>
      </c>
    </row>
  </sheetData>
  <pageMargins left="0.75" right="0.75" top="1" bottom="1" header="0.5" footer="0.5"/>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55"/>
  <sheetViews>
    <sheetView workbookViewId="0">
      <selection activeCell="N34" sqref="N34"/>
    </sheetView>
  </sheetViews>
  <sheetFormatPr defaultRowHeight="15"/>
  <sheetData>
    <row r="1" spans="1:3">
      <c r="A1" t="s">
        <v>4843</v>
      </c>
      <c r="B1" t="s">
        <v>4991</v>
      </c>
      <c r="C1" t="s">
        <v>4527</v>
      </c>
    </row>
    <row r="2" spans="1:3">
      <c r="A2" t="s">
        <v>4781</v>
      </c>
      <c r="B2" t="s">
        <v>5234</v>
      </c>
      <c r="C2" t="s">
        <v>5236</v>
      </c>
    </row>
    <row r="3" spans="1:3">
      <c r="A3" t="s">
        <v>4782</v>
      </c>
      <c r="B3" t="s">
        <v>5235</v>
      </c>
      <c r="C3" t="s">
        <v>5237</v>
      </c>
    </row>
    <row r="4" spans="1:3">
      <c r="A4" t="s">
        <v>4783</v>
      </c>
      <c r="B4" t="s">
        <v>5235</v>
      </c>
      <c r="C4" t="s">
        <v>5238</v>
      </c>
    </row>
    <row r="5" spans="1:3">
      <c r="A5" t="s">
        <v>4784</v>
      </c>
      <c r="B5" t="s">
        <v>5235</v>
      </c>
      <c r="C5" t="s">
        <v>5239</v>
      </c>
    </row>
    <row r="6" spans="1:3">
      <c r="A6" t="s">
        <v>4785</v>
      </c>
      <c r="B6" t="s">
        <v>5235</v>
      </c>
      <c r="C6" t="s">
        <v>5240</v>
      </c>
    </row>
    <row r="7" spans="1:3">
      <c r="A7" t="s">
        <v>4786</v>
      </c>
      <c r="B7" t="s">
        <v>5235</v>
      </c>
      <c r="C7" t="s">
        <v>5261</v>
      </c>
    </row>
    <row r="8" spans="1:3">
      <c r="A8" t="s">
        <v>4787</v>
      </c>
      <c r="B8" t="s">
        <v>5235</v>
      </c>
      <c r="C8" t="s">
        <v>5262</v>
      </c>
    </row>
    <row r="9" spans="1:3">
      <c r="A9" t="s">
        <v>4788</v>
      </c>
      <c r="B9" t="s">
        <v>5235</v>
      </c>
      <c r="C9" t="s">
        <v>5263</v>
      </c>
    </row>
    <row r="10" spans="1:3">
      <c r="A10" t="s">
        <v>4789</v>
      </c>
      <c r="B10" t="s">
        <v>5235</v>
      </c>
      <c r="C10" t="s">
        <v>5264</v>
      </c>
    </row>
    <row r="11" spans="1:3">
      <c r="A11" t="s">
        <v>4790</v>
      </c>
      <c r="B11" t="s">
        <v>5235</v>
      </c>
      <c r="C11" t="s">
        <v>5241</v>
      </c>
    </row>
    <row r="12" spans="1:3">
      <c r="A12" t="s">
        <v>4792</v>
      </c>
      <c r="B12" t="s">
        <v>5234</v>
      </c>
      <c r="C12" t="s">
        <v>5265</v>
      </c>
    </row>
    <row r="13" spans="1:3">
      <c r="A13" t="s">
        <v>4793</v>
      </c>
      <c r="B13" t="s">
        <v>5235</v>
      </c>
      <c r="C13" t="s">
        <v>5242</v>
      </c>
    </row>
    <row r="14" spans="1:3">
      <c r="A14" t="s">
        <v>4794</v>
      </c>
      <c r="B14" t="s">
        <v>5235</v>
      </c>
      <c r="C14" t="s">
        <v>5243</v>
      </c>
    </row>
    <row r="15" spans="1:3">
      <c r="A15" t="s">
        <v>4795</v>
      </c>
      <c r="B15" t="s">
        <v>5235</v>
      </c>
      <c r="C15" t="s">
        <v>5244</v>
      </c>
    </row>
    <row r="16" spans="1:3">
      <c r="A16" t="s">
        <v>4796</v>
      </c>
      <c r="B16" t="s">
        <v>5234</v>
      </c>
      <c r="C16" t="s">
        <v>5245</v>
      </c>
    </row>
    <row r="17" spans="1:3">
      <c r="A17" t="s">
        <v>4797</v>
      </c>
      <c r="B17" t="s">
        <v>5234</v>
      </c>
      <c r="C17" t="s">
        <v>5246</v>
      </c>
    </row>
    <row r="18" spans="1:3">
      <c r="A18" t="s">
        <v>4798</v>
      </c>
      <c r="B18" t="s">
        <v>5235</v>
      </c>
      <c r="C18" t="s">
        <v>5247</v>
      </c>
    </row>
    <row r="19" spans="1:3">
      <c r="A19" t="s">
        <v>4799</v>
      </c>
      <c r="B19" t="s">
        <v>5235</v>
      </c>
      <c r="C19" t="s">
        <v>5248</v>
      </c>
    </row>
    <row r="20" spans="1:3">
      <c r="A20" t="s">
        <v>4800</v>
      </c>
      <c r="B20" t="s">
        <v>5234</v>
      </c>
      <c r="C20" t="s">
        <v>5249</v>
      </c>
    </row>
    <row r="21" spans="1:3">
      <c r="A21" t="s">
        <v>4801</v>
      </c>
      <c r="B21" t="s">
        <v>5235</v>
      </c>
      <c r="C21" t="s">
        <v>5250</v>
      </c>
    </row>
    <row r="22" spans="1:3">
      <c r="A22" t="s">
        <v>4802</v>
      </c>
      <c r="B22" t="s">
        <v>5235</v>
      </c>
      <c r="C22" t="s">
        <v>5251</v>
      </c>
    </row>
    <row r="23" spans="1:3">
      <c r="A23" t="s">
        <v>4803</v>
      </c>
      <c r="B23" t="s">
        <v>5235</v>
      </c>
      <c r="C23" t="s">
        <v>5252</v>
      </c>
    </row>
    <row r="24" spans="1:3">
      <c r="A24" t="s">
        <v>4804</v>
      </c>
      <c r="B24" t="s">
        <v>5234</v>
      </c>
      <c r="C24" t="s">
        <v>5253</v>
      </c>
    </row>
    <row r="25" spans="1:3">
      <c r="A25" t="s">
        <v>4805</v>
      </c>
      <c r="B25" t="s">
        <v>5234</v>
      </c>
      <c r="C25" t="s">
        <v>5254</v>
      </c>
    </row>
    <row r="26" spans="1:3">
      <c r="A26" t="s">
        <v>4806</v>
      </c>
      <c r="B26" t="s">
        <v>5235</v>
      </c>
      <c r="C26" t="s">
        <v>5255</v>
      </c>
    </row>
    <row r="27" spans="1:3">
      <c r="A27" t="s">
        <v>4807</v>
      </c>
      <c r="B27" t="s">
        <v>5234</v>
      </c>
      <c r="C27" t="s">
        <v>5256</v>
      </c>
    </row>
    <row r="28" spans="1:3">
      <c r="A28" t="s">
        <v>4808</v>
      </c>
      <c r="B28" t="s">
        <v>5234</v>
      </c>
      <c r="C28" t="s">
        <v>5257</v>
      </c>
    </row>
    <row r="29" spans="1:3">
      <c r="A29" t="s">
        <v>4809</v>
      </c>
      <c r="B29" t="s">
        <v>5234</v>
      </c>
      <c r="C29" t="s">
        <v>5258</v>
      </c>
    </row>
    <row r="30" spans="1:3">
      <c r="A30" t="s">
        <v>4810</v>
      </c>
      <c r="B30" t="s">
        <v>5235</v>
      </c>
      <c r="C30" t="s">
        <v>5259</v>
      </c>
    </row>
    <row r="31" spans="1:3">
      <c r="A31" t="s">
        <v>4811</v>
      </c>
      <c r="B31" t="s">
        <v>5234</v>
      </c>
      <c r="C31" t="s">
        <v>5260</v>
      </c>
    </row>
    <row r="32" spans="1:3">
      <c r="A32" t="inlineStr">
        <is>
          <t xml:space="preserve">BI25</t>
        </is>
      </c>
      <c r="B32" t="inlineStr">
        <is>
          <t xml:space="preserve">Flipped to Pass</t>
        </is>
      </c>
      <c r="C32" t="inlineStr">
        <is>
          <t xml:space="preserve">Members weighed jobs and tourism against their doubts, and decided Tomakomai should have its resort.</t>
        </is>
      </c>
    </row>
    <row r="33">
      <c r="A33" t="inlineStr">
        <is>
          <t xml:space="preserve">BI31</t>
        </is>
      </c>
      <c r="B33" t="inlineStr">
        <is>
          <t xml:space="preserve">Flipped to Pass</t>
        </is>
      </c>
      <c r="C33" t="inlineStr">
        <is>
          <t xml:space="preserve">Members set aside the loggers' warnings and the wilderness was protected. Speaker Ichizaki closed the vote quietly.</t>
        </is>
      </c>
    </row>
    <row r="34">
      <c r="A34" t="inlineStr">
        <is>
          <t xml:space="preserve">BI32</t>
        </is>
      </c>
      <c r="B34" t="inlineStr">
        <is>
          <t xml:space="preserve">Flipped to Fail</t>
        </is>
      </c>
      <c r="C34" t="inlineStr">
        <is>
          <t xml:space="preserve">Enough members balked at the bill for the hospitals that the network was shelved for now.</t>
        </is>
      </c>
    </row>
    <row r="35">
      <c r="A35" t="inlineStr">
        <is>
          <t xml:space="preserve">BI33</t>
        </is>
      </c>
      <c r="B35" t="inlineStr">
        <is>
          <t xml:space="preserve">Flipped to Pass</t>
        </is>
      </c>
      <c r="C35" t="inlineStr">
        <is>
          <t xml:space="preserve">Your arguments about convenience carried the day, and the identity card passed with a thin majority.</t>
        </is>
      </c>
    </row>
    <row r="36">
      <c r="A36" t="inlineStr">
        <is>
          <t xml:space="preserve">BI34</t>
        </is>
      </c>
      <c r="B36" t="inlineStr">
        <is>
          <t xml:space="preserve">Flipped to Pass</t>
        </is>
      </c>
      <c r="C36" t="inlineStr">
        <is>
          <t xml:space="preserve">Members ignored the ministers' objections and shielded the public broadcaster from direction.</t>
        </is>
      </c>
    </row>
    <row r="37">
      <c r="A37" t="inlineStr">
        <is>
          <t xml:space="preserve">BI35</t>
        </is>
      </c>
      <c r="B37" t="inlineStr">
        <is>
          <t xml:space="preserve">Flipped to Pass</t>
        </is>
      </c>
      <c r="C37" t="inlineStr">
        <is>
          <t xml:space="preserve">Rank-and-file members, wary of the voters, backed full disclosure over their own party whips.</t>
        </is>
      </c>
    </row>
    <row r="38">
      <c r="A38" t="inlineStr">
        <is>
          <t xml:space="preserve">BI36</t>
        </is>
      </c>
      <c r="B38" t="inlineStr">
        <is>
          <t xml:space="preserve">Flipped to Fail</t>
        </is>
      </c>
      <c r="C38" t="inlineStr">
        <is>
          <t xml:space="preserve">Doubts about the cost to local budgets sank the corporate tax cut at the last count.</t>
        </is>
      </c>
    </row>
    <row r="39">
      <c r="A39" t="inlineStr">
        <is>
          <t xml:space="preserve">BI37</t>
        </is>
      </c>
      <c r="B39" t="inlineStr">
        <is>
          <t xml:space="preserve">Flipped to Pass</t>
        </is>
      </c>
      <c r="C39" t="inlineStr">
        <is>
          <t xml:space="preserve">A narrow majority accepted the carbon levy. Prime Minister Rono called it a hard but necessary vote.</t>
        </is>
      </c>
    </row>
    <row r="40">
      <c r="A40" t="inlineStr">
        <is>
          <t xml:space="preserve">BI38</t>
        </is>
      </c>
      <c r="B40" t="inlineStr">
        <is>
          <t xml:space="preserve">Flipped to Fail</t>
        </is>
      </c>
      <c r="C40" t="inlineStr">
        <is>
          <t xml:space="preserve">Fishing towns lobbied hard, and members would not trade away the old catch limits.</t>
        </is>
      </c>
    </row>
    <row r="41">
      <c r="A41" t="inlineStr">
        <is>
          <t xml:space="preserve">BI39</t>
        </is>
      </c>
      <c r="B41" t="inlineStr">
        <is>
          <t xml:space="preserve">Flipped to Fail</t>
        </is>
      </c>
      <c r="C41" t="inlineStr">
        <is>
          <t xml:space="preserve">Members balked at the shipyard subsidies, and the defense industry bill fell short.</t>
        </is>
      </c>
    </row>
    <row r="42">
      <c r="A42" t="inlineStr">
        <is>
          <t xml:space="preserve">BI40</t>
        </is>
      </c>
      <c r="B42" t="inlineStr">
        <is>
          <t xml:space="preserve">Flipped to Fail</t>
        </is>
      </c>
      <c r="C42" t="inlineStr">
        <is>
          <t xml:space="preserve">Members could not agree on who should sit on the commission, and the review was dropped.</t>
        </is>
      </c>
    </row>
    <row r="43">
      <c r="A43" t="inlineStr">
        <is>
          <t xml:space="preserve">BI41</t>
        </is>
      </c>
      <c r="B43" t="inlineStr">
        <is>
          <t xml:space="preserve">Flipped to Pass</t>
        </is>
      </c>
      <c r="C43" t="inlineStr">
        <is>
          <t xml:space="preserve">Border officials welcomed the vote as members agreed to share customs data with Japan.</t>
        </is>
      </c>
    </row>
    <row r="44">
      <c r="A44" t="inlineStr">
        <is>
          <t xml:space="preserve">BI42</t>
        </is>
      </c>
      <c r="B44" t="inlineStr">
        <is>
          <t xml:space="preserve">Flipped to Fail</t>
        </is>
      </c>
      <c r="C44" t="inlineStr">
        <is>
          <t xml:space="preserve">Islanders and fishers carried the argument, and the Chishima venture was turned down.</t>
        </is>
      </c>
    </row>
    <row r="45">
      <c r="A45" t="inlineStr">
        <is>
          <t xml:space="preserve">BI43</t>
        </is>
      </c>
      <c r="B45" t="inlineStr">
        <is>
          <t xml:space="preserve">Flipped to Pass</t>
        </is>
      </c>
      <c r="C45" t="inlineStr">
        <is>
          <t xml:space="preserve">Members chose open trade over caution, and the tariffs came down by a few votes.</t>
        </is>
      </c>
    </row>
    <row r="46">
      <c r="A46" t="inlineStr">
        <is>
          <t xml:space="preserve">BI44</t>
        </is>
      </c>
      <c r="B46" t="inlineStr">
        <is>
          <t xml:space="preserve">Flipped to Fail</t>
        </is>
      </c>
      <c r="C46" t="inlineStr">
        <is>
          <t xml:space="preserve">With budgets tight, members refused another round of farm support.</t>
        </is>
      </c>
    </row>
    <row r="47">
      <c r="A47" t="inlineStr">
        <is>
          <t xml:space="preserve">BI45</t>
        </is>
      </c>
      <c r="B47" t="inlineStr">
        <is>
          <t xml:space="preserve">Flipped to Fail</t>
        </is>
      </c>
      <c r="C47" t="inlineStr">
        <is>
          <t xml:space="preserve">Members put schools ahead of laboratories, and the research funding bill failed.</t>
        </is>
      </c>
    </row>
    <row r="48">
      <c r="A48" t="inlineStr">
        <is>
          <t xml:space="preserve">BI46</t>
        </is>
      </c>
      <c r="B48" t="inlineStr">
        <is>
          <t xml:space="preserve">Flipped to Fail</t>
        </is>
      </c>
      <c r="C48" t="inlineStr">
        <is>
          <t xml:space="preserve">Employers' fears of new penalties won enough members to stop the Workplace Equality Act.</t>
        </is>
      </c>
    </row>
    <row r="49">
      <c r="A49" t="inlineStr">
        <is>
          <t xml:space="preserve">BI47</t>
        </is>
      </c>
      <c r="B49" t="inlineStr">
        <is>
          <t xml:space="preserve">Flipped to Fail</t>
        </is>
      </c>
      <c r="C49" t="inlineStr">
        <is>
          <t xml:space="preserve">Members worried about the cost to employers and let the parental leave bill die.</t>
        </is>
      </c>
    </row>
    <row r="50">
      <c r="A50" t="inlineStr">
        <is>
          <t xml:space="preserve">BI48</t>
        </is>
      </c>
      <c r="B50" t="inlineStr">
        <is>
          <t xml:space="preserve">Flipped to Pass</t>
        </is>
      </c>
      <c r="C50" t="inlineStr">
        <is>
          <t xml:space="preserve">Security concerns carried the chamber, and the cameras were approved over the objections of civil libertarians.</t>
        </is>
      </c>
    </row>
    <row r="51">
      <c r="A51" t="inlineStr">
        <is>
          <t xml:space="preserve">BI49</t>
        </is>
      </c>
      <c r="B51" t="inlineStr">
        <is>
          <t xml:space="preserve">Flipped to Pass</t>
        </is>
      </c>
      <c r="C51" t="inlineStr">
        <is>
          <t xml:space="preserve">Members voted to merge the smallest towns, to the dismay of local leaders.</t>
        </is>
      </c>
    </row>
    <row r="52">
      <c r="A52" t="inlineStr">
        <is>
          <t xml:space="preserve">BI50</t>
        </is>
      </c>
      <c r="B52" t="inlineStr">
        <is>
          <t xml:space="preserve">Flipped to Pass</t>
        </is>
      </c>
      <c r="C52" t="inlineStr">
        <is>
          <t xml:space="preserve">Enough members backed open ballots that parties must now let their members choose their leaders.</t>
        </is>
      </c>
    </row>
    <row r="53">
      <c r="A53" t="inlineStr">
        <is>
          <t xml:space="preserve">BI39</t>
        </is>
      </c>
      <c r="B53" t="inlineStr">
        <is>
          <t xml:space="preserve">Flipped to Pass</t>
        </is>
      </c>
      <c r="C53" t="inlineStr">
        <is>
          <t xml:space="preserve">Members backed the shipyards after all, and the defense industry bill squeaked through.</t>
        </is>
      </c>
    </row>
    <row r="54">
      <c r="A54" t="inlineStr">
        <is>
          <t xml:space="preserve">BI40</t>
        </is>
      </c>
      <c r="B54" t="inlineStr">
        <is>
          <t xml:space="preserve">Flipped to Pass</t>
        </is>
      </c>
      <c r="C54" t="inlineStr">
        <is>
          <t xml:space="preserve">Members agreed on a slate of commissioners, and the constitutional review went ahead.</t>
        </is>
      </c>
    </row>
    <row r="55">
      <c r="A55" t="inlineStr">
        <is>
          <t xml:space="preserve">BI41</t>
        </is>
      </c>
      <c r="B55" t="inlineStr">
        <is>
          <t xml:space="preserve">Flipped to Fail</t>
        </is>
      </c>
      <c r="C55" t="inlineStr">
        <is>
          <t xml:space="preserve">Members balked at sharing border data with Japan, and the customs bill was withdrawn.</t>
        </is>
      </c>
    </row>
  </sheetData>
  <pageMargins left="0.75" right="0.75" top="1" bottom="1" header="0.5" footer="0.5"/>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
  <sheetViews>
    <sheetView workbookViewId="0">
      <selection activeCell="A4" sqref="A4"/>
    </sheetView>
  </sheetViews>
  <sheetFormatPr defaultRowHeight="15"/>
  <sheetData>
    <row r="1" spans="1:11">
      <c r="A1" t="s">
        <v>4992</v>
      </c>
      <c r="B1" t="s">
        <v>1</v>
      </c>
      <c r="C1" t="s">
        <v>938</v>
      </c>
      <c r="D1" t="s">
        <v>1154</v>
      </c>
      <c r="E1" t="s">
        <v>1425</v>
      </c>
      <c r="F1" t="s">
        <v>4993</v>
      </c>
      <c r="G1" t="s">
        <v>4994</v>
      </c>
      <c r="H1" t="s">
        <v>4995</v>
      </c>
      <c r="I1" t="s">
        <v>4996</v>
      </c>
      <c r="J1" t="s">
        <v>4997</v>
      </c>
      <c r="K1" t="s">
        <v>4998</v>
      </c>
    </row>
    <row r="2" spans="1:11">
      <c r="A2" t="s">
        <v>5266</v>
      </c>
      <c r="B2" t="s">
        <v>5268</v>
      </c>
      <c r="C2" t="s">
        <v>5267</v>
      </c>
      <c r="D2" t="s">
        <v>5269</v>
      </c>
      <c r="E2" t="inlineStr">
        <is>
          <t>Workplace_Casual</t>
        </is>
      </c>
      <c r="F2">
        <v>100</v>
      </c>
      <c r="G2">
        <v>5000</v>
      </c>
      <c r="H2" t="s">
        <v>5271</v>
      </c>
    </row>
    <row r="3" spans="1:11">
      <c r="A3" t="s">
        <v>5277</v>
      </c>
      <c r="B3" t="s">
        <v>5272</v>
      </c>
      <c r="C3" t="s">
        <v>5273</v>
      </c>
      <c r="D3" t="s">
        <v>5274</v>
      </c>
      <c r="E3" t="inlineStr">
        <is>
          <t>Workplace_Modern</t>
        </is>
      </c>
      <c r="F3">
        <v>50</v>
      </c>
      <c r="G3">
        <v>10000</v>
      </c>
      <c r="I3" t="s">
        <v>5276</v>
      </c>
    </row>
  </sheetData>
  <pageMargins left="0.75" right="0.75" top="1" bottom="1" header="0.5" footer="0.5"/>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81"/>
  <sheetViews>
    <sheetView workbookViewId="0">
      <selection activeCell="B1" sqref="B1"/>
    </sheetView>
  </sheetViews>
  <sheetFormatPr defaultRowHeight="15"/>
  <sheetData>
    <row r="1" spans="1:2">
      <c r="A1" t="s">
        <v>755</v>
      </c>
      <c r="B1" t="s">
        <v>5130</v>
      </c>
    </row>
    <row r="2" spans="1:2">
      <c r="A2" t="s">
        <v>794</v>
      </c>
      <c r="B2" t="s">
        <v>5278</v>
      </c>
    </row>
    <row r="3" spans="1:2">
      <c r="A3" t="s">
        <v>800</v>
      </c>
      <c r="B3" t="s">
        <v>5279</v>
      </c>
    </row>
    <row r="4" spans="1:2">
      <c r="A4" t="s">
        <v>802</v>
      </c>
      <c r="B4" t="s">
        <v>5280</v>
      </c>
    </row>
    <row r="5" spans="1:2">
      <c r="A5" t="s">
        <v>805</v>
      </c>
      <c r="B5" t="s">
        <v>5281</v>
      </c>
    </row>
    <row r="6" spans="1:2">
      <c r="A6" t="s">
        <v>811</v>
      </c>
      <c r="B6" t="s">
        <v>5282</v>
      </c>
    </row>
    <row r="7" spans="1:2">
      <c r="A7" t="s">
        <v>818</v>
      </c>
      <c r="B7" t="s">
        <v>5283</v>
      </c>
    </row>
    <row r="8" spans="1:2">
      <c r="A8" t="s">
        <v>823</v>
      </c>
      <c r="B8" t="s">
        <v>5283</v>
      </c>
    </row>
    <row r="9" spans="1:2">
      <c r="A9" t="s">
        <v>828</v>
      </c>
      <c r="B9" t="s">
        <v>5284</v>
      </c>
    </row>
    <row r="10" spans="1:2">
      <c r="A10" t="s">
        <v>836</v>
      </c>
      <c r="B10" t="s">
        <v>5285</v>
      </c>
    </row>
    <row r="11" spans="1:2">
      <c r="A11" t="s">
        <v>841</v>
      </c>
      <c r="B11" t="inlineStr">
        <is>
          <t xml:space="preserve">Market pressure is mounting and this can help preserve our local shops.</t>
        </is>
      </c>
    </row>
    <row r="12" spans="1:2">
      <c r="A12" t="s">
        <v>853</v>
      </c>
      <c r="B12" t="s">
        <v>5287</v>
      </c>
    </row>
    <row r="13" spans="1:2">
      <c r="A13" t="s">
        <v>859</v>
      </c>
      <c r="B13" t="s">
        <v>5288</v>
      </c>
    </row>
    <row r="14" spans="1:2">
      <c r="A14" t="s">
        <v>864</v>
      </c>
      <c r="B14" t="inlineStr">
        <is>
          <t xml:space="preserve">The regional craftwork is what makes Yezo special.</t>
        </is>
      </c>
    </row>
    <row r="15" spans="1:2">
      <c r="A15" t="s">
        <v>867</v>
      </c>
      <c r="B15" t="s">
        <v>5290</v>
      </c>
    </row>
    <row r="16" spans="1:2">
      <c r="A16" t="s">
        <v>871</v>
      </c>
      <c r="B16" t="s">
        <v>5291</v>
      </c>
    </row>
    <row r="17" spans="1:2">
      <c r="A17" t="s">
        <v>876</v>
      </c>
      <c r="B17" t="s">
        <v>5292</v>
      </c>
    </row>
    <row r="18" spans="1:2">
      <c r="A18" t="s">
        <v>881</v>
      </c>
      <c r="B18" t="s">
        <v>5325</v>
      </c>
    </row>
    <row r="19" spans="1:2">
      <c r="A19" t="s">
        <v>886</v>
      </c>
      <c r="B19" t="s">
        <v>5293</v>
      </c>
    </row>
    <row r="20" spans="1:2">
      <c r="A20" t="s">
        <v>891</v>
      </c>
      <c r="B20" t="s">
        <v>5326</v>
      </c>
    </row>
    <row r="21" spans="1:2">
      <c r="A21" t="s">
        <v>893</v>
      </c>
      <c r="B21" t="s">
        <v>5294</v>
      </c>
    </row>
    <row r="22" spans="1:2">
      <c r="A22" t="s">
        <v>898</v>
      </c>
      <c r="B22" t="s">
        <v>5295</v>
      </c>
    </row>
    <row r="23" spans="1:2">
      <c r="A23" t="s">
        <v>902</v>
      </c>
      <c r="B23" t="s">
        <v>5327</v>
      </c>
    </row>
    <row r="24" spans="1:2">
      <c r="A24" t="s">
        <v>907</v>
      </c>
      <c r="B24" t="s">
        <v>5328</v>
      </c>
    </row>
    <row r="25" spans="1:2">
      <c r="A25" t="s">
        <v>912</v>
      </c>
      <c r="B25" t="s">
        <v>5329</v>
      </c>
    </row>
    <row r="26" spans="1:2">
      <c r="A26" t="s">
        <v>914</v>
      </c>
      <c r="B26" t="s">
        <v>5330</v>
      </c>
    </row>
    <row r="27" spans="1:2">
      <c r="A27" t="s">
        <v>916</v>
      </c>
      <c r="B27" t="s">
        <v>5296</v>
      </c>
    </row>
    <row r="28" spans="1:2">
      <c r="A28" t="s">
        <v>921</v>
      </c>
      <c r="B28" t="s">
        <v>5297</v>
      </c>
    </row>
    <row r="29" spans="1:2">
      <c r="A29" t="s">
        <v>923</v>
      </c>
      <c r="B29" t="s">
        <v>5298</v>
      </c>
    </row>
    <row r="30" spans="1:2">
      <c r="A30" t="s">
        <v>925</v>
      </c>
      <c r="B30" t="s">
        <v>5299</v>
      </c>
    </row>
    <row r="31" spans="1:2">
      <c r="A31" t="s">
        <v>930</v>
      </c>
      <c r="B31" t="s">
        <v>5300</v>
      </c>
    </row>
    <row r="32" spans="1:2">
      <c r="A32" t="s">
        <v>4812</v>
      </c>
      <c r="B32" t="s">
        <v>5301</v>
      </c>
    </row>
    <row r="33" spans="1:2">
      <c r="A33" t="s">
        <v>4813</v>
      </c>
      <c r="B33" t="s">
        <v>5302</v>
      </c>
    </row>
    <row r="34" spans="1:2">
      <c r="A34" t="s">
        <v>4814</v>
      </c>
      <c r="B34" t="s">
        <v>5303</v>
      </c>
    </row>
    <row r="35" spans="1:2">
      <c r="A35" t="s">
        <v>4815</v>
      </c>
      <c r="B35" t="s">
        <v>5304</v>
      </c>
    </row>
    <row r="36" spans="1:2">
      <c r="A36" t="s">
        <v>4816</v>
      </c>
      <c r="B36" t="s">
        <v>5305</v>
      </c>
    </row>
    <row r="37" spans="1:2">
      <c r="A37" t="s">
        <v>4817</v>
      </c>
      <c r="B37" t="s">
        <v>5335</v>
      </c>
    </row>
    <row r="38" spans="1:2">
      <c r="A38" t="s">
        <v>4818</v>
      </c>
      <c r="B38" t="s">
        <v>5334</v>
      </c>
    </row>
    <row r="39" spans="1:2">
      <c r="A39" t="s">
        <v>4819</v>
      </c>
      <c r="B39" t="s">
        <v>5306</v>
      </c>
    </row>
    <row r="40" spans="1:2">
      <c r="A40" t="s">
        <v>4820</v>
      </c>
      <c r="B40" t="s">
        <v>5307</v>
      </c>
    </row>
    <row r="41" spans="1:2">
      <c r="A41" t="s">
        <v>4821</v>
      </c>
      <c r="B41" t="s">
        <v>5308</v>
      </c>
    </row>
    <row r="42" spans="1:2">
      <c r="A42" t="s">
        <v>4822</v>
      </c>
      <c r="B42" t="s">
        <v>5309</v>
      </c>
    </row>
    <row r="43" spans="1:2">
      <c r="A43" t="s">
        <v>4823</v>
      </c>
      <c r="B43" t="s">
        <v>5336</v>
      </c>
    </row>
    <row r="44" spans="1:2">
      <c r="A44" t="s">
        <v>4824</v>
      </c>
      <c r="B44" t="s">
        <v>5310</v>
      </c>
    </row>
    <row r="45" spans="1:2">
      <c r="A45" t="s">
        <v>4825</v>
      </c>
      <c r="B45" t="s">
        <v>5311</v>
      </c>
    </row>
    <row r="46" spans="1:2">
      <c r="A46" t="s">
        <v>4826</v>
      </c>
      <c r="B46" t="s">
        <v>5312</v>
      </c>
    </row>
    <row r="47" spans="1:2">
      <c r="A47" t="s">
        <v>4827</v>
      </c>
      <c r="B47" t="s">
        <v>5313</v>
      </c>
    </row>
    <row r="48" spans="1:2">
      <c r="A48" t="s">
        <v>4828</v>
      </c>
      <c r="B48" t="inlineStr">
        <is>
          <t xml:space="preserve">Sapporo already accommodates these couples. The rest of Yezo has yet to decide.</t>
        </is>
      </c>
    </row>
    <row r="49" spans="1:2">
      <c r="A49" t="s">
        <v>4829</v>
      </c>
      <c r="B49" t="s">
        <v>5314</v>
      </c>
    </row>
    <row r="50" spans="1:2">
      <c r="A50" t="s">
        <v>4830</v>
      </c>
      <c r="B50" t="s">
        <v>5315</v>
      </c>
    </row>
    <row r="51" spans="1:2">
      <c r="A51" t="s">
        <v>4831</v>
      </c>
      <c r="B51" t="s">
        <v>5332</v>
      </c>
    </row>
    <row r="52" spans="1:2">
      <c r="A52" t="s">
        <v>4832</v>
      </c>
      <c r="B52" t="s">
        <v>5316</v>
      </c>
    </row>
    <row r="53" spans="1:2">
      <c r="A53" t="s">
        <v>4833</v>
      </c>
      <c r="B53" t="s">
        <v>5317</v>
      </c>
    </row>
    <row r="54" spans="1:2">
      <c r="A54" t="s">
        <v>4834</v>
      </c>
      <c r="B54" t="s">
        <v>5331</v>
      </c>
    </row>
    <row r="55" spans="1:2">
      <c r="A55" t="s">
        <v>4835</v>
      </c>
      <c r="B55" t="s">
        <v>5318</v>
      </c>
    </row>
    <row r="56" spans="1:2">
      <c r="A56" t="s">
        <v>4836</v>
      </c>
      <c r="B56" t="s">
        <v>5319</v>
      </c>
    </row>
    <row r="57" spans="1:2">
      <c r="A57" t="s">
        <v>4837</v>
      </c>
      <c r="B57" t="s">
        <v>5320</v>
      </c>
    </row>
    <row r="58" spans="1:2">
      <c r="A58" t="s">
        <v>4838</v>
      </c>
      <c r="B58" t="s">
        <v>5321</v>
      </c>
    </row>
    <row r="59" spans="1:2">
      <c r="A59" t="s">
        <v>4839</v>
      </c>
      <c r="B59" t="s">
        <v>5322</v>
      </c>
    </row>
    <row r="60" spans="1:2">
      <c r="A60" t="s">
        <v>4840</v>
      </c>
      <c r="B60" t="s">
        <v>5323</v>
      </c>
    </row>
    <row r="61" spans="1:2">
      <c r="A61" t="s">
        <v>4841</v>
      </c>
      <c r="B61" t="s">
        <v>5324</v>
      </c>
    </row>
    <row r="62">
      <c r="A62" t="inlineStr">
        <is>
          <t xml:space="preserve">LV63</t>
        </is>
      </c>
      <c r="B62" t="inlineStr">
        <is>
          <t xml:space="preserve">Some land is worth more standing than cut.</t>
        </is>
      </c>
    </row>
    <row r="63">
      <c r="A63" t="inlineStr">
        <is>
          <t xml:space="preserve">LV64</t>
        </is>
      </c>
      <c r="B63" t="inlineStr">
        <is>
          <t xml:space="preserve">A town without a hospital slowly stops being a town.</t>
        </is>
      </c>
    </row>
    <row r="64">
      <c r="A64" t="inlineStr">
        <is>
          <t xml:space="preserve">LV65</t>
        </is>
      </c>
      <c r="B64" t="inlineStr">
        <is>
          <t xml:space="preserve">Convenience is never free. Someone always holds the keys.</t>
        </is>
      </c>
    </row>
    <row r="65">
      <c r="A65" t="inlineStr">
        <is>
          <t xml:space="preserve">LV66</t>
        </is>
      </c>
      <c r="B65" t="inlineStr">
        <is>
          <t xml:space="preserve">A free voice is only as strong as the hand that funds it.</t>
        </is>
      </c>
    </row>
    <row r="66">
      <c r="A66" t="inlineStr">
        <is>
          <t xml:space="preserve">LV67</t>
        </is>
      </c>
      <c r="B66" t="inlineStr">
        <is>
          <t xml:space="preserve">Sunlight is a fine disinfectant, but it burns too.</t>
        </is>
      </c>
    </row>
    <row r="67">
      <c r="A67" t="inlineStr">
        <is>
          <t xml:space="preserve">LV68</t>
        </is>
      </c>
      <c r="B67" t="inlineStr">
        <is>
          <t xml:space="preserve">Every tax cut is a promise someone else pays for.</t>
        </is>
      </c>
    </row>
    <row r="68">
      <c r="A68" t="inlineStr">
        <is>
          <t xml:space="preserve">LV69</t>
        </is>
      </c>
      <c r="B68" t="inlineStr">
        <is>
          <t xml:space="preserve">People will pay for a clean sky if they trust where the money goes.</t>
        </is>
      </c>
    </row>
    <row r="69">
      <c r="A69" t="inlineStr">
        <is>
          <t xml:space="preserve">LV70</t>
        </is>
      </c>
      <c r="B69" t="inlineStr">
        <is>
          <t xml:space="preserve">The sea keeps a ledger, and it is running short.</t>
        </is>
      </c>
    </row>
    <row r="70">
      <c r="A70" t="inlineStr">
        <is>
          <t xml:space="preserve">LV71</t>
        </is>
      </c>
      <c r="B70" t="inlineStr">
        <is>
          <t xml:space="preserve">A fleet is a promise. Someone must keep the yards alive to keep it.</t>
        </is>
      </c>
    </row>
    <row r="71">
      <c r="A71" t="inlineStr">
        <is>
          <t xml:space="preserve">LV72</t>
        </is>
      </c>
      <c r="B71" t="inlineStr">
        <is>
          <t xml:space="preserve">A constitution that never changes dies. One that changes carelessly dies faster.</t>
        </is>
      </c>
    </row>
    <row r="72">
      <c r="A72" t="inlineStr">
        <is>
          <t xml:space="preserve">LV73</t>
        </is>
      </c>
      <c r="B72" t="inlineStr">
        <is>
          <t xml:space="preserve">Open doors speed trade, but someone must still watch the door.</t>
        </is>
      </c>
    </row>
    <row r="73">
      <c r="A73" t="inlineStr">
        <is>
          <t xml:space="preserve">LV74</t>
        </is>
      </c>
      <c r="B73" t="inlineStr">
        <is>
          <t xml:space="preserve">Wealth on a contested shore comes with a bill nobody prints.</t>
        </is>
      </c>
    </row>
    <row r="74">
      <c r="A74" t="inlineStr">
        <is>
          <t xml:space="preserve">LV75</t>
        </is>
      </c>
      <c r="B74" t="inlineStr">
        <is>
          <t xml:space="preserve">Trade is friendship with a price tag. Read it carefully.</t>
        </is>
      </c>
    </row>
    <row r="75">
      <c r="A75" t="inlineStr">
        <is>
          <t xml:space="preserve">LV76</t>
        </is>
      </c>
      <c r="B75" t="inlineStr">
        <is>
          <t xml:space="preserve">A field without a farmer is only land.</t>
        </is>
      </c>
    </row>
    <row r="76">
      <c r="A76" t="inlineStr">
        <is>
          <t xml:space="preserve">LV77</t>
        </is>
      </c>
      <c r="B76" t="inlineStr">
        <is>
          <t xml:space="preserve">Knowledge is the only crop that grows in every season.</t>
        </is>
      </c>
    </row>
    <row r="77">
      <c r="A77" t="inlineStr">
        <is>
          <t xml:space="preserve">LV78</t>
        </is>
      </c>
      <c r="B77" t="inlineStr">
        <is>
          <t xml:space="preserve">Fairness at work is not a favour. It is a floor.</t>
        </is>
      </c>
    </row>
    <row r="78">
      <c r="A78" t="inlineStr">
        <is>
          <t xml:space="preserve">LV79</t>
        </is>
      </c>
      <c r="B78" t="inlineStr">
        <is>
          <t xml:space="preserve">A country that cannot raise its children cannot expect a future.</t>
        </is>
      </c>
    </row>
    <row r="79">
      <c r="A79" t="inlineStr">
        <is>
          <t xml:space="preserve">LV80</t>
        </is>
      </c>
      <c r="B79" t="inlineStr">
        <is>
          <t xml:space="preserve">Safety and freedom both die in the same dark corner.</t>
        </is>
      </c>
    </row>
    <row r="80">
      <c r="A80" t="inlineStr">
        <is>
          <t xml:space="preserve">LV81</t>
        </is>
      </c>
      <c r="B80" t="inlineStr">
        <is>
          <t xml:space="preserve">A village is more than its budget line.</t>
        </is>
      </c>
    </row>
    <row r="81">
      <c r="A81" t="inlineStr">
        <is>
          <t xml:space="preserve">LV82</t>
        </is>
      </c>
      <c r="B81" t="inlineStr">
        <is>
          <t xml:space="preserve">A leader chosen in the dark answers to the dark.</t>
        </is>
      </c>
    </row>
  </sheetData>
  <pageMargins left="0.75" right="0.75" top="1" bottom="1" header="0.5" footer="0.5"/>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7"/>
  <sheetViews>
    <sheetView workbookViewId="0">
      <selection activeCell="C1" sqref="C1"/>
    </sheetView>
  </sheetViews>
  <sheetFormatPr defaultRowHeight="15"/>
  <sheetData>
    <row r="1" spans="1:3">
      <c r="A1" t="s">
        <v>5131</v>
      </c>
      <c r="B1" t="s">
        <v>597</v>
      </c>
      <c r="C1" t="s">
        <v>5132</v>
      </c>
    </row>
    <row r="2">
      <c r="A2" t="inlineStr">
        <is>
          <t xml:space="preserve">TC01</t>
        </is>
      </c>
      <c r="C2" t="inlineStr">
        <is>
          <t xml:space="preserve">SF01</t>
        </is>
      </c>
    </row>
    <row r="3">
      <c r="A3" t="inlineStr">
        <is>
          <t xml:space="preserve">TC02</t>
        </is>
      </c>
      <c r="C3" t="inlineStr">
        <is>
          <t xml:space="preserve">SF02</t>
        </is>
      </c>
    </row>
    <row r="4">
      <c r="A4" t="inlineStr">
        <is>
          <t xml:space="preserve">TC03</t>
        </is>
      </c>
      <c r="C4" t="inlineStr">
        <is>
          <t xml:space="preserve">SF08</t>
        </is>
      </c>
    </row>
    <row r="5">
      <c r="A5" t="inlineStr">
        <is>
          <t xml:space="preserve">TC04</t>
        </is>
      </c>
      <c r="C5" t="inlineStr">
        <is>
          <t xml:space="preserve">SF09</t>
        </is>
      </c>
    </row>
    <row r="6">
      <c r="A6" t="inlineStr">
        <is>
          <t xml:space="preserve">TC05</t>
        </is>
      </c>
      <c r="C6" t="inlineStr">
        <is>
          <t xml:space="preserve">SF15</t>
        </is>
      </c>
    </row>
    <row r="7">
      <c r="A7" t="inlineStr">
        <is>
          <t xml:space="preserve">TC06</t>
        </is>
      </c>
      <c r="C7" t="inlineStr">
        <is>
          <t xml:space="preserve">SF16</t>
        </is>
      </c>
    </row>
  </sheetData>
  <pageMargins left="0.75" right="0.75" top="1" bottom="1" header="0.5" footer="0.5"/>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79"/>
  <sheetViews>
    <sheetView workbookViewId="0">
      <selection activeCell="C1" sqref="C1"/>
    </sheetView>
  </sheetViews>
  <sheetFormatPr defaultRowHeight="15"/>
  <sheetData>
    <row r="1" spans="1:3">
      <c r="A1" t="s">
        <v>5133</v>
      </c>
      <c r="B1" t="s">
        <v>597</v>
      </c>
      <c r="C1" t="s">
        <v>5134</v>
      </c>
    </row>
    <row r="2">
      <c r="A2" t="inlineStr">
        <is>
          <t xml:space="preserve">TB01</t>
        </is>
      </c>
      <c r="C2" t="inlineStr">
        <is>
          <t xml:space="preserve">OFFICE</t>
        </is>
      </c>
    </row>
    <row r="3">
      <c r="A3" t="inlineStr">
        <is>
          <t xml:space="preserve">TB02</t>
        </is>
      </c>
      <c r="B3" t="inlineStr">
        <is>
          <t xml:space="preserve">ST24</t>
        </is>
      </c>
      <c r="C3" t="inlineStr">
        <is>
          <t xml:space="preserve">ST05</t>
        </is>
      </c>
    </row>
    <row r="4">
      <c r="A4" t="inlineStr">
        <is>
          <t xml:space="preserve">TB03</t>
        </is>
      </c>
      <c r="B4" t="inlineStr">
        <is>
          <t xml:space="preserve">ST25</t>
        </is>
      </c>
      <c r="C4" t="inlineStr">
        <is>
          <t xml:space="preserve">ST21</t>
        </is>
      </c>
    </row>
    <row r="5">
      <c r="A5" t="inlineStr">
        <is>
          <t xml:space="preserve">TB04</t>
        </is>
      </c>
      <c r="B5" t="inlineStr">
        <is>
          <t xml:space="preserve">ST26</t>
        </is>
      </c>
      <c r="C5" t="inlineStr">
        <is>
          <t xml:space="preserve">ST04</t>
        </is>
      </c>
    </row>
    <row r="6">
      <c r="A6" t="inlineStr">
        <is>
          <t xml:space="preserve">TB05</t>
        </is>
      </c>
      <c r="B6" t="inlineStr">
        <is>
          <t xml:space="preserve">ST27</t>
        </is>
      </c>
      <c r="C6" t="inlineStr">
        <is>
          <t xml:space="preserve">ST15</t>
        </is>
      </c>
    </row>
    <row r="7">
      <c r="A7" t="inlineStr">
        <is>
          <t xml:space="preserve">TB06</t>
        </is>
      </c>
      <c r="B7" t="inlineStr">
        <is>
          <t xml:space="preserve">ST28</t>
        </is>
      </c>
      <c r="C7" t="inlineStr">
        <is>
          <t xml:space="preserve">ST20</t>
        </is>
      </c>
    </row>
    <row r="8">
      <c r="A8" t="inlineStr">
        <is>
          <t xml:space="preserve">TB07</t>
        </is>
      </c>
      <c r="B8" t="inlineStr">
        <is>
          <t xml:space="preserve">ST29</t>
        </is>
      </c>
      <c r="C8" t="inlineStr">
        <is>
          <t xml:space="preserve">ST05</t>
        </is>
      </c>
    </row>
    <row r="9">
      <c r="A9" t="inlineStr">
        <is>
          <t xml:space="preserve">TB08</t>
        </is>
      </c>
      <c r="B9" t="inlineStr">
        <is>
          <t xml:space="preserve">ST30</t>
        </is>
      </c>
      <c r="C9" t="inlineStr">
        <is>
          <t xml:space="preserve">ST19</t>
        </is>
      </c>
    </row>
    <row r="10">
      <c r="A10" t="inlineStr">
        <is>
          <t xml:space="preserve">TB09</t>
        </is>
      </c>
      <c r="B10" t="inlineStr">
        <is>
          <t xml:space="preserve">ST31</t>
        </is>
      </c>
      <c r="C10" t="inlineStr">
        <is>
          <t xml:space="preserve">ST13</t>
        </is>
      </c>
    </row>
    <row r="11">
      <c r="A11" t="inlineStr">
        <is>
          <t xml:space="preserve">TB10</t>
        </is>
      </c>
      <c r="B11" t="inlineStr">
        <is>
          <t xml:space="preserve">ST32</t>
        </is>
      </c>
      <c r="C11" t="inlineStr">
        <is>
          <t xml:space="preserve">ST04</t>
        </is>
      </c>
    </row>
    <row r="12">
      <c r="A12" t="inlineStr">
        <is>
          <t xml:space="preserve">TB11</t>
        </is>
      </c>
      <c r="B12" t="inlineStr">
        <is>
          <t xml:space="preserve">ST33</t>
        </is>
      </c>
      <c r="C12" t="inlineStr">
        <is>
          <t xml:space="preserve">ST10</t>
        </is>
      </c>
    </row>
    <row r="13">
      <c r="A13" t="inlineStr">
        <is>
          <t xml:space="preserve">TB12</t>
        </is>
      </c>
      <c r="B13" t="inlineStr">
        <is>
          <t xml:space="preserve">ST34</t>
        </is>
      </c>
      <c r="C13" t="inlineStr">
        <is>
          <t xml:space="preserve">ST05</t>
        </is>
      </c>
    </row>
    <row r="14">
      <c r="A14" t="inlineStr">
        <is>
          <t xml:space="preserve">TB13</t>
        </is>
      </c>
      <c r="B14" t="inlineStr">
        <is>
          <t xml:space="preserve">ST35</t>
        </is>
      </c>
      <c r="C14" t="inlineStr">
        <is>
          <t xml:space="preserve">ST03</t>
        </is>
      </c>
    </row>
    <row r="15">
      <c r="A15" t="inlineStr">
        <is>
          <t xml:space="preserve">TB14</t>
        </is>
      </c>
      <c r="B15" t="inlineStr">
        <is>
          <t xml:space="preserve">ST36</t>
        </is>
      </c>
      <c r="C15" t="inlineStr">
        <is>
          <t xml:space="preserve">ST05</t>
        </is>
      </c>
    </row>
    <row r="16">
      <c r="A16" t="inlineStr">
        <is>
          <t xml:space="preserve">TB15</t>
        </is>
      </c>
      <c r="B16" t="inlineStr">
        <is>
          <t xml:space="preserve">ST37</t>
        </is>
      </c>
      <c r="C16" t="inlineStr">
        <is>
          <t xml:space="preserve">ST17</t>
        </is>
      </c>
    </row>
    <row r="17">
      <c r="A17" t="inlineStr">
        <is>
          <t xml:space="preserve">TB16</t>
        </is>
      </c>
      <c r="B17" t="inlineStr">
        <is>
          <t xml:space="preserve">ST38</t>
        </is>
      </c>
      <c r="C17" t="inlineStr">
        <is>
          <t xml:space="preserve">ST21</t>
        </is>
      </c>
    </row>
    <row r="18">
      <c r="A18" t="inlineStr">
        <is>
          <t xml:space="preserve">TB17</t>
        </is>
      </c>
      <c r="B18" t="inlineStr">
        <is>
          <t xml:space="preserve">ST39</t>
        </is>
      </c>
      <c r="C18" t="inlineStr">
        <is>
          <t xml:space="preserve">ST03</t>
        </is>
      </c>
    </row>
    <row r="19">
      <c r="A19" t="inlineStr">
        <is>
          <t xml:space="preserve">TB18</t>
        </is>
      </c>
      <c r="B19" t="inlineStr">
        <is>
          <t xml:space="preserve">ST40</t>
        </is>
      </c>
      <c r="C19" t="inlineStr">
        <is>
          <t xml:space="preserve">ST21</t>
        </is>
      </c>
    </row>
    <row r="20">
      <c r="A20" t="inlineStr">
        <is>
          <t xml:space="preserve">TB19</t>
        </is>
      </c>
      <c r="B20" t="inlineStr">
        <is>
          <t xml:space="preserve">ST41</t>
        </is>
      </c>
      <c r="C20" t="inlineStr">
        <is>
          <t xml:space="preserve">ST06</t>
        </is>
      </c>
    </row>
    <row r="21">
      <c r="A21" t="inlineStr">
        <is>
          <t xml:space="preserve">TB20</t>
        </is>
      </c>
      <c r="B21" t="inlineStr">
        <is>
          <t xml:space="preserve">ST42</t>
        </is>
      </c>
      <c r="C21" t="inlineStr">
        <is>
          <t xml:space="preserve">ST03</t>
        </is>
      </c>
    </row>
    <row r="22">
      <c r="A22" t="inlineStr">
        <is>
          <t xml:space="preserve">TB21</t>
        </is>
      </c>
      <c r="B22" t="inlineStr">
        <is>
          <t xml:space="preserve">ST43</t>
        </is>
      </c>
      <c r="C22" t="inlineStr">
        <is>
          <t xml:space="preserve">ST04</t>
        </is>
      </c>
    </row>
    <row r="23">
      <c r="A23" t="inlineStr">
        <is>
          <t xml:space="preserve">TB22</t>
        </is>
      </c>
      <c r="B23" t="inlineStr">
        <is>
          <t xml:space="preserve">ST44</t>
        </is>
      </c>
      <c r="C23" t="inlineStr">
        <is>
          <t xml:space="preserve">ST06</t>
        </is>
      </c>
    </row>
    <row r="24">
      <c r="A24" t="inlineStr">
        <is>
          <t xml:space="preserve">TB23</t>
        </is>
      </c>
      <c r="B24" t="inlineStr">
        <is>
          <t xml:space="preserve">ST45</t>
        </is>
      </c>
      <c r="C24" t="inlineStr">
        <is>
          <t xml:space="preserve">ST03</t>
        </is>
      </c>
    </row>
    <row r="25">
      <c r="A25" t="inlineStr">
        <is>
          <t xml:space="preserve">TB24</t>
        </is>
      </c>
      <c r="B25" t="inlineStr">
        <is>
          <t xml:space="preserve">ST46</t>
        </is>
      </c>
      <c r="C25" t="inlineStr">
        <is>
          <t xml:space="preserve">ST04</t>
        </is>
      </c>
    </row>
    <row r="26">
      <c r="A26" t="inlineStr">
        <is>
          <t xml:space="preserve">TB25</t>
        </is>
      </c>
      <c r="B26" t="inlineStr">
        <is>
          <t xml:space="preserve">ST47</t>
        </is>
      </c>
      <c r="C26" t="inlineStr">
        <is>
          <t xml:space="preserve">ST17</t>
        </is>
      </c>
    </row>
    <row r="27">
      <c r="A27" t="inlineStr">
        <is>
          <t xml:space="preserve">TB26</t>
        </is>
      </c>
      <c r="B27" t="inlineStr">
        <is>
          <t xml:space="preserve">ST48</t>
        </is>
      </c>
      <c r="C27" t="inlineStr">
        <is>
          <t xml:space="preserve">ST20</t>
        </is>
      </c>
    </row>
    <row r="28">
      <c r="A28" t="inlineStr">
        <is>
          <t xml:space="preserve">TB27</t>
        </is>
      </c>
      <c r="B28" t="inlineStr">
        <is>
          <t xml:space="preserve">ST49</t>
        </is>
      </c>
      <c r="C28" t="inlineStr">
        <is>
          <t xml:space="preserve">ST03</t>
        </is>
      </c>
    </row>
    <row r="29">
      <c r="A29" t="inlineStr">
        <is>
          <t xml:space="preserve">TB28</t>
        </is>
      </c>
      <c r="B29" t="inlineStr">
        <is>
          <t xml:space="preserve">ST50</t>
        </is>
      </c>
      <c r="C29" t="inlineStr">
        <is>
          <t xml:space="preserve">ST21</t>
        </is>
      </c>
    </row>
    <row r="30">
      <c r="A30" t="inlineStr">
        <is>
          <t xml:space="preserve">TB29</t>
        </is>
      </c>
      <c r="B30" t="inlineStr">
        <is>
          <t xml:space="preserve">ST51</t>
        </is>
      </c>
      <c r="C30" t="inlineStr">
        <is>
          <t xml:space="preserve">ST16</t>
        </is>
      </c>
    </row>
    <row r="31">
      <c r="A31" t="inlineStr">
        <is>
          <t xml:space="preserve">TB30</t>
        </is>
      </c>
      <c r="B31" t="inlineStr">
        <is>
          <t xml:space="preserve">ST52</t>
        </is>
      </c>
      <c r="C31" t="inlineStr">
        <is>
          <t xml:space="preserve">ST03</t>
        </is>
      </c>
    </row>
    <row r="32">
      <c r="A32" t="inlineStr">
        <is>
          <t xml:space="preserve">TB31</t>
        </is>
      </c>
      <c r="B32" t="inlineStr">
        <is>
          <t xml:space="preserve">ST53</t>
        </is>
      </c>
      <c r="C32" t="inlineStr">
        <is>
          <t xml:space="preserve">ST05</t>
        </is>
      </c>
    </row>
    <row r="33">
      <c r="A33" t="inlineStr">
        <is>
          <t xml:space="preserve">TB32</t>
        </is>
      </c>
      <c r="B33" t="inlineStr">
        <is>
          <t xml:space="preserve">ST54</t>
        </is>
      </c>
      <c r="C33" t="inlineStr">
        <is>
          <t xml:space="preserve">ST10</t>
        </is>
      </c>
    </row>
    <row r="34">
      <c r="A34" t="inlineStr">
        <is>
          <t xml:space="preserve">TB33</t>
        </is>
      </c>
      <c r="B34" t="inlineStr">
        <is>
          <t xml:space="preserve">ST55</t>
        </is>
      </c>
      <c r="C34" t="inlineStr">
        <is>
          <t xml:space="preserve">ST04</t>
        </is>
      </c>
    </row>
    <row r="35">
      <c r="A35" t="inlineStr">
        <is>
          <t xml:space="preserve">TB34</t>
        </is>
      </c>
      <c r="B35" t="inlineStr">
        <is>
          <t xml:space="preserve">ST56</t>
        </is>
      </c>
      <c r="C35" t="inlineStr">
        <is>
          <t xml:space="preserve">ST03</t>
        </is>
      </c>
    </row>
    <row r="36">
      <c r="A36" t="inlineStr">
        <is>
          <t xml:space="preserve">TB35</t>
        </is>
      </c>
      <c r="B36" t="inlineStr">
        <is>
          <t xml:space="preserve">ST57</t>
        </is>
      </c>
      <c r="C36" t="inlineStr">
        <is>
          <t xml:space="preserve">ST13</t>
        </is>
      </c>
    </row>
    <row r="37">
      <c r="A37" t="inlineStr">
        <is>
          <t xml:space="preserve">TB36</t>
        </is>
      </c>
      <c r="B37" t="inlineStr">
        <is>
          <t xml:space="preserve">ST58</t>
        </is>
      </c>
      <c r="C37" t="inlineStr">
        <is>
          <t xml:space="preserve">ST05</t>
        </is>
      </c>
    </row>
    <row r="38">
      <c r="A38" t="inlineStr">
        <is>
          <t xml:space="preserve">TB37</t>
        </is>
      </c>
      <c r="B38" t="inlineStr">
        <is>
          <t xml:space="preserve">ST59</t>
        </is>
      </c>
      <c r="C38" t="inlineStr">
        <is>
          <t xml:space="preserve">ST03</t>
        </is>
      </c>
    </row>
    <row r="39">
      <c r="A39" t="inlineStr">
        <is>
          <t xml:space="preserve">TB38</t>
        </is>
      </c>
      <c r="B39" t="inlineStr">
        <is>
          <t xml:space="preserve">ST60</t>
        </is>
      </c>
      <c r="C39" t="inlineStr">
        <is>
          <t xml:space="preserve">ST11</t>
        </is>
      </c>
    </row>
    <row r="40">
      <c r="A40" t="inlineStr">
        <is>
          <t xml:space="preserve">TB39</t>
        </is>
      </c>
      <c r="B40" t="inlineStr">
        <is>
          <t xml:space="preserve">ST61</t>
        </is>
      </c>
      <c r="C40" t="inlineStr">
        <is>
          <t xml:space="preserve">ST05</t>
        </is>
      </c>
    </row>
    <row r="41">
      <c r="A41" t="inlineStr">
        <is>
          <t xml:space="preserve">TB40</t>
        </is>
      </c>
      <c r="B41" t="inlineStr">
        <is>
          <t xml:space="preserve">ST62</t>
        </is>
      </c>
      <c r="C41" t="inlineStr">
        <is>
          <t xml:space="preserve">ST03</t>
        </is>
      </c>
    </row>
    <row r="42">
      <c r="A42" t="inlineStr">
        <is>
          <t xml:space="preserve">TB41</t>
        </is>
      </c>
      <c r="B42" t="inlineStr">
        <is>
          <t xml:space="preserve">ST63</t>
        </is>
      </c>
      <c r="C42" t="inlineStr">
        <is>
          <t xml:space="preserve">ST12</t>
        </is>
      </c>
    </row>
    <row r="43">
      <c r="A43" t="inlineStr">
        <is>
          <t xml:space="preserve">TB42</t>
        </is>
      </c>
      <c r="B43" t="inlineStr">
        <is>
          <t xml:space="preserve">ST64</t>
        </is>
      </c>
      <c r="C43" t="inlineStr">
        <is>
          <t xml:space="preserve">ST04</t>
        </is>
      </c>
    </row>
    <row r="44">
      <c r="A44" t="inlineStr">
        <is>
          <t xml:space="preserve">TB43</t>
        </is>
      </c>
      <c r="B44" t="inlineStr">
        <is>
          <t xml:space="preserve">ST65</t>
        </is>
      </c>
      <c r="C44" t="inlineStr">
        <is>
          <t xml:space="preserve">ST03</t>
        </is>
      </c>
    </row>
    <row r="45">
      <c r="A45" t="inlineStr">
        <is>
          <t xml:space="preserve">TB44</t>
        </is>
      </c>
      <c r="B45" t="inlineStr">
        <is>
          <t xml:space="preserve">ST66</t>
        </is>
      </c>
      <c r="C45" t="inlineStr">
        <is>
          <t xml:space="preserve">ST14</t>
        </is>
      </c>
    </row>
    <row r="46">
      <c r="A46" t="inlineStr">
        <is>
          <t xml:space="preserve">TB45</t>
        </is>
      </c>
      <c r="B46" t="inlineStr">
        <is>
          <t xml:space="preserve">ST67</t>
        </is>
      </c>
      <c r="C46" t="inlineStr">
        <is>
          <t xml:space="preserve">ST20</t>
        </is>
      </c>
    </row>
    <row r="47">
      <c r="A47" t="inlineStr">
        <is>
          <t xml:space="preserve">TB46</t>
        </is>
      </c>
      <c r="B47" t="inlineStr">
        <is>
          <t xml:space="preserve">ST68</t>
        </is>
      </c>
      <c r="C47" t="inlineStr">
        <is>
          <t xml:space="preserve">ST03</t>
        </is>
      </c>
    </row>
    <row r="48">
      <c r="A48" t="inlineStr">
        <is>
          <t xml:space="preserve">TB47</t>
        </is>
      </c>
      <c r="B48" t="inlineStr">
        <is>
          <t xml:space="preserve">ST69</t>
        </is>
      </c>
      <c r="C48" t="inlineStr">
        <is>
          <t xml:space="preserve">ST14</t>
        </is>
      </c>
    </row>
    <row r="49">
      <c r="A49" t="inlineStr">
        <is>
          <t xml:space="preserve">TB48</t>
        </is>
      </c>
      <c r="B49" t="inlineStr">
        <is>
          <t xml:space="preserve">ST70</t>
        </is>
      </c>
      <c r="C49" t="inlineStr">
        <is>
          <t xml:space="preserve">ST04</t>
        </is>
      </c>
    </row>
    <row r="50">
      <c r="A50" t="inlineStr">
        <is>
          <t xml:space="preserve">TB49</t>
        </is>
      </c>
      <c r="B50" t="inlineStr">
        <is>
          <t xml:space="preserve">ST71</t>
        </is>
      </c>
      <c r="C50" t="inlineStr">
        <is>
          <t xml:space="preserve">ST20</t>
        </is>
      </c>
    </row>
    <row r="51">
      <c r="A51" t="inlineStr">
        <is>
          <t xml:space="preserve">TB50</t>
        </is>
      </c>
      <c r="B51" t="inlineStr">
        <is>
          <t xml:space="preserve">ST72</t>
        </is>
      </c>
      <c r="C51" t="inlineStr">
        <is>
          <t xml:space="preserve">ST03</t>
        </is>
      </c>
    </row>
    <row r="52">
      <c r="A52" t="inlineStr">
        <is>
          <t xml:space="preserve">TB51</t>
        </is>
      </c>
      <c r="B52" t="inlineStr">
        <is>
          <t xml:space="preserve">ST73</t>
        </is>
      </c>
      <c r="C52" t="inlineStr">
        <is>
          <t xml:space="preserve">ST06</t>
        </is>
      </c>
    </row>
    <row r="53">
      <c r="A53" t="inlineStr">
        <is>
          <t xml:space="preserve">TB52</t>
        </is>
      </c>
      <c r="B53" t="inlineStr">
        <is>
          <t xml:space="preserve">ST74</t>
        </is>
      </c>
      <c r="C53" t="inlineStr">
        <is>
          <t xml:space="preserve">ST14</t>
        </is>
      </c>
    </row>
    <row r="54">
      <c r="A54" t="inlineStr">
        <is>
          <t xml:space="preserve">TB53</t>
        </is>
      </c>
      <c r="B54" t="inlineStr">
        <is>
          <t xml:space="preserve">ST75</t>
        </is>
      </c>
      <c r="C54" t="inlineStr">
        <is>
          <t xml:space="preserve">ST03</t>
        </is>
      </c>
    </row>
    <row r="55">
      <c r="A55" t="inlineStr">
        <is>
          <t xml:space="preserve">TB54</t>
        </is>
      </c>
      <c r="B55" t="inlineStr">
        <is>
          <t xml:space="preserve">ST76</t>
        </is>
      </c>
      <c r="C55" t="inlineStr">
        <is>
          <t xml:space="preserve">ST05</t>
        </is>
      </c>
    </row>
    <row r="56">
      <c r="A56" t="inlineStr">
        <is>
          <t xml:space="preserve">TB55</t>
        </is>
      </c>
      <c r="B56" t="inlineStr">
        <is>
          <t xml:space="preserve">ST77</t>
        </is>
      </c>
      <c r="C56" t="inlineStr">
        <is>
          <t xml:space="preserve">ST13</t>
        </is>
      </c>
    </row>
    <row r="57">
      <c r="A57" t="inlineStr">
        <is>
          <t xml:space="preserve">TB56</t>
        </is>
      </c>
      <c r="B57" t="inlineStr">
        <is>
          <t xml:space="preserve">ST78</t>
        </is>
      </c>
      <c r="C57" t="inlineStr">
        <is>
          <t xml:space="preserve">ST03</t>
        </is>
      </c>
    </row>
    <row r="58">
      <c r="A58" t="inlineStr">
        <is>
          <t xml:space="preserve">TB57</t>
        </is>
      </c>
      <c r="B58" t="inlineStr">
        <is>
          <t xml:space="preserve">ST79</t>
        </is>
      </c>
      <c r="C58" t="inlineStr">
        <is>
          <t xml:space="preserve">ST21</t>
        </is>
      </c>
    </row>
    <row r="59">
      <c r="A59" t="inlineStr">
        <is>
          <t xml:space="preserve">TB58</t>
        </is>
      </c>
      <c r="B59" t="inlineStr">
        <is>
          <t xml:space="preserve">ST80</t>
        </is>
      </c>
      <c r="C59" t="inlineStr">
        <is>
          <t xml:space="preserve">ST17</t>
        </is>
      </c>
    </row>
    <row r="60">
      <c r="A60" t="inlineStr">
        <is>
          <t xml:space="preserve">TB59</t>
        </is>
      </c>
      <c r="B60" t="inlineStr">
        <is>
          <t xml:space="preserve">ST81</t>
        </is>
      </c>
      <c r="C60" t="inlineStr">
        <is>
          <t xml:space="preserve">ST03</t>
        </is>
      </c>
    </row>
    <row r="61">
      <c r="A61" t="inlineStr">
        <is>
          <t xml:space="preserve">TB60</t>
        </is>
      </c>
      <c r="B61" t="inlineStr">
        <is>
          <t xml:space="preserve">ST82</t>
        </is>
      </c>
      <c r="C61" t="inlineStr">
        <is>
          <t xml:space="preserve">ST05</t>
        </is>
      </c>
    </row>
    <row r="62">
      <c r="A62" t="inlineStr">
        <is>
          <t xml:space="preserve">TB61</t>
        </is>
      </c>
      <c r="B62" t="inlineStr">
        <is>
          <t xml:space="preserve">ST83</t>
        </is>
      </c>
      <c r="C62" t="inlineStr">
        <is>
          <t xml:space="preserve">ST04</t>
        </is>
      </c>
    </row>
    <row r="63">
      <c r="A63" t="inlineStr">
        <is>
          <t xml:space="preserve">TB62</t>
        </is>
      </c>
      <c r="B63" t="inlineStr">
        <is>
          <t xml:space="preserve">ST84</t>
        </is>
      </c>
      <c r="C63" t="inlineStr">
        <is>
          <t xml:space="preserve">ST06</t>
        </is>
      </c>
    </row>
    <row r="64">
      <c r="A64" t="inlineStr">
        <is>
          <t xml:space="preserve">TB63</t>
        </is>
      </c>
      <c r="B64" t="inlineStr">
        <is>
          <t xml:space="preserve">ST85</t>
        </is>
      </c>
      <c r="C64" t="inlineStr">
        <is>
          <t xml:space="preserve">ST03</t>
        </is>
      </c>
    </row>
    <row r="65">
      <c r="A65" t="inlineStr">
        <is>
          <t xml:space="preserve">TB64</t>
        </is>
      </c>
      <c r="B65" t="inlineStr">
        <is>
          <t xml:space="preserve">ST86</t>
        </is>
      </c>
      <c r="C65" t="inlineStr">
        <is>
          <t xml:space="preserve">ST05</t>
        </is>
      </c>
    </row>
    <row r="66">
      <c r="A66" t="inlineStr">
        <is>
          <t xml:space="preserve">TB65</t>
        </is>
      </c>
      <c r="B66" t="inlineStr">
        <is>
          <t xml:space="preserve">ST87</t>
        </is>
      </c>
      <c r="C66" t="inlineStr">
        <is>
          <t xml:space="preserve">ST21</t>
        </is>
      </c>
    </row>
    <row r="67">
      <c r="A67" t="inlineStr">
        <is>
          <t xml:space="preserve">TB66</t>
        </is>
      </c>
      <c r="B67" t="inlineStr">
        <is>
          <t xml:space="preserve">ST88</t>
        </is>
      </c>
      <c r="C67" t="inlineStr">
        <is>
          <t xml:space="preserve">ST20</t>
        </is>
      </c>
    </row>
    <row r="68">
      <c r="A68" t="inlineStr">
        <is>
          <t xml:space="preserve">TB67</t>
        </is>
      </c>
      <c r="B68" t="inlineStr">
        <is>
          <t xml:space="preserve">ST89</t>
        </is>
      </c>
      <c r="C68" t="inlineStr">
        <is>
          <t xml:space="preserve">ST03</t>
        </is>
      </c>
    </row>
    <row r="69">
      <c r="A69" t="inlineStr">
        <is>
          <t xml:space="preserve">TB68</t>
        </is>
      </c>
      <c r="B69" t="inlineStr">
        <is>
          <t xml:space="preserve">ST90</t>
        </is>
      </c>
      <c r="C69" t="inlineStr">
        <is>
          <t xml:space="preserve">ST17</t>
        </is>
      </c>
    </row>
    <row r="70">
      <c r="A70" t="inlineStr">
        <is>
          <t xml:space="preserve">TB69</t>
        </is>
      </c>
      <c r="B70" t="inlineStr">
        <is>
          <t xml:space="preserve">ST91</t>
        </is>
      </c>
      <c r="C70" t="inlineStr">
        <is>
          <t xml:space="preserve">ST06</t>
        </is>
      </c>
    </row>
    <row r="71">
      <c r="A71" t="inlineStr">
        <is>
          <t xml:space="preserve">TB70</t>
        </is>
      </c>
      <c r="B71" t="inlineStr">
        <is>
          <t xml:space="preserve">ST92</t>
        </is>
      </c>
      <c r="C71" t="inlineStr">
        <is>
          <t xml:space="preserve">ST04</t>
        </is>
      </c>
    </row>
    <row r="72">
      <c r="A72" t="inlineStr">
        <is>
          <t xml:space="preserve">TB71</t>
        </is>
      </c>
      <c r="B72" t="inlineStr">
        <is>
          <t xml:space="preserve">ST93</t>
        </is>
      </c>
      <c r="C72" t="inlineStr">
        <is>
          <t xml:space="preserve">ST03</t>
        </is>
      </c>
    </row>
    <row r="73">
      <c r="A73" t="inlineStr">
        <is>
          <t xml:space="preserve">TB72</t>
        </is>
      </c>
      <c r="B73" t="inlineStr">
        <is>
          <t xml:space="preserve">ST94</t>
        </is>
      </c>
      <c r="C73" t="inlineStr">
        <is>
          <t xml:space="preserve">ST05</t>
        </is>
      </c>
    </row>
    <row r="74">
      <c r="A74" t="inlineStr">
        <is>
          <t xml:space="preserve">TB73</t>
        </is>
      </c>
      <c r="B74" t="inlineStr">
        <is>
          <t xml:space="preserve">ST95</t>
        </is>
      </c>
      <c r="C74" t="inlineStr">
        <is>
          <t xml:space="preserve">ST17</t>
        </is>
      </c>
    </row>
    <row r="75">
      <c r="A75" t="inlineStr">
        <is>
          <t xml:space="preserve">TB74</t>
        </is>
      </c>
      <c r="B75" t="inlineStr">
        <is>
          <t xml:space="preserve">ST96</t>
        </is>
      </c>
      <c r="C75" t="inlineStr">
        <is>
          <t xml:space="preserve">ST21</t>
        </is>
      </c>
    </row>
    <row r="76">
      <c r="A76" t="inlineStr">
        <is>
          <t xml:space="preserve">TB75</t>
        </is>
      </c>
      <c r="B76" t="inlineStr">
        <is>
          <t xml:space="preserve">ST97</t>
        </is>
      </c>
      <c r="C76" t="inlineStr">
        <is>
          <t xml:space="preserve">ST03</t>
        </is>
      </c>
    </row>
    <row r="77">
      <c r="A77" t="inlineStr">
        <is>
          <t xml:space="preserve">TB76</t>
        </is>
      </c>
      <c r="B77" t="inlineStr">
        <is>
          <t xml:space="preserve">ST98</t>
        </is>
      </c>
      <c r="C77" t="inlineStr">
        <is>
          <t xml:space="preserve">ST06</t>
        </is>
      </c>
    </row>
    <row r="78">
      <c r="A78" t="inlineStr">
        <is>
          <t xml:space="preserve">TB77</t>
        </is>
      </c>
      <c r="B78" t="inlineStr">
        <is>
          <t xml:space="preserve">ST99</t>
        </is>
      </c>
      <c r="C78" t="inlineStr">
        <is>
          <t xml:space="preserve">ST04</t>
        </is>
      </c>
    </row>
    <row r="79">
      <c r="A79" t="inlineStr">
        <is>
          <t xml:space="preserve">TB78</t>
        </is>
      </c>
      <c r="B79" t="inlineStr">
        <is>
          <t xml:space="preserve">ST100</t>
        </is>
      </c>
      <c r="C79" t="inlineStr">
        <is>
          <t xml:space="preserve">ST03</t>
        </is>
      </c>
    </row>
  </sheetData>
  <pageMargins left="0.75" right="0.75" top="1" bottom="1" header="0.5" footer="0.5"/>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242"/>
  <sheetViews>
    <sheetView workbookViewId="0">
      <selection activeCell="H7" sqref="H7"/>
    </sheetView>
  </sheetViews>
  <sheetFormatPr defaultRowHeight="15"/>
  <sheetData>
    <row r="1" spans="1:5">
      <c r="A1" t="s">
        <v>5135</v>
      </c>
      <c r="B1" t="s">
        <v>5132</v>
      </c>
      <c r="C1" t="s">
        <v>597</v>
      </c>
      <c r="D1" t="s">
        <v>5136</v>
      </c>
      <c r="E1" t="s">
        <v>5137</v>
      </c>
    </row>
    <row r="2">
      <c r="A2" t="inlineStr">
        <is>
          <t xml:space="preserve">TD01</t>
        </is>
      </c>
      <c r="B2" t="inlineStr">
        <is>
          <t xml:space="preserve">SF01</t>
        </is>
      </c>
      <c r="D2" t="inlineStr">
        <is>
          <t xml:space="preserve">I have the briefing notes ready. Read the first page on your way in.</t>
        </is>
      </c>
      <c r="E2" t="inlineStr">
        <is>
          <t xml:space="preserve">I will read it on the way.</t>
        </is>
      </c>
    </row>
    <row r="3">
      <c r="A3" t="inlineStr">
        <is>
          <t xml:space="preserve">TD02</t>
        </is>
      </c>
      <c r="B3" t="inlineStr">
        <is>
          <t xml:space="preserve">SF01</t>
        </is>
      </c>
      <c r="D3" t="inlineStr">
        <is>
          <t xml:space="preserve">The research folder is thin on this one. Trust your instincts in there.</t>
        </is>
      </c>
      <c r="E3" t="inlineStr">
        <is>
          <t xml:space="preserve">I usually do.</t>
        </is>
      </c>
    </row>
    <row r="4">
      <c r="A4" t="inlineStr">
        <is>
          <t xml:space="preserve">TD03</t>
        </is>
      </c>
      <c r="B4" t="inlineStr">
        <is>
          <t xml:space="preserve">SF02</t>
        </is>
      </c>
      <c r="D4" t="inlineStr">
        <is>
          <t xml:space="preserve">I double-checked the facts. They should hold up under pressure.</t>
        </is>
      </c>
      <c r="E4" t="inlineStr">
        <is>
          <t xml:space="preserve">Good. That is all I need.</t>
        </is>
      </c>
    </row>
    <row r="5">
      <c r="A5" t="inlineStr">
        <is>
          <t xml:space="preserve">TD04</t>
        </is>
      </c>
      <c r="B5" t="inlineStr">
        <is>
          <t xml:space="preserve">SF02</t>
        </is>
      </c>
      <c r="D5" t="inlineStr">
        <is>
          <t xml:space="preserve">Whatever happens next, the numbers are on your side.</t>
        </is>
      </c>
      <c r="E5" t="inlineStr">
        <is>
          <t xml:space="preserve">Let us hope they listen.</t>
        </is>
      </c>
    </row>
    <row r="6">
      <c r="A6" t="inlineStr">
        <is>
          <t xml:space="preserve">TD05</t>
        </is>
      </c>
      <c r="B6" t="inlineStr">
        <is>
          <t xml:space="preserve">SF08</t>
        </is>
      </c>
      <c r="D6" t="inlineStr">
        <is>
          <t xml:space="preserve">Reporters are gathering outside. Keep your answers short and clear.</t>
        </is>
      </c>
      <c r="E6" t="inlineStr">
        <is>
          <t xml:space="preserve">Short and clear. Understood.</t>
        </is>
      </c>
    </row>
    <row r="7">
      <c r="A7" t="inlineStr">
        <is>
          <t xml:space="preserve">TD06</t>
        </is>
      </c>
      <c r="B7" t="inlineStr">
        <is>
          <t xml:space="preserve">SF08</t>
        </is>
      </c>
      <c r="D7" t="inlineStr">
        <is>
          <t xml:space="preserve">I have cleared your schedule. Focus on the room ahead.</t>
        </is>
      </c>
      <c r="E7" t="inlineStr">
        <is>
          <t xml:space="preserve">Thank you. I will.</t>
        </is>
      </c>
    </row>
    <row r="8">
      <c r="A8" t="inlineStr">
        <is>
          <t xml:space="preserve">TD07</t>
        </is>
      </c>
      <c r="B8" t="inlineStr">
        <is>
          <t xml:space="preserve">SF09</t>
        </is>
      </c>
      <c r="D8" t="inlineStr">
        <is>
          <t xml:space="preserve">Every word may be quoted. Choose them with care.</t>
        </is>
      </c>
      <c r="E8" t="inlineStr">
        <is>
          <t xml:space="preserve">I will.</t>
        </is>
      </c>
    </row>
    <row r="9">
      <c r="A9" t="inlineStr">
        <is>
          <t xml:space="preserve">TD08</t>
        </is>
      </c>
      <c r="B9" t="inlineStr">
        <is>
          <t xml:space="preserve">SF09</t>
        </is>
      </c>
      <c r="D9" t="inlineStr">
        <is>
          <t xml:space="preserve">The cameras are ready, but you do not need them.</t>
        </is>
      </c>
      <c r="E9" t="inlineStr">
        <is>
          <t xml:space="preserve">Then I will ignore them.</t>
        </is>
      </c>
    </row>
    <row r="10">
      <c r="A10" t="inlineStr">
        <is>
          <t xml:space="preserve">TD09</t>
        </is>
      </c>
      <c r="B10" t="inlineStr">
        <is>
          <t xml:space="preserve">SF15</t>
        </is>
      </c>
      <c r="D10" t="inlineStr">
        <is>
          <t xml:space="preserve">Folks back home are watching how this goes. No pressure.</t>
        </is>
      </c>
      <c r="E10" t="inlineStr">
        <is>
          <t xml:space="preserve">None at all, then.</t>
        </is>
      </c>
    </row>
    <row r="11">
      <c r="A11" t="inlineStr">
        <is>
          <t xml:space="preserve">TD10</t>
        </is>
      </c>
      <c r="B11" t="inlineStr">
        <is>
          <t xml:space="preserve">SF15</t>
        </is>
      </c>
      <c r="D11" t="inlineStr">
        <is>
          <t xml:space="preserve">I brought word from the district. People are counting on you.</t>
        </is>
      </c>
      <c r="E11" t="inlineStr">
        <is>
          <t xml:space="preserve">I will not let them down.</t>
        </is>
      </c>
    </row>
    <row r="12">
      <c r="A12" t="inlineStr">
        <is>
          <t xml:space="preserve">TD11</t>
        </is>
      </c>
      <c r="B12" t="inlineStr">
        <is>
          <t xml:space="preserve">SF16</t>
        </is>
      </c>
      <c r="D12" t="inlineStr">
        <is>
          <t xml:space="preserve">The district office sent tea. It is a long session ahead.</t>
        </is>
      </c>
      <c r="E12" t="inlineStr">
        <is>
          <t xml:space="preserve">Tea first. Then the fight.</t>
        </is>
      </c>
    </row>
    <row r="13">
      <c r="A13" t="inlineStr">
        <is>
          <t xml:space="preserve">TD12</t>
        </is>
      </c>
      <c r="B13" t="inlineStr">
        <is>
          <t xml:space="preserve">SF16</t>
        </is>
      </c>
      <c r="D13" t="inlineStr">
        <is>
          <t xml:space="preserve">People in the district asked me to wish you luck.</t>
        </is>
      </c>
      <c r="E13" t="inlineStr">
        <is>
          <t xml:space="preserve">Please thank them for me.</t>
        </is>
      </c>
    </row>
    <row r="14">
      <c r="A14" t="inlineStr">
        <is>
          <t xml:space="preserve">TD13</t>
        </is>
      </c>
      <c r="B14" t="inlineStr">
        <is>
          <t xml:space="preserve">SF15</t>
        </is>
      </c>
      <c r="C14" t="inlineStr">
        <is>
          <t xml:space="preserve">ST03</t>
        </is>
      </c>
      <c r="D14" t="inlineStr">
        <is>
          <t xml:space="preserve">This is your own party's room. They will notice every word.</t>
        </is>
      </c>
      <c r="E14" t="inlineStr">
        <is>
          <t xml:space="preserve">Then I will choose well.</t>
        </is>
      </c>
    </row>
    <row r="15">
      <c r="A15" t="inlineStr">
        <is>
          <t xml:space="preserve">TD14</t>
        </is>
      </c>
      <c r="B15" t="inlineStr">
        <is>
          <t xml:space="preserve">SF16</t>
        </is>
      </c>
      <c r="C15" t="inlineStr">
        <is>
          <t xml:space="preserve">ST03</t>
        </is>
      </c>
      <c r="D15" t="inlineStr">
        <is>
          <t xml:space="preserve">Caucus members like a firm hand and a friendly tone.</t>
        </is>
      </c>
      <c r="E15" t="inlineStr">
        <is>
          <t xml:space="preserve">Firm and friendly. Got it.</t>
        </is>
      </c>
    </row>
    <row r="16">
      <c r="A16" t="inlineStr">
        <is>
          <t xml:space="preserve">TD15</t>
        </is>
      </c>
      <c r="B16" t="inlineStr">
        <is>
          <t xml:space="preserve">SF08</t>
        </is>
      </c>
      <c r="C16" t="inlineStr">
        <is>
          <t xml:space="preserve">ST04</t>
        </is>
      </c>
      <c r="D16" t="inlineStr">
        <is>
          <t xml:space="preserve">Pick three simple points. Say them and do not wander.</t>
        </is>
      </c>
      <c r="E16" t="inlineStr">
        <is>
          <t xml:space="preserve">Three points. Then stop.</t>
        </is>
      </c>
    </row>
    <row r="17">
      <c r="A17" t="inlineStr">
        <is>
          <t xml:space="preserve">TD16</t>
        </is>
      </c>
      <c r="B17" t="inlineStr">
        <is>
          <t xml:space="preserve">SF09</t>
        </is>
      </c>
      <c r="C17" t="inlineStr">
        <is>
          <t xml:space="preserve">ST04</t>
        </is>
      </c>
      <c r="D17" t="inlineStr">
        <is>
          <t xml:space="preserve">Journalists smell hesitation. Answer plainly and keep your composure.</t>
        </is>
      </c>
      <c r="E17" t="inlineStr">
        <is>
          <t xml:space="preserve">Plain and calm. Ready.</t>
        </is>
      </c>
    </row>
    <row r="18">
      <c r="A18" t="inlineStr">
        <is>
          <t xml:space="preserve">TD17</t>
        </is>
      </c>
      <c r="B18" t="inlineStr">
        <is>
          <t xml:space="preserve">SF01</t>
        </is>
      </c>
      <c r="C18" t="inlineStr">
        <is>
          <t xml:space="preserve">ST02</t>
        </is>
      </c>
      <c r="D18" t="inlineStr">
        <is>
          <t xml:space="preserve">Count the seats as you rise. Every one matters.</t>
        </is>
      </c>
      <c r="E18" t="inlineStr">
        <is>
          <t xml:space="preserve">I know the numbers.</t>
        </is>
      </c>
    </row>
    <row r="19">
      <c r="A19" t="inlineStr">
        <is>
          <t xml:space="preserve">TD18</t>
        </is>
      </c>
      <c r="B19" t="inlineStr">
        <is>
          <t xml:space="preserve">SF02</t>
        </is>
      </c>
      <c r="C19" t="inlineStr">
        <is>
          <t xml:space="preserve">ST02</t>
        </is>
      </c>
      <c r="D19" t="inlineStr">
        <is>
          <t xml:space="preserve">The chamber is full. Make the first minute count.</t>
        </is>
      </c>
      <c r="E19" t="inlineStr">
        <is>
          <t xml:space="preserve">The first minute counts most.</t>
        </is>
      </c>
    </row>
    <row r="20">
      <c r="A20" t="inlineStr">
        <is>
          <t xml:space="preserve">TD19</t>
        </is>
      </c>
      <c r="B20" t="inlineStr">
        <is>
          <t xml:space="preserve">SF15</t>
        </is>
      </c>
      <c r="C20" t="inlineStr">
        <is>
          <t xml:space="preserve">ST24</t>
        </is>
      </c>
      <c r="D20" t="inlineStr">
        <is>
          <t xml:space="preserve">Commuters have filled the hall. Fares are on everyone's mind.</t>
        </is>
      </c>
      <c r="E20" t="inlineStr">
        <is>
          <t xml:space="preserve">Then fares are what we discuss.</t>
        </is>
      </c>
    </row>
    <row r="21">
      <c r="A21" t="inlineStr">
        <is>
          <t xml:space="preserve">TD20</t>
        </is>
      </c>
      <c r="B21" t="inlineStr">
        <is>
          <t xml:space="preserve">SF16</t>
        </is>
      </c>
      <c r="C21" t="inlineStr">
        <is>
          <t xml:space="preserve">ST24</t>
        </is>
      </c>
      <c r="D21" t="inlineStr">
        <is>
          <t xml:space="preserve">They want to hear about their own fares. Keep it human.</t>
        </is>
      </c>
      <c r="E21" t="inlineStr">
        <is>
          <t xml:space="preserve">Human first, numbers second.</t>
        </is>
      </c>
    </row>
    <row r="22">
      <c r="A22" t="inlineStr">
        <is>
          <t xml:space="preserve">TD21</t>
        </is>
      </c>
      <c r="B22" t="inlineStr">
        <is>
          <t xml:space="preserve">SF01</t>
        </is>
      </c>
      <c r="C22" t="inlineStr">
        <is>
          <t xml:space="preserve">ST25</t>
        </is>
      </c>
      <c r="D22" t="inlineStr">
        <is>
          <t xml:space="preserve">The timetable data is in your folder. Every line is marked.</t>
        </is>
      </c>
      <c r="E22" t="inlineStr">
        <is>
          <t xml:space="preserve">Good. Marked lines help.</t>
        </is>
      </c>
    </row>
    <row r="23">
      <c r="A23" t="inlineStr">
        <is>
          <t xml:space="preserve">TD22</t>
        </is>
      </c>
      <c r="B23" t="inlineStr">
        <is>
          <t xml:space="preserve">SF02</t>
        </is>
      </c>
      <c r="C23" t="inlineStr">
        <is>
          <t xml:space="preserve">ST25</t>
        </is>
      </c>
      <c r="D23" t="inlineStr">
        <is>
          <t xml:space="preserve">This room rewards patience and precise answers.</t>
        </is>
      </c>
      <c r="E23" t="inlineStr">
        <is>
          <t xml:space="preserve">Precise it is.</t>
        </is>
      </c>
    </row>
    <row r="24">
      <c r="A24" t="inlineStr">
        <is>
          <t xml:space="preserve">TD23</t>
        </is>
      </c>
      <c r="B24" t="inlineStr">
        <is>
          <t xml:space="preserve">SF08</t>
        </is>
      </c>
      <c r="C24" t="inlineStr">
        <is>
          <t xml:space="preserve">ST26</t>
        </is>
      </c>
      <c r="D24" t="inlineStr">
        <is>
          <t xml:space="preserve">The fare rise is the only question they care about.</t>
        </is>
      </c>
      <c r="E24" t="inlineStr">
        <is>
          <t xml:space="preserve">Then I will answer it.</t>
        </is>
      </c>
    </row>
    <row r="25">
      <c r="A25" t="inlineStr">
        <is>
          <t xml:space="preserve">TD24</t>
        </is>
      </c>
      <c r="B25" t="inlineStr">
        <is>
          <t xml:space="preserve">SF09</t>
        </is>
      </c>
      <c r="C25" t="inlineStr">
        <is>
          <t xml:space="preserve">ST26</t>
        </is>
      </c>
      <c r="D25" t="inlineStr">
        <is>
          <t xml:space="preserve">Say what you will protect, not just what you oppose.</t>
        </is>
      </c>
      <c r="E25" t="inlineStr">
        <is>
          <t xml:space="preserve">Protect first. Oppose second.</t>
        </is>
      </c>
    </row>
    <row r="26">
      <c r="A26" t="inlineStr">
        <is>
          <t xml:space="preserve">TD25</t>
        </is>
      </c>
      <c r="B26" t="inlineStr">
        <is>
          <t xml:space="preserve">SF01</t>
        </is>
      </c>
      <c r="C26" t="inlineStr">
        <is>
          <t xml:space="preserve">ST27</t>
        </is>
      </c>
      <c r="D26" t="inlineStr">
        <is>
          <t xml:space="preserve">Safety records are public. Expect the members to quote them.</t>
        </is>
      </c>
      <c r="E26" t="inlineStr">
        <is>
          <t xml:space="preserve">Then I will quote back.</t>
        </is>
      </c>
    </row>
    <row r="27">
      <c r="A27" t="inlineStr">
        <is>
          <t xml:space="preserve">TD26</t>
        </is>
      </c>
      <c r="B27" t="inlineStr">
        <is>
          <t xml:space="preserve">SF02</t>
        </is>
      </c>
      <c r="C27" t="inlineStr">
        <is>
          <t xml:space="preserve">ST27</t>
        </is>
      </c>
      <c r="D27" t="inlineStr">
        <is>
          <t xml:space="preserve">Be exact about inspections and costs. They will check.</t>
        </is>
      </c>
      <c r="E27" t="inlineStr">
        <is>
          <t xml:space="preserve">Exact. Noted.</t>
        </is>
      </c>
    </row>
    <row r="28">
      <c r="A28" t="inlineStr">
        <is>
          <t xml:space="preserve">TD27</t>
        </is>
      </c>
      <c r="B28" t="inlineStr">
        <is>
          <t xml:space="preserve">SF15</t>
        </is>
      </c>
      <c r="C28" t="inlineStr">
        <is>
          <t xml:space="preserve">ST28</t>
        </is>
      </c>
      <c r="D28" t="inlineStr">
        <is>
          <t xml:space="preserve">The fisheries representative is blunt but fair. Meet that with plain talk.</t>
        </is>
      </c>
      <c r="E28" t="inlineStr">
        <is>
          <t xml:space="preserve">Plain talk, then.</t>
        </is>
      </c>
    </row>
    <row r="29">
      <c r="A29" t="inlineStr">
        <is>
          <t xml:space="preserve">TD28</t>
        </is>
      </c>
      <c r="B29" t="inlineStr">
        <is>
          <t xml:space="preserve">SF16</t>
        </is>
      </c>
      <c r="C29" t="inlineStr">
        <is>
          <t xml:space="preserve">ST28</t>
        </is>
      </c>
      <c r="D29" t="inlineStr">
        <is>
          <t xml:space="preserve">Quotas decide whether boats stay in business. Listen first.</t>
        </is>
      </c>
      <c r="E29" t="inlineStr">
        <is>
          <t xml:space="preserve">Listening is my strength.</t>
        </is>
      </c>
    </row>
    <row r="30">
      <c r="A30" t="inlineStr">
        <is>
          <t xml:space="preserve">TD29</t>
        </is>
      </c>
      <c r="B30" t="inlineStr">
        <is>
          <t xml:space="preserve">SF15</t>
        </is>
      </c>
      <c r="C30" t="inlineStr">
        <is>
          <t xml:space="preserve">ST29</t>
        </is>
      </c>
      <c r="D30" t="inlineStr">
        <is>
          <t xml:space="preserve">The harbour crowd is proud and tired. Show them respect.</t>
        </is>
      </c>
      <c r="E30" t="inlineStr">
        <is>
          <t xml:space="preserve">Respect comes first.</t>
        </is>
      </c>
    </row>
    <row r="31">
      <c r="A31" t="inlineStr">
        <is>
          <t xml:space="preserve">TD30</t>
        </is>
      </c>
      <c r="B31" t="inlineStr">
        <is>
          <t xml:space="preserve">SF16</t>
        </is>
      </c>
      <c r="C31" t="inlineStr">
        <is>
          <t xml:space="preserve">ST29</t>
        </is>
      </c>
      <c r="D31" t="inlineStr">
        <is>
          <t xml:space="preserve">It smells of salt and diesel in there. Do not mind it.</t>
        </is>
      </c>
      <c r="E31" t="inlineStr">
        <is>
          <t xml:space="preserve">I like the harbour.</t>
        </is>
      </c>
    </row>
    <row r="32">
      <c r="A32" t="inlineStr">
        <is>
          <t xml:space="preserve">TD31</t>
        </is>
      </c>
      <c r="B32" t="inlineStr">
        <is>
          <t xml:space="preserve">SF08</t>
        </is>
      </c>
      <c r="C32" t="inlineStr">
        <is>
          <t xml:space="preserve">ST30</t>
        </is>
      </c>
      <c r="D32" t="inlineStr">
        <is>
          <t xml:space="preserve">Cameras are waiting at the dock. Stay calm and brief.</t>
        </is>
      </c>
      <c r="E32" t="inlineStr">
        <is>
          <t xml:space="preserve">Calm and brief.</t>
        </is>
      </c>
    </row>
    <row r="33">
      <c r="A33" t="inlineStr">
        <is>
          <t xml:space="preserve">TD32</t>
        </is>
      </c>
      <c r="B33" t="inlineStr">
        <is>
          <t xml:space="preserve">SF09</t>
        </is>
      </c>
      <c r="C33" t="inlineStr">
        <is>
          <t xml:space="preserve">ST30</t>
        </is>
      </c>
      <c r="D33" t="inlineStr">
        <is>
          <t xml:space="preserve">They will ask about labels. Know where the catch comes from.</t>
        </is>
      </c>
      <c r="E33" t="inlineStr">
        <is>
          <t xml:space="preserve">I will say what I know.</t>
        </is>
      </c>
    </row>
    <row r="34">
      <c r="A34" t="inlineStr">
        <is>
          <t xml:space="preserve">TD33</t>
        </is>
      </c>
      <c r="B34" t="inlineStr">
        <is>
          <t xml:space="preserve">SF01</t>
        </is>
      </c>
      <c r="C34" t="inlineStr">
        <is>
          <t xml:space="preserve">ST31</t>
        </is>
      </c>
      <c r="D34" t="inlineStr">
        <is>
          <t xml:space="preserve">The catch limits are in tab three. Read them first.</t>
        </is>
      </c>
      <c r="E34" t="inlineStr">
        <is>
          <t xml:space="preserve">Tab three. Got it.</t>
        </is>
      </c>
    </row>
    <row r="35">
      <c r="A35" t="inlineStr">
        <is>
          <t xml:space="preserve">TD34</t>
        </is>
      </c>
      <c r="B35" t="inlineStr">
        <is>
          <t xml:space="preserve">SF02</t>
        </is>
      </c>
      <c r="C35" t="inlineStr">
        <is>
          <t xml:space="preserve">ST31</t>
        </is>
      </c>
      <c r="D35" t="inlineStr">
        <is>
          <t xml:space="preserve">Small boats against big fleets. Expect that fight in there.</t>
        </is>
      </c>
      <c r="E35" t="inlineStr">
        <is>
          <t xml:space="preserve">I expect it.</t>
        </is>
      </c>
    </row>
    <row r="36">
      <c r="A36" t="inlineStr">
        <is>
          <t xml:space="preserve">TD35</t>
        </is>
      </c>
      <c r="B36" t="inlineStr">
        <is>
          <t xml:space="preserve">SF08</t>
        </is>
      </c>
      <c r="C36" t="inlineStr">
        <is>
          <t xml:space="preserve">ST32</t>
        </is>
      </c>
      <c r="D36" t="inlineStr">
        <is>
          <t xml:space="preserve">Reporters will ask about the wilderness straight away.</t>
        </is>
      </c>
      <c r="E36" t="inlineStr">
        <is>
          <t xml:space="preserve">I am ready.</t>
        </is>
      </c>
    </row>
    <row r="37">
      <c r="A37" t="inlineStr">
        <is>
          <t xml:space="preserve">TD36</t>
        </is>
      </c>
      <c r="B37" t="inlineStr">
        <is>
          <t xml:space="preserve">SF09</t>
        </is>
      </c>
      <c r="C37" t="inlineStr">
        <is>
          <t xml:space="preserve">ST32</t>
        </is>
      </c>
      <c r="D37" t="inlineStr">
        <is>
          <t xml:space="preserve">Say plainly where you stand on the wilderness.</t>
        </is>
      </c>
      <c r="E37" t="inlineStr">
        <is>
          <t xml:space="preserve">Plainly. Understood.</t>
        </is>
      </c>
    </row>
    <row r="38">
      <c r="A38" t="inlineStr">
        <is>
          <t xml:space="preserve">TD37</t>
        </is>
      </c>
      <c r="B38" t="inlineStr">
        <is>
          <t xml:space="preserve">SF02</t>
        </is>
      </c>
      <c r="C38" t="inlineStr">
        <is>
          <t xml:space="preserve">ST32</t>
        </is>
      </c>
      <c r="D38" t="inlineStr">
        <is>
          <t xml:space="preserve">Keep one clear number on the wilderness in mind.</t>
        </is>
      </c>
      <c r="E38" t="inlineStr">
        <is>
          <t xml:space="preserve">One number. Got it.</t>
        </is>
      </c>
    </row>
    <row r="39">
      <c r="A39" t="inlineStr">
        <is>
          <t xml:space="preserve">TD38</t>
        </is>
      </c>
      <c r="B39" t="inlineStr">
        <is>
          <t xml:space="preserve">SF01</t>
        </is>
      </c>
      <c r="C39" t="inlineStr">
        <is>
          <t xml:space="preserve">ST33</t>
        </is>
      </c>
      <c r="D39" t="inlineStr">
        <is>
          <t xml:space="preserve">Members will quote the record on the wilderness.</t>
        </is>
      </c>
      <c r="E39" t="inlineStr">
        <is>
          <t xml:space="preserve">Then I will quote back.</t>
        </is>
      </c>
    </row>
    <row r="40">
      <c r="A40" t="inlineStr">
        <is>
          <t xml:space="preserve">TD39</t>
        </is>
      </c>
      <c r="B40" t="inlineStr">
        <is>
          <t xml:space="preserve">SF02</t>
        </is>
      </c>
      <c r="C40" t="inlineStr">
        <is>
          <t xml:space="preserve">ST33</t>
        </is>
      </c>
      <c r="D40" t="inlineStr">
        <is>
          <t xml:space="preserve">Be exact about the wilderness. They will check.</t>
        </is>
      </c>
      <c r="E40" t="inlineStr">
        <is>
          <t xml:space="preserve">Exact. Noted.</t>
        </is>
      </c>
    </row>
    <row r="41">
      <c r="A41" t="inlineStr">
        <is>
          <t xml:space="preserve">TD40</t>
        </is>
      </c>
      <c r="B41" t="inlineStr">
        <is>
          <t xml:space="preserve">SF15</t>
        </is>
      </c>
      <c r="C41" t="inlineStr">
        <is>
          <t xml:space="preserve">ST33</t>
        </is>
      </c>
      <c r="D41" t="inlineStr">
        <is>
          <t xml:space="preserve">People back home follow this hearing on the wilderness.</t>
        </is>
      </c>
      <c r="E41" t="inlineStr">
        <is>
          <t xml:space="preserve">Then I will be careful.</t>
        </is>
      </c>
    </row>
    <row r="42">
      <c r="A42" t="inlineStr">
        <is>
          <t xml:space="preserve">TD41</t>
        </is>
      </c>
      <c r="B42" t="inlineStr">
        <is>
          <t xml:space="preserve">SF15</t>
        </is>
      </c>
      <c r="C42" t="inlineStr">
        <is>
          <t xml:space="preserve">ST34</t>
        </is>
      </c>
      <c r="D42" t="inlineStr">
        <is>
          <t xml:space="preserve">The hall is full of people worried about the wilderness.</t>
        </is>
      </c>
      <c r="E42" t="inlineStr">
        <is>
          <t xml:space="preserve">Then I will listen first.</t>
        </is>
      </c>
    </row>
    <row r="43">
      <c r="A43" t="inlineStr">
        <is>
          <t xml:space="preserve">TD42</t>
        </is>
      </c>
      <c r="B43" t="inlineStr">
        <is>
          <t xml:space="preserve">SF16</t>
        </is>
      </c>
      <c r="C43" t="inlineStr">
        <is>
          <t xml:space="preserve">ST34</t>
        </is>
      </c>
      <c r="D43" t="inlineStr">
        <is>
          <t xml:space="preserve">Keep it human when they ask about the wilderness.</t>
        </is>
      </c>
      <c r="E43" t="inlineStr">
        <is>
          <t xml:space="preserve">Human first.</t>
        </is>
      </c>
    </row>
    <row r="44">
      <c r="A44" t="inlineStr">
        <is>
          <t xml:space="preserve">TD43</t>
        </is>
      </c>
      <c r="B44" t="inlineStr">
        <is>
          <t xml:space="preserve">SF01</t>
        </is>
      </c>
      <c r="C44" t="inlineStr">
        <is>
          <t xml:space="preserve">ST34</t>
        </is>
      </c>
      <c r="D44" t="inlineStr">
        <is>
          <t xml:space="preserve">I marked the questions to expect on the wilderness.</t>
        </is>
      </c>
      <c r="E44" t="inlineStr">
        <is>
          <t xml:space="preserve">Thank you.</t>
        </is>
      </c>
    </row>
    <row r="45">
      <c r="A45" t="inlineStr">
        <is>
          <t xml:space="preserve">TD44</t>
        </is>
      </c>
      <c r="B45" t="inlineStr">
        <is>
          <t xml:space="preserve">SF15</t>
        </is>
      </c>
      <c r="C45" t="inlineStr">
        <is>
          <t xml:space="preserve">ST35</t>
        </is>
      </c>
      <c r="D45" t="inlineStr">
        <is>
          <t xml:space="preserve">Your own party is watching you on the wilderness.</t>
        </is>
      </c>
      <c r="E45" t="inlineStr">
        <is>
          <t xml:space="preserve">Then I will choose well.</t>
        </is>
      </c>
    </row>
    <row r="46">
      <c r="A46" t="inlineStr">
        <is>
          <t xml:space="preserve">TD45</t>
        </is>
      </c>
      <c r="B46" t="inlineStr">
        <is>
          <t xml:space="preserve">SF16</t>
        </is>
      </c>
      <c r="C46" t="inlineStr">
        <is>
          <t xml:space="preserve">ST35</t>
        </is>
      </c>
      <c r="D46" t="inlineStr">
        <is>
          <t xml:space="preserve">Caucus members will test you on the wilderness.</t>
        </is>
      </c>
      <c r="E46" t="inlineStr">
        <is>
          <t xml:space="preserve">I am ready.</t>
        </is>
      </c>
    </row>
    <row r="47">
      <c r="A47" t="inlineStr">
        <is>
          <t xml:space="preserve">TD46</t>
        </is>
      </c>
      <c r="B47" t="inlineStr">
        <is>
          <t xml:space="preserve">SF01</t>
        </is>
      </c>
      <c r="C47" t="inlineStr">
        <is>
          <t xml:space="preserve">ST35</t>
        </is>
      </c>
      <c r="D47" t="inlineStr">
        <is>
          <t xml:space="preserve">Know where your party stands on the wilderness.</t>
        </is>
      </c>
      <c r="E47" t="inlineStr">
        <is>
          <t xml:space="preserve">I will check.</t>
        </is>
      </c>
    </row>
    <row r="48">
      <c r="A48" t="inlineStr">
        <is>
          <t xml:space="preserve">TD47</t>
        </is>
      </c>
      <c r="B48" t="inlineStr">
        <is>
          <t xml:space="preserve">SF15</t>
        </is>
      </c>
      <c r="C48" t="inlineStr">
        <is>
          <t xml:space="preserve">ST36</t>
        </is>
      </c>
      <c r="D48" t="inlineStr">
        <is>
          <t xml:space="preserve">The hall is full of people worried about rural hospitals.</t>
        </is>
      </c>
      <c r="E48" t="inlineStr">
        <is>
          <t xml:space="preserve">Then I will listen first.</t>
        </is>
      </c>
    </row>
    <row r="49">
      <c r="A49" t="inlineStr">
        <is>
          <t xml:space="preserve">TD48</t>
        </is>
      </c>
      <c r="B49" t="inlineStr">
        <is>
          <t xml:space="preserve">SF16</t>
        </is>
      </c>
      <c r="C49" t="inlineStr">
        <is>
          <t xml:space="preserve">ST36</t>
        </is>
      </c>
      <c r="D49" t="inlineStr">
        <is>
          <t xml:space="preserve">Keep it human when they ask about rural hospitals.</t>
        </is>
      </c>
      <c r="E49" t="inlineStr">
        <is>
          <t xml:space="preserve">Human first.</t>
        </is>
      </c>
    </row>
    <row r="50">
      <c r="A50" t="inlineStr">
        <is>
          <t xml:space="preserve">TD49</t>
        </is>
      </c>
      <c r="B50" t="inlineStr">
        <is>
          <t xml:space="preserve">SF01</t>
        </is>
      </c>
      <c r="C50" t="inlineStr">
        <is>
          <t xml:space="preserve">ST36</t>
        </is>
      </c>
      <c r="D50" t="inlineStr">
        <is>
          <t xml:space="preserve">I marked the questions to expect on rural hospitals.</t>
        </is>
      </c>
      <c r="E50" t="inlineStr">
        <is>
          <t xml:space="preserve">Thank you.</t>
        </is>
      </c>
    </row>
    <row r="51">
      <c r="A51" t="inlineStr">
        <is>
          <t xml:space="preserve">TD50</t>
        </is>
      </c>
      <c r="B51" t="inlineStr">
        <is>
          <t xml:space="preserve">SF01</t>
        </is>
      </c>
      <c r="C51" t="inlineStr">
        <is>
          <t xml:space="preserve">ST37</t>
        </is>
      </c>
      <c r="D51" t="inlineStr">
        <is>
          <t xml:space="preserve">Members will quote the record on rural hospitals.</t>
        </is>
      </c>
      <c r="E51" t="inlineStr">
        <is>
          <t xml:space="preserve">Then I will quote back.</t>
        </is>
      </c>
    </row>
    <row r="52">
      <c r="A52" t="inlineStr">
        <is>
          <t xml:space="preserve">TD51</t>
        </is>
      </c>
      <c r="B52" t="inlineStr">
        <is>
          <t xml:space="preserve">SF02</t>
        </is>
      </c>
      <c r="C52" t="inlineStr">
        <is>
          <t xml:space="preserve">ST37</t>
        </is>
      </c>
      <c r="D52" t="inlineStr">
        <is>
          <t xml:space="preserve">Be exact about rural hospitals. They will check.</t>
        </is>
      </c>
      <c r="E52" t="inlineStr">
        <is>
          <t xml:space="preserve">Exact. Noted.</t>
        </is>
      </c>
    </row>
    <row r="53">
      <c r="A53" t="inlineStr">
        <is>
          <t xml:space="preserve">TD52</t>
        </is>
      </c>
      <c r="B53" t="inlineStr">
        <is>
          <t xml:space="preserve">SF15</t>
        </is>
      </c>
      <c r="C53" t="inlineStr">
        <is>
          <t xml:space="preserve">ST37</t>
        </is>
      </c>
      <c r="D53" t="inlineStr">
        <is>
          <t xml:space="preserve">People back home follow this hearing on rural hospitals.</t>
        </is>
      </c>
      <c r="E53" t="inlineStr">
        <is>
          <t xml:space="preserve">Then I will be careful.</t>
        </is>
      </c>
    </row>
    <row r="54">
      <c r="A54" t="inlineStr">
        <is>
          <t xml:space="preserve">TD53</t>
        </is>
      </c>
      <c r="B54" t="inlineStr">
        <is>
          <t xml:space="preserve">SF01</t>
        </is>
      </c>
      <c r="C54" t="inlineStr">
        <is>
          <t xml:space="preserve">ST38</t>
        </is>
      </c>
      <c r="D54" t="inlineStr">
        <is>
          <t xml:space="preserve">The briefing on rural hospitals is in your folder.</t>
        </is>
      </c>
      <c r="E54" t="inlineStr">
        <is>
          <t xml:space="preserve">I will read it.</t>
        </is>
      </c>
    </row>
    <row r="55">
      <c r="A55" t="inlineStr">
        <is>
          <t xml:space="preserve">TD54</t>
        </is>
      </c>
      <c r="B55" t="inlineStr">
        <is>
          <t xml:space="preserve">SF02</t>
        </is>
      </c>
      <c r="C55" t="inlineStr">
        <is>
          <t xml:space="preserve">ST38</t>
        </is>
      </c>
      <c r="D55" t="inlineStr">
        <is>
          <t xml:space="preserve">Every figure on rural hospitals is checked and sourced.</t>
        </is>
      </c>
      <c r="E55" t="inlineStr">
        <is>
          <t xml:space="preserve">Good. I will lean on them.</t>
        </is>
      </c>
    </row>
    <row r="56">
      <c r="A56" t="inlineStr">
        <is>
          <t xml:space="preserve">TD55</t>
        </is>
      </c>
      <c r="B56" t="inlineStr">
        <is>
          <t xml:space="preserve">SF16</t>
        </is>
      </c>
      <c r="C56" t="inlineStr">
        <is>
          <t xml:space="preserve">ST38</t>
        </is>
      </c>
      <c r="D56" t="inlineStr">
        <is>
          <t xml:space="preserve">Take your time with rural hospitals. Nobody is rushing you.</t>
        </is>
      </c>
      <c r="E56" t="inlineStr">
        <is>
          <t xml:space="preserve">Patience helps.</t>
        </is>
      </c>
    </row>
    <row r="57">
      <c r="A57" t="inlineStr">
        <is>
          <t xml:space="preserve">TD56</t>
        </is>
      </c>
      <c r="B57" t="inlineStr">
        <is>
          <t xml:space="preserve">SF15</t>
        </is>
      </c>
      <c r="C57" t="inlineStr">
        <is>
          <t xml:space="preserve">ST39</t>
        </is>
      </c>
      <c r="D57" t="inlineStr">
        <is>
          <t xml:space="preserve">Your own party is watching you on rural hospitals.</t>
        </is>
      </c>
      <c r="E57" t="inlineStr">
        <is>
          <t xml:space="preserve">Then I will choose well.</t>
        </is>
      </c>
    </row>
    <row r="58">
      <c r="A58" t="inlineStr">
        <is>
          <t xml:space="preserve">TD57</t>
        </is>
      </c>
      <c r="B58" t="inlineStr">
        <is>
          <t xml:space="preserve">SF16</t>
        </is>
      </c>
      <c r="C58" t="inlineStr">
        <is>
          <t xml:space="preserve">ST39</t>
        </is>
      </c>
      <c r="D58" t="inlineStr">
        <is>
          <t xml:space="preserve">Caucus members will test you on rural hospitals.</t>
        </is>
      </c>
      <c r="E58" t="inlineStr">
        <is>
          <t xml:space="preserve">I am ready.</t>
        </is>
      </c>
    </row>
    <row r="59">
      <c r="A59" t="inlineStr">
        <is>
          <t xml:space="preserve">TD58</t>
        </is>
      </c>
      <c r="B59" t="inlineStr">
        <is>
          <t xml:space="preserve">SF01</t>
        </is>
      </c>
      <c r="C59" t="inlineStr">
        <is>
          <t xml:space="preserve">ST39</t>
        </is>
      </c>
      <c r="D59" t="inlineStr">
        <is>
          <t xml:space="preserve">Know where your party stands on rural hospitals.</t>
        </is>
      </c>
      <c r="E59" t="inlineStr">
        <is>
          <t xml:space="preserve">I will check.</t>
        </is>
      </c>
    </row>
    <row r="60">
      <c r="A60" t="inlineStr">
        <is>
          <t xml:space="preserve">TD59</t>
        </is>
      </c>
      <c r="B60" t="inlineStr">
        <is>
          <t xml:space="preserve">SF01</t>
        </is>
      </c>
      <c r="C60" t="inlineStr">
        <is>
          <t xml:space="preserve">ST40</t>
        </is>
      </c>
      <c r="D60" t="inlineStr">
        <is>
          <t xml:space="preserve">The briefing on the identity card is in your folder.</t>
        </is>
      </c>
      <c r="E60" t="inlineStr">
        <is>
          <t xml:space="preserve">I will read it.</t>
        </is>
      </c>
    </row>
    <row r="61">
      <c r="A61" t="inlineStr">
        <is>
          <t xml:space="preserve">TD60</t>
        </is>
      </c>
      <c r="B61" t="inlineStr">
        <is>
          <t xml:space="preserve">SF02</t>
        </is>
      </c>
      <c r="C61" t="inlineStr">
        <is>
          <t xml:space="preserve">ST40</t>
        </is>
      </c>
      <c r="D61" t="inlineStr">
        <is>
          <t xml:space="preserve">Every figure on the identity card is checked and sourced.</t>
        </is>
      </c>
      <c r="E61" t="inlineStr">
        <is>
          <t xml:space="preserve">Good. I will lean on them.</t>
        </is>
      </c>
    </row>
    <row r="62">
      <c r="A62" t="inlineStr">
        <is>
          <t xml:space="preserve">TD61</t>
        </is>
      </c>
      <c r="B62" t="inlineStr">
        <is>
          <t xml:space="preserve">SF16</t>
        </is>
      </c>
      <c r="C62" t="inlineStr">
        <is>
          <t xml:space="preserve">ST40</t>
        </is>
      </c>
      <c r="D62" t="inlineStr">
        <is>
          <t xml:space="preserve">Take your time with the identity card. Nobody is rushing you.</t>
        </is>
      </c>
      <c r="E62" t="inlineStr">
        <is>
          <t xml:space="preserve">Patience helps.</t>
        </is>
      </c>
    </row>
    <row r="63">
      <c r="A63" t="inlineStr">
        <is>
          <t xml:space="preserve">TD62</t>
        </is>
      </c>
      <c r="B63" t="inlineStr">
        <is>
          <t xml:space="preserve">SF08</t>
        </is>
      </c>
      <c r="C63" t="inlineStr">
        <is>
          <t xml:space="preserve">ST41</t>
        </is>
      </c>
      <c r="D63" t="inlineStr">
        <is>
          <t xml:space="preserve">The studio lights are hot. Keep calm on the identity card.</t>
        </is>
      </c>
      <c r="E63" t="inlineStr">
        <is>
          <t xml:space="preserve">Calm it is.</t>
        </is>
      </c>
    </row>
    <row r="64">
      <c r="A64" t="inlineStr">
        <is>
          <t xml:space="preserve">TD63</t>
        </is>
      </c>
      <c r="B64" t="inlineStr">
        <is>
          <t xml:space="preserve">SF09</t>
        </is>
      </c>
      <c r="C64" t="inlineStr">
        <is>
          <t xml:space="preserve">ST41</t>
        </is>
      </c>
      <c r="D64" t="inlineStr">
        <is>
          <t xml:space="preserve">The viewers care about the identity card. Speak to them.</t>
        </is>
      </c>
      <c r="E64" t="inlineStr">
        <is>
          <t xml:space="preserve">Directly to them.</t>
        </is>
      </c>
    </row>
    <row r="65">
      <c r="A65" t="inlineStr">
        <is>
          <t xml:space="preserve">TD64</t>
        </is>
      </c>
      <c r="B65" t="inlineStr">
        <is>
          <t xml:space="preserve">SF02</t>
        </is>
      </c>
      <c r="C65" t="inlineStr">
        <is>
          <t xml:space="preserve">ST41</t>
        </is>
      </c>
      <c r="D65" t="inlineStr">
        <is>
          <t xml:space="preserve">Keep your facts on the identity card short and sharp.</t>
        </is>
      </c>
      <c r="E65" t="inlineStr">
        <is>
          <t xml:space="preserve">Short and sharp.</t>
        </is>
      </c>
    </row>
    <row r="66">
      <c r="A66" t="inlineStr">
        <is>
          <t xml:space="preserve">TD65</t>
        </is>
      </c>
      <c r="B66" t="inlineStr">
        <is>
          <t xml:space="preserve">SF15</t>
        </is>
      </c>
      <c r="C66" t="inlineStr">
        <is>
          <t xml:space="preserve">ST42</t>
        </is>
      </c>
      <c r="D66" t="inlineStr">
        <is>
          <t xml:space="preserve">Your own party is watching you on the identity card.</t>
        </is>
      </c>
      <c r="E66" t="inlineStr">
        <is>
          <t xml:space="preserve">Then I will choose well.</t>
        </is>
      </c>
    </row>
    <row r="67">
      <c r="A67" t="inlineStr">
        <is>
          <t xml:space="preserve">TD66</t>
        </is>
      </c>
      <c r="B67" t="inlineStr">
        <is>
          <t xml:space="preserve">SF16</t>
        </is>
      </c>
      <c r="C67" t="inlineStr">
        <is>
          <t xml:space="preserve">ST42</t>
        </is>
      </c>
      <c r="D67" t="inlineStr">
        <is>
          <t xml:space="preserve">Caucus members will test you on the identity card.</t>
        </is>
      </c>
      <c r="E67" t="inlineStr">
        <is>
          <t xml:space="preserve">I am ready.</t>
        </is>
      </c>
    </row>
    <row r="68">
      <c r="A68" t="inlineStr">
        <is>
          <t xml:space="preserve">TD67</t>
        </is>
      </c>
      <c r="B68" t="inlineStr">
        <is>
          <t xml:space="preserve">SF01</t>
        </is>
      </c>
      <c r="C68" t="inlineStr">
        <is>
          <t xml:space="preserve">ST42</t>
        </is>
      </c>
      <c r="D68" t="inlineStr">
        <is>
          <t xml:space="preserve">Know where your party stands on the identity card.</t>
        </is>
      </c>
      <c r="E68" t="inlineStr">
        <is>
          <t xml:space="preserve">I will check.</t>
        </is>
      </c>
    </row>
    <row r="69">
      <c r="A69" t="inlineStr">
        <is>
          <t xml:space="preserve">TD68</t>
        </is>
      </c>
      <c r="B69" t="inlineStr">
        <is>
          <t xml:space="preserve">SF08</t>
        </is>
      </c>
      <c r="C69" t="inlineStr">
        <is>
          <t xml:space="preserve">ST43</t>
        </is>
      </c>
      <c r="D69" t="inlineStr">
        <is>
          <t xml:space="preserve">Reporters will ask about the broadcaster straight away.</t>
        </is>
      </c>
      <c r="E69" t="inlineStr">
        <is>
          <t xml:space="preserve">I am ready.</t>
        </is>
      </c>
    </row>
    <row r="70">
      <c r="A70" t="inlineStr">
        <is>
          <t xml:space="preserve">TD69</t>
        </is>
      </c>
      <c r="B70" t="inlineStr">
        <is>
          <t xml:space="preserve">SF09</t>
        </is>
      </c>
      <c r="C70" t="inlineStr">
        <is>
          <t xml:space="preserve">ST43</t>
        </is>
      </c>
      <c r="D70" t="inlineStr">
        <is>
          <t xml:space="preserve">Say plainly where you stand on the broadcaster.</t>
        </is>
      </c>
      <c r="E70" t="inlineStr">
        <is>
          <t xml:space="preserve">Plainly. Understood.</t>
        </is>
      </c>
    </row>
    <row r="71">
      <c r="A71" t="inlineStr">
        <is>
          <t xml:space="preserve">TD70</t>
        </is>
      </c>
      <c r="B71" t="inlineStr">
        <is>
          <t xml:space="preserve">SF02</t>
        </is>
      </c>
      <c r="C71" t="inlineStr">
        <is>
          <t xml:space="preserve">ST43</t>
        </is>
      </c>
      <c r="D71" t="inlineStr">
        <is>
          <t xml:space="preserve">Keep one clear number on the broadcaster in mind.</t>
        </is>
      </c>
      <c r="E71" t="inlineStr">
        <is>
          <t xml:space="preserve">One number. Got it.</t>
        </is>
      </c>
    </row>
    <row r="72">
      <c r="A72" t="inlineStr">
        <is>
          <t xml:space="preserve">TD71</t>
        </is>
      </c>
      <c r="B72" t="inlineStr">
        <is>
          <t xml:space="preserve">SF08</t>
        </is>
      </c>
      <c r="C72" t="inlineStr">
        <is>
          <t xml:space="preserve">ST44</t>
        </is>
      </c>
      <c r="D72" t="inlineStr">
        <is>
          <t xml:space="preserve">The studio lights are hot. Keep calm on the broadcaster.</t>
        </is>
      </c>
      <c r="E72" t="inlineStr">
        <is>
          <t xml:space="preserve">Calm it is.</t>
        </is>
      </c>
    </row>
    <row r="73">
      <c r="A73" t="inlineStr">
        <is>
          <t xml:space="preserve">TD72</t>
        </is>
      </c>
      <c r="B73" t="inlineStr">
        <is>
          <t xml:space="preserve">SF09</t>
        </is>
      </c>
      <c r="C73" t="inlineStr">
        <is>
          <t xml:space="preserve">ST44</t>
        </is>
      </c>
      <c r="D73" t="inlineStr">
        <is>
          <t xml:space="preserve">The viewers care about the broadcaster. Speak to them.</t>
        </is>
      </c>
      <c r="E73" t="inlineStr">
        <is>
          <t xml:space="preserve">Directly to them.</t>
        </is>
      </c>
    </row>
    <row r="74">
      <c r="A74" t="inlineStr">
        <is>
          <t xml:space="preserve">TD73</t>
        </is>
      </c>
      <c r="B74" t="inlineStr">
        <is>
          <t xml:space="preserve">SF02</t>
        </is>
      </c>
      <c r="C74" t="inlineStr">
        <is>
          <t xml:space="preserve">ST44</t>
        </is>
      </c>
      <c r="D74" t="inlineStr">
        <is>
          <t xml:space="preserve">Keep your facts on the broadcaster short and sharp.</t>
        </is>
      </c>
      <c r="E74" t="inlineStr">
        <is>
          <t xml:space="preserve">Short and sharp.</t>
        </is>
      </c>
    </row>
    <row r="75">
      <c r="A75" t="inlineStr">
        <is>
          <t xml:space="preserve">TD74</t>
        </is>
      </c>
      <c r="B75" t="inlineStr">
        <is>
          <t xml:space="preserve">SF15</t>
        </is>
      </c>
      <c r="C75" t="inlineStr">
        <is>
          <t xml:space="preserve">ST45</t>
        </is>
      </c>
      <c r="D75" t="inlineStr">
        <is>
          <t xml:space="preserve">Your own party is watching you on the broadcaster.</t>
        </is>
      </c>
      <c r="E75" t="inlineStr">
        <is>
          <t xml:space="preserve">Then I will choose well.</t>
        </is>
      </c>
    </row>
    <row r="76">
      <c r="A76" t="inlineStr">
        <is>
          <t xml:space="preserve">TD75</t>
        </is>
      </c>
      <c r="B76" t="inlineStr">
        <is>
          <t xml:space="preserve">SF16</t>
        </is>
      </c>
      <c r="C76" t="inlineStr">
        <is>
          <t xml:space="preserve">ST45</t>
        </is>
      </c>
      <c r="D76" t="inlineStr">
        <is>
          <t xml:space="preserve">Caucus members will test you on the broadcaster.</t>
        </is>
      </c>
      <c r="E76" t="inlineStr">
        <is>
          <t xml:space="preserve">I am ready.</t>
        </is>
      </c>
    </row>
    <row r="77">
      <c r="A77" t="inlineStr">
        <is>
          <t xml:space="preserve">TD76</t>
        </is>
      </c>
      <c r="B77" t="inlineStr">
        <is>
          <t xml:space="preserve">SF01</t>
        </is>
      </c>
      <c r="C77" t="inlineStr">
        <is>
          <t xml:space="preserve">ST45</t>
        </is>
      </c>
      <c r="D77" t="inlineStr">
        <is>
          <t xml:space="preserve">Know where your party stands on the broadcaster.</t>
        </is>
      </c>
      <c r="E77" t="inlineStr">
        <is>
          <t xml:space="preserve">I will check.</t>
        </is>
      </c>
    </row>
    <row r="78">
      <c r="A78" t="inlineStr">
        <is>
          <t xml:space="preserve">TD77</t>
        </is>
      </c>
      <c r="B78" t="inlineStr">
        <is>
          <t xml:space="preserve">SF08</t>
        </is>
      </c>
      <c r="C78" t="inlineStr">
        <is>
          <t xml:space="preserve">ST46</t>
        </is>
      </c>
      <c r="D78" t="inlineStr">
        <is>
          <t xml:space="preserve">Reporters will ask about political donations straight away.</t>
        </is>
      </c>
      <c r="E78" t="inlineStr">
        <is>
          <t xml:space="preserve">I am ready.</t>
        </is>
      </c>
    </row>
    <row r="79">
      <c r="A79" t="inlineStr">
        <is>
          <t xml:space="preserve">TD78</t>
        </is>
      </c>
      <c r="B79" t="inlineStr">
        <is>
          <t xml:space="preserve">SF09</t>
        </is>
      </c>
      <c r="C79" t="inlineStr">
        <is>
          <t xml:space="preserve">ST46</t>
        </is>
      </c>
      <c r="D79" t="inlineStr">
        <is>
          <t xml:space="preserve">Say plainly where you stand on political donations.</t>
        </is>
      </c>
      <c r="E79" t="inlineStr">
        <is>
          <t xml:space="preserve">Plainly. Understood.</t>
        </is>
      </c>
    </row>
    <row r="80">
      <c r="A80" t="inlineStr">
        <is>
          <t xml:space="preserve">TD79</t>
        </is>
      </c>
      <c r="B80" t="inlineStr">
        <is>
          <t xml:space="preserve">SF02</t>
        </is>
      </c>
      <c r="C80" t="inlineStr">
        <is>
          <t xml:space="preserve">ST46</t>
        </is>
      </c>
      <c r="D80" t="inlineStr">
        <is>
          <t xml:space="preserve">Keep one clear number on political donations in mind.</t>
        </is>
      </c>
      <c r="E80" t="inlineStr">
        <is>
          <t xml:space="preserve">One number. Got it.</t>
        </is>
      </c>
    </row>
    <row r="81">
      <c r="A81" t="inlineStr">
        <is>
          <t xml:space="preserve">TD80</t>
        </is>
      </c>
      <c r="B81" t="inlineStr">
        <is>
          <t xml:space="preserve">SF01</t>
        </is>
      </c>
      <c r="C81" t="inlineStr">
        <is>
          <t xml:space="preserve">ST47</t>
        </is>
      </c>
      <c r="D81" t="inlineStr">
        <is>
          <t xml:space="preserve">Members will quote the record on political donations.</t>
        </is>
      </c>
      <c r="E81" t="inlineStr">
        <is>
          <t xml:space="preserve">Then I will quote back.</t>
        </is>
      </c>
    </row>
    <row r="82">
      <c r="A82" t="inlineStr">
        <is>
          <t xml:space="preserve">TD81</t>
        </is>
      </c>
      <c r="B82" t="inlineStr">
        <is>
          <t xml:space="preserve">SF02</t>
        </is>
      </c>
      <c r="C82" t="inlineStr">
        <is>
          <t xml:space="preserve">ST47</t>
        </is>
      </c>
      <c r="D82" t="inlineStr">
        <is>
          <t xml:space="preserve">Be exact about political donations. They will check.</t>
        </is>
      </c>
      <c r="E82" t="inlineStr">
        <is>
          <t xml:space="preserve">Exact. Noted.</t>
        </is>
      </c>
    </row>
    <row r="83">
      <c r="A83" t="inlineStr">
        <is>
          <t xml:space="preserve">TD82</t>
        </is>
      </c>
      <c r="B83" t="inlineStr">
        <is>
          <t xml:space="preserve">SF15</t>
        </is>
      </c>
      <c r="C83" t="inlineStr">
        <is>
          <t xml:space="preserve">ST47</t>
        </is>
      </c>
      <c r="D83" t="inlineStr">
        <is>
          <t xml:space="preserve">People back home follow this hearing on political donations.</t>
        </is>
      </c>
      <c r="E83" t="inlineStr">
        <is>
          <t xml:space="preserve">Then I will be careful.</t>
        </is>
      </c>
    </row>
    <row r="84">
      <c r="A84" t="inlineStr">
        <is>
          <t xml:space="preserve">TD83</t>
        </is>
      </c>
      <c r="B84" t="inlineStr">
        <is>
          <t xml:space="preserve">SF15</t>
        </is>
      </c>
      <c r="C84" t="inlineStr">
        <is>
          <t xml:space="preserve">ST48</t>
        </is>
      </c>
      <c r="D84" t="inlineStr">
        <is>
          <t xml:space="preserve">The lobbyist cares about political donations. Hear them out.</t>
        </is>
      </c>
      <c r="E84" t="inlineStr">
        <is>
          <t xml:space="preserve">I will listen.</t>
        </is>
      </c>
    </row>
    <row r="85">
      <c r="A85" t="inlineStr">
        <is>
          <t xml:space="preserve">TD84</t>
        </is>
      </c>
      <c r="B85" t="inlineStr">
        <is>
          <t xml:space="preserve">SF09</t>
        </is>
      </c>
      <c r="C85" t="inlineStr">
        <is>
          <t xml:space="preserve">ST48</t>
        </is>
      </c>
      <c r="D85" t="inlineStr">
        <is>
          <t xml:space="preserve">Anything you promise on political donations may be repeated.</t>
        </is>
      </c>
      <c r="E85" t="inlineStr">
        <is>
          <t xml:space="preserve">Then I promise little.</t>
        </is>
      </c>
    </row>
    <row r="86">
      <c r="A86" t="inlineStr">
        <is>
          <t xml:space="preserve">TD85</t>
        </is>
      </c>
      <c r="B86" t="inlineStr">
        <is>
          <t xml:space="preserve">SF01</t>
        </is>
      </c>
      <c r="C86" t="inlineStr">
        <is>
          <t xml:space="preserve">ST48</t>
        </is>
      </c>
      <c r="D86" t="inlineStr">
        <is>
          <t xml:space="preserve">I listed what each side wants on political donations.</t>
        </is>
      </c>
      <c r="E86" t="inlineStr">
        <is>
          <t xml:space="preserve">Useful. Thank you.</t>
        </is>
      </c>
    </row>
    <row r="87">
      <c r="A87" t="inlineStr">
        <is>
          <t xml:space="preserve">TD86</t>
        </is>
      </c>
      <c r="B87" t="inlineStr">
        <is>
          <t xml:space="preserve">SF15</t>
        </is>
      </c>
      <c r="C87" t="inlineStr">
        <is>
          <t xml:space="preserve">ST49</t>
        </is>
      </c>
      <c r="D87" t="inlineStr">
        <is>
          <t xml:space="preserve">Your own party is watching you on political donations.</t>
        </is>
      </c>
      <c r="E87" t="inlineStr">
        <is>
          <t xml:space="preserve">Then I will choose well.</t>
        </is>
      </c>
    </row>
    <row r="88">
      <c r="A88" t="inlineStr">
        <is>
          <t xml:space="preserve">TD87</t>
        </is>
      </c>
      <c r="B88" t="inlineStr">
        <is>
          <t xml:space="preserve">SF16</t>
        </is>
      </c>
      <c r="C88" t="inlineStr">
        <is>
          <t xml:space="preserve">ST49</t>
        </is>
      </c>
      <c r="D88" t="inlineStr">
        <is>
          <t xml:space="preserve">Caucus members will test you on political donations.</t>
        </is>
      </c>
      <c r="E88" t="inlineStr">
        <is>
          <t xml:space="preserve">I am ready.</t>
        </is>
      </c>
    </row>
    <row r="89">
      <c r="A89" t="inlineStr">
        <is>
          <t xml:space="preserve">TD88</t>
        </is>
      </c>
      <c r="B89" t="inlineStr">
        <is>
          <t xml:space="preserve">SF01</t>
        </is>
      </c>
      <c r="C89" t="inlineStr">
        <is>
          <t xml:space="preserve">ST49</t>
        </is>
      </c>
      <c r="D89" t="inlineStr">
        <is>
          <t xml:space="preserve">Know where your party stands on political donations.</t>
        </is>
      </c>
      <c r="E89" t="inlineStr">
        <is>
          <t xml:space="preserve">I will check.</t>
        </is>
      </c>
    </row>
    <row r="90">
      <c r="A90" t="inlineStr">
        <is>
          <t xml:space="preserve">TD89</t>
        </is>
      </c>
      <c r="B90" t="inlineStr">
        <is>
          <t xml:space="preserve">SF01</t>
        </is>
      </c>
      <c r="C90" t="inlineStr">
        <is>
          <t xml:space="preserve">ST50</t>
        </is>
      </c>
      <c r="D90" t="inlineStr">
        <is>
          <t xml:space="preserve">The briefing on the tax cut is in your folder.</t>
        </is>
      </c>
      <c r="E90" t="inlineStr">
        <is>
          <t xml:space="preserve">I will read it.</t>
        </is>
      </c>
    </row>
    <row r="91">
      <c r="A91" t="inlineStr">
        <is>
          <t xml:space="preserve">TD90</t>
        </is>
      </c>
      <c r="B91" t="inlineStr">
        <is>
          <t xml:space="preserve">SF02</t>
        </is>
      </c>
      <c r="C91" t="inlineStr">
        <is>
          <t xml:space="preserve">ST50</t>
        </is>
      </c>
      <c r="D91" t="inlineStr">
        <is>
          <t xml:space="preserve">Every figure on the tax cut is checked and sourced.</t>
        </is>
      </c>
      <c r="E91" t="inlineStr">
        <is>
          <t xml:space="preserve">Good. I will lean on them.</t>
        </is>
      </c>
    </row>
    <row r="92">
      <c r="A92" t="inlineStr">
        <is>
          <t xml:space="preserve">TD91</t>
        </is>
      </c>
      <c r="B92" t="inlineStr">
        <is>
          <t xml:space="preserve">SF16</t>
        </is>
      </c>
      <c r="C92" t="inlineStr">
        <is>
          <t xml:space="preserve">ST50</t>
        </is>
      </c>
      <c r="D92" t="inlineStr">
        <is>
          <t xml:space="preserve">Take your time with the tax cut. Nobody is rushing you.</t>
        </is>
      </c>
      <c r="E92" t="inlineStr">
        <is>
          <t xml:space="preserve">Patience helps.</t>
        </is>
      </c>
    </row>
    <row r="93">
      <c r="A93" t="inlineStr">
        <is>
          <t xml:space="preserve">TD92</t>
        </is>
      </c>
      <c r="B93" t="inlineStr">
        <is>
          <t xml:space="preserve">SF01</t>
        </is>
      </c>
      <c r="C93" t="inlineStr">
        <is>
          <t xml:space="preserve">ST51</t>
        </is>
      </c>
      <c r="D93" t="inlineStr">
        <is>
          <t xml:space="preserve">Members will quote the record on the tax cut.</t>
        </is>
      </c>
      <c r="E93" t="inlineStr">
        <is>
          <t xml:space="preserve">Then I will quote back.</t>
        </is>
      </c>
    </row>
    <row r="94">
      <c r="A94" t="inlineStr">
        <is>
          <t xml:space="preserve">TD93</t>
        </is>
      </c>
      <c r="B94" t="inlineStr">
        <is>
          <t xml:space="preserve">SF02</t>
        </is>
      </c>
      <c r="C94" t="inlineStr">
        <is>
          <t xml:space="preserve">ST51</t>
        </is>
      </c>
      <c r="D94" t="inlineStr">
        <is>
          <t xml:space="preserve">Be exact about the tax cut. They will check.</t>
        </is>
      </c>
      <c r="E94" t="inlineStr">
        <is>
          <t xml:space="preserve">Exact. Noted.</t>
        </is>
      </c>
    </row>
    <row r="95">
      <c r="A95" t="inlineStr">
        <is>
          <t xml:space="preserve">TD94</t>
        </is>
      </c>
      <c r="B95" t="inlineStr">
        <is>
          <t xml:space="preserve">SF15</t>
        </is>
      </c>
      <c r="C95" t="inlineStr">
        <is>
          <t xml:space="preserve">ST51</t>
        </is>
      </c>
      <c r="D95" t="inlineStr">
        <is>
          <t xml:space="preserve">People back home follow this hearing on the tax cut.</t>
        </is>
      </c>
      <c r="E95" t="inlineStr">
        <is>
          <t xml:space="preserve">Then I will be careful.</t>
        </is>
      </c>
    </row>
    <row r="96">
      <c r="A96" t="inlineStr">
        <is>
          <t xml:space="preserve">TD95</t>
        </is>
      </c>
      <c r="B96" t="inlineStr">
        <is>
          <t xml:space="preserve">SF15</t>
        </is>
      </c>
      <c r="C96" t="inlineStr">
        <is>
          <t xml:space="preserve">ST52</t>
        </is>
      </c>
      <c r="D96" t="inlineStr">
        <is>
          <t xml:space="preserve">Your own party is watching you on the tax cut.</t>
        </is>
      </c>
      <c r="E96" t="inlineStr">
        <is>
          <t xml:space="preserve">Then I will choose well.</t>
        </is>
      </c>
    </row>
    <row r="97">
      <c r="A97" t="inlineStr">
        <is>
          <t xml:space="preserve">TD96</t>
        </is>
      </c>
      <c r="B97" t="inlineStr">
        <is>
          <t xml:space="preserve">SF16</t>
        </is>
      </c>
      <c r="C97" t="inlineStr">
        <is>
          <t xml:space="preserve">ST52</t>
        </is>
      </c>
      <c r="D97" t="inlineStr">
        <is>
          <t xml:space="preserve">Caucus members will test you on the tax cut.</t>
        </is>
      </c>
      <c r="E97" t="inlineStr">
        <is>
          <t xml:space="preserve">I am ready.</t>
        </is>
      </c>
    </row>
    <row r="98">
      <c r="A98" t="inlineStr">
        <is>
          <t xml:space="preserve">TD97</t>
        </is>
      </c>
      <c r="B98" t="inlineStr">
        <is>
          <t xml:space="preserve">SF01</t>
        </is>
      </c>
      <c r="C98" t="inlineStr">
        <is>
          <t xml:space="preserve">ST52</t>
        </is>
      </c>
      <c r="D98" t="inlineStr">
        <is>
          <t xml:space="preserve">Know where your party stands on the tax cut.</t>
        </is>
      </c>
      <c r="E98" t="inlineStr">
        <is>
          <t xml:space="preserve">I will check.</t>
        </is>
      </c>
    </row>
    <row r="99">
      <c r="A99" t="inlineStr">
        <is>
          <t xml:space="preserve">TD98</t>
        </is>
      </c>
      <c r="B99" t="inlineStr">
        <is>
          <t xml:space="preserve">SF15</t>
        </is>
      </c>
      <c r="C99" t="inlineStr">
        <is>
          <t xml:space="preserve">ST53</t>
        </is>
      </c>
      <c r="D99" t="inlineStr">
        <is>
          <t xml:space="preserve">The hall is full of people worried about the carbon levy.</t>
        </is>
      </c>
      <c r="E99" t="inlineStr">
        <is>
          <t xml:space="preserve">Then I will listen first.</t>
        </is>
      </c>
    </row>
    <row r="100">
      <c r="A100" t="inlineStr">
        <is>
          <t xml:space="preserve">TD99</t>
        </is>
      </c>
      <c r="B100" t="inlineStr">
        <is>
          <t xml:space="preserve">SF16</t>
        </is>
      </c>
      <c r="C100" t="inlineStr">
        <is>
          <t xml:space="preserve">ST53</t>
        </is>
      </c>
      <c r="D100" t="inlineStr">
        <is>
          <t xml:space="preserve">Keep it human when they ask about the carbon levy.</t>
        </is>
      </c>
      <c r="E100" t="inlineStr">
        <is>
          <t xml:space="preserve">Human first.</t>
        </is>
      </c>
    </row>
    <row r="101">
      <c r="A101" t="inlineStr">
        <is>
          <t xml:space="preserve">TD100</t>
        </is>
      </c>
      <c r="B101" t="inlineStr">
        <is>
          <t xml:space="preserve">SF01</t>
        </is>
      </c>
      <c r="C101" t="inlineStr">
        <is>
          <t xml:space="preserve">ST53</t>
        </is>
      </c>
      <c r="D101" t="inlineStr">
        <is>
          <t xml:space="preserve">I marked the questions to expect on the carbon levy.</t>
        </is>
      </c>
      <c r="E101" t="inlineStr">
        <is>
          <t xml:space="preserve">Thank you.</t>
        </is>
      </c>
    </row>
    <row r="102">
      <c r="A102" t="inlineStr">
        <is>
          <t xml:space="preserve">TD101</t>
        </is>
      </c>
      <c r="B102" t="inlineStr">
        <is>
          <t xml:space="preserve">SF01</t>
        </is>
      </c>
      <c r="C102" t="inlineStr">
        <is>
          <t xml:space="preserve">ST54</t>
        </is>
      </c>
      <c r="D102" t="inlineStr">
        <is>
          <t xml:space="preserve">Members will quote the record on the carbon levy.</t>
        </is>
      </c>
      <c r="E102" t="inlineStr">
        <is>
          <t xml:space="preserve">Then I will quote back.</t>
        </is>
      </c>
    </row>
    <row r="103">
      <c r="A103" t="inlineStr">
        <is>
          <t xml:space="preserve">TD102</t>
        </is>
      </c>
      <c r="B103" t="inlineStr">
        <is>
          <t xml:space="preserve">SF02</t>
        </is>
      </c>
      <c r="C103" t="inlineStr">
        <is>
          <t xml:space="preserve">ST54</t>
        </is>
      </c>
      <c r="D103" t="inlineStr">
        <is>
          <t xml:space="preserve">Be exact about the carbon levy. They will check.</t>
        </is>
      </c>
      <c r="E103" t="inlineStr">
        <is>
          <t xml:space="preserve">Exact. Noted.</t>
        </is>
      </c>
    </row>
    <row r="104">
      <c r="A104" t="inlineStr">
        <is>
          <t xml:space="preserve">TD103</t>
        </is>
      </c>
      <c r="B104" t="inlineStr">
        <is>
          <t xml:space="preserve">SF15</t>
        </is>
      </c>
      <c r="C104" t="inlineStr">
        <is>
          <t xml:space="preserve">ST54</t>
        </is>
      </c>
      <c r="D104" t="inlineStr">
        <is>
          <t xml:space="preserve">People back home follow this hearing on the carbon levy.</t>
        </is>
      </c>
      <c r="E104" t="inlineStr">
        <is>
          <t xml:space="preserve">Then I will be careful.</t>
        </is>
      </c>
    </row>
    <row r="105">
      <c r="A105" t="inlineStr">
        <is>
          <t xml:space="preserve">TD104</t>
        </is>
      </c>
      <c r="B105" t="inlineStr">
        <is>
          <t xml:space="preserve">SF08</t>
        </is>
      </c>
      <c r="C105" t="inlineStr">
        <is>
          <t xml:space="preserve">ST55</t>
        </is>
      </c>
      <c r="D105" t="inlineStr">
        <is>
          <t xml:space="preserve">Reporters will ask about the carbon levy straight away.</t>
        </is>
      </c>
      <c r="E105" t="inlineStr">
        <is>
          <t xml:space="preserve">I am ready.</t>
        </is>
      </c>
    </row>
    <row r="106">
      <c r="A106" t="inlineStr">
        <is>
          <t xml:space="preserve">TD105</t>
        </is>
      </c>
      <c r="B106" t="inlineStr">
        <is>
          <t xml:space="preserve">SF09</t>
        </is>
      </c>
      <c r="C106" t="inlineStr">
        <is>
          <t xml:space="preserve">ST55</t>
        </is>
      </c>
      <c r="D106" t="inlineStr">
        <is>
          <t xml:space="preserve">Say plainly where you stand on the carbon levy.</t>
        </is>
      </c>
      <c r="E106" t="inlineStr">
        <is>
          <t xml:space="preserve">Plainly. Understood.</t>
        </is>
      </c>
    </row>
    <row r="107">
      <c r="A107" t="inlineStr">
        <is>
          <t xml:space="preserve">TD106</t>
        </is>
      </c>
      <c r="B107" t="inlineStr">
        <is>
          <t xml:space="preserve">SF02</t>
        </is>
      </c>
      <c r="C107" t="inlineStr">
        <is>
          <t xml:space="preserve">ST55</t>
        </is>
      </c>
      <c r="D107" t="inlineStr">
        <is>
          <t xml:space="preserve">Keep one clear number on the carbon levy in mind.</t>
        </is>
      </c>
      <c r="E107" t="inlineStr">
        <is>
          <t xml:space="preserve">One number. Got it.</t>
        </is>
      </c>
    </row>
    <row r="108">
      <c r="A108" t="inlineStr">
        <is>
          <t xml:space="preserve">TD107</t>
        </is>
      </c>
      <c r="B108" t="inlineStr">
        <is>
          <t xml:space="preserve">SF15</t>
        </is>
      </c>
      <c r="C108" t="inlineStr">
        <is>
          <t xml:space="preserve">ST56</t>
        </is>
      </c>
      <c r="D108" t="inlineStr">
        <is>
          <t xml:space="preserve">Your own party is watching you on the carbon levy.</t>
        </is>
      </c>
      <c r="E108" t="inlineStr">
        <is>
          <t xml:space="preserve">Then I will choose well.</t>
        </is>
      </c>
    </row>
    <row r="109">
      <c r="A109" t="inlineStr">
        <is>
          <t xml:space="preserve">TD108</t>
        </is>
      </c>
      <c r="B109" t="inlineStr">
        <is>
          <t xml:space="preserve">SF16</t>
        </is>
      </c>
      <c r="C109" t="inlineStr">
        <is>
          <t xml:space="preserve">ST56</t>
        </is>
      </c>
      <c r="D109" t="inlineStr">
        <is>
          <t xml:space="preserve">Caucus members will test you on the carbon levy.</t>
        </is>
      </c>
      <c r="E109" t="inlineStr">
        <is>
          <t xml:space="preserve">I am ready.</t>
        </is>
      </c>
    </row>
    <row r="110">
      <c r="A110" t="inlineStr">
        <is>
          <t xml:space="preserve">TD109</t>
        </is>
      </c>
      <c r="B110" t="inlineStr">
        <is>
          <t xml:space="preserve">SF01</t>
        </is>
      </c>
      <c r="C110" t="inlineStr">
        <is>
          <t xml:space="preserve">ST56</t>
        </is>
      </c>
      <c r="D110" t="inlineStr">
        <is>
          <t xml:space="preserve">Know where your party stands on the carbon levy.</t>
        </is>
      </c>
      <c r="E110" t="inlineStr">
        <is>
          <t xml:space="preserve">I will check.</t>
        </is>
      </c>
    </row>
    <row r="111">
      <c r="A111" t="inlineStr">
        <is>
          <t xml:space="preserve">TD110</t>
        </is>
      </c>
      <c r="B111" t="inlineStr">
        <is>
          <t xml:space="preserve">SF01</t>
        </is>
      </c>
      <c r="C111" t="inlineStr">
        <is>
          <t xml:space="preserve">ST57</t>
        </is>
      </c>
      <c r="D111" t="inlineStr">
        <is>
          <t xml:space="preserve">Members will quote the record on tradeable quotas.</t>
        </is>
      </c>
      <c r="E111" t="inlineStr">
        <is>
          <t xml:space="preserve">Then I will quote back.</t>
        </is>
      </c>
    </row>
    <row r="112">
      <c r="A112" t="inlineStr">
        <is>
          <t xml:space="preserve">TD111</t>
        </is>
      </c>
      <c r="B112" t="inlineStr">
        <is>
          <t xml:space="preserve">SF02</t>
        </is>
      </c>
      <c r="C112" t="inlineStr">
        <is>
          <t xml:space="preserve">ST57</t>
        </is>
      </c>
      <c r="D112" t="inlineStr">
        <is>
          <t xml:space="preserve">Be exact about tradeable quotas. They will check.</t>
        </is>
      </c>
      <c r="E112" t="inlineStr">
        <is>
          <t xml:space="preserve">Exact. Noted.</t>
        </is>
      </c>
    </row>
    <row r="113">
      <c r="A113" t="inlineStr">
        <is>
          <t xml:space="preserve">TD112</t>
        </is>
      </c>
      <c r="B113" t="inlineStr">
        <is>
          <t xml:space="preserve">SF15</t>
        </is>
      </c>
      <c r="C113" t="inlineStr">
        <is>
          <t xml:space="preserve">ST57</t>
        </is>
      </c>
      <c r="D113" t="inlineStr">
        <is>
          <t xml:space="preserve">People back home follow this hearing on tradeable quotas.</t>
        </is>
      </c>
      <c r="E113" t="inlineStr">
        <is>
          <t xml:space="preserve">Then I will be careful.</t>
        </is>
      </c>
    </row>
    <row r="114">
      <c r="A114" t="inlineStr">
        <is>
          <t xml:space="preserve">TD113</t>
        </is>
      </c>
      <c r="B114" t="inlineStr">
        <is>
          <t xml:space="preserve">SF15</t>
        </is>
      </c>
      <c r="C114" t="inlineStr">
        <is>
          <t xml:space="preserve">ST58</t>
        </is>
      </c>
      <c r="D114" t="inlineStr">
        <is>
          <t xml:space="preserve">The hall is full of people worried about tradeable quotas.</t>
        </is>
      </c>
      <c r="E114" t="inlineStr">
        <is>
          <t xml:space="preserve">Then I will listen first.</t>
        </is>
      </c>
    </row>
    <row r="115">
      <c r="A115" t="inlineStr">
        <is>
          <t xml:space="preserve">TD114</t>
        </is>
      </c>
      <c r="B115" t="inlineStr">
        <is>
          <t xml:space="preserve">SF16</t>
        </is>
      </c>
      <c r="C115" t="inlineStr">
        <is>
          <t xml:space="preserve">ST58</t>
        </is>
      </c>
      <c r="D115" t="inlineStr">
        <is>
          <t xml:space="preserve">Keep it human when they ask about tradeable quotas.</t>
        </is>
      </c>
      <c r="E115" t="inlineStr">
        <is>
          <t xml:space="preserve">Human first.</t>
        </is>
      </c>
    </row>
    <row r="116">
      <c r="A116" t="inlineStr">
        <is>
          <t xml:space="preserve">TD115</t>
        </is>
      </c>
      <c r="B116" t="inlineStr">
        <is>
          <t xml:space="preserve">SF01</t>
        </is>
      </c>
      <c r="C116" t="inlineStr">
        <is>
          <t xml:space="preserve">ST58</t>
        </is>
      </c>
      <c r="D116" t="inlineStr">
        <is>
          <t xml:space="preserve">I marked the questions to expect on tradeable quotas.</t>
        </is>
      </c>
      <c r="E116" t="inlineStr">
        <is>
          <t xml:space="preserve">Thank you.</t>
        </is>
      </c>
    </row>
    <row r="117">
      <c r="A117" t="inlineStr">
        <is>
          <t xml:space="preserve">TD116</t>
        </is>
      </c>
      <c r="B117" t="inlineStr">
        <is>
          <t xml:space="preserve">SF15</t>
        </is>
      </c>
      <c r="C117" t="inlineStr">
        <is>
          <t xml:space="preserve">ST59</t>
        </is>
      </c>
      <c r="D117" t="inlineStr">
        <is>
          <t xml:space="preserve">Your own party is watching you on tradeable quotas.</t>
        </is>
      </c>
      <c r="E117" t="inlineStr">
        <is>
          <t xml:space="preserve">Then I will choose well.</t>
        </is>
      </c>
    </row>
    <row r="118">
      <c r="A118" t="inlineStr">
        <is>
          <t xml:space="preserve">TD117</t>
        </is>
      </c>
      <c r="B118" t="inlineStr">
        <is>
          <t xml:space="preserve">SF16</t>
        </is>
      </c>
      <c r="C118" t="inlineStr">
        <is>
          <t xml:space="preserve">ST59</t>
        </is>
      </c>
      <c r="D118" t="inlineStr">
        <is>
          <t xml:space="preserve">Caucus members will test you on tradeable quotas.</t>
        </is>
      </c>
      <c r="E118" t="inlineStr">
        <is>
          <t xml:space="preserve">I am ready.</t>
        </is>
      </c>
    </row>
    <row r="119">
      <c r="A119" t="inlineStr">
        <is>
          <t xml:space="preserve">TD118</t>
        </is>
      </c>
      <c r="B119" t="inlineStr">
        <is>
          <t xml:space="preserve">SF01</t>
        </is>
      </c>
      <c r="C119" t="inlineStr">
        <is>
          <t xml:space="preserve">ST59</t>
        </is>
      </c>
      <c r="D119" t="inlineStr">
        <is>
          <t xml:space="preserve">Know where your party stands on tradeable quotas.</t>
        </is>
      </c>
      <c r="E119" t="inlineStr">
        <is>
          <t xml:space="preserve">I will check.</t>
        </is>
      </c>
    </row>
    <row r="120">
      <c r="A120" t="inlineStr">
        <is>
          <t xml:space="preserve">TD119</t>
        </is>
      </c>
      <c r="B120" t="inlineStr">
        <is>
          <t xml:space="preserve">SF01</t>
        </is>
      </c>
      <c r="C120" t="inlineStr">
        <is>
          <t xml:space="preserve">ST60</t>
        </is>
      </c>
      <c r="D120" t="inlineStr">
        <is>
          <t xml:space="preserve">Members will quote the record on the shipyards.</t>
        </is>
      </c>
      <c r="E120" t="inlineStr">
        <is>
          <t xml:space="preserve">Then I will quote back.</t>
        </is>
      </c>
    </row>
    <row r="121">
      <c r="A121" t="inlineStr">
        <is>
          <t xml:space="preserve">TD120</t>
        </is>
      </c>
      <c r="B121" t="inlineStr">
        <is>
          <t xml:space="preserve">SF02</t>
        </is>
      </c>
      <c r="C121" t="inlineStr">
        <is>
          <t xml:space="preserve">ST60</t>
        </is>
      </c>
      <c r="D121" t="inlineStr">
        <is>
          <t xml:space="preserve">Be exact about the shipyards. They will check.</t>
        </is>
      </c>
      <c r="E121" t="inlineStr">
        <is>
          <t xml:space="preserve">Exact. Noted.</t>
        </is>
      </c>
    </row>
    <row r="122">
      <c r="A122" t="inlineStr">
        <is>
          <t xml:space="preserve">TD121</t>
        </is>
      </c>
      <c r="B122" t="inlineStr">
        <is>
          <t xml:space="preserve">SF15</t>
        </is>
      </c>
      <c r="C122" t="inlineStr">
        <is>
          <t xml:space="preserve">ST60</t>
        </is>
      </c>
      <c r="D122" t="inlineStr">
        <is>
          <t xml:space="preserve">People back home follow this hearing on the shipyards.</t>
        </is>
      </c>
      <c r="E122" t="inlineStr">
        <is>
          <t xml:space="preserve">Then I will be careful.</t>
        </is>
      </c>
    </row>
    <row r="123">
      <c r="A123" t="inlineStr">
        <is>
          <t xml:space="preserve">TD122</t>
        </is>
      </c>
      <c r="B123" t="inlineStr">
        <is>
          <t xml:space="preserve">SF15</t>
        </is>
      </c>
      <c r="C123" t="inlineStr">
        <is>
          <t xml:space="preserve">ST61</t>
        </is>
      </c>
      <c r="D123" t="inlineStr">
        <is>
          <t xml:space="preserve">The hall is full of people worried about the shipyards.</t>
        </is>
      </c>
      <c r="E123" t="inlineStr">
        <is>
          <t xml:space="preserve">Then I will listen first.</t>
        </is>
      </c>
    </row>
    <row r="124">
      <c r="A124" t="inlineStr">
        <is>
          <t xml:space="preserve">TD123</t>
        </is>
      </c>
      <c r="B124" t="inlineStr">
        <is>
          <t xml:space="preserve">SF16</t>
        </is>
      </c>
      <c r="C124" t="inlineStr">
        <is>
          <t xml:space="preserve">ST61</t>
        </is>
      </c>
      <c r="D124" t="inlineStr">
        <is>
          <t xml:space="preserve">Keep it human when they ask about the shipyards.</t>
        </is>
      </c>
      <c r="E124" t="inlineStr">
        <is>
          <t xml:space="preserve">Human first.</t>
        </is>
      </c>
    </row>
    <row r="125">
      <c r="A125" t="inlineStr">
        <is>
          <t xml:space="preserve">TD124</t>
        </is>
      </c>
      <c r="B125" t="inlineStr">
        <is>
          <t xml:space="preserve">SF01</t>
        </is>
      </c>
      <c r="C125" t="inlineStr">
        <is>
          <t xml:space="preserve">ST61</t>
        </is>
      </c>
      <c r="D125" t="inlineStr">
        <is>
          <t xml:space="preserve">I marked the questions to expect on the shipyards.</t>
        </is>
      </c>
      <c r="E125" t="inlineStr">
        <is>
          <t xml:space="preserve">Thank you.</t>
        </is>
      </c>
    </row>
    <row r="126">
      <c r="A126" t="inlineStr">
        <is>
          <t xml:space="preserve">TD125</t>
        </is>
      </c>
      <c r="B126" t="inlineStr">
        <is>
          <t xml:space="preserve">SF15</t>
        </is>
      </c>
      <c r="C126" t="inlineStr">
        <is>
          <t xml:space="preserve">ST62</t>
        </is>
      </c>
      <c r="D126" t="inlineStr">
        <is>
          <t xml:space="preserve">Your own party is watching you on the shipyards.</t>
        </is>
      </c>
      <c r="E126" t="inlineStr">
        <is>
          <t xml:space="preserve">Then I will choose well.</t>
        </is>
      </c>
    </row>
    <row r="127">
      <c r="A127" t="inlineStr">
        <is>
          <t xml:space="preserve">TD126</t>
        </is>
      </c>
      <c r="B127" t="inlineStr">
        <is>
          <t xml:space="preserve">SF16</t>
        </is>
      </c>
      <c r="C127" t="inlineStr">
        <is>
          <t xml:space="preserve">ST62</t>
        </is>
      </c>
      <c r="D127" t="inlineStr">
        <is>
          <t xml:space="preserve">Caucus members will test you on the shipyards.</t>
        </is>
      </c>
      <c r="E127" t="inlineStr">
        <is>
          <t xml:space="preserve">I am ready.</t>
        </is>
      </c>
    </row>
    <row r="128">
      <c r="A128" t="inlineStr">
        <is>
          <t xml:space="preserve">TD127</t>
        </is>
      </c>
      <c r="B128" t="inlineStr">
        <is>
          <t xml:space="preserve">SF01</t>
        </is>
      </c>
      <c r="C128" t="inlineStr">
        <is>
          <t xml:space="preserve">ST62</t>
        </is>
      </c>
      <c r="D128" t="inlineStr">
        <is>
          <t xml:space="preserve">Know where your party stands on the shipyards.</t>
        </is>
      </c>
      <c r="E128" t="inlineStr">
        <is>
          <t xml:space="preserve">I will check.</t>
        </is>
      </c>
    </row>
    <row r="129">
      <c r="A129" t="inlineStr">
        <is>
          <t xml:space="preserve">TD128</t>
        </is>
      </c>
      <c r="B129" t="inlineStr">
        <is>
          <t xml:space="preserve">SF01</t>
        </is>
      </c>
      <c r="C129" t="inlineStr">
        <is>
          <t xml:space="preserve">ST63</t>
        </is>
      </c>
      <c r="D129" t="inlineStr">
        <is>
          <t xml:space="preserve">Members will quote the record on the review.</t>
        </is>
      </c>
      <c r="E129" t="inlineStr">
        <is>
          <t xml:space="preserve">Then I will quote back.</t>
        </is>
      </c>
    </row>
    <row r="130">
      <c r="A130" t="inlineStr">
        <is>
          <t xml:space="preserve">TD129</t>
        </is>
      </c>
      <c r="B130" t="inlineStr">
        <is>
          <t xml:space="preserve">SF02</t>
        </is>
      </c>
      <c r="C130" t="inlineStr">
        <is>
          <t xml:space="preserve">ST63</t>
        </is>
      </c>
      <c r="D130" t="inlineStr">
        <is>
          <t xml:space="preserve">Be exact about the review. They will check.</t>
        </is>
      </c>
      <c r="E130" t="inlineStr">
        <is>
          <t xml:space="preserve">Exact. Noted.</t>
        </is>
      </c>
    </row>
    <row r="131">
      <c r="A131" t="inlineStr">
        <is>
          <t xml:space="preserve">TD130</t>
        </is>
      </c>
      <c r="B131" t="inlineStr">
        <is>
          <t xml:space="preserve">SF15</t>
        </is>
      </c>
      <c r="C131" t="inlineStr">
        <is>
          <t xml:space="preserve">ST63</t>
        </is>
      </c>
      <c r="D131" t="inlineStr">
        <is>
          <t xml:space="preserve">People back home follow this hearing on the review.</t>
        </is>
      </c>
      <c r="E131" t="inlineStr">
        <is>
          <t xml:space="preserve">Then I will be careful.</t>
        </is>
      </c>
    </row>
    <row r="132">
      <c r="A132" t="inlineStr">
        <is>
          <t xml:space="preserve">TD131</t>
        </is>
      </c>
      <c r="B132" t="inlineStr">
        <is>
          <t xml:space="preserve">SF08</t>
        </is>
      </c>
      <c r="C132" t="inlineStr">
        <is>
          <t xml:space="preserve">ST64</t>
        </is>
      </c>
      <c r="D132" t="inlineStr">
        <is>
          <t xml:space="preserve">Reporters will ask about the review straight away.</t>
        </is>
      </c>
      <c r="E132" t="inlineStr">
        <is>
          <t xml:space="preserve">I am ready.</t>
        </is>
      </c>
    </row>
    <row r="133">
      <c r="A133" t="inlineStr">
        <is>
          <t xml:space="preserve">TD132</t>
        </is>
      </c>
      <c r="B133" t="inlineStr">
        <is>
          <t xml:space="preserve">SF09</t>
        </is>
      </c>
      <c r="C133" t="inlineStr">
        <is>
          <t xml:space="preserve">ST64</t>
        </is>
      </c>
      <c r="D133" t="inlineStr">
        <is>
          <t xml:space="preserve">Say plainly where you stand on the review.</t>
        </is>
      </c>
      <c r="E133" t="inlineStr">
        <is>
          <t xml:space="preserve">Plainly. Understood.</t>
        </is>
      </c>
    </row>
    <row r="134">
      <c r="A134" t="inlineStr">
        <is>
          <t xml:space="preserve">TD133</t>
        </is>
      </c>
      <c r="B134" t="inlineStr">
        <is>
          <t xml:space="preserve">SF02</t>
        </is>
      </c>
      <c r="C134" t="inlineStr">
        <is>
          <t xml:space="preserve">ST64</t>
        </is>
      </c>
      <c r="D134" t="inlineStr">
        <is>
          <t xml:space="preserve">Keep one clear number on the review in mind.</t>
        </is>
      </c>
      <c r="E134" t="inlineStr">
        <is>
          <t xml:space="preserve">One number. Got it.</t>
        </is>
      </c>
    </row>
    <row r="135">
      <c r="A135" t="inlineStr">
        <is>
          <t xml:space="preserve">TD134</t>
        </is>
      </c>
      <c r="B135" t="inlineStr">
        <is>
          <t xml:space="preserve">SF15</t>
        </is>
      </c>
      <c r="C135" t="inlineStr">
        <is>
          <t xml:space="preserve">ST65</t>
        </is>
      </c>
      <c r="D135" t="inlineStr">
        <is>
          <t xml:space="preserve">Your own party is watching you on the review.</t>
        </is>
      </c>
      <c r="E135" t="inlineStr">
        <is>
          <t xml:space="preserve">Then I will choose well.</t>
        </is>
      </c>
    </row>
    <row r="136">
      <c r="A136" t="inlineStr">
        <is>
          <t xml:space="preserve">TD135</t>
        </is>
      </c>
      <c r="B136" t="inlineStr">
        <is>
          <t xml:space="preserve">SF16</t>
        </is>
      </c>
      <c r="C136" t="inlineStr">
        <is>
          <t xml:space="preserve">ST65</t>
        </is>
      </c>
      <c r="D136" t="inlineStr">
        <is>
          <t xml:space="preserve">Caucus members will test you on the review.</t>
        </is>
      </c>
      <c r="E136" t="inlineStr">
        <is>
          <t xml:space="preserve">I am ready.</t>
        </is>
      </c>
    </row>
    <row r="137">
      <c r="A137" t="inlineStr">
        <is>
          <t xml:space="preserve">TD136</t>
        </is>
      </c>
      <c r="B137" t="inlineStr">
        <is>
          <t xml:space="preserve">SF01</t>
        </is>
      </c>
      <c r="C137" t="inlineStr">
        <is>
          <t xml:space="preserve">ST65</t>
        </is>
      </c>
      <c r="D137" t="inlineStr">
        <is>
          <t xml:space="preserve">Know where your party stands on the review.</t>
        </is>
      </c>
      <c r="E137" t="inlineStr">
        <is>
          <t xml:space="preserve">I will check.</t>
        </is>
      </c>
    </row>
    <row r="138">
      <c r="A138" t="inlineStr">
        <is>
          <t xml:space="preserve">TD137</t>
        </is>
      </c>
      <c r="B138" t="inlineStr">
        <is>
          <t xml:space="preserve">SF01</t>
        </is>
      </c>
      <c r="C138" t="inlineStr">
        <is>
          <t xml:space="preserve">ST66</t>
        </is>
      </c>
      <c r="D138" t="inlineStr">
        <is>
          <t xml:space="preserve">Members will quote the record on border sharing.</t>
        </is>
      </c>
      <c r="E138" t="inlineStr">
        <is>
          <t xml:space="preserve">Then I will quote back.</t>
        </is>
      </c>
    </row>
    <row r="139">
      <c r="A139" t="inlineStr">
        <is>
          <t xml:space="preserve">TD138</t>
        </is>
      </c>
      <c r="B139" t="inlineStr">
        <is>
          <t xml:space="preserve">SF02</t>
        </is>
      </c>
      <c r="C139" t="inlineStr">
        <is>
          <t xml:space="preserve">ST66</t>
        </is>
      </c>
      <c r="D139" t="inlineStr">
        <is>
          <t xml:space="preserve">Be exact about border sharing. They will check.</t>
        </is>
      </c>
      <c r="E139" t="inlineStr">
        <is>
          <t xml:space="preserve">Exact. Noted.</t>
        </is>
      </c>
    </row>
    <row r="140">
      <c r="A140" t="inlineStr">
        <is>
          <t xml:space="preserve">TD139</t>
        </is>
      </c>
      <c r="B140" t="inlineStr">
        <is>
          <t xml:space="preserve">SF15</t>
        </is>
      </c>
      <c r="C140" t="inlineStr">
        <is>
          <t xml:space="preserve">ST66</t>
        </is>
      </c>
      <c r="D140" t="inlineStr">
        <is>
          <t xml:space="preserve">People back home follow this hearing on border sharing.</t>
        </is>
      </c>
      <c r="E140" t="inlineStr">
        <is>
          <t xml:space="preserve">Then I will be careful.</t>
        </is>
      </c>
    </row>
    <row r="141">
      <c r="A141" t="inlineStr">
        <is>
          <t xml:space="preserve">TD140</t>
        </is>
      </c>
      <c r="B141" t="inlineStr">
        <is>
          <t xml:space="preserve">SF15</t>
        </is>
      </c>
      <c r="C141" t="inlineStr">
        <is>
          <t xml:space="preserve">ST67</t>
        </is>
      </c>
      <c r="D141" t="inlineStr">
        <is>
          <t xml:space="preserve">The lobbyist cares about border sharing. Hear them out.</t>
        </is>
      </c>
      <c r="E141" t="inlineStr">
        <is>
          <t xml:space="preserve">I will listen.</t>
        </is>
      </c>
    </row>
    <row r="142">
      <c r="A142" t="inlineStr">
        <is>
          <t xml:space="preserve">TD141</t>
        </is>
      </c>
      <c r="B142" t="inlineStr">
        <is>
          <t xml:space="preserve">SF09</t>
        </is>
      </c>
      <c r="C142" t="inlineStr">
        <is>
          <t xml:space="preserve">ST67</t>
        </is>
      </c>
      <c r="D142" t="inlineStr">
        <is>
          <t xml:space="preserve">Anything you promise on border sharing may be repeated.</t>
        </is>
      </c>
      <c r="E142" t="inlineStr">
        <is>
          <t xml:space="preserve">Then I promise little.</t>
        </is>
      </c>
    </row>
    <row r="143">
      <c r="A143" t="inlineStr">
        <is>
          <t xml:space="preserve">TD142</t>
        </is>
      </c>
      <c r="B143" t="inlineStr">
        <is>
          <t xml:space="preserve">SF01</t>
        </is>
      </c>
      <c r="C143" t="inlineStr">
        <is>
          <t xml:space="preserve">ST67</t>
        </is>
      </c>
      <c r="D143" t="inlineStr">
        <is>
          <t xml:space="preserve">I listed what each side wants on border sharing.</t>
        </is>
      </c>
      <c r="E143" t="inlineStr">
        <is>
          <t xml:space="preserve">Useful. Thank you.</t>
        </is>
      </c>
    </row>
    <row r="144">
      <c r="A144" t="inlineStr">
        <is>
          <t xml:space="preserve">TD143</t>
        </is>
      </c>
      <c r="B144" t="inlineStr">
        <is>
          <t xml:space="preserve">SF15</t>
        </is>
      </c>
      <c r="C144" t="inlineStr">
        <is>
          <t xml:space="preserve">ST68</t>
        </is>
      </c>
      <c r="D144" t="inlineStr">
        <is>
          <t xml:space="preserve">Your own party is watching you on border sharing.</t>
        </is>
      </c>
      <c r="E144" t="inlineStr">
        <is>
          <t xml:space="preserve">Then I will choose well.</t>
        </is>
      </c>
    </row>
    <row r="145">
      <c r="A145" t="inlineStr">
        <is>
          <t xml:space="preserve">TD144</t>
        </is>
      </c>
      <c r="B145" t="inlineStr">
        <is>
          <t xml:space="preserve">SF16</t>
        </is>
      </c>
      <c r="C145" t="inlineStr">
        <is>
          <t xml:space="preserve">ST68</t>
        </is>
      </c>
      <c r="D145" t="inlineStr">
        <is>
          <t xml:space="preserve">Caucus members will test you on border sharing.</t>
        </is>
      </c>
      <c r="E145" t="inlineStr">
        <is>
          <t xml:space="preserve">I am ready.</t>
        </is>
      </c>
    </row>
    <row r="146">
      <c r="A146" t="inlineStr">
        <is>
          <t xml:space="preserve">TD145</t>
        </is>
      </c>
      <c r="B146" t="inlineStr">
        <is>
          <t xml:space="preserve">SF01</t>
        </is>
      </c>
      <c r="C146" t="inlineStr">
        <is>
          <t xml:space="preserve">ST68</t>
        </is>
      </c>
      <c r="D146" t="inlineStr">
        <is>
          <t xml:space="preserve">Know where your party stands on border sharing.</t>
        </is>
      </c>
      <c r="E146" t="inlineStr">
        <is>
          <t xml:space="preserve">I will check.</t>
        </is>
      </c>
    </row>
    <row r="147">
      <c r="A147" t="inlineStr">
        <is>
          <t xml:space="preserve">TD146</t>
        </is>
      </c>
      <c r="B147" t="inlineStr">
        <is>
          <t xml:space="preserve">SF01</t>
        </is>
      </c>
      <c r="C147" t="inlineStr">
        <is>
          <t xml:space="preserve">ST69</t>
        </is>
      </c>
      <c r="D147" t="inlineStr">
        <is>
          <t xml:space="preserve">Members will quote the record on the islands.</t>
        </is>
      </c>
      <c r="E147" t="inlineStr">
        <is>
          <t xml:space="preserve">Then I will quote back.</t>
        </is>
      </c>
    </row>
    <row r="148">
      <c r="A148" t="inlineStr">
        <is>
          <t xml:space="preserve">TD147</t>
        </is>
      </c>
      <c r="B148" t="inlineStr">
        <is>
          <t xml:space="preserve">SF02</t>
        </is>
      </c>
      <c r="C148" t="inlineStr">
        <is>
          <t xml:space="preserve">ST69</t>
        </is>
      </c>
      <c r="D148" t="inlineStr">
        <is>
          <t xml:space="preserve">Be exact about the islands. They will check.</t>
        </is>
      </c>
      <c r="E148" t="inlineStr">
        <is>
          <t xml:space="preserve">Exact. Noted.</t>
        </is>
      </c>
    </row>
    <row r="149">
      <c r="A149" t="inlineStr">
        <is>
          <t xml:space="preserve">TD148</t>
        </is>
      </c>
      <c r="B149" t="inlineStr">
        <is>
          <t xml:space="preserve">SF15</t>
        </is>
      </c>
      <c r="C149" t="inlineStr">
        <is>
          <t xml:space="preserve">ST69</t>
        </is>
      </c>
      <c r="D149" t="inlineStr">
        <is>
          <t xml:space="preserve">People back home follow this hearing on the islands.</t>
        </is>
      </c>
      <c r="E149" t="inlineStr">
        <is>
          <t xml:space="preserve">Then I will be careful.</t>
        </is>
      </c>
    </row>
    <row r="150">
      <c r="A150" t="inlineStr">
        <is>
          <t xml:space="preserve">TD149</t>
        </is>
      </c>
      <c r="B150" t="inlineStr">
        <is>
          <t xml:space="preserve">SF08</t>
        </is>
      </c>
      <c r="C150" t="inlineStr">
        <is>
          <t xml:space="preserve">ST70</t>
        </is>
      </c>
      <c r="D150" t="inlineStr">
        <is>
          <t xml:space="preserve">Reporters will ask about the islands straight away.</t>
        </is>
      </c>
      <c r="E150" t="inlineStr">
        <is>
          <t xml:space="preserve">I am ready.</t>
        </is>
      </c>
    </row>
    <row r="151">
      <c r="A151" t="inlineStr">
        <is>
          <t xml:space="preserve">TD150</t>
        </is>
      </c>
      <c r="B151" t="inlineStr">
        <is>
          <t xml:space="preserve">SF09</t>
        </is>
      </c>
      <c r="C151" t="inlineStr">
        <is>
          <t xml:space="preserve">ST70</t>
        </is>
      </c>
      <c r="D151" t="inlineStr">
        <is>
          <t xml:space="preserve">Say plainly where you stand on the islands.</t>
        </is>
      </c>
      <c r="E151" t="inlineStr">
        <is>
          <t xml:space="preserve">Plainly. Understood.</t>
        </is>
      </c>
    </row>
    <row r="152">
      <c r="A152" t="inlineStr">
        <is>
          <t xml:space="preserve">TD151</t>
        </is>
      </c>
      <c r="B152" t="inlineStr">
        <is>
          <t xml:space="preserve">SF02</t>
        </is>
      </c>
      <c r="C152" t="inlineStr">
        <is>
          <t xml:space="preserve">ST70</t>
        </is>
      </c>
      <c r="D152" t="inlineStr">
        <is>
          <t xml:space="preserve">Keep one clear number on the islands in mind.</t>
        </is>
      </c>
      <c r="E152" t="inlineStr">
        <is>
          <t xml:space="preserve">One number. Got it.</t>
        </is>
      </c>
    </row>
    <row r="153">
      <c r="A153" t="inlineStr">
        <is>
          <t xml:space="preserve">TD152</t>
        </is>
      </c>
      <c r="B153" t="inlineStr">
        <is>
          <t xml:space="preserve">SF15</t>
        </is>
      </c>
      <c r="C153" t="inlineStr">
        <is>
          <t xml:space="preserve">ST71</t>
        </is>
      </c>
      <c r="D153" t="inlineStr">
        <is>
          <t xml:space="preserve">The lobbyist cares about the islands. Hear them out.</t>
        </is>
      </c>
      <c r="E153" t="inlineStr">
        <is>
          <t xml:space="preserve">I will listen.</t>
        </is>
      </c>
    </row>
    <row r="154">
      <c r="A154" t="inlineStr">
        <is>
          <t xml:space="preserve">TD153</t>
        </is>
      </c>
      <c r="B154" t="inlineStr">
        <is>
          <t xml:space="preserve">SF09</t>
        </is>
      </c>
      <c r="C154" t="inlineStr">
        <is>
          <t xml:space="preserve">ST71</t>
        </is>
      </c>
      <c r="D154" t="inlineStr">
        <is>
          <t xml:space="preserve">Anything you promise on the islands may be repeated.</t>
        </is>
      </c>
      <c r="E154" t="inlineStr">
        <is>
          <t xml:space="preserve">Then I promise little.</t>
        </is>
      </c>
    </row>
    <row r="155">
      <c r="A155" t="inlineStr">
        <is>
          <t xml:space="preserve">TD154</t>
        </is>
      </c>
      <c r="B155" t="inlineStr">
        <is>
          <t xml:space="preserve">SF01</t>
        </is>
      </c>
      <c r="C155" t="inlineStr">
        <is>
          <t xml:space="preserve">ST71</t>
        </is>
      </c>
      <c r="D155" t="inlineStr">
        <is>
          <t xml:space="preserve">I listed what each side wants on the islands.</t>
        </is>
      </c>
      <c r="E155" t="inlineStr">
        <is>
          <t xml:space="preserve">Useful. Thank you.</t>
        </is>
      </c>
    </row>
    <row r="156">
      <c r="A156" t="inlineStr">
        <is>
          <t xml:space="preserve">TD155</t>
        </is>
      </c>
      <c r="B156" t="inlineStr">
        <is>
          <t xml:space="preserve">SF15</t>
        </is>
      </c>
      <c r="C156" t="inlineStr">
        <is>
          <t xml:space="preserve">ST72</t>
        </is>
      </c>
      <c r="D156" t="inlineStr">
        <is>
          <t xml:space="preserve">Your own party is watching you on the islands.</t>
        </is>
      </c>
      <c r="E156" t="inlineStr">
        <is>
          <t xml:space="preserve">Then I will choose well.</t>
        </is>
      </c>
    </row>
    <row r="157">
      <c r="A157" t="inlineStr">
        <is>
          <t xml:space="preserve">TD156</t>
        </is>
      </c>
      <c r="B157" t="inlineStr">
        <is>
          <t xml:space="preserve">SF16</t>
        </is>
      </c>
      <c r="C157" t="inlineStr">
        <is>
          <t xml:space="preserve">ST72</t>
        </is>
      </c>
      <c r="D157" t="inlineStr">
        <is>
          <t xml:space="preserve">Caucus members will test you on the islands.</t>
        </is>
      </c>
      <c r="E157" t="inlineStr">
        <is>
          <t xml:space="preserve">I am ready.</t>
        </is>
      </c>
    </row>
    <row r="158">
      <c r="A158" t="inlineStr">
        <is>
          <t xml:space="preserve">TD157</t>
        </is>
      </c>
      <c r="B158" t="inlineStr">
        <is>
          <t xml:space="preserve">SF01</t>
        </is>
      </c>
      <c r="C158" t="inlineStr">
        <is>
          <t xml:space="preserve">ST72</t>
        </is>
      </c>
      <c r="D158" t="inlineStr">
        <is>
          <t xml:space="preserve">Know where your party stands on the islands.</t>
        </is>
      </c>
      <c r="E158" t="inlineStr">
        <is>
          <t xml:space="preserve">I will check.</t>
        </is>
      </c>
    </row>
    <row r="159">
      <c r="A159" t="inlineStr">
        <is>
          <t xml:space="preserve">TD158</t>
        </is>
      </c>
      <c r="B159" t="inlineStr">
        <is>
          <t xml:space="preserve">SF08</t>
        </is>
      </c>
      <c r="C159" t="inlineStr">
        <is>
          <t xml:space="preserve">ST73</t>
        </is>
      </c>
      <c r="D159" t="inlineStr">
        <is>
          <t xml:space="preserve">The studio lights are hot. Keep calm on open trade.</t>
        </is>
      </c>
      <c r="E159" t="inlineStr">
        <is>
          <t xml:space="preserve">Calm it is.</t>
        </is>
      </c>
    </row>
    <row r="160">
      <c r="A160" t="inlineStr">
        <is>
          <t xml:space="preserve">TD159</t>
        </is>
      </c>
      <c r="B160" t="inlineStr">
        <is>
          <t xml:space="preserve">SF09</t>
        </is>
      </c>
      <c r="C160" t="inlineStr">
        <is>
          <t xml:space="preserve">ST73</t>
        </is>
      </c>
      <c r="D160" t="inlineStr">
        <is>
          <t xml:space="preserve">The viewers care about open trade. Speak to them.</t>
        </is>
      </c>
      <c r="E160" t="inlineStr">
        <is>
          <t xml:space="preserve">Directly to them.</t>
        </is>
      </c>
    </row>
    <row r="161">
      <c r="A161" t="inlineStr">
        <is>
          <t xml:space="preserve">TD160</t>
        </is>
      </c>
      <c r="B161" t="inlineStr">
        <is>
          <t xml:space="preserve">SF02</t>
        </is>
      </c>
      <c r="C161" t="inlineStr">
        <is>
          <t xml:space="preserve">ST73</t>
        </is>
      </c>
      <c r="D161" t="inlineStr">
        <is>
          <t xml:space="preserve">Keep your facts on open trade short and sharp.</t>
        </is>
      </c>
      <c r="E161" t="inlineStr">
        <is>
          <t xml:space="preserve">Short and sharp.</t>
        </is>
      </c>
    </row>
    <row r="162">
      <c r="A162" t="inlineStr">
        <is>
          <t xml:space="preserve">TD161</t>
        </is>
      </c>
      <c r="B162" t="inlineStr">
        <is>
          <t xml:space="preserve">SF01</t>
        </is>
      </c>
      <c r="C162" t="inlineStr">
        <is>
          <t xml:space="preserve">ST74</t>
        </is>
      </c>
      <c r="D162" t="inlineStr">
        <is>
          <t xml:space="preserve">Members will quote the record on open trade.</t>
        </is>
      </c>
      <c r="E162" t="inlineStr">
        <is>
          <t xml:space="preserve">Then I will quote back.</t>
        </is>
      </c>
    </row>
    <row r="163">
      <c r="A163" t="inlineStr">
        <is>
          <t xml:space="preserve">TD162</t>
        </is>
      </c>
      <c r="B163" t="inlineStr">
        <is>
          <t xml:space="preserve">SF02</t>
        </is>
      </c>
      <c r="C163" t="inlineStr">
        <is>
          <t xml:space="preserve">ST74</t>
        </is>
      </c>
      <c r="D163" t="inlineStr">
        <is>
          <t xml:space="preserve">Be exact about open trade. They will check.</t>
        </is>
      </c>
      <c r="E163" t="inlineStr">
        <is>
          <t xml:space="preserve">Exact. Noted.</t>
        </is>
      </c>
    </row>
    <row r="164">
      <c r="A164" t="inlineStr">
        <is>
          <t xml:space="preserve">TD163</t>
        </is>
      </c>
      <c r="B164" t="inlineStr">
        <is>
          <t xml:space="preserve">SF15</t>
        </is>
      </c>
      <c r="C164" t="inlineStr">
        <is>
          <t xml:space="preserve">ST74</t>
        </is>
      </c>
      <c r="D164" t="inlineStr">
        <is>
          <t xml:space="preserve">People back home follow this hearing on open trade.</t>
        </is>
      </c>
      <c r="E164" t="inlineStr">
        <is>
          <t xml:space="preserve">Then I will be careful.</t>
        </is>
      </c>
    </row>
    <row r="165">
      <c r="A165" t="inlineStr">
        <is>
          <t xml:space="preserve">TD164</t>
        </is>
      </c>
      <c r="B165" t="inlineStr">
        <is>
          <t xml:space="preserve">SF15</t>
        </is>
      </c>
      <c r="C165" t="inlineStr">
        <is>
          <t xml:space="preserve">ST75</t>
        </is>
      </c>
      <c r="D165" t="inlineStr">
        <is>
          <t xml:space="preserve">Your own party is watching you on open trade.</t>
        </is>
      </c>
      <c r="E165" t="inlineStr">
        <is>
          <t xml:space="preserve">Then I will choose well.</t>
        </is>
      </c>
    </row>
    <row r="166">
      <c r="A166" t="inlineStr">
        <is>
          <t xml:space="preserve">TD165</t>
        </is>
      </c>
      <c r="B166" t="inlineStr">
        <is>
          <t xml:space="preserve">SF16</t>
        </is>
      </c>
      <c r="C166" t="inlineStr">
        <is>
          <t xml:space="preserve">ST75</t>
        </is>
      </c>
      <c r="D166" t="inlineStr">
        <is>
          <t xml:space="preserve">Caucus members will test you on open trade.</t>
        </is>
      </c>
      <c r="E166" t="inlineStr">
        <is>
          <t xml:space="preserve">I am ready.</t>
        </is>
      </c>
    </row>
    <row r="167">
      <c r="A167" t="inlineStr">
        <is>
          <t xml:space="preserve">TD166</t>
        </is>
      </c>
      <c r="B167" t="inlineStr">
        <is>
          <t xml:space="preserve">SF01</t>
        </is>
      </c>
      <c r="C167" t="inlineStr">
        <is>
          <t xml:space="preserve">ST75</t>
        </is>
      </c>
      <c r="D167" t="inlineStr">
        <is>
          <t xml:space="preserve">Know where your party stands on open trade.</t>
        </is>
      </c>
      <c r="E167" t="inlineStr">
        <is>
          <t xml:space="preserve">I will check.</t>
        </is>
      </c>
    </row>
    <row r="168">
      <c r="A168" t="inlineStr">
        <is>
          <t xml:space="preserve">TD167</t>
        </is>
      </c>
      <c r="B168" t="inlineStr">
        <is>
          <t xml:space="preserve">SF15</t>
        </is>
      </c>
      <c r="C168" t="inlineStr">
        <is>
          <t xml:space="preserve">ST76</t>
        </is>
      </c>
      <c r="D168" t="inlineStr">
        <is>
          <t xml:space="preserve">The hall is full of people worried about family farms.</t>
        </is>
      </c>
      <c r="E168" t="inlineStr">
        <is>
          <t xml:space="preserve">Then I will listen first.</t>
        </is>
      </c>
    </row>
    <row r="169">
      <c r="A169" t="inlineStr">
        <is>
          <t xml:space="preserve">TD168</t>
        </is>
      </c>
      <c r="B169" t="inlineStr">
        <is>
          <t xml:space="preserve">SF16</t>
        </is>
      </c>
      <c r="C169" t="inlineStr">
        <is>
          <t xml:space="preserve">ST76</t>
        </is>
      </c>
      <c r="D169" t="inlineStr">
        <is>
          <t xml:space="preserve">Keep it human when they ask about family farms.</t>
        </is>
      </c>
      <c r="E169" t="inlineStr">
        <is>
          <t xml:space="preserve">Human first.</t>
        </is>
      </c>
    </row>
    <row r="170">
      <c r="A170" t="inlineStr">
        <is>
          <t xml:space="preserve">TD169</t>
        </is>
      </c>
      <c r="B170" t="inlineStr">
        <is>
          <t xml:space="preserve">SF01</t>
        </is>
      </c>
      <c r="C170" t="inlineStr">
        <is>
          <t xml:space="preserve">ST76</t>
        </is>
      </c>
      <c r="D170" t="inlineStr">
        <is>
          <t xml:space="preserve">I marked the questions to expect on family farms.</t>
        </is>
      </c>
      <c r="E170" t="inlineStr">
        <is>
          <t xml:space="preserve">Thank you.</t>
        </is>
      </c>
    </row>
    <row r="171">
      <c r="A171" t="inlineStr">
        <is>
          <t xml:space="preserve">TD170</t>
        </is>
      </c>
      <c r="B171" t="inlineStr">
        <is>
          <t xml:space="preserve">SF01</t>
        </is>
      </c>
      <c r="C171" t="inlineStr">
        <is>
          <t xml:space="preserve">ST77</t>
        </is>
      </c>
      <c r="D171" t="inlineStr">
        <is>
          <t xml:space="preserve">Members will quote the record on family farms.</t>
        </is>
      </c>
      <c r="E171" t="inlineStr">
        <is>
          <t xml:space="preserve">Then I will quote back.</t>
        </is>
      </c>
    </row>
    <row r="172">
      <c r="A172" t="inlineStr">
        <is>
          <t xml:space="preserve">TD171</t>
        </is>
      </c>
      <c r="B172" t="inlineStr">
        <is>
          <t xml:space="preserve">SF02</t>
        </is>
      </c>
      <c r="C172" t="inlineStr">
        <is>
          <t xml:space="preserve">ST77</t>
        </is>
      </c>
      <c r="D172" t="inlineStr">
        <is>
          <t xml:space="preserve">Be exact about family farms. They will check.</t>
        </is>
      </c>
      <c r="E172" t="inlineStr">
        <is>
          <t xml:space="preserve">Exact. Noted.</t>
        </is>
      </c>
    </row>
    <row r="173">
      <c r="A173" t="inlineStr">
        <is>
          <t xml:space="preserve">TD172</t>
        </is>
      </c>
      <c r="B173" t="inlineStr">
        <is>
          <t xml:space="preserve">SF15</t>
        </is>
      </c>
      <c r="C173" t="inlineStr">
        <is>
          <t xml:space="preserve">ST77</t>
        </is>
      </c>
      <c r="D173" t="inlineStr">
        <is>
          <t xml:space="preserve">People back home follow this hearing on family farms.</t>
        </is>
      </c>
      <c r="E173" t="inlineStr">
        <is>
          <t xml:space="preserve">Then I will be careful.</t>
        </is>
      </c>
    </row>
    <row r="174">
      <c r="A174" t="inlineStr">
        <is>
          <t xml:space="preserve">TD173</t>
        </is>
      </c>
      <c r="B174" t="inlineStr">
        <is>
          <t xml:space="preserve">SF15</t>
        </is>
      </c>
      <c r="C174" t="inlineStr">
        <is>
          <t xml:space="preserve">ST78</t>
        </is>
      </c>
      <c r="D174" t="inlineStr">
        <is>
          <t xml:space="preserve">Your own party is watching you on family farms.</t>
        </is>
      </c>
      <c r="E174" t="inlineStr">
        <is>
          <t xml:space="preserve">Then I will choose well.</t>
        </is>
      </c>
    </row>
    <row r="175">
      <c r="A175" t="inlineStr">
        <is>
          <t xml:space="preserve">TD174</t>
        </is>
      </c>
      <c r="B175" t="inlineStr">
        <is>
          <t xml:space="preserve">SF16</t>
        </is>
      </c>
      <c r="C175" t="inlineStr">
        <is>
          <t xml:space="preserve">ST78</t>
        </is>
      </c>
      <c r="D175" t="inlineStr">
        <is>
          <t xml:space="preserve">Caucus members will test you on family farms.</t>
        </is>
      </c>
      <c r="E175" t="inlineStr">
        <is>
          <t xml:space="preserve">I am ready.</t>
        </is>
      </c>
    </row>
    <row r="176">
      <c r="A176" t="inlineStr">
        <is>
          <t xml:space="preserve">TD175</t>
        </is>
      </c>
      <c r="B176" t="inlineStr">
        <is>
          <t xml:space="preserve">SF01</t>
        </is>
      </c>
      <c r="C176" t="inlineStr">
        <is>
          <t xml:space="preserve">ST78</t>
        </is>
      </c>
      <c r="D176" t="inlineStr">
        <is>
          <t xml:space="preserve">Know where your party stands on family farms.</t>
        </is>
      </c>
      <c r="E176" t="inlineStr">
        <is>
          <t xml:space="preserve">I will check.</t>
        </is>
      </c>
    </row>
    <row r="177">
      <c r="A177" t="inlineStr">
        <is>
          <t xml:space="preserve">TD176</t>
        </is>
      </c>
      <c r="B177" t="inlineStr">
        <is>
          <t xml:space="preserve">SF01</t>
        </is>
      </c>
      <c r="C177" t="inlineStr">
        <is>
          <t xml:space="preserve">ST79</t>
        </is>
      </c>
      <c r="D177" t="inlineStr">
        <is>
          <t xml:space="preserve">The briefing on research funding is in your folder.</t>
        </is>
      </c>
      <c r="E177" t="inlineStr">
        <is>
          <t xml:space="preserve">I will read it.</t>
        </is>
      </c>
    </row>
    <row r="178">
      <c r="A178" t="inlineStr">
        <is>
          <t xml:space="preserve">TD177</t>
        </is>
      </c>
      <c r="B178" t="inlineStr">
        <is>
          <t xml:space="preserve">SF02</t>
        </is>
      </c>
      <c r="C178" t="inlineStr">
        <is>
          <t xml:space="preserve">ST79</t>
        </is>
      </c>
      <c r="D178" t="inlineStr">
        <is>
          <t xml:space="preserve">Every figure on research funding is checked and sourced.</t>
        </is>
      </c>
      <c r="E178" t="inlineStr">
        <is>
          <t xml:space="preserve">Good. I will lean on them.</t>
        </is>
      </c>
    </row>
    <row r="179">
      <c r="A179" t="inlineStr">
        <is>
          <t xml:space="preserve">TD178</t>
        </is>
      </c>
      <c r="B179" t="inlineStr">
        <is>
          <t xml:space="preserve">SF16</t>
        </is>
      </c>
      <c r="C179" t="inlineStr">
        <is>
          <t xml:space="preserve">ST79</t>
        </is>
      </c>
      <c r="D179" t="inlineStr">
        <is>
          <t xml:space="preserve">Take your time with research funding. Nobody is rushing you.</t>
        </is>
      </c>
      <c r="E179" t="inlineStr">
        <is>
          <t xml:space="preserve">Patience helps.</t>
        </is>
      </c>
    </row>
    <row r="180">
      <c r="A180" t="inlineStr">
        <is>
          <t xml:space="preserve">TD179</t>
        </is>
      </c>
      <c r="B180" t="inlineStr">
        <is>
          <t xml:space="preserve">SF01</t>
        </is>
      </c>
      <c r="C180" t="inlineStr">
        <is>
          <t xml:space="preserve">ST80</t>
        </is>
      </c>
      <c r="D180" t="inlineStr">
        <is>
          <t xml:space="preserve">Members will quote the record on research funding.</t>
        </is>
      </c>
      <c r="E180" t="inlineStr">
        <is>
          <t xml:space="preserve">Then I will quote back.</t>
        </is>
      </c>
    </row>
    <row r="181">
      <c r="A181" t="inlineStr">
        <is>
          <t xml:space="preserve">TD180</t>
        </is>
      </c>
      <c r="B181" t="inlineStr">
        <is>
          <t xml:space="preserve">SF02</t>
        </is>
      </c>
      <c r="C181" t="inlineStr">
        <is>
          <t xml:space="preserve">ST80</t>
        </is>
      </c>
      <c r="D181" t="inlineStr">
        <is>
          <t xml:space="preserve">Be exact about research funding. They will check.</t>
        </is>
      </c>
      <c r="E181" t="inlineStr">
        <is>
          <t xml:space="preserve">Exact. Noted.</t>
        </is>
      </c>
    </row>
    <row r="182">
      <c r="A182" t="inlineStr">
        <is>
          <t xml:space="preserve">TD181</t>
        </is>
      </c>
      <c r="B182" t="inlineStr">
        <is>
          <t xml:space="preserve">SF15</t>
        </is>
      </c>
      <c r="C182" t="inlineStr">
        <is>
          <t xml:space="preserve">ST80</t>
        </is>
      </c>
      <c r="D182" t="inlineStr">
        <is>
          <t xml:space="preserve">People back home follow this hearing on research funding.</t>
        </is>
      </c>
      <c r="E182" t="inlineStr">
        <is>
          <t xml:space="preserve">Then I will be careful.</t>
        </is>
      </c>
    </row>
    <row r="183">
      <c r="A183" t="inlineStr">
        <is>
          <t xml:space="preserve">TD182</t>
        </is>
      </c>
      <c r="B183" t="inlineStr">
        <is>
          <t xml:space="preserve">SF15</t>
        </is>
      </c>
      <c r="C183" t="inlineStr">
        <is>
          <t xml:space="preserve">ST81</t>
        </is>
      </c>
      <c r="D183" t="inlineStr">
        <is>
          <t xml:space="preserve">Your own party is watching you on research funding.</t>
        </is>
      </c>
      <c r="E183" t="inlineStr">
        <is>
          <t xml:space="preserve">Then I will choose well.</t>
        </is>
      </c>
    </row>
    <row r="184">
      <c r="A184" t="inlineStr">
        <is>
          <t xml:space="preserve">TD183</t>
        </is>
      </c>
      <c r="B184" t="inlineStr">
        <is>
          <t xml:space="preserve">SF16</t>
        </is>
      </c>
      <c r="C184" t="inlineStr">
        <is>
          <t xml:space="preserve">ST81</t>
        </is>
      </c>
      <c r="D184" t="inlineStr">
        <is>
          <t xml:space="preserve">Caucus members will test you on research funding.</t>
        </is>
      </c>
      <c r="E184" t="inlineStr">
        <is>
          <t xml:space="preserve">I am ready.</t>
        </is>
      </c>
    </row>
    <row r="185">
      <c r="A185" t="inlineStr">
        <is>
          <t xml:space="preserve">TD184</t>
        </is>
      </c>
      <c r="B185" t="inlineStr">
        <is>
          <t xml:space="preserve">SF01</t>
        </is>
      </c>
      <c r="C185" t="inlineStr">
        <is>
          <t xml:space="preserve">ST81</t>
        </is>
      </c>
      <c r="D185" t="inlineStr">
        <is>
          <t xml:space="preserve">Know where your party stands on research funding.</t>
        </is>
      </c>
      <c r="E185" t="inlineStr">
        <is>
          <t xml:space="preserve">I will check.</t>
        </is>
      </c>
    </row>
    <row r="186">
      <c r="A186" t="inlineStr">
        <is>
          <t xml:space="preserve">TD185</t>
        </is>
      </c>
      <c r="B186" t="inlineStr">
        <is>
          <t xml:space="preserve">SF15</t>
        </is>
      </c>
      <c r="C186" t="inlineStr">
        <is>
          <t xml:space="preserve">ST82</t>
        </is>
      </c>
      <c r="D186" t="inlineStr">
        <is>
          <t xml:space="preserve">The hall is full of people worried about equal treatment.</t>
        </is>
      </c>
      <c r="E186" t="inlineStr">
        <is>
          <t xml:space="preserve">Then I will listen first.</t>
        </is>
      </c>
    </row>
    <row r="187">
      <c r="A187" t="inlineStr">
        <is>
          <t xml:space="preserve">TD186</t>
        </is>
      </c>
      <c r="B187" t="inlineStr">
        <is>
          <t xml:space="preserve">SF16</t>
        </is>
      </c>
      <c r="C187" t="inlineStr">
        <is>
          <t xml:space="preserve">ST82</t>
        </is>
      </c>
      <c r="D187" t="inlineStr">
        <is>
          <t xml:space="preserve">Keep it human when they ask about equal treatment.</t>
        </is>
      </c>
      <c r="E187" t="inlineStr">
        <is>
          <t xml:space="preserve">Human first.</t>
        </is>
      </c>
    </row>
    <row r="188">
      <c r="A188" t="inlineStr">
        <is>
          <t xml:space="preserve">TD187</t>
        </is>
      </c>
      <c r="B188" t="inlineStr">
        <is>
          <t xml:space="preserve">SF01</t>
        </is>
      </c>
      <c r="C188" t="inlineStr">
        <is>
          <t xml:space="preserve">ST82</t>
        </is>
      </c>
      <c r="D188" t="inlineStr">
        <is>
          <t xml:space="preserve">I marked the questions to expect on equal treatment.</t>
        </is>
      </c>
      <c r="E188" t="inlineStr">
        <is>
          <t xml:space="preserve">Thank you.</t>
        </is>
      </c>
    </row>
    <row r="189">
      <c r="A189" t="inlineStr">
        <is>
          <t xml:space="preserve">TD188</t>
        </is>
      </c>
      <c r="B189" t="inlineStr">
        <is>
          <t xml:space="preserve">SF08</t>
        </is>
      </c>
      <c r="C189" t="inlineStr">
        <is>
          <t xml:space="preserve">ST83</t>
        </is>
      </c>
      <c r="D189" t="inlineStr">
        <is>
          <t xml:space="preserve">Reporters will ask about equal treatment straight away.</t>
        </is>
      </c>
      <c r="E189" t="inlineStr">
        <is>
          <t xml:space="preserve">I am ready.</t>
        </is>
      </c>
    </row>
    <row r="190">
      <c r="A190" t="inlineStr">
        <is>
          <t xml:space="preserve">TD189</t>
        </is>
      </c>
      <c r="B190" t="inlineStr">
        <is>
          <t xml:space="preserve">SF09</t>
        </is>
      </c>
      <c r="C190" t="inlineStr">
        <is>
          <t xml:space="preserve">ST83</t>
        </is>
      </c>
      <c r="D190" t="inlineStr">
        <is>
          <t xml:space="preserve">Say plainly where you stand on equal treatment.</t>
        </is>
      </c>
      <c r="E190" t="inlineStr">
        <is>
          <t xml:space="preserve">Plainly. Understood.</t>
        </is>
      </c>
    </row>
    <row r="191">
      <c r="A191" t="inlineStr">
        <is>
          <t xml:space="preserve">TD190</t>
        </is>
      </c>
      <c r="B191" t="inlineStr">
        <is>
          <t xml:space="preserve">SF02</t>
        </is>
      </c>
      <c r="C191" t="inlineStr">
        <is>
          <t xml:space="preserve">ST83</t>
        </is>
      </c>
      <c r="D191" t="inlineStr">
        <is>
          <t xml:space="preserve">Keep one clear number on equal treatment in mind.</t>
        </is>
      </c>
      <c r="E191" t="inlineStr">
        <is>
          <t xml:space="preserve">One number. Got it.</t>
        </is>
      </c>
    </row>
    <row r="192">
      <c r="A192" t="inlineStr">
        <is>
          <t xml:space="preserve">TD191</t>
        </is>
      </c>
      <c r="B192" t="inlineStr">
        <is>
          <t xml:space="preserve">SF08</t>
        </is>
      </c>
      <c r="C192" t="inlineStr">
        <is>
          <t xml:space="preserve">ST84</t>
        </is>
      </c>
      <c r="D192" t="inlineStr">
        <is>
          <t xml:space="preserve">The studio lights are hot. Keep calm on equal treatment.</t>
        </is>
      </c>
      <c r="E192" t="inlineStr">
        <is>
          <t xml:space="preserve">Calm it is.</t>
        </is>
      </c>
    </row>
    <row r="193">
      <c r="A193" t="inlineStr">
        <is>
          <t xml:space="preserve">TD192</t>
        </is>
      </c>
      <c r="B193" t="inlineStr">
        <is>
          <t xml:space="preserve">SF09</t>
        </is>
      </c>
      <c r="C193" t="inlineStr">
        <is>
          <t xml:space="preserve">ST84</t>
        </is>
      </c>
      <c r="D193" t="inlineStr">
        <is>
          <t xml:space="preserve">The viewers care about equal treatment. Speak to them.</t>
        </is>
      </c>
      <c r="E193" t="inlineStr">
        <is>
          <t xml:space="preserve">Directly to them.</t>
        </is>
      </c>
    </row>
    <row r="194">
      <c r="A194" t="inlineStr">
        <is>
          <t xml:space="preserve">TD193</t>
        </is>
      </c>
      <c r="B194" t="inlineStr">
        <is>
          <t xml:space="preserve">SF02</t>
        </is>
      </c>
      <c r="C194" t="inlineStr">
        <is>
          <t xml:space="preserve">ST84</t>
        </is>
      </c>
      <c r="D194" t="inlineStr">
        <is>
          <t xml:space="preserve">Keep your facts on equal treatment short and sharp.</t>
        </is>
      </c>
      <c r="E194" t="inlineStr">
        <is>
          <t xml:space="preserve">Short and sharp.</t>
        </is>
      </c>
    </row>
    <row r="195">
      <c r="A195" t="inlineStr">
        <is>
          <t xml:space="preserve">TD194</t>
        </is>
      </c>
      <c r="B195" t="inlineStr">
        <is>
          <t xml:space="preserve">SF15</t>
        </is>
      </c>
      <c r="C195" t="inlineStr">
        <is>
          <t xml:space="preserve">ST85</t>
        </is>
      </c>
      <c r="D195" t="inlineStr">
        <is>
          <t xml:space="preserve">Your own party is watching you on equal treatment.</t>
        </is>
      </c>
      <c r="E195" t="inlineStr">
        <is>
          <t xml:space="preserve">Then I will choose well.</t>
        </is>
      </c>
    </row>
    <row r="196">
      <c r="A196" t="inlineStr">
        <is>
          <t xml:space="preserve">TD195</t>
        </is>
      </c>
      <c r="B196" t="inlineStr">
        <is>
          <t xml:space="preserve">SF16</t>
        </is>
      </c>
      <c r="C196" t="inlineStr">
        <is>
          <t xml:space="preserve">ST85</t>
        </is>
      </c>
      <c r="D196" t="inlineStr">
        <is>
          <t xml:space="preserve">Caucus members will test you on equal treatment.</t>
        </is>
      </c>
      <c r="E196" t="inlineStr">
        <is>
          <t xml:space="preserve">I am ready.</t>
        </is>
      </c>
    </row>
    <row r="197">
      <c r="A197" t="inlineStr">
        <is>
          <t xml:space="preserve">TD196</t>
        </is>
      </c>
      <c r="B197" t="inlineStr">
        <is>
          <t xml:space="preserve">SF01</t>
        </is>
      </c>
      <c r="C197" t="inlineStr">
        <is>
          <t xml:space="preserve">ST85</t>
        </is>
      </c>
      <c r="D197" t="inlineStr">
        <is>
          <t xml:space="preserve">Know where your party stands on equal treatment.</t>
        </is>
      </c>
      <c r="E197" t="inlineStr">
        <is>
          <t xml:space="preserve">I will check.</t>
        </is>
      </c>
    </row>
    <row r="198">
      <c r="A198" t="inlineStr">
        <is>
          <t xml:space="preserve">TD197</t>
        </is>
      </c>
      <c r="B198" t="inlineStr">
        <is>
          <t xml:space="preserve">SF15</t>
        </is>
      </c>
      <c r="C198" t="inlineStr">
        <is>
          <t xml:space="preserve">ST86</t>
        </is>
      </c>
      <c r="D198" t="inlineStr">
        <is>
          <t xml:space="preserve">The hall is full of people worried about parental leave.</t>
        </is>
      </c>
      <c r="E198" t="inlineStr">
        <is>
          <t xml:space="preserve">Then I will listen first.</t>
        </is>
      </c>
    </row>
    <row r="199">
      <c r="A199" t="inlineStr">
        <is>
          <t xml:space="preserve">TD198</t>
        </is>
      </c>
      <c r="B199" t="inlineStr">
        <is>
          <t xml:space="preserve">SF16</t>
        </is>
      </c>
      <c r="C199" t="inlineStr">
        <is>
          <t xml:space="preserve">ST86</t>
        </is>
      </c>
      <c r="D199" t="inlineStr">
        <is>
          <t xml:space="preserve">Keep it human when they ask about parental leave.</t>
        </is>
      </c>
      <c r="E199" t="inlineStr">
        <is>
          <t xml:space="preserve">Human first.</t>
        </is>
      </c>
    </row>
    <row r="200">
      <c r="A200" t="inlineStr">
        <is>
          <t xml:space="preserve">TD199</t>
        </is>
      </c>
      <c r="B200" t="inlineStr">
        <is>
          <t xml:space="preserve">SF01</t>
        </is>
      </c>
      <c r="C200" t="inlineStr">
        <is>
          <t xml:space="preserve">ST86</t>
        </is>
      </c>
      <c r="D200" t="inlineStr">
        <is>
          <t xml:space="preserve">I marked the questions to expect on parental leave.</t>
        </is>
      </c>
      <c r="E200" t="inlineStr">
        <is>
          <t xml:space="preserve">Thank you.</t>
        </is>
      </c>
    </row>
    <row r="201">
      <c r="A201" t="inlineStr">
        <is>
          <t xml:space="preserve">TD200</t>
        </is>
      </c>
      <c r="B201" t="inlineStr">
        <is>
          <t xml:space="preserve">SF01</t>
        </is>
      </c>
      <c r="C201" t="inlineStr">
        <is>
          <t xml:space="preserve">ST87</t>
        </is>
      </c>
      <c r="D201" t="inlineStr">
        <is>
          <t xml:space="preserve">The briefing on parental leave is in your folder.</t>
        </is>
      </c>
      <c r="E201" t="inlineStr">
        <is>
          <t xml:space="preserve">I will read it.</t>
        </is>
      </c>
    </row>
    <row r="202">
      <c r="A202" t="inlineStr">
        <is>
          <t xml:space="preserve">TD201</t>
        </is>
      </c>
      <c r="B202" t="inlineStr">
        <is>
          <t xml:space="preserve">SF02</t>
        </is>
      </c>
      <c r="C202" t="inlineStr">
        <is>
          <t xml:space="preserve">ST87</t>
        </is>
      </c>
      <c r="D202" t="inlineStr">
        <is>
          <t xml:space="preserve">Every figure on parental leave is checked and sourced.</t>
        </is>
      </c>
      <c r="E202" t="inlineStr">
        <is>
          <t xml:space="preserve">Good. I will lean on them.</t>
        </is>
      </c>
    </row>
    <row r="203">
      <c r="A203" t="inlineStr">
        <is>
          <t xml:space="preserve">TD202</t>
        </is>
      </c>
      <c r="B203" t="inlineStr">
        <is>
          <t xml:space="preserve">SF16</t>
        </is>
      </c>
      <c r="C203" t="inlineStr">
        <is>
          <t xml:space="preserve">ST87</t>
        </is>
      </c>
      <c r="D203" t="inlineStr">
        <is>
          <t xml:space="preserve">Take your time with parental leave. Nobody is rushing you.</t>
        </is>
      </c>
      <c r="E203" t="inlineStr">
        <is>
          <t xml:space="preserve">Patience helps.</t>
        </is>
      </c>
    </row>
    <row r="204">
      <c r="A204" t="inlineStr">
        <is>
          <t xml:space="preserve">TD203</t>
        </is>
      </c>
      <c r="B204" t="inlineStr">
        <is>
          <t xml:space="preserve">SF15</t>
        </is>
      </c>
      <c r="C204" t="inlineStr">
        <is>
          <t xml:space="preserve">ST88</t>
        </is>
      </c>
      <c r="D204" t="inlineStr">
        <is>
          <t xml:space="preserve">The lobbyist cares about parental leave. Hear them out.</t>
        </is>
      </c>
      <c r="E204" t="inlineStr">
        <is>
          <t xml:space="preserve">I will listen.</t>
        </is>
      </c>
    </row>
    <row r="205">
      <c r="A205" t="inlineStr">
        <is>
          <t xml:space="preserve">TD204</t>
        </is>
      </c>
      <c r="B205" t="inlineStr">
        <is>
          <t xml:space="preserve">SF09</t>
        </is>
      </c>
      <c r="C205" t="inlineStr">
        <is>
          <t xml:space="preserve">ST88</t>
        </is>
      </c>
      <c r="D205" t="inlineStr">
        <is>
          <t xml:space="preserve">Anything you promise on parental leave may be repeated.</t>
        </is>
      </c>
      <c r="E205" t="inlineStr">
        <is>
          <t xml:space="preserve">Then I promise little.</t>
        </is>
      </c>
    </row>
    <row r="206">
      <c r="A206" t="inlineStr">
        <is>
          <t xml:space="preserve">TD205</t>
        </is>
      </c>
      <c r="B206" t="inlineStr">
        <is>
          <t xml:space="preserve">SF01</t>
        </is>
      </c>
      <c r="C206" t="inlineStr">
        <is>
          <t xml:space="preserve">ST88</t>
        </is>
      </c>
      <c r="D206" t="inlineStr">
        <is>
          <t xml:space="preserve">I listed what each side wants on parental leave.</t>
        </is>
      </c>
      <c r="E206" t="inlineStr">
        <is>
          <t xml:space="preserve">Useful. Thank you.</t>
        </is>
      </c>
    </row>
    <row r="207">
      <c r="A207" t="inlineStr">
        <is>
          <t xml:space="preserve">TD206</t>
        </is>
      </c>
      <c r="B207" t="inlineStr">
        <is>
          <t xml:space="preserve">SF15</t>
        </is>
      </c>
      <c r="C207" t="inlineStr">
        <is>
          <t xml:space="preserve">ST89</t>
        </is>
      </c>
      <c r="D207" t="inlineStr">
        <is>
          <t xml:space="preserve">Your own party is watching you on parental leave.</t>
        </is>
      </c>
      <c r="E207" t="inlineStr">
        <is>
          <t xml:space="preserve">Then I will choose well.</t>
        </is>
      </c>
    </row>
    <row r="208">
      <c r="A208" t="inlineStr">
        <is>
          <t xml:space="preserve">TD207</t>
        </is>
      </c>
      <c r="B208" t="inlineStr">
        <is>
          <t xml:space="preserve">SF16</t>
        </is>
      </c>
      <c r="C208" t="inlineStr">
        <is>
          <t xml:space="preserve">ST89</t>
        </is>
      </c>
      <c r="D208" t="inlineStr">
        <is>
          <t xml:space="preserve">Caucus members will test you on parental leave.</t>
        </is>
      </c>
      <c r="E208" t="inlineStr">
        <is>
          <t xml:space="preserve">I am ready.</t>
        </is>
      </c>
    </row>
    <row r="209">
      <c r="A209" t="inlineStr">
        <is>
          <t xml:space="preserve">TD208</t>
        </is>
      </c>
      <c r="B209" t="inlineStr">
        <is>
          <t xml:space="preserve">SF01</t>
        </is>
      </c>
      <c r="C209" t="inlineStr">
        <is>
          <t xml:space="preserve">ST89</t>
        </is>
      </c>
      <c r="D209" t="inlineStr">
        <is>
          <t xml:space="preserve">Know where your party stands on parental leave.</t>
        </is>
      </c>
      <c r="E209" t="inlineStr">
        <is>
          <t xml:space="preserve">I will check.</t>
        </is>
      </c>
    </row>
    <row r="210">
      <c r="A210" t="inlineStr">
        <is>
          <t xml:space="preserve">TD209</t>
        </is>
      </c>
      <c r="B210" t="inlineStr">
        <is>
          <t xml:space="preserve">SF01</t>
        </is>
      </c>
      <c r="C210" t="inlineStr">
        <is>
          <t xml:space="preserve">ST90</t>
        </is>
      </c>
      <c r="D210" t="inlineStr">
        <is>
          <t xml:space="preserve">Members will quote the record on the cameras.</t>
        </is>
      </c>
      <c r="E210" t="inlineStr">
        <is>
          <t xml:space="preserve">Then I will quote back.</t>
        </is>
      </c>
    </row>
    <row r="211">
      <c r="A211" t="inlineStr">
        <is>
          <t xml:space="preserve">TD210</t>
        </is>
      </c>
      <c r="B211" t="inlineStr">
        <is>
          <t xml:space="preserve">SF02</t>
        </is>
      </c>
      <c r="C211" t="inlineStr">
        <is>
          <t xml:space="preserve">ST90</t>
        </is>
      </c>
      <c r="D211" t="inlineStr">
        <is>
          <t xml:space="preserve">Be exact about the cameras. They will check.</t>
        </is>
      </c>
      <c r="E211" t="inlineStr">
        <is>
          <t xml:space="preserve">Exact. Noted.</t>
        </is>
      </c>
    </row>
    <row r="212">
      <c r="A212" t="inlineStr">
        <is>
          <t xml:space="preserve">TD211</t>
        </is>
      </c>
      <c r="B212" t="inlineStr">
        <is>
          <t xml:space="preserve">SF15</t>
        </is>
      </c>
      <c r="C212" t="inlineStr">
        <is>
          <t xml:space="preserve">ST90</t>
        </is>
      </c>
      <c r="D212" t="inlineStr">
        <is>
          <t xml:space="preserve">People back home follow this hearing on the cameras.</t>
        </is>
      </c>
      <c r="E212" t="inlineStr">
        <is>
          <t xml:space="preserve">Then I will be careful.</t>
        </is>
      </c>
    </row>
    <row r="213">
      <c r="A213" t="inlineStr">
        <is>
          <t xml:space="preserve">TD212</t>
        </is>
      </c>
      <c r="B213" t="inlineStr">
        <is>
          <t xml:space="preserve">SF08</t>
        </is>
      </c>
      <c r="C213" t="inlineStr">
        <is>
          <t xml:space="preserve">ST91</t>
        </is>
      </c>
      <c r="D213" t="inlineStr">
        <is>
          <t xml:space="preserve">The studio lights are hot. Keep calm on the cameras.</t>
        </is>
      </c>
      <c r="E213" t="inlineStr">
        <is>
          <t xml:space="preserve">Calm it is.</t>
        </is>
      </c>
    </row>
    <row r="214">
      <c r="A214" t="inlineStr">
        <is>
          <t xml:space="preserve">TD213</t>
        </is>
      </c>
      <c r="B214" t="inlineStr">
        <is>
          <t xml:space="preserve">SF09</t>
        </is>
      </c>
      <c r="C214" t="inlineStr">
        <is>
          <t xml:space="preserve">ST91</t>
        </is>
      </c>
      <c r="D214" t="inlineStr">
        <is>
          <t xml:space="preserve">The viewers care about the cameras. Speak to them.</t>
        </is>
      </c>
      <c r="E214" t="inlineStr">
        <is>
          <t xml:space="preserve">Directly to them.</t>
        </is>
      </c>
    </row>
    <row r="215">
      <c r="A215" t="inlineStr">
        <is>
          <t xml:space="preserve">TD214</t>
        </is>
      </c>
      <c r="B215" t="inlineStr">
        <is>
          <t xml:space="preserve">SF02</t>
        </is>
      </c>
      <c r="C215" t="inlineStr">
        <is>
          <t xml:space="preserve">ST91</t>
        </is>
      </c>
      <c r="D215" t="inlineStr">
        <is>
          <t xml:space="preserve">Keep your facts on the cameras short and sharp.</t>
        </is>
      </c>
      <c r="E215" t="inlineStr">
        <is>
          <t xml:space="preserve">Short and sharp.</t>
        </is>
      </c>
    </row>
    <row r="216">
      <c r="A216" t="inlineStr">
        <is>
          <t xml:space="preserve">TD215</t>
        </is>
      </c>
      <c r="B216" t="inlineStr">
        <is>
          <t xml:space="preserve">SF08</t>
        </is>
      </c>
      <c r="C216" t="inlineStr">
        <is>
          <t xml:space="preserve">ST92</t>
        </is>
      </c>
      <c r="D216" t="inlineStr">
        <is>
          <t xml:space="preserve">Reporters will ask about the cameras straight away.</t>
        </is>
      </c>
      <c r="E216" t="inlineStr">
        <is>
          <t xml:space="preserve">I am ready.</t>
        </is>
      </c>
    </row>
    <row r="217">
      <c r="A217" t="inlineStr">
        <is>
          <t xml:space="preserve">TD216</t>
        </is>
      </c>
      <c r="B217" t="inlineStr">
        <is>
          <t xml:space="preserve">SF09</t>
        </is>
      </c>
      <c r="C217" t="inlineStr">
        <is>
          <t xml:space="preserve">ST92</t>
        </is>
      </c>
      <c r="D217" t="inlineStr">
        <is>
          <t xml:space="preserve">Say plainly where you stand on the cameras.</t>
        </is>
      </c>
      <c r="E217" t="inlineStr">
        <is>
          <t xml:space="preserve">Plainly. Understood.</t>
        </is>
      </c>
    </row>
    <row r="218">
      <c r="A218" t="inlineStr">
        <is>
          <t xml:space="preserve">TD217</t>
        </is>
      </c>
      <c r="B218" t="inlineStr">
        <is>
          <t xml:space="preserve">SF02</t>
        </is>
      </c>
      <c r="C218" t="inlineStr">
        <is>
          <t xml:space="preserve">ST92</t>
        </is>
      </c>
      <c r="D218" t="inlineStr">
        <is>
          <t xml:space="preserve">Keep one clear number on the cameras in mind.</t>
        </is>
      </c>
      <c r="E218" t="inlineStr">
        <is>
          <t xml:space="preserve">One number. Got it.</t>
        </is>
      </c>
    </row>
    <row r="219">
      <c r="A219" t="inlineStr">
        <is>
          <t xml:space="preserve">TD218</t>
        </is>
      </c>
      <c r="B219" t="inlineStr">
        <is>
          <t xml:space="preserve">SF15</t>
        </is>
      </c>
      <c r="C219" t="inlineStr">
        <is>
          <t xml:space="preserve">ST93</t>
        </is>
      </c>
      <c r="D219" t="inlineStr">
        <is>
          <t xml:space="preserve">Your own party is watching you on the cameras.</t>
        </is>
      </c>
      <c r="E219" t="inlineStr">
        <is>
          <t xml:space="preserve">Then I will choose well.</t>
        </is>
      </c>
    </row>
    <row r="220">
      <c r="A220" t="inlineStr">
        <is>
          <t xml:space="preserve">TD219</t>
        </is>
      </c>
      <c r="B220" t="inlineStr">
        <is>
          <t xml:space="preserve">SF16</t>
        </is>
      </c>
      <c r="C220" t="inlineStr">
        <is>
          <t xml:space="preserve">ST93</t>
        </is>
      </c>
      <c r="D220" t="inlineStr">
        <is>
          <t xml:space="preserve">Caucus members will test you on the cameras.</t>
        </is>
      </c>
      <c r="E220" t="inlineStr">
        <is>
          <t xml:space="preserve">I am ready.</t>
        </is>
      </c>
    </row>
    <row r="221">
      <c r="A221" t="inlineStr">
        <is>
          <t xml:space="preserve">TD220</t>
        </is>
      </c>
      <c r="B221" t="inlineStr">
        <is>
          <t xml:space="preserve">SF01</t>
        </is>
      </c>
      <c r="C221" t="inlineStr">
        <is>
          <t xml:space="preserve">ST93</t>
        </is>
      </c>
      <c r="D221" t="inlineStr">
        <is>
          <t xml:space="preserve">Know where your party stands on the cameras.</t>
        </is>
      </c>
      <c r="E221" t="inlineStr">
        <is>
          <t xml:space="preserve">I will check.</t>
        </is>
      </c>
    </row>
    <row r="222">
      <c r="A222" t="inlineStr">
        <is>
          <t xml:space="preserve">TD221</t>
        </is>
      </c>
      <c r="B222" t="inlineStr">
        <is>
          <t xml:space="preserve">SF15</t>
        </is>
      </c>
      <c r="C222" t="inlineStr">
        <is>
          <t xml:space="preserve">ST94</t>
        </is>
      </c>
      <c r="D222" t="inlineStr">
        <is>
          <t xml:space="preserve">The hall is full of people worried about town mergers.</t>
        </is>
      </c>
      <c r="E222" t="inlineStr">
        <is>
          <t xml:space="preserve">Then I will listen first.</t>
        </is>
      </c>
    </row>
    <row r="223">
      <c r="A223" t="inlineStr">
        <is>
          <t xml:space="preserve">TD222</t>
        </is>
      </c>
      <c r="B223" t="inlineStr">
        <is>
          <t xml:space="preserve">SF16</t>
        </is>
      </c>
      <c r="C223" t="inlineStr">
        <is>
          <t xml:space="preserve">ST94</t>
        </is>
      </c>
      <c r="D223" t="inlineStr">
        <is>
          <t xml:space="preserve">Keep it human when they ask about town mergers.</t>
        </is>
      </c>
      <c r="E223" t="inlineStr">
        <is>
          <t xml:space="preserve">Human first.</t>
        </is>
      </c>
    </row>
    <row r="224">
      <c r="A224" t="inlineStr">
        <is>
          <t xml:space="preserve">TD223</t>
        </is>
      </c>
      <c r="B224" t="inlineStr">
        <is>
          <t xml:space="preserve">SF01</t>
        </is>
      </c>
      <c r="C224" t="inlineStr">
        <is>
          <t xml:space="preserve">ST94</t>
        </is>
      </c>
      <c r="D224" t="inlineStr">
        <is>
          <t xml:space="preserve">I marked the questions to expect on town mergers.</t>
        </is>
      </c>
      <c r="E224" t="inlineStr">
        <is>
          <t xml:space="preserve">Thank you.</t>
        </is>
      </c>
    </row>
    <row r="225">
      <c r="A225" t="inlineStr">
        <is>
          <t xml:space="preserve">TD224</t>
        </is>
      </c>
      <c r="B225" t="inlineStr">
        <is>
          <t xml:space="preserve">SF01</t>
        </is>
      </c>
      <c r="C225" t="inlineStr">
        <is>
          <t xml:space="preserve">ST95</t>
        </is>
      </c>
      <c r="D225" t="inlineStr">
        <is>
          <t xml:space="preserve">Members will quote the record on town mergers.</t>
        </is>
      </c>
      <c r="E225" t="inlineStr">
        <is>
          <t xml:space="preserve">Then I will quote back.</t>
        </is>
      </c>
    </row>
    <row r="226">
      <c r="A226" t="inlineStr">
        <is>
          <t xml:space="preserve">TD225</t>
        </is>
      </c>
      <c r="B226" t="inlineStr">
        <is>
          <t xml:space="preserve">SF02</t>
        </is>
      </c>
      <c r="C226" t="inlineStr">
        <is>
          <t xml:space="preserve">ST95</t>
        </is>
      </c>
      <c r="D226" t="inlineStr">
        <is>
          <t xml:space="preserve">Be exact about town mergers. They will check.</t>
        </is>
      </c>
      <c r="E226" t="inlineStr">
        <is>
          <t xml:space="preserve">Exact. Noted.</t>
        </is>
      </c>
    </row>
    <row r="227">
      <c r="A227" t="inlineStr">
        <is>
          <t xml:space="preserve">TD226</t>
        </is>
      </c>
      <c r="B227" t="inlineStr">
        <is>
          <t xml:space="preserve">SF15</t>
        </is>
      </c>
      <c r="C227" t="inlineStr">
        <is>
          <t xml:space="preserve">ST95</t>
        </is>
      </c>
      <c r="D227" t="inlineStr">
        <is>
          <t xml:space="preserve">People back home follow this hearing on town mergers.</t>
        </is>
      </c>
      <c r="E227" t="inlineStr">
        <is>
          <t xml:space="preserve">Then I will be careful.</t>
        </is>
      </c>
    </row>
    <row r="228">
      <c r="A228" t="inlineStr">
        <is>
          <t xml:space="preserve">TD227</t>
        </is>
      </c>
      <c r="B228" t="inlineStr">
        <is>
          <t xml:space="preserve">SF01</t>
        </is>
      </c>
      <c r="C228" t="inlineStr">
        <is>
          <t xml:space="preserve">ST96</t>
        </is>
      </c>
      <c r="D228" t="inlineStr">
        <is>
          <t xml:space="preserve">The briefing on town mergers is in your folder.</t>
        </is>
      </c>
      <c r="E228" t="inlineStr">
        <is>
          <t xml:space="preserve">I will read it.</t>
        </is>
      </c>
    </row>
    <row r="229">
      <c r="A229" t="inlineStr">
        <is>
          <t xml:space="preserve">TD228</t>
        </is>
      </c>
      <c r="B229" t="inlineStr">
        <is>
          <t xml:space="preserve">SF02</t>
        </is>
      </c>
      <c r="C229" t="inlineStr">
        <is>
          <t xml:space="preserve">ST96</t>
        </is>
      </c>
      <c r="D229" t="inlineStr">
        <is>
          <t xml:space="preserve">Every figure on town mergers is checked and sourced.</t>
        </is>
      </c>
      <c r="E229" t="inlineStr">
        <is>
          <t xml:space="preserve">Good. I will lean on them.</t>
        </is>
      </c>
    </row>
    <row r="230">
      <c r="A230" t="inlineStr">
        <is>
          <t xml:space="preserve">TD229</t>
        </is>
      </c>
      <c r="B230" t="inlineStr">
        <is>
          <t xml:space="preserve">SF16</t>
        </is>
      </c>
      <c r="C230" t="inlineStr">
        <is>
          <t xml:space="preserve">ST96</t>
        </is>
      </c>
      <c r="D230" t="inlineStr">
        <is>
          <t xml:space="preserve">Take your time with town mergers. Nobody is rushing you.</t>
        </is>
      </c>
      <c r="E230" t="inlineStr">
        <is>
          <t xml:space="preserve">Patience helps.</t>
        </is>
      </c>
    </row>
    <row r="231">
      <c r="A231" t="inlineStr">
        <is>
          <t xml:space="preserve">TD230</t>
        </is>
      </c>
      <c r="B231" t="inlineStr">
        <is>
          <t xml:space="preserve">SF15</t>
        </is>
      </c>
      <c r="C231" t="inlineStr">
        <is>
          <t xml:space="preserve">ST97</t>
        </is>
      </c>
      <c r="D231" t="inlineStr">
        <is>
          <t xml:space="preserve">Your own party is watching you on town mergers.</t>
        </is>
      </c>
      <c r="E231" t="inlineStr">
        <is>
          <t xml:space="preserve">Then I will choose well.</t>
        </is>
      </c>
    </row>
    <row r="232">
      <c r="A232" t="inlineStr">
        <is>
          <t xml:space="preserve">TD231</t>
        </is>
      </c>
      <c r="B232" t="inlineStr">
        <is>
          <t xml:space="preserve">SF16</t>
        </is>
      </c>
      <c r="C232" t="inlineStr">
        <is>
          <t xml:space="preserve">ST97</t>
        </is>
      </c>
      <c r="D232" t="inlineStr">
        <is>
          <t xml:space="preserve">Caucus members will test you on town mergers.</t>
        </is>
      </c>
      <c r="E232" t="inlineStr">
        <is>
          <t xml:space="preserve">I am ready.</t>
        </is>
      </c>
    </row>
    <row r="233">
      <c r="A233" t="inlineStr">
        <is>
          <t xml:space="preserve">TD232</t>
        </is>
      </c>
      <c r="B233" t="inlineStr">
        <is>
          <t xml:space="preserve">SF01</t>
        </is>
      </c>
      <c r="C233" t="inlineStr">
        <is>
          <t xml:space="preserve">ST97</t>
        </is>
      </c>
      <c r="D233" t="inlineStr">
        <is>
          <t xml:space="preserve">Know where your party stands on town mergers.</t>
        </is>
      </c>
      <c r="E233" t="inlineStr">
        <is>
          <t xml:space="preserve">I will check.</t>
        </is>
      </c>
    </row>
    <row r="234">
      <c r="A234" t="inlineStr">
        <is>
          <t xml:space="preserve">TD233</t>
        </is>
      </c>
      <c r="B234" t="inlineStr">
        <is>
          <t xml:space="preserve">SF08</t>
        </is>
      </c>
      <c r="C234" t="inlineStr">
        <is>
          <t xml:space="preserve">ST98</t>
        </is>
      </c>
      <c r="D234" t="inlineStr">
        <is>
          <t xml:space="preserve">The studio lights are hot. Keep calm on open ballots.</t>
        </is>
      </c>
      <c r="E234" t="inlineStr">
        <is>
          <t xml:space="preserve">Calm it is.</t>
        </is>
      </c>
    </row>
    <row r="235">
      <c r="A235" t="inlineStr">
        <is>
          <t xml:space="preserve">TD234</t>
        </is>
      </c>
      <c r="B235" t="inlineStr">
        <is>
          <t xml:space="preserve">SF09</t>
        </is>
      </c>
      <c r="C235" t="inlineStr">
        <is>
          <t xml:space="preserve">ST98</t>
        </is>
      </c>
      <c r="D235" t="inlineStr">
        <is>
          <t xml:space="preserve">The viewers care about open ballots. Speak to them.</t>
        </is>
      </c>
      <c r="E235" t="inlineStr">
        <is>
          <t xml:space="preserve">Directly to them.</t>
        </is>
      </c>
    </row>
    <row r="236">
      <c r="A236" t="inlineStr">
        <is>
          <t xml:space="preserve">TD235</t>
        </is>
      </c>
      <c r="B236" t="inlineStr">
        <is>
          <t xml:space="preserve">SF02</t>
        </is>
      </c>
      <c r="C236" t="inlineStr">
        <is>
          <t xml:space="preserve">ST98</t>
        </is>
      </c>
      <c r="D236" t="inlineStr">
        <is>
          <t xml:space="preserve">Keep your facts on open ballots short and sharp.</t>
        </is>
      </c>
      <c r="E236" t="inlineStr">
        <is>
          <t xml:space="preserve">Short and sharp.</t>
        </is>
      </c>
    </row>
    <row r="237">
      <c r="A237" t="inlineStr">
        <is>
          <t xml:space="preserve">TD236</t>
        </is>
      </c>
      <c r="B237" t="inlineStr">
        <is>
          <t xml:space="preserve">SF08</t>
        </is>
      </c>
      <c r="C237" t="inlineStr">
        <is>
          <t xml:space="preserve">ST99</t>
        </is>
      </c>
      <c r="D237" t="inlineStr">
        <is>
          <t xml:space="preserve">Reporters will ask about open ballots straight away.</t>
        </is>
      </c>
      <c r="E237" t="inlineStr">
        <is>
          <t xml:space="preserve">I am ready.</t>
        </is>
      </c>
    </row>
    <row r="238">
      <c r="A238" t="inlineStr">
        <is>
          <t xml:space="preserve">TD237</t>
        </is>
      </c>
      <c r="B238" t="inlineStr">
        <is>
          <t xml:space="preserve">SF09</t>
        </is>
      </c>
      <c r="C238" t="inlineStr">
        <is>
          <t xml:space="preserve">ST99</t>
        </is>
      </c>
      <c r="D238" t="inlineStr">
        <is>
          <t xml:space="preserve">Say plainly where you stand on open ballots.</t>
        </is>
      </c>
      <c r="E238" t="inlineStr">
        <is>
          <t xml:space="preserve">Plainly. Understood.</t>
        </is>
      </c>
    </row>
    <row r="239">
      <c r="A239" t="inlineStr">
        <is>
          <t xml:space="preserve">TD238</t>
        </is>
      </c>
      <c r="B239" t="inlineStr">
        <is>
          <t xml:space="preserve">SF02</t>
        </is>
      </c>
      <c r="C239" t="inlineStr">
        <is>
          <t xml:space="preserve">ST99</t>
        </is>
      </c>
      <c r="D239" t="inlineStr">
        <is>
          <t xml:space="preserve">Keep one clear number on open ballots in mind.</t>
        </is>
      </c>
      <c r="E239" t="inlineStr">
        <is>
          <t xml:space="preserve">One number. Got it.</t>
        </is>
      </c>
    </row>
    <row r="240">
      <c r="A240" t="inlineStr">
        <is>
          <t xml:space="preserve">TD239</t>
        </is>
      </c>
      <c r="B240" t="inlineStr">
        <is>
          <t xml:space="preserve">SF15</t>
        </is>
      </c>
      <c r="C240" t="inlineStr">
        <is>
          <t xml:space="preserve">ST100</t>
        </is>
      </c>
      <c r="D240" t="inlineStr">
        <is>
          <t xml:space="preserve">Your own party is watching you on open ballots.</t>
        </is>
      </c>
      <c r="E240" t="inlineStr">
        <is>
          <t xml:space="preserve">Then I will choose well.</t>
        </is>
      </c>
    </row>
    <row r="241">
      <c r="A241" t="inlineStr">
        <is>
          <t xml:space="preserve">TD240</t>
        </is>
      </c>
      <c r="B241" t="inlineStr">
        <is>
          <t xml:space="preserve">SF16</t>
        </is>
      </c>
      <c r="C241" t="inlineStr">
        <is>
          <t xml:space="preserve">ST100</t>
        </is>
      </c>
      <c r="D241" t="inlineStr">
        <is>
          <t xml:space="preserve">Caucus members will test you on open ballots.</t>
        </is>
      </c>
      <c r="E241" t="inlineStr">
        <is>
          <t xml:space="preserve">I am ready.</t>
        </is>
      </c>
    </row>
    <row r="242">
      <c r="A242" t="inlineStr">
        <is>
          <t xml:space="preserve">TD241</t>
        </is>
      </c>
      <c r="B242" t="inlineStr">
        <is>
          <t xml:space="preserve">SF01</t>
        </is>
      </c>
      <c r="C242" t="inlineStr">
        <is>
          <t xml:space="preserve">ST100</t>
        </is>
      </c>
      <c r="D242" t="inlineStr">
        <is>
          <t xml:space="preserve">Know where your party stands on open ballots.</t>
        </is>
      </c>
      <c r="E242" t="inlineStr">
        <is>
          <t xml:space="preserve">I will check.</t>
        </is>
      </c>
    </row>
  </sheetData>
  <pageMargins left="0.75" right="0.75" top="1" bottom="1" header="0.5" footer="0.5"/>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22"/>
  <sheetViews>
    <sheetView workbookViewId="0">
      <pane ySplit="1" topLeftCell="A2" activePane="bottomLeft" state="frozen"/>
      <selection pane="bottomLeft"/>
    </sheetView>
  </sheetViews>
  <sheetFormatPr defaultRowHeight="15"/>
  <cols>
    <col min="1" max="1" width="9" customWidth="1"/>
    <col min="2" max="2" width="7" customWidth="1"/>
    <col min="3" max="3" width="20" customWidth="1"/>
    <col min="4" max="4" width="28" customWidth="1"/>
    <col min="5" max="5" width="16" customWidth="1"/>
    <col min="6" max="6" width="90" customWidth="1"/>
    <col min="7" max="9" width="24" customWidth="1"/>
  </cols>
  <sheetData>
    <row r="1" spans="1:9">
      <c r="A1" s="2" t="s">
        <v>6930</v>
      </c>
      <c r="B1" s="2" t="s">
        <v>6931</v>
      </c>
      <c r="C1" s="2" t="s">
        <v>6932</v>
      </c>
      <c r="D1" s="2" t="s">
        <v>6933</v>
      </c>
      <c r="E1" s="2" t="s">
        <v>6934</v>
      </c>
      <c r="F1" s="2" t="s">
        <v>6935</v>
      </c>
      <c r="G1" s="2" t="s">
        <v>6936</v>
      </c>
      <c r="H1" s="2" t="s">
        <v>6937</v>
      </c>
      <c r="I1" s="2" t="s">
        <v>6938</v>
      </c>
    </row>
    <row r="2" spans="1:9">
      <c r="A2" t="s">
        <v>6939</v>
      </c>
      <c r="B2">
        <v>10</v>
      </c>
      <c r="C2" t="s">
        <v>6940</v>
      </c>
      <c r="D2" t="s">
        <v>6941</v>
      </c>
      <c r="F2" t="s">
        <v>6942</v>
      </c>
    </row>
    <row r="3" spans="1:9">
      <c r="A3" t="s">
        <v>6943</v>
      </c>
      <c r="B3">
        <v>20</v>
      </c>
      <c r="C3" t="s">
        <v>6940</v>
      </c>
      <c r="D3" t="s">
        <v>6944</v>
      </c>
      <c r="F3" t="s">
        <v>6945</v>
      </c>
    </row>
    <row r="4" spans="1:9">
      <c r="A4" t="s">
        <v>6946</v>
      </c>
      <c r="B4">
        <v>30</v>
      </c>
      <c r="C4" t="s">
        <v>6947</v>
      </c>
      <c r="D4" t="s">
        <v>6948</v>
      </c>
      <c r="F4" t="s">
        <v>6949</v>
      </c>
    </row>
    <row r="5" spans="1:9">
      <c r="A5" t="s">
        <v>6950</v>
      </c>
      <c r="B5">
        <v>40</v>
      </c>
      <c r="C5" t="s">
        <v>6947</v>
      </c>
      <c r="D5" t="s">
        <v>6951</v>
      </c>
      <c r="F5" t="s">
        <v>6952</v>
      </c>
    </row>
    <row r="6" spans="1:9">
      <c r="A6" t="s">
        <v>6953</v>
      </c>
      <c r="B6">
        <v>50</v>
      </c>
      <c r="C6" t="s">
        <v>6947</v>
      </c>
      <c r="D6" t="s">
        <v>6954</v>
      </c>
      <c r="F6" t="s">
        <v>6955</v>
      </c>
    </row>
    <row r="7" spans="1:9">
      <c r="A7" t="s">
        <v>6956</v>
      </c>
      <c r="B7">
        <v>60</v>
      </c>
      <c r="C7" t="s">
        <v>6947</v>
      </c>
      <c r="D7" t="s">
        <v>6957</v>
      </c>
      <c r="F7" t="s">
        <v>6958</v>
      </c>
    </row>
    <row r="8" spans="1:9">
      <c r="A8" t="s">
        <v>6959</v>
      </c>
      <c r="B8">
        <v>70</v>
      </c>
      <c r="C8" t="s">
        <v>6947</v>
      </c>
      <c r="D8" t="s">
        <v>6960</v>
      </c>
      <c r="F8" t="s">
        <v>6961</v>
      </c>
    </row>
    <row r="9" spans="1:9">
      <c r="A9" t="s">
        <v>6962</v>
      </c>
      <c r="B9">
        <v>80</v>
      </c>
      <c r="C9" t="s">
        <v>409</v>
      </c>
      <c r="D9" t="s">
        <v>6963</v>
      </c>
      <c r="F9" t="s">
        <v>6964</v>
      </c>
    </row>
    <row r="10" spans="1:9">
      <c r="A10" t="s">
        <v>6965</v>
      </c>
      <c r="B10">
        <v>90</v>
      </c>
      <c r="C10" t="s">
        <v>409</v>
      </c>
      <c r="D10" t="s">
        <v>6966</v>
      </c>
      <c r="F10" t="s">
        <v>6967</v>
      </c>
    </row>
    <row r="11" spans="1:9">
      <c r="A11" t="s">
        <v>6968</v>
      </c>
      <c r="B11">
        <v>100</v>
      </c>
      <c r="C11" t="s">
        <v>409</v>
      </c>
      <c r="D11" t="s">
        <v>2201</v>
      </c>
      <c r="F11" t="s">
        <v>6969</v>
      </c>
    </row>
    <row r="12" spans="1:9">
      <c r="A12" t="s">
        <v>6970</v>
      </c>
      <c r="B12">
        <v>110</v>
      </c>
      <c r="C12" t="s">
        <v>409</v>
      </c>
      <c r="D12" t="s">
        <v>945</v>
      </c>
      <c r="F12" t="s">
        <v>6971</v>
      </c>
    </row>
    <row r="13" spans="1:9">
      <c r="A13" t="s">
        <v>6972</v>
      </c>
      <c r="B13">
        <v>120</v>
      </c>
      <c r="C13" t="s">
        <v>409</v>
      </c>
      <c r="D13" t="s">
        <v>6973</v>
      </c>
      <c r="F13" t="s">
        <v>6974</v>
      </c>
    </row>
    <row r="14" spans="1:9">
      <c r="A14" t="s">
        <v>6975</v>
      </c>
      <c r="B14">
        <v>130</v>
      </c>
      <c r="C14" t="s">
        <v>6976</v>
      </c>
      <c r="D14" t="s">
        <v>6977</v>
      </c>
      <c r="F14" t="s">
        <v>6978</v>
      </c>
    </row>
    <row r="15" spans="1:9">
      <c r="A15" t="s">
        <v>6979</v>
      </c>
      <c r="B15">
        <v>140</v>
      </c>
      <c r="C15" t="s">
        <v>6976</v>
      </c>
      <c r="D15" t="s">
        <v>2277</v>
      </c>
      <c r="F15" t="s">
        <v>6980</v>
      </c>
    </row>
    <row r="16" spans="1:9">
      <c r="A16" t="s">
        <v>6981</v>
      </c>
      <c r="B16">
        <v>150</v>
      </c>
      <c r="C16" t="s">
        <v>6976</v>
      </c>
      <c r="D16" t="s">
        <v>6982</v>
      </c>
      <c r="F16" t="s">
        <v>6983</v>
      </c>
    </row>
    <row r="17" spans="1:6">
      <c r="A17" t="s">
        <v>6984</v>
      </c>
      <c r="B17">
        <v>160</v>
      </c>
      <c r="C17" t="s">
        <v>6976</v>
      </c>
      <c r="D17" t="s">
        <v>6985</v>
      </c>
      <c r="F17" t="s">
        <v>6986</v>
      </c>
    </row>
    <row r="18" spans="1:6">
      <c r="A18" t="s">
        <v>6987</v>
      </c>
      <c r="B18">
        <v>170</v>
      </c>
      <c r="C18" t="s">
        <v>6976</v>
      </c>
      <c r="D18" t="s">
        <v>6988</v>
      </c>
      <c r="F18" t="s">
        <v>6989</v>
      </c>
    </row>
    <row r="19" spans="1:6">
      <c r="A19" t="s">
        <v>6990</v>
      </c>
      <c r="B19">
        <v>180</v>
      </c>
      <c r="C19" t="s">
        <v>6991</v>
      </c>
      <c r="D19" t="s">
        <v>6992</v>
      </c>
      <c r="F19" t="s">
        <v>6993</v>
      </c>
    </row>
    <row r="20" spans="1:6">
      <c r="A20" t="inlineStr">
        <is>
          <t>HT19</t>
        </is>
      </c>
      <c r="B20">
        <v>121</v>
      </c>
      <c r="C20" t="inlineStr">
        <is>
          <t>Cards</t>
        </is>
      </c>
      <c r="D20" t="inlineStr">
        <is>
          <t>Card numbers change as you play</t>
        </is>
      </c>
      <c r="F20" t="inlineStr">
        <is>
          <t>The numbers on a card are not fixed. Each time you play a card, every card left in your hand is worked out again for the situation you are now in, so what a card shows is what it will do right now. A card that leaves a boost for your next card raises that next card's gain, this turn only. A card that lowers your next card's cost makes it cheaper, this turn only. Some cards give extra only while your gaffe meter is clean, and others only while you are behind in support, so playing a card that adds a gaffe, or one that pulls you level, can take that extra away from another card. It comes back when the condition does. Cards aimed at one audience give extra only when enough of the room is that audience, and the mix of a room does not change during a stage.</t>
        </is>
      </c>
    </row>
    <row r="21" spans="1:6">
      <c r="A21" t="inlineStr">
        <is>
          <t>HT20</t>
        </is>
      </c>
      <c r="B21">
        <v>122</v>
      </c>
      <c r="C21" t="inlineStr">
        <is>
          <t>Cards</t>
        </is>
      </c>
      <c r="D21" t="inlineStr">
        <is>
          <t>Why a card is bigger or smaller</t>
        </is>
      </c>
      <c r="F21" t="inlineStr">
        <is>
          <t>Two things scale a card's gain and how hard it hits your opponent. The room: each room favours some suits, so a card gets a larger boost in a room that suits its suit and is held back in a room that does not. The question: in rooms that ask questions, a card in the invited suit gets a moderate boost, a middling answer is left as it is, and a poor answer is reduced. Guard, drawing and gaffes are never scaled this way. Tap a card to read, in plain words, how the current room and question are affecting it. A greyed-out card does nothing in this room right now.</t>
        </is>
      </c>
    </row>
    <row r="22">
      <c r="A22" t="inlineStr">
        <is>
          <t xml:space="preserve">HT21</t>
        </is>
      </c>
      <c r="B22">
        <v>123</v>
      </c>
      <c r="C22" t="inlineStr">
        <is>
          <t xml:space="preserve">Cards</t>
        </is>
      </c>
      <c r="D22" t="inlineStr">
        <is>
          <t xml:space="preserve">Who is pleased by which suit</t>
        </is>
      </c>
      <c r="F22" t="inlineStr">
        <is>
          <t xml:space="preserve">Each question in a room is tied to the organisations it concerns. Answer in a suit the question handles well (tap a card to see) and those organisations are pleased; answer badly and they are annoyed. Some questions also set other organisations back when answered well. No organisation has a fixed favourite suit, but across many questions some suits please some organisations more often. A rough guide:
{pleasing_table}
This is a tendency, not a rule: the card zoom shows how the question in front of you rates each card.</t>
        </is>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65"/>
  <sheetViews>
    <sheetView workbookViewId="0"/>
  </sheetViews>
  <sheetFormatPr defaultRowHeight="15"/>
  <cols>
    <col min="1" max="2" width="14" customWidth="1"/>
    <col min="3" max="3" width="10" customWidth="1"/>
    <col min="4" max="4" width="46" customWidth="1"/>
  </cols>
  <sheetData>
    <row r="1">
      <c r="A1" t="inlineStr">
        <is>
          <t xml:space="preserve">Party ID</t>
        </is>
      </c>
      <c r="B1" t="inlineStr">
        <is>
          <t xml:space="preserve">Booster ID</t>
        </is>
      </c>
      <c r="C1" t="inlineStr">
        <is>
          <t xml:space="preserve">Weight</t>
        </is>
      </c>
      <c r="D1" t="inlineStr">
        <is>
          <t xml:space="preserve">Note</t>
        </is>
      </c>
    </row>
    <row r="2">
      <c r="A2" t="inlineStr">
        <is>
          <t xml:space="preserve">OWN</t>
        </is>
      </c>
      <c r="B2" t="inlineStr">
        <is>
          <t xml:space="preserve">BO01</t>
        </is>
      </c>
      <c r="C2">
        <v>5</v>
      </c>
      <c r="D2" t="inlineStr">
        <is>
          <t xml:space="preserve">Your own party headquarters</t>
        </is>
      </c>
    </row>
    <row r="3">
      <c r="A3" t="inlineStr">
        <is>
          <t xml:space="preserve">OWN</t>
        </is>
      </c>
      <c r="B3" t="inlineStr">
        <is>
          <t xml:space="preserve">BO02</t>
        </is>
      </c>
      <c r="C3">
        <v>4</v>
      </c>
      <c r="D3" t="inlineStr">
        <is>
          <t xml:space="preserve">Your own party faction</t>
        </is>
      </c>
    </row>
    <row r="4">
      <c r="A4" t="inlineStr">
        <is>
          <t xml:space="preserve">OWN</t>
        </is>
      </c>
      <c r="B4" t="inlineStr">
        <is>
          <t xml:space="preserve">BO17</t>
        </is>
      </c>
      <c r="C4">
        <v>2</v>
      </c>
      <c r="D4" t="inlineStr">
        <is>
          <t xml:space="preserve">Colleagues in parliament</t>
        </is>
      </c>
    </row>
    <row r="5">
      <c r="A5" t="inlineStr">
        <is>
          <t xml:space="preserve">PT01</t>
        </is>
      </c>
      <c r="B5" t="inlineStr">
        <is>
          <t xml:space="preserve">BO12</t>
        </is>
      </c>
      <c r="C5">
        <v>5</v>
      </c>
      <c r="D5" t="inlineStr">
        <is>
          <t xml:space="preserve">Families</t>
        </is>
      </c>
    </row>
    <row r="6">
      <c r="A6" t="inlineStr">
        <is>
          <t xml:space="preserve">PT01</t>
        </is>
      </c>
      <c r="B6" t="inlineStr">
        <is>
          <t xml:space="preserve">BO19</t>
        </is>
      </c>
      <c r="C6">
        <v>5</v>
      </c>
      <c r="D6" t="inlineStr">
        <is>
          <t xml:space="preserve">Buddhist policy base</t>
        </is>
      </c>
    </row>
    <row r="7">
      <c r="A7" t="inlineStr">
        <is>
          <t xml:space="preserve">PT01</t>
        </is>
      </c>
      <c r="B7" t="inlineStr">
        <is>
          <t xml:space="preserve">BO21</t>
        </is>
      </c>
      <c r="C7">
        <v>5</v>
      </c>
      <c r="D7" t="inlineStr">
        <is>
          <t xml:space="preserve">Social care</t>
        </is>
      </c>
    </row>
    <row r="8">
      <c r="A8" t="inlineStr">
        <is>
          <t xml:space="preserve">PT01</t>
        </is>
      </c>
      <c r="B8" t="inlineStr">
        <is>
          <t xml:space="preserve">BO06</t>
        </is>
      </c>
      <c r="C8">
        <v>3</v>
      </c>
      <c r="D8" t="inlineStr">
        <is>
          <t xml:space="preserve">Quality of life, local</t>
        </is>
      </c>
    </row>
    <row r="9">
      <c r="A9" t="inlineStr">
        <is>
          <t xml:space="preserve">PT01</t>
        </is>
      </c>
      <c r="B9" t="inlineStr">
        <is>
          <t xml:space="preserve">BO20</t>
        </is>
      </c>
      <c r="C9">
        <v>2</v>
      </c>
      <c r="D9" t="inlineStr">
        <is>
          <t xml:space="preserve">Light Shinto traditionalism</t>
        </is>
      </c>
    </row>
    <row r="10">
      <c r="A10" t="inlineStr">
        <is>
          <t xml:space="preserve">PT01</t>
        </is>
      </c>
      <c r="B10" t="inlineStr">
        <is>
          <t xml:space="preserve">BO15</t>
        </is>
      </c>
      <c r="C10">
        <v>2</v>
      </c>
      <c r="D10" t="inlineStr">
        <is>
          <t xml:space="preserve">Light traditionalism</t>
        </is>
      </c>
    </row>
    <row r="11">
      <c r="A11" t="inlineStr">
        <is>
          <t xml:space="preserve">PT01</t>
        </is>
      </c>
      <c r="B11" t="inlineStr">
        <is>
          <t xml:space="preserve">BO10</t>
        </is>
      </c>
      <c r="C11">
        <v>1</v>
      </c>
    </row>
    <row r="12">
      <c r="A12" t="inlineStr">
        <is>
          <t xml:space="preserve">PT01</t>
        </is>
      </c>
      <c r="B12" t="inlineStr">
        <is>
          <t xml:space="preserve">BO11</t>
        </is>
      </c>
      <c r="C12">
        <v>1</v>
      </c>
    </row>
    <row r="13">
      <c r="A13" t="inlineStr">
        <is>
          <t xml:space="preserve">PT01</t>
        </is>
      </c>
      <c r="B13" t="inlineStr">
        <is>
          <t xml:space="preserve">BO05</t>
        </is>
      </c>
      <c r="C13">
        <v>-1</v>
      </c>
      <c r="D13" t="inlineStr">
        <is>
          <t xml:space="preserve">Less market-driven</t>
        </is>
      </c>
    </row>
    <row r="14">
      <c r="A14" t="inlineStr">
        <is>
          <t xml:space="preserve">PT01</t>
        </is>
      </c>
      <c r="B14" t="inlineStr">
        <is>
          <t xml:space="preserve">BO24</t>
        </is>
      </c>
      <c r="C14">
        <v>-1</v>
      </c>
      <c r="D14" t="inlineStr">
        <is>
          <t xml:space="preserve">Less market-driven</t>
        </is>
      </c>
    </row>
    <row r="15">
      <c r="A15" t="inlineStr">
        <is>
          <t xml:space="preserve">PT02</t>
        </is>
      </c>
      <c r="B15" t="inlineStr">
        <is>
          <t xml:space="preserve">BO28</t>
        </is>
      </c>
      <c r="C15">
        <v>5</v>
      </c>
      <c r="D15" t="inlineStr">
        <is>
          <t xml:space="preserve">Ainu community</t>
        </is>
      </c>
    </row>
    <row r="16">
      <c r="A16" t="inlineStr">
        <is>
          <t xml:space="preserve">PT02</t>
        </is>
      </c>
      <c r="B16" t="inlineStr">
        <is>
          <t xml:space="preserve">BO29</t>
        </is>
      </c>
      <c r="C16">
        <v>5</v>
      </c>
      <c r="D16" t="inlineStr">
        <is>
          <t xml:space="preserve">Ainu language and culture</t>
        </is>
      </c>
    </row>
    <row r="17">
      <c r="A17" t="inlineStr">
        <is>
          <t xml:space="preserve">PT02</t>
        </is>
      </c>
      <c r="B17" t="inlineStr">
        <is>
          <t xml:space="preserve">BO07</t>
        </is>
      </c>
      <c r="C17">
        <v>3</v>
      </c>
      <c r="D17" t="inlineStr">
        <is>
          <t xml:space="preserve">Fishing rights</t>
        </is>
      </c>
    </row>
    <row r="18">
      <c r="A18" t="inlineStr">
        <is>
          <t xml:space="preserve">PT02</t>
        </is>
      </c>
      <c r="B18" t="inlineStr">
        <is>
          <t xml:space="preserve">BO13</t>
        </is>
      </c>
      <c r="C18">
        <v>2</v>
      </c>
      <c r="D18" t="inlineStr">
        <is>
          <t xml:space="preserve">Traditional crafts</t>
        </is>
      </c>
    </row>
    <row r="19">
      <c r="A19" t="inlineStr">
        <is>
          <t xml:space="preserve">PT02</t>
        </is>
      </c>
      <c r="B19" t="inlineStr">
        <is>
          <t xml:space="preserve">BO10</t>
        </is>
      </c>
      <c r="C19">
        <v>1</v>
      </c>
    </row>
    <row r="20">
      <c r="A20" t="inlineStr">
        <is>
          <t xml:space="preserve">PT02</t>
        </is>
      </c>
      <c r="B20" t="inlineStr">
        <is>
          <t xml:space="preserve">BO11</t>
        </is>
      </c>
      <c r="C20">
        <v>1</v>
      </c>
    </row>
    <row r="21">
      <c r="A21" t="inlineStr">
        <is>
          <t xml:space="preserve">PT02</t>
        </is>
      </c>
      <c r="B21" t="inlineStr">
        <is>
          <t xml:space="preserve">BO12</t>
        </is>
      </c>
      <c r="C21">
        <v>1</v>
      </c>
    </row>
    <row r="22">
      <c r="A22" t="inlineStr">
        <is>
          <t xml:space="preserve">PT03</t>
        </is>
      </c>
      <c r="B22" t="inlineStr">
        <is>
          <t xml:space="preserve">BO10</t>
        </is>
      </c>
      <c r="C22">
        <v>5</v>
      </c>
      <c r="D22" t="inlineStr">
        <is>
          <t xml:space="preserve">Rural priority: farming co-ops</t>
        </is>
      </c>
    </row>
    <row r="23">
      <c r="A23" t="inlineStr">
        <is>
          <t xml:space="preserve">PT03</t>
        </is>
      </c>
      <c r="B23" t="inlineStr">
        <is>
          <t xml:space="preserve">BO07</t>
        </is>
      </c>
      <c r="C23">
        <v>4</v>
      </c>
      <c r="D23" t="inlineStr">
        <is>
          <t xml:space="preserve">Fishing communities</t>
        </is>
      </c>
    </row>
    <row r="24">
      <c r="A24" t="inlineStr">
        <is>
          <t xml:space="preserve">PT03</t>
        </is>
      </c>
      <c r="B24" t="inlineStr">
        <is>
          <t xml:space="preserve">BO30</t>
        </is>
      </c>
      <c r="C24">
        <v>4</v>
      </c>
      <c r="D24" t="inlineStr">
        <is>
          <t xml:space="preserve">Rural revitalisation</t>
        </is>
      </c>
    </row>
    <row r="25">
      <c r="A25" t="inlineStr">
        <is>
          <t xml:space="preserve">PT03</t>
        </is>
      </c>
      <c r="B25" t="inlineStr">
        <is>
          <t xml:space="preserve">BO06</t>
        </is>
      </c>
      <c r="C25">
        <v>3</v>
      </c>
      <c r="D25" t="inlineStr">
        <is>
          <t xml:space="preserve">Neighbourhood base</t>
        </is>
      </c>
    </row>
    <row r="26">
      <c r="A26" t="inlineStr">
        <is>
          <t xml:space="preserve">PT03</t>
        </is>
      </c>
      <c r="B26" t="inlineStr">
        <is>
          <t xml:space="preserve">BO04</t>
        </is>
      </c>
      <c r="C26">
        <v>3</v>
      </c>
      <c r="D26" t="inlineStr">
        <is>
          <t xml:space="preserve">Local government</t>
        </is>
      </c>
    </row>
    <row r="27">
      <c r="A27" t="inlineStr">
        <is>
          <t xml:space="preserve">PT03</t>
        </is>
      </c>
      <c r="B27" t="inlineStr">
        <is>
          <t xml:space="preserve">BO03</t>
        </is>
      </c>
      <c r="C27">
        <v>3</v>
      </c>
      <c r="D27" t="inlineStr">
        <is>
          <t xml:space="preserve">Local supporters</t>
        </is>
      </c>
    </row>
    <row r="28">
      <c r="A28" t="inlineStr">
        <is>
          <t xml:space="preserve">PT03</t>
        </is>
      </c>
      <c r="B28" t="inlineStr">
        <is>
          <t xml:space="preserve">BO18</t>
        </is>
      </c>
      <c r="C28">
        <v>2</v>
      </c>
      <c r="D28" t="inlineStr">
        <is>
          <t xml:space="preserve">Constituency voters</t>
        </is>
      </c>
    </row>
    <row r="29">
      <c r="A29" t="inlineStr">
        <is>
          <t xml:space="preserve">PT03</t>
        </is>
      </c>
      <c r="B29" t="inlineStr">
        <is>
          <t xml:space="preserve">BO14</t>
        </is>
      </c>
      <c r="C29">
        <v>1</v>
      </c>
      <c r="D29" t="inlineStr">
        <is>
          <t xml:space="preserve">City side of the blend</t>
        </is>
      </c>
    </row>
    <row r="30">
      <c r="A30" t="inlineStr">
        <is>
          <t xml:space="preserve">PT03</t>
        </is>
      </c>
      <c r="B30" t="inlineStr">
        <is>
          <t xml:space="preserve">BO09</t>
        </is>
      </c>
      <c r="C30">
        <v>1</v>
      </c>
      <c r="D30" t="inlineStr">
        <is>
          <t xml:space="preserve">City side of the blend</t>
        </is>
      </c>
    </row>
    <row r="31">
      <c r="A31" t="inlineStr">
        <is>
          <t xml:space="preserve">PT03</t>
        </is>
      </c>
      <c r="B31" t="inlineStr">
        <is>
          <t xml:space="preserve">BO05</t>
        </is>
      </c>
      <c r="C31">
        <v>-2</v>
      </c>
      <c r="D31" t="inlineStr">
        <is>
          <t xml:space="preserve">Lower on free-market politics</t>
        </is>
      </c>
    </row>
    <row r="32">
      <c r="A32" t="inlineStr">
        <is>
          <t xml:space="preserve">PT03</t>
        </is>
      </c>
      <c r="B32" t="inlineStr">
        <is>
          <t xml:space="preserve">BO24</t>
        </is>
      </c>
      <c r="C32">
        <v>-1</v>
      </c>
      <c r="D32" t="inlineStr">
        <is>
          <t xml:space="preserve">Lower on free-market politics</t>
        </is>
      </c>
    </row>
    <row r="33">
      <c r="A33" t="inlineStr">
        <is>
          <t xml:space="preserve">PT04</t>
        </is>
      </c>
      <c r="B33" t="inlineStr">
        <is>
          <t xml:space="preserve">BO08</t>
        </is>
      </c>
      <c r="C33">
        <v>5</v>
      </c>
      <c r="D33" t="inlineStr">
        <is>
          <t xml:space="preserve">Media aligned</t>
        </is>
      </c>
    </row>
    <row r="34">
      <c r="A34" t="inlineStr">
        <is>
          <t xml:space="preserve">PT04</t>
        </is>
      </c>
      <c r="B34" t="inlineStr">
        <is>
          <t xml:space="preserve">BO26</t>
        </is>
      </c>
      <c r="C34">
        <v>4</v>
      </c>
      <c r="D34" t="inlineStr">
        <is>
          <t xml:space="preserve">Special-interest groups</t>
        </is>
      </c>
    </row>
    <row r="35">
      <c r="A35" t="inlineStr">
        <is>
          <t xml:space="preserve">PT04</t>
        </is>
      </c>
      <c r="B35" t="inlineStr">
        <is>
          <t xml:space="preserve">BO27</t>
        </is>
      </c>
      <c r="C35">
        <v>4</v>
      </c>
      <c r="D35" t="inlineStr">
        <is>
          <t xml:space="preserve">City focus</t>
        </is>
      </c>
    </row>
    <row r="36">
      <c r="A36" t="inlineStr">
        <is>
          <t xml:space="preserve">PT04</t>
        </is>
      </c>
      <c r="B36" t="inlineStr">
        <is>
          <t xml:space="preserve">BO18</t>
        </is>
      </c>
      <c r="C36">
        <v>4</v>
      </c>
      <c r="D36" t="inlineStr">
        <is>
          <t xml:space="preserve">Constituency dependent</t>
        </is>
      </c>
    </row>
    <row r="37">
      <c r="A37" t="inlineStr">
        <is>
          <t xml:space="preserve">PT04</t>
        </is>
      </c>
      <c r="B37" t="inlineStr">
        <is>
          <t xml:space="preserve">BO14</t>
        </is>
      </c>
      <c r="C37">
        <v>3</v>
      </c>
    </row>
    <row r="38">
      <c r="A38" t="inlineStr">
        <is>
          <t xml:space="preserve">PT04</t>
        </is>
      </c>
      <c r="B38" t="inlineStr">
        <is>
          <t xml:space="preserve">BO11</t>
        </is>
      </c>
      <c r="C38">
        <v>3</v>
      </c>
    </row>
    <row r="39">
      <c r="A39" t="inlineStr">
        <is>
          <t xml:space="preserve">PT04</t>
        </is>
      </c>
      <c r="B39" t="inlineStr">
        <is>
          <t xml:space="preserve">BO13</t>
        </is>
      </c>
      <c r="C39">
        <v>3</v>
      </c>
    </row>
    <row r="40">
      <c r="A40" t="inlineStr">
        <is>
          <t xml:space="preserve">PT04</t>
        </is>
      </c>
      <c r="B40" t="inlineStr">
        <is>
          <t xml:space="preserve">BO03</t>
        </is>
      </c>
      <c r="C40">
        <v>2</v>
      </c>
    </row>
    <row r="41">
      <c r="A41" t="inlineStr">
        <is>
          <t xml:space="preserve">PT04</t>
        </is>
      </c>
      <c r="B41" t="inlineStr">
        <is>
          <t xml:space="preserve">BO16</t>
        </is>
      </c>
      <c r="C41">
        <v>2</v>
      </c>
    </row>
    <row r="42">
      <c r="A42" t="inlineStr">
        <is>
          <t xml:space="preserve">PT04</t>
        </is>
      </c>
      <c r="B42" t="inlineStr">
        <is>
          <t xml:space="preserve">BO09</t>
        </is>
      </c>
      <c r="C42">
        <v>1</v>
      </c>
    </row>
    <row r="43">
      <c r="A43" t="inlineStr">
        <is>
          <t xml:space="preserve">PT04</t>
        </is>
      </c>
      <c r="B43" t="inlineStr">
        <is>
          <t xml:space="preserve">BO05</t>
        </is>
      </c>
      <c r="C43">
        <v>1</v>
      </c>
    </row>
    <row r="44">
      <c r="A44" t="inlineStr">
        <is>
          <t xml:space="preserve">PT05</t>
        </is>
      </c>
      <c r="B44" t="inlineStr">
        <is>
          <t xml:space="preserve">BO05</t>
        </is>
      </c>
      <c r="C44">
        <v>5</v>
      </c>
      <c r="D44" t="inlineStr">
        <is>
          <t xml:space="preserve">Biggest booster</t>
        </is>
      </c>
    </row>
    <row r="45">
      <c r="A45" t="inlineStr">
        <is>
          <t xml:space="preserve">PT05</t>
        </is>
      </c>
      <c r="B45" t="inlineStr">
        <is>
          <t xml:space="preserve">BO24</t>
        </is>
      </c>
      <c r="C45">
        <v>4</v>
      </c>
    </row>
    <row r="46">
      <c r="A46" t="inlineStr">
        <is>
          <t xml:space="preserve">PT05</t>
        </is>
      </c>
      <c r="B46" t="inlineStr">
        <is>
          <t xml:space="preserve">BO23</t>
        </is>
      </c>
      <c r="C46">
        <v>4</v>
      </c>
    </row>
    <row r="47">
      <c r="A47" t="inlineStr">
        <is>
          <t xml:space="preserve">PT05</t>
        </is>
      </c>
      <c r="B47" t="inlineStr">
        <is>
          <t xml:space="preserve">BO16</t>
        </is>
      </c>
      <c r="C47">
        <v>4</v>
      </c>
    </row>
    <row r="48">
      <c r="A48" t="inlineStr">
        <is>
          <t xml:space="preserve">PT05</t>
        </is>
      </c>
      <c r="B48" t="inlineStr">
        <is>
          <t xml:space="preserve">BO25</t>
        </is>
      </c>
      <c r="C48">
        <v>3</v>
      </c>
    </row>
    <row r="49">
      <c r="A49" t="inlineStr">
        <is>
          <t xml:space="preserve">PT05</t>
        </is>
      </c>
      <c r="B49" t="inlineStr">
        <is>
          <t xml:space="preserve">BO27</t>
        </is>
      </c>
      <c r="C49">
        <v>3</v>
      </c>
      <c r="D49" t="inlineStr">
        <is>
          <t xml:space="preserve">City interests</t>
        </is>
      </c>
    </row>
    <row r="50">
      <c r="A50" t="inlineStr">
        <is>
          <t xml:space="preserve">PT05</t>
        </is>
      </c>
      <c r="B50" t="inlineStr">
        <is>
          <t xml:space="preserve">BO08</t>
        </is>
      </c>
      <c r="C50">
        <v>1</v>
      </c>
    </row>
    <row r="51">
      <c r="A51" t="inlineStr">
        <is>
          <t xml:space="preserve">PT05</t>
        </is>
      </c>
      <c r="B51" t="inlineStr">
        <is>
          <t xml:space="preserve">BO13</t>
        </is>
      </c>
      <c r="C51">
        <v>1</v>
      </c>
    </row>
    <row r="52">
      <c r="A52" t="inlineStr">
        <is>
          <t xml:space="preserve">PT05</t>
        </is>
      </c>
      <c r="B52" t="inlineStr">
        <is>
          <t xml:space="preserve">BO09</t>
        </is>
      </c>
      <c r="C52">
        <v>-3</v>
      </c>
      <c r="D52" t="inlineStr">
        <is>
          <t xml:space="preserve">Labour opposes free-market politics</t>
        </is>
      </c>
    </row>
    <row r="53">
      <c r="A53" t="inlineStr">
        <is>
          <t xml:space="preserve">PT05</t>
        </is>
      </c>
      <c r="B53" t="inlineStr">
        <is>
          <t xml:space="preserve">BO10</t>
        </is>
      </c>
      <c r="C53">
        <v>-2</v>
      </c>
      <c r="D53" t="inlineStr">
        <is>
          <t xml:space="preserve">Protectionism</t>
        </is>
      </c>
    </row>
    <row r="54">
      <c r="A54" t="inlineStr">
        <is>
          <t xml:space="preserve">PT05</t>
        </is>
      </c>
      <c r="B54" t="inlineStr">
        <is>
          <t xml:space="preserve">BO30</t>
        </is>
      </c>
      <c r="C54">
        <v>-1</v>
      </c>
    </row>
    <row r="55">
      <c r="A55" t="inlineStr">
        <is>
          <t xml:space="preserve">PT06</t>
        </is>
      </c>
      <c r="B55" t="inlineStr">
        <is>
          <t xml:space="preserve">BO15</t>
        </is>
      </c>
      <c r="C55">
        <v>5</v>
      </c>
      <c r="D55" t="inlineStr">
        <is>
          <t xml:space="preserve">Social conservatism</t>
        </is>
      </c>
    </row>
    <row r="56">
      <c r="A56" t="inlineStr">
        <is>
          <t xml:space="preserve">PT06</t>
        </is>
      </c>
      <c r="B56" t="inlineStr">
        <is>
          <t xml:space="preserve">BO22</t>
        </is>
      </c>
      <c r="C56">
        <v>5</v>
      </c>
      <c r="D56" t="inlineStr">
        <is>
          <t xml:space="preserve">National conservatism</t>
        </is>
      </c>
    </row>
    <row r="57">
      <c r="A57" t="inlineStr">
        <is>
          <t xml:space="preserve">PT06</t>
        </is>
      </c>
      <c r="B57" t="inlineStr">
        <is>
          <t xml:space="preserve">BO20</t>
        </is>
      </c>
      <c r="C57">
        <v>4</v>
      </c>
      <c r="D57" t="inlineStr">
        <is>
          <t xml:space="preserve">Shrine tradition</t>
        </is>
      </c>
    </row>
    <row r="58">
      <c r="A58" t="inlineStr">
        <is>
          <t xml:space="preserve">PT06</t>
        </is>
      </c>
      <c r="B58" t="inlineStr">
        <is>
          <t xml:space="preserve">BO12</t>
        </is>
      </c>
      <c r="C58">
        <v>3</v>
      </c>
      <c r="D58" t="inlineStr">
        <is>
          <t xml:space="preserve">Family values</t>
        </is>
      </c>
    </row>
    <row r="59">
      <c r="A59" t="inlineStr">
        <is>
          <t xml:space="preserve">PT06</t>
        </is>
      </c>
      <c r="B59" t="inlineStr">
        <is>
          <t xml:space="preserve">BO03</t>
        </is>
      </c>
      <c r="C59">
        <v>2</v>
      </c>
    </row>
    <row r="60">
      <c r="A60" t="inlineStr">
        <is>
          <t xml:space="preserve">PT06</t>
        </is>
      </c>
      <c r="B60" t="inlineStr">
        <is>
          <t xml:space="preserve">BO10</t>
        </is>
      </c>
      <c r="C60">
        <v>2</v>
      </c>
    </row>
    <row r="61">
      <c r="A61" t="inlineStr">
        <is>
          <t xml:space="preserve">PT06</t>
        </is>
      </c>
      <c r="B61" t="inlineStr">
        <is>
          <t xml:space="preserve">BO05</t>
        </is>
      </c>
      <c r="C61">
        <v>1</v>
      </c>
    </row>
    <row r="62">
      <c r="A62" t="inlineStr">
        <is>
          <t xml:space="preserve">PT06</t>
        </is>
      </c>
      <c r="B62" t="inlineStr">
        <is>
          <t xml:space="preserve">BO11</t>
        </is>
      </c>
      <c r="C62">
        <v>-2</v>
      </c>
      <c r="D62" t="inlineStr">
        <is>
          <t xml:space="preserve">Students lean the other way</t>
        </is>
      </c>
    </row>
    <row r="63">
      <c r="A63" t="inlineStr">
        <is>
          <t xml:space="preserve">PT06</t>
        </is>
      </c>
      <c r="B63" t="inlineStr">
        <is>
          <t xml:space="preserve">BO09</t>
        </is>
      </c>
      <c r="C63">
        <v>-2</v>
      </c>
      <c r="D63" t="inlineStr">
        <is>
          <t xml:space="preserve">Labour lean the other way</t>
        </is>
      </c>
    </row>
    <row r="64">
      <c r="A64" t="inlineStr">
        <is>
          <t xml:space="preserve">PT06</t>
        </is>
      </c>
      <c r="B64" t="inlineStr">
        <is>
          <t xml:space="preserve">BO08</t>
        </is>
      </c>
      <c r="C64">
        <v>-1</v>
      </c>
      <c r="D64" t="inlineStr">
        <is>
          <t xml:space="preserve">Media scepticism</t>
        </is>
      </c>
    </row>
    <row r="65">
      <c r="A65" t="inlineStr">
        <is>
          <t xml:space="preserve">PT06</t>
        </is>
      </c>
      <c r="B65" t="inlineStr">
        <is>
          <t xml:space="preserve">BO16</t>
        </is>
      </c>
      <c r="C65">
        <v>-1</v>
      </c>
    </row>
  </sheetData>
  <pageMargins left="0.75" right="0.75" top="1" bottom="1" header="0.5" footer="0.5"/>
  <legacyDrawing r:id="rId1"/>
</worksheet>
</file>

<file path=xl/worksheets/sheet45.xml><?xml version="1.0" encoding="utf-8"?>
<worksheet xmlns="http://schemas.openxmlformats.org/spreadsheetml/2006/main" xmlns:r="http://schemas.openxmlformats.org/officeDocument/2006/relationships">
  <dimension ref="A1:I529"/>
  <sheetViews>
    <sheetView workbookViewId="0">
      <pane ySplit="1" topLeftCell="A2" activePane="bottomLeft" state="frozen"/>
    </sheetView>
  </sheetViews>
  <sheetFormatPr defaultRowHeight="15"/>
  <cols>
    <col min="1" max="1" width="9" customWidth="1"/>
    <col min="2" max="2" width="14" customWidth="1"/>
    <col min="3" max="3" width="9" customWidth="1"/>
    <col min="4" max="4" width="16" customWidth="1"/>
    <col min="5" max="5" width="40" customWidth="1"/>
    <col min="6" max="6" width="40" customWidth="1"/>
    <col min="7" max="7" width="40" customWidth="1"/>
    <col min="8" max="8" width="40" customWidth="1"/>
    <col min="9" max="9" width="40" customWidth="1"/>
  </cols>
  <sheetData>
    <row r="1">
      <c r="A1" t="inlineStr">
        <is>
          <t xml:space="preserve">Cue ID</t>
        </is>
      </c>
      <c r="B1" t="inlineStr">
        <is>
          <t xml:space="preserve">Suit</t>
        </is>
      </c>
      <c r="C1" t="inlineStr">
        <is>
          <t xml:space="preserve">Verb</t>
        </is>
      </c>
      <c r="D1" t="inlineStr">
        <is>
          <t xml:space="preserve">Stage ID</t>
        </is>
      </c>
      <c r="E1" t="inlineStr">
        <is>
          <t xml:space="preserve">Cue 1</t>
        </is>
      </c>
      <c r="F1" t="inlineStr">
        <is>
          <t xml:space="preserve">Cue 2</t>
        </is>
      </c>
      <c r="G1" t="inlineStr">
        <is>
          <t xml:space="preserve">Cue 3</t>
        </is>
      </c>
      <c r="H1" t="inlineStr">
        <is>
          <t xml:space="preserve">Cue 4</t>
        </is>
      </c>
      <c r="I1" t="inlineStr">
        <is>
          <t xml:space="preserve">Cue 5</t>
        </is>
      </c>
    </row>
    <row r="2">
      <c r="A2" t="inlineStr">
        <is>
          <t xml:space="preserve">PL01</t>
        </is>
      </c>
      <c r="B2" t="inlineStr">
        <is>
          <t xml:space="preserve">Earnest</t>
        </is>
      </c>
      <c r="C2" t="inlineStr">
        <is>
          <t xml:space="preserve">attack</t>
        </is>
      </c>
      <c r="D2" t="inlineStr">
        <is>
          <t xml:space="preserve">ST01; ST09; ST10; ST11; ST12; ST13; ST14; ST15; ST16; ST17; ST18; ST27; ST31; ST33; ST54; ST37; ST47; ST80; ST90; ST95; ST51; ST57; ST77; ST60; ST63; ST66; ST69; ST74</t>
        </is>
      </c>
      <c r="E2" t="inlineStr">
        <is>
          <t xml:space="preserve">That is not what the record shows.</t>
        </is>
      </c>
      <c r="F2" t="inlineStr">
        <is>
          <t xml:space="preserve">Let us be honest about the record.</t>
        </is>
      </c>
      <c r="G2" t="inlineStr">
        <is>
          <t xml:space="preserve">I have read the file. Have you?</t>
        </is>
      </c>
      <c r="H2" t="inlineStr">
        <is>
          <t xml:space="preserve">The facts do not support you.</t>
        </is>
      </c>
      <c r="I2" t="inlineStr">
        <is>
          <t xml:space="preserve">With respect, that answer will not stand.</t>
        </is>
      </c>
    </row>
    <row r="3">
      <c r="A3" t="inlineStr">
        <is>
          <t xml:space="preserve">PL02</t>
        </is>
      </c>
      <c r="B3" t="inlineStr">
        <is>
          <t xml:space="preserve">Earnest</t>
        </is>
      </c>
      <c r="C3" t="inlineStr">
        <is>
          <t xml:space="preserve">gain</t>
        </is>
      </c>
      <c r="D3" t="inlineStr">
        <is>
          <t xml:space="preserve">ST01; ST09; ST10; ST11; ST12; ST13; ST14; ST15; ST16; ST17; ST18; ST27; ST31; ST33; ST54; ST37; ST47; ST80; ST90; ST95; ST51; ST57; ST77; ST60; ST63; ST66; ST69; ST74</t>
        </is>
      </c>
      <c r="E3" t="inlineStr">
        <is>
          <t xml:space="preserve">I will tell this committee the truth.</t>
        </is>
      </c>
      <c r="F3" t="inlineStr">
        <is>
          <t xml:space="preserve">Here is exactly what I will do.</t>
        </is>
      </c>
      <c r="G3" t="inlineStr">
        <is>
          <t xml:space="preserve">Judge me by the commitments I make here.</t>
        </is>
      </c>
      <c r="H3" t="inlineStr">
        <is>
          <t xml:space="preserve">I have nothing to hide from this room.</t>
        </is>
      </c>
      <c r="I3" t="inlineStr">
        <is>
          <t xml:space="preserve">Plainly put, this is my position.</t>
        </is>
      </c>
    </row>
    <row r="4">
      <c r="A4" t="inlineStr">
        <is>
          <t xml:space="preserve">PL03</t>
        </is>
      </c>
      <c r="B4" t="inlineStr">
        <is>
          <t xml:space="preserve">Earnest</t>
        </is>
      </c>
      <c r="C4" t="inlineStr">
        <is>
          <t xml:space="preserve">block</t>
        </is>
      </c>
      <c r="D4" t="inlineStr">
        <is>
          <t xml:space="preserve">ST01; ST09; ST10; ST11; ST12; ST13; ST14; ST15; ST16; ST17; ST18; ST27; ST31; ST33; ST54; ST37; ST47; ST80; ST90; ST95; ST51; ST57; ST77; ST60; ST63; ST66; ST69; ST74</t>
        </is>
      </c>
      <c r="E4" t="inlineStr">
        <is>
          <t xml:space="preserve">I stand by my position.</t>
        </is>
      </c>
      <c r="F4" t="inlineStr">
        <is>
          <t xml:space="preserve">My position is clear and it is firm.</t>
        </is>
      </c>
      <c r="G4" t="inlineStr">
        <is>
          <t xml:space="preserve">My record is open to this committee.</t>
        </is>
      </c>
      <c r="H4" t="inlineStr">
        <is>
          <t xml:space="preserve">I will not dodge any question.</t>
        </is>
      </c>
      <c r="I4" t="inlineStr">
        <is>
          <t xml:space="preserve">That charge does not hold up.</t>
        </is>
      </c>
    </row>
    <row r="5">
      <c r="A5" t="inlineStr">
        <is>
          <t xml:space="preserve">PL04</t>
        </is>
      </c>
      <c r="B5" t="inlineStr">
        <is>
          <t xml:space="preserve">Emotional</t>
        </is>
      </c>
      <c r="C5" t="inlineStr">
        <is>
          <t xml:space="preserve">attack</t>
        </is>
      </c>
      <c r="D5" t="inlineStr">
        <is>
          <t xml:space="preserve">ST01; ST09; ST10; ST11; ST12; ST13; ST14; ST15; ST16; ST17; ST18; ST27; ST31; ST33; ST54; ST37; ST47; ST80; ST90; ST95; ST51; ST57; ST77; ST60; ST63; ST66; ST69; ST74</t>
        </is>
      </c>
      <c r="E5" t="inlineStr">
        <is>
          <t xml:space="preserve">Tell that to the families affected.</t>
        </is>
      </c>
      <c r="F5" t="inlineStr">
        <is>
          <t xml:space="preserve">How do you sleep at night?</t>
        </is>
      </c>
      <c r="G5" t="inlineStr">
        <is>
          <t xml:space="preserve">People are hurting. Do not shrug.</t>
        </is>
      </c>
      <c r="H5" t="inlineStr">
        <is>
          <t xml:space="preserve">Your numbers have names and faces.</t>
        </is>
      </c>
      <c r="I5" t="inlineStr">
        <is>
          <t xml:space="preserve">Have you met anyone this affects?</t>
        </is>
      </c>
    </row>
    <row r="6">
      <c r="A6" t="inlineStr">
        <is>
          <t xml:space="preserve">PL05</t>
        </is>
      </c>
      <c r="B6" t="inlineStr">
        <is>
          <t xml:space="preserve">Emotional</t>
        </is>
      </c>
      <c r="C6" t="inlineStr">
        <is>
          <t xml:space="preserve">gain</t>
        </is>
      </c>
      <c r="D6" t="inlineStr">
        <is>
          <t xml:space="preserve">ST01; ST09; ST10; ST11; ST12; ST13; ST14; ST15; ST16; ST17; ST18; ST27; ST31; ST33; ST54; ST37; ST47; ST80; ST90; ST95; ST51; ST57; ST77; ST60; ST63; ST66; ST69; ST74</t>
        </is>
      </c>
      <c r="E6" t="inlineStr">
        <is>
          <t xml:space="preserve">This is about the people we serve.</t>
        </is>
      </c>
      <c r="F6" t="inlineStr">
        <is>
          <t xml:space="preserve">I hear their stories in my district.</t>
        </is>
      </c>
      <c r="G6" t="inlineStr">
        <is>
          <t xml:space="preserve">Imagine your own family in their place.</t>
        </is>
      </c>
      <c r="H6" t="inlineStr">
        <is>
          <t xml:space="preserve">We owe them more than procedure.</t>
        </is>
      </c>
      <c r="I6" t="inlineStr">
        <is>
          <t xml:space="preserve">This is personal for every household.</t>
        </is>
      </c>
    </row>
    <row r="7">
      <c r="A7" t="inlineStr">
        <is>
          <t xml:space="preserve">PL06</t>
        </is>
      </c>
      <c r="B7" t="inlineStr">
        <is>
          <t xml:space="preserve">Emotional</t>
        </is>
      </c>
      <c r="C7" t="inlineStr">
        <is>
          <t xml:space="preserve">block</t>
        </is>
      </c>
      <c r="D7" t="inlineStr">
        <is>
          <t xml:space="preserve">ST01; ST09; ST10; ST11; ST12; ST13; ST14; ST15; ST16; ST17; ST18; ST27; ST31; ST33; ST54; ST37; ST47; ST80; ST90; ST95; ST51; ST57; ST77; ST60; ST63; ST66; ST69; ST74</t>
        </is>
      </c>
      <c r="E7" t="inlineStr">
        <is>
          <t xml:space="preserve">I carry this burden too.</t>
        </is>
      </c>
      <c r="F7" t="inlineStr">
        <is>
          <t xml:space="preserve">My heart is with them, not with politics.</t>
        </is>
      </c>
      <c r="G7" t="inlineStr">
        <is>
          <t xml:space="preserve">My care for them is real.</t>
        </is>
      </c>
      <c r="H7" t="inlineStr">
        <is>
          <t xml:space="preserve">I feel the weight of this vote.</t>
        </is>
      </c>
      <c r="I7" t="inlineStr">
        <is>
          <t xml:space="preserve">I will not apologise for compassion.</t>
        </is>
      </c>
    </row>
    <row r="8">
      <c r="A8" t="inlineStr">
        <is>
          <t xml:space="preserve">PL07</t>
        </is>
      </c>
      <c r="B8" t="inlineStr">
        <is>
          <t xml:space="preserve">Appeal</t>
        </is>
      </c>
      <c r="C8" t="inlineStr">
        <is>
          <t xml:space="preserve">attack</t>
        </is>
      </c>
      <c r="D8" t="inlineStr">
        <is>
          <t xml:space="preserve">ST01; ST09; ST10; ST11; ST12; ST13; ST14; ST15; ST16; ST17; ST18; ST27; ST31; ST33; ST54; ST37; ST47; ST80; ST90; ST95; ST51; ST57; ST77; ST60; ST63; ST66; ST69; ST74</t>
        </is>
      </c>
      <c r="E8" t="inlineStr">
        <is>
          <t xml:space="preserve">Members on both sides see the flaw.</t>
        </is>
      </c>
      <c r="F8" t="inlineStr">
        <is>
          <t xml:space="preserve">Even your colleagues are not convinced.</t>
        </is>
      </c>
      <c r="G8" t="inlineStr">
        <is>
          <t xml:space="preserve">This committee deserves a better proposal.</t>
        </is>
      </c>
      <c r="H8" t="inlineStr">
        <is>
          <t xml:space="preserve">Ask the room. They know.</t>
        </is>
      </c>
      <c r="I8" t="inlineStr">
        <is>
          <t xml:space="preserve">Your allies are quieter than you think.</t>
        </is>
      </c>
    </row>
    <row r="9">
      <c r="A9" t="inlineStr">
        <is>
          <t xml:space="preserve">PL08</t>
        </is>
      </c>
      <c r="B9" t="inlineStr">
        <is>
          <t xml:space="preserve">Appeal</t>
        </is>
      </c>
      <c r="C9" t="inlineStr">
        <is>
          <t xml:space="preserve">gain</t>
        </is>
      </c>
      <c r="D9" t="inlineStr">
        <is>
          <t xml:space="preserve">ST01; ST09; ST10; ST11; ST12; ST13; ST14; ST15; ST16; ST17; ST18; ST27; ST31; ST33; ST54; ST37; ST47; ST80; ST90; ST95; ST51; ST57; ST77; ST60; ST63; ST66; ST69; ST74</t>
        </is>
      </c>
      <c r="E9" t="inlineStr">
        <is>
          <t xml:space="preserve">We can agree on this much.</t>
        </is>
      </c>
      <c r="F9" t="inlineStr">
        <is>
          <t xml:space="preserve">Let us find the common ground together.</t>
        </is>
      </c>
      <c r="G9" t="inlineStr">
        <is>
          <t xml:space="preserve">Every member here wants this to work.</t>
        </is>
      </c>
      <c r="H9" t="inlineStr">
        <is>
          <t xml:space="preserve">I am offering a way through.</t>
        </is>
      </c>
      <c r="I9" t="inlineStr">
        <is>
          <t xml:space="preserve">Join me and we all come out ahead.</t>
        </is>
      </c>
    </row>
    <row r="10">
      <c r="A10" t="inlineStr">
        <is>
          <t xml:space="preserve">PL09</t>
        </is>
      </c>
      <c r="B10" t="inlineStr">
        <is>
          <t xml:space="preserve">Appeal</t>
        </is>
      </c>
      <c r="C10" t="inlineStr">
        <is>
          <t xml:space="preserve">block</t>
        </is>
      </c>
      <c r="D10" t="inlineStr">
        <is>
          <t xml:space="preserve">ST01; ST09; ST10; ST11; ST12; ST13; ST14; ST15; ST16; ST17; ST18; ST27; ST31; ST33; ST54; ST37; ST47; ST80; ST90; ST95; ST51; ST57; ST77; ST60; ST63; ST66; ST69; ST74</t>
        </is>
      </c>
      <c r="E10" t="inlineStr">
        <is>
          <t xml:space="preserve">I am willing to work with every member.</t>
        </is>
      </c>
      <c r="F10" t="inlineStr">
        <is>
          <t xml:space="preserve">My door is open to you.</t>
        </is>
      </c>
      <c r="G10" t="inlineStr">
        <is>
          <t xml:space="preserve">We can find a compromise here.</t>
        </is>
      </c>
      <c r="H10" t="inlineStr">
        <is>
          <t xml:space="preserve">Let us not make this personal.</t>
        </is>
      </c>
      <c r="I10" t="inlineStr">
        <is>
          <t xml:space="preserve">I respect you as a colleague.</t>
        </is>
      </c>
    </row>
    <row r="11">
      <c r="A11" t="inlineStr">
        <is>
          <t xml:space="preserve">PL10</t>
        </is>
      </c>
      <c r="B11" t="inlineStr">
        <is>
          <t xml:space="preserve">Data Driven</t>
        </is>
      </c>
      <c r="C11" t="inlineStr">
        <is>
          <t xml:space="preserve">attack</t>
        </is>
      </c>
      <c r="D11" t="inlineStr">
        <is>
          <t xml:space="preserve">ST01; ST09; ST10; ST11; ST12; ST13; ST14; ST15; ST16; ST17; ST18; ST27; ST31; ST33; ST54; ST37; ST47; ST80; ST90; ST95; ST51; ST57; ST77; ST60; ST63; ST66; ST69; ST74</t>
        </is>
      </c>
      <c r="E11" t="inlineStr">
        <is>
          <t xml:space="preserve">The figures in your own report disagree.</t>
        </is>
      </c>
      <c r="F11" t="inlineStr">
        <is>
          <t xml:space="preserve">Your costs look understated.</t>
        </is>
      </c>
      <c r="G11" t="inlineStr">
        <is>
          <t xml:space="preserve">Show me the data behind that claim.</t>
        </is>
      </c>
      <c r="H11" t="inlineStr">
        <is>
          <t xml:space="preserve">The trend line says otherwise.</t>
        </is>
      </c>
      <c r="I11" t="inlineStr">
        <is>
          <t xml:space="preserve">That estimate does not survive scrutiny.</t>
        </is>
      </c>
    </row>
    <row r="12">
      <c r="A12" t="inlineStr">
        <is>
          <t xml:space="preserve">PL11</t>
        </is>
      </c>
      <c r="B12" t="inlineStr">
        <is>
          <t xml:space="preserve">Data Driven</t>
        </is>
      </c>
      <c r="C12" t="inlineStr">
        <is>
          <t xml:space="preserve">gain</t>
        </is>
      </c>
      <c r="D12" t="inlineStr">
        <is>
          <t xml:space="preserve">ST01; ST09; ST10; ST11; ST12; ST13; ST14; ST15; ST16; ST17; ST18; ST27; ST31; ST33; ST54; ST37; ST47; ST80; ST90; ST95; ST51; ST57; ST77; ST60; ST63; ST66; ST69; ST74</t>
        </is>
      </c>
      <c r="E12" t="inlineStr">
        <is>
          <t xml:space="preserve">The numbers make the case for me.</t>
        </is>
      </c>
      <c r="F12" t="inlineStr">
        <is>
          <t xml:space="preserve">Here is the evidence, line by line.</t>
        </is>
      </c>
      <c r="G12" t="inlineStr">
        <is>
          <t xml:space="preserve">Every projection points the same way.</t>
        </is>
      </c>
      <c r="H12" t="inlineStr">
        <is>
          <t xml:space="preserve">The audit supports this approach.</t>
        </is>
      </c>
      <c r="I12" t="inlineStr">
        <is>
          <t xml:space="preserve">Look at the results, not the rhetoric.</t>
        </is>
      </c>
    </row>
    <row r="13">
      <c r="A13" t="inlineStr">
        <is>
          <t xml:space="preserve">PL12</t>
        </is>
      </c>
      <c r="B13" t="inlineStr">
        <is>
          <t xml:space="preserve">Data Driven</t>
        </is>
      </c>
      <c r="C13" t="inlineStr">
        <is>
          <t xml:space="preserve">block</t>
        </is>
      </c>
      <c r="D13" t="inlineStr">
        <is>
          <t xml:space="preserve">ST01; ST09; ST10; ST11; ST12; ST13; ST14; ST15; ST16; ST17; ST18; ST27; ST31; ST33; ST54; ST37; ST47; ST80; ST90; ST95; ST51; ST57; ST77; ST60; ST63; ST66; ST69; ST74</t>
        </is>
      </c>
      <c r="E13" t="inlineStr">
        <is>
          <t xml:space="preserve">My figures are checked and sound.</t>
        </is>
      </c>
      <c r="F13" t="inlineStr">
        <is>
          <t xml:space="preserve">The method is set out in the appendix.</t>
        </is>
      </c>
      <c r="G13" t="inlineStr">
        <is>
          <t xml:space="preserve">The data speaks for itself.</t>
        </is>
      </c>
      <c r="H13" t="inlineStr">
        <is>
          <t xml:space="preserve">Any error is corrected on the record.</t>
        </is>
      </c>
      <c r="I13" t="inlineStr">
        <is>
          <t xml:space="preserve">Read the footnote and object if you can.</t>
        </is>
      </c>
    </row>
    <row r="14">
      <c r="A14" t="inlineStr">
        <is>
          <t xml:space="preserve">PL13</t>
        </is>
      </c>
      <c r="B14" t="inlineStr">
        <is>
          <t xml:space="preserve">Divisive</t>
        </is>
      </c>
      <c r="C14" t="inlineStr">
        <is>
          <t xml:space="preserve">attack</t>
        </is>
      </c>
      <c r="D14" t="inlineStr">
        <is>
          <t xml:space="preserve">ST01; ST09; ST10; ST11; ST12; ST13; ST14; ST15; ST16; ST17; ST18; ST27; ST31; ST33; ST54; ST37; ST47; ST80; ST90; ST95; ST51; ST57; ST77; ST60; ST63; ST66; ST69; ST74</t>
        </is>
      </c>
      <c r="E14" t="inlineStr">
        <is>
          <t xml:space="preserve">Your side created this mess.</t>
        </is>
      </c>
      <c r="F14" t="inlineStr">
        <is>
          <t xml:space="preserve">This is what your side does.</t>
        </is>
      </c>
      <c r="G14" t="inlineStr">
        <is>
          <t xml:space="preserve">Whose interests are you really defending?</t>
        </is>
      </c>
      <c r="H14" t="inlineStr">
        <is>
          <t xml:space="preserve">We know which side you are on.</t>
        </is>
      </c>
      <c r="I14" t="inlineStr">
        <is>
          <t xml:space="preserve">Do not lecture us about principles.</t>
        </is>
      </c>
    </row>
    <row r="15">
      <c r="A15" t="inlineStr">
        <is>
          <t xml:space="preserve">PL14</t>
        </is>
      </c>
      <c r="B15" t="inlineStr">
        <is>
          <t xml:space="preserve">Divisive</t>
        </is>
      </c>
      <c r="C15" t="inlineStr">
        <is>
          <t xml:space="preserve">gain</t>
        </is>
      </c>
      <c r="D15" t="inlineStr">
        <is>
          <t xml:space="preserve">ST01; ST09; ST10; ST11; ST12; ST13; ST14; ST15; ST16; ST17; ST18; ST27; ST31; ST33; ST54; ST37; ST47; ST80; ST90; ST95; ST51; ST57; ST77; ST60; ST63; ST66; ST69; ST74</t>
        </is>
      </c>
      <c r="E15" t="inlineStr">
        <is>
          <t xml:space="preserve">Our people will not be ignored.</t>
        </is>
      </c>
      <c r="F15" t="inlineStr">
        <is>
          <t xml:space="preserve">This is a line we will not cross.</t>
        </is>
      </c>
      <c r="G15" t="inlineStr">
        <is>
          <t xml:space="preserve">We stand for those you left behind.</t>
        </is>
      </c>
      <c r="H15" t="inlineStr">
        <is>
          <t xml:space="preserve">Pick a side. We know ours.</t>
        </is>
      </c>
      <c r="I15" t="inlineStr">
        <is>
          <t xml:space="preserve">Our supporters sent us here for this.</t>
        </is>
      </c>
    </row>
    <row r="16">
      <c r="A16" t="inlineStr">
        <is>
          <t xml:space="preserve">PL15</t>
        </is>
      </c>
      <c r="B16" t="inlineStr">
        <is>
          <t xml:space="preserve">Divisive</t>
        </is>
      </c>
      <c r="C16" t="inlineStr">
        <is>
          <t xml:space="preserve">block</t>
        </is>
      </c>
      <c r="D16" t="inlineStr">
        <is>
          <t xml:space="preserve">ST01; ST09; ST10; ST11; ST12; ST13; ST14; ST15; ST16; ST17; ST18; ST27; ST31; ST33; ST54; ST37; ST47; ST80; ST90; ST95; ST51; ST57; ST77; ST60; ST63; ST66; ST69; ST74</t>
        </is>
      </c>
      <c r="E16" t="inlineStr">
        <is>
          <t xml:space="preserve">I answer to my voters, not to you.</t>
        </is>
      </c>
      <c r="F16" t="inlineStr">
        <is>
          <t xml:space="preserve">Your side has no standing to judge.</t>
        </is>
      </c>
      <c r="G16" t="inlineStr">
        <is>
          <t xml:space="preserve">Spare us the outrage.</t>
        </is>
      </c>
      <c r="H16" t="inlineStr">
        <is>
          <t xml:space="preserve">We will not be shamed by you.</t>
        </is>
      </c>
      <c r="I16" t="inlineStr">
        <is>
          <t xml:space="preserve">I expect no better from your bench.</t>
        </is>
      </c>
    </row>
    <row r="17">
      <c r="A17" t="inlineStr">
        <is>
          <t xml:space="preserve">PL16</t>
        </is>
      </c>
      <c r="B17" t="inlineStr">
        <is>
          <t xml:space="preserve">Duplicitous</t>
        </is>
      </c>
      <c r="C17" t="inlineStr">
        <is>
          <t xml:space="preserve">attack</t>
        </is>
      </c>
      <c r="D17" t="inlineStr">
        <is>
          <t xml:space="preserve">ST01; ST09; ST10; ST11; ST12; ST13; ST14; ST15; ST16; ST17; ST18; ST27; ST31; ST33; ST54; ST37; ST47; ST80; ST90; ST95; ST51; ST57; ST77; ST60; ST63; ST66; ST69; ST74</t>
        </is>
      </c>
      <c r="E17" t="inlineStr">
        <is>
          <t xml:space="preserve">Interesting. Is that your private view?</t>
        </is>
      </c>
      <c r="F17" t="inlineStr">
        <is>
          <t xml:space="preserve">Others may see this differently.</t>
        </is>
      </c>
      <c r="G17" t="inlineStr">
        <is>
          <t xml:space="preserve">Perhaps the committee should see your notes.</t>
        </is>
      </c>
      <c r="H17" t="inlineStr">
        <is>
          <t xml:space="preserve">There are rumours about this deal.</t>
        </is>
      </c>
      <c r="I17" t="inlineStr">
        <is>
          <t xml:space="preserve">Funny how positions can move.</t>
        </is>
      </c>
    </row>
    <row r="18">
      <c r="A18" t="inlineStr">
        <is>
          <t xml:space="preserve">PL17</t>
        </is>
      </c>
      <c r="B18" t="inlineStr">
        <is>
          <t xml:space="preserve">Duplicitous</t>
        </is>
      </c>
      <c r="C18" t="inlineStr">
        <is>
          <t xml:space="preserve">gain</t>
        </is>
      </c>
      <c r="D18" t="inlineStr">
        <is>
          <t xml:space="preserve">ST01; ST09; ST10; ST11; ST12; ST13; ST14; ST15; ST16; ST17; ST18; ST27; ST31; ST33; ST54; ST37; ST47; ST80; ST90; ST95; ST51; ST57; ST77; ST60; ST63; ST66; ST69; ST74</t>
        </is>
      </c>
      <c r="E18" t="inlineStr">
        <is>
          <t xml:space="preserve">Of course, I support this.</t>
        </is>
      </c>
      <c r="F18" t="inlineStr">
        <is>
          <t xml:space="preserve">Let us say this was the plan.</t>
        </is>
      </c>
      <c r="G18" t="inlineStr">
        <is>
          <t xml:space="preserve">There may be room for a quiet arrangement.</t>
        </is>
      </c>
      <c r="H18" t="inlineStr">
        <is>
          <t xml:space="preserve">I can make sure the right people agree.</t>
        </is>
      </c>
      <c r="I18" t="inlineStr">
        <is>
          <t xml:space="preserve">Consider that my settled view.</t>
        </is>
      </c>
    </row>
    <row r="19">
      <c r="A19" t="inlineStr">
        <is>
          <t xml:space="preserve">PL18</t>
        </is>
      </c>
      <c r="B19" t="inlineStr">
        <is>
          <t xml:space="preserve">Duplicitous</t>
        </is>
      </c>
      <c r="C19" t="inlineStr">
        <is>
          <t xml:space="preserve">block</t>
        </is>
      </c>
      <c r="D19" t="inlineStr">
        <is>
          <t xml:space="preserve">ST01; ST09; ST10; ST11; ST12; ST13; ST14; ST15; ST16; ST17; ST18; ST27; ST31; ST33; ST54; ST37; ST47; ST80; ST90; ST95; ST51; ST57; ST77; ST60; ST63; ST66; ST69; ST74</t>
        </is>
      </c>
      <c r="E19" t="inlineStr">
        <is>
          <t xml:space="preserve">I do not recall the details.</t>
        </is>
      </c>
      <c r="F19" t="inlineStr">
        <is>
          <t xml:space="preserve">That is a matter of interpretation.</t>
        </is>
      </c>
      <c r="G19" t="inlineStr">
        <is>
          <t xml:space="preserve">Words can be read many ways.</t>
        </is>
      </c>
      <c r="H19" t="inlineStr">
        <is>
          <t xml:space="preserve">I will have to check my records.</t>
        </is>
      </c>
      <c r="I19" t="inlineStr">
        <is>
          <t xml:space="preserve">I would not put it quite that way.</t>
        </is>
      </c>
    </row>
    <row r="20">
      <c r="A20" t="inlineStr">
        <is>
          <t xml:space="preserve">PL19</t>
        </is>
      </c>
      <c r="B20" t="inlineStr">
        <is>
          <t xml:space="preserve">Data Driven</t>
        </is>
      </c>
      <c r="C20" t="inlineStr">
        <is>
          <t xml:space="preserve">attack</t>
        </is>
      </c>
      <c r="D20" t="inlineStr">
        <is>
          <t xml:space="preserve">ST24; ST25; ST26; ST27</t>
        </is>
      </c>
      <c r="E20" t="inlineStr">
        <is>
          <t xml:space="preserve">Which fares rise, and by how much?</t>
        </is>
      </c>
      <c r="F20" t="inlineStr">
        <is>
          <t xml:space="preserve">Show me the ridership figures.</t>
        </is>
      </c>
      <c r="G20" t="inlineStr">
        <is>
          <t xml:space="preserve">Name the line that earns its subsidy.</t>
        </is>
      </c>
      <c r="H20" t="inlineStr">
        <is>
          <t xml:space="preserve">Cost per passenger. Give me the number.</t>
        </is>
      </c>
      <c r="I20" t="inlineStr">
        <is>
          <t xml:space="preserve">Your timetable data does not add up.</t>
        </is>
      </c>
    </row>
    <row r="21">
      <c r="A21" t="inlineStr">
        <is>
          <t xml:space="preserve">PL20</t>
        </is>
      </c>
      <c r="B21" t="inlineStr">
        <is>
          <t xml:space="preserve">Data Driven</t>
        </is>
      </c>
      <c r="C21" t="inlineStr">
        <is>
          <t xml:space="preserve">attack</t>
        </is>
      </c>
      <c r="D21" t="inlineStr">
        <is>
          <t xml:space="preserve">ST24; ST25; ST26; ST27</t>
        </is>
      </c>
      <c r="E21" t="inlineStr">
        <is>
          <t xml:space="preserve">Is the operator in profit or loss?</t>
        </is>
      </c>
      <c r="F21" t="inlineStr">
        <is>
          <t xml:space="preserve">Where is the safety audit?</t>
        </is>
      </c>
      <c r="G21" t="inlineStr">
        <is>
          <t xml:space="preserve">The delay statistics tell a different story.</t>
        </is>
      </c>
      <c r="H21" t="inlineStr">
        <is>
          <t xml:space="preserve">Fares or service. You cannot cut both.</t>
        </is>
      </c>
      <c r="I21" t="inlineStr">
        <is>
          <t xml:space="preserve">Publish the numbers or withdraw the claim.</t>
        </is>
      </c>
    </row>
    <row r="22">
      <c r="A22" t="inlineStr">
        <is>
          <t xml:space="preserve">PL21</t>
        </is>
      </c>
      <c r="B22" t="inlineStr">
        <is>
          <t xml:space="preserve">Data Driven</t>
        </is>
      </c>
      <c r="C22" t="inlineStr">
        <is>
          <t xml:space="preserve">gain</t>
        </is>
      </c>
      <c r="D22" t="inlineStr">
        <is>
          <t xml:space="preserve">ST24; ST25; ST26; ST27</t>
        </is>
      </c>
      <c r="E22" t="inlineStr">
        <is>
          <t xml:space="preserve">The figures support a fare freeze.</t>
        </is>
      </c>
      <c r="F22" t="inlineStr">
        <is>
          <t xml:space="preserve">Ridership data points one way.</t>
        </is>
      </c>
      <c r="G22" t="inlineStr">
        <is>
          <t xml:space="preserve">Run the numbers. They hold up.</t>
        </is>
      </c>
      <c r="H22" t="inlineStr">
        <is>
          <t xml:space="preserve">Every line on this chart is sourced.</t>
        </is>
      </c>
      <c r="I22" t="inlineStr">
        <is>
          <t xml:space="preserve">The audit confirms the safety case.</t>
        </is>
      </c>
    </row>
    <row r="23">
      <c r="A23" t="inlineStr">
        <is>
          <t xml:space="preserve">PL22</t>
        </is>
      </c>
      <c r="B23" t="inlineStr">
        <is>
          <t xml:space="preserve">Data Driven</t>
        </is>
      </c>
      <c r="C23" t="inlineStr">
        <is>
          <t xml:space="preserve">gain</t>
        </is>
      </c>
      <c r="D23" t="inlineStr">
        <is>
          <t xml:space="preserve">ST24; ST25; ST26; ST27</t>
        </is>
      </c>
      <c r="E23" t="inlineStr">
        <is>
          <t xml:space="preserve">Compare cost per rider across all lines.</t>
        </is>
      </c>
      <c r="F23" t="inlineStr">
        <is>
          <t xml:space="preserve">Delays fall when timetables follow demand.</t>
        </is>
      </c>
      <c r="G23" t="inlineStr">
        <is>
          <t xml:space="preserve">The evidence is in the appendix.</t>
        </is>
      </c>
      <c r="H23" t="inlineStr">
        <is>
          <t xml:space="preserve">A fare cap costs less than empty trains.</t>
        </is>
      </c>
      <c r="I23" t="inlineStr">
        <is>
          <t xml:space="preserve">Check the figures. I will wait.</t>
        </is>
      </c>
    </row>
    <row r="24">
      <c r="A24" t="inlineStr">
        <is>
          <t xml:space="preserve">PL23</t>
        </is>
      </c>
      <c r="B24" t="inlineStr">
        <is>
          <t xml:space="preserve">Data Driven</t>
        </is>
      </c>
      <c r="C24" t="inlineStr">
        <is>
          <t xml:space="preserve">block</t>
        </is>
      </c>
      <c r="D24" t="inlineStr">
        <is>
          <t xml:space="preserve">ST24; ST25; ST26; ST27</t>
        </is>
      </c>
      <c r="E24" t="inlineStr">
        <is>
          <t xml:space="preserve">Those figures are audited and public.</t>
        </is>
      </c>
      <c r="F24" t="inlineStr">
        <is>
          <t xml:space="preserve">The data does not support that claim.</t>
        </is>
      </c>
      <c r="G24" t="inlineStr">
        <is>
          <t xml:space="preserve">Read the source before you object.</t>
        </is>
      </c>
      <c r="H24" t="inlineStr">
        <is>
          <t xml:space="preserve">Cite the table. I will answer.</t>
        </is>
      </c>
      <c r="I24" t="inlineStr">
        <is>
          <t xml:space="preserve">Averages hide the variation by line.</t>
        </is>
      </c>
    </row>
    <row r="25">
      <c r="A25" t="inlineStr">
        <is>
          <t xml:space="preserve">PL24</t>
        </is>
      </c>
      <c r="B25" t="inlineStr">
        <is>
          <t xml:space="preserve">Data Driven</t>
        </is>
      </c>
      <c r="C25" t="inlineStr">
        <is>
          <t xml:space="preserve">block</t>
        </is>
      </c>
      <c r="D25" t="inlineStr">
        <is>
          <t xml:space="preserve">ST24; ST25; ST26; ST27</t>
        </is>
      </c>
      <c r="E25" t="inlineStr">
        <is>
          <t xml:space="preserve">The methodology is on the record.</t>
        </is>
      </c>
      <c r="F25" t="inlineStr">
        <is>
          <t xml:space="preserve">Correlation is not cause on this chart.</t>
        </is>
      </c>
      <c r="G25" t="inlineStr">
        <is>
          <t xml:space="preserve">Ask the operator for the raw data.</t>
        </is>
      </c>
      <c r="H25" t="inlineStr">
        <is>
          <t xml:space="preserve">Your sample is too small to matter.</t>
        </is>
      </c>
      <c r="I25" t="inlineStr">
        <is>
          <t xml:space="preserve">Check the denominator first.</t>
        </is>
      </c>
    </row>
    <row r="26">
      <c r="A26" t="inlineStr">
        <is>
          <t xml:space="preserve">PL25</t>
        </is>
      </c>
      <c r="B26" t="inlineStr">
        <is>
          <t xml:space="preserve">Emotional</t>
        </is>
      </c>
      <c r="C26" t="inlineStr">
        <is>
          <t xml:space="preserve">attack</t>
        </is>
      </c>
      <c r="D26" t="inlineStr">
        <is>
          <t xml:space="preserve">ST24; ST25; ST26; ST27</t>
        </is>
      </c>
      <c r="E26" t="inlineStr">
        <is>
          <t xml:space="preserve">Think of the night-shift nurse waiting!</t>
        </is>
      </c>
      <c r="F26" t="inlineStr">
        <is>
          <t xml:space="preserve">Families are counting every yen!</t>
        </is>
      </c>
      <c r="G26" t="inlineStr">
        <is>
          <t xml:space="preserve">Seniors cannot climb those stairs!</t>
        </is>
      </c>
      <c r="H26" t="inlineStr">
        <is>
          <t xml:space="preserve">Students skip meals to afford fares!</t>
        </is>
      </c>
      <c r="I26" t="inlineStr">
        <is>
          <t xml:space="preserve">Tell the commuters to their faces!</t>
        </is>
      </c>
    </row>
    <row r="27">
      <c r="A27" t="inlineStr">
        <is>
          <t xml:space="preserve">PL26</t>
        </is>
      </c>
      <c r="B27" t="inlineStr">
        <is>
          <t xml:space="preserve">Emotional</t>
        </is>
      </c>
      <c r="C27" t="inlineStr">
        <is>
          <t xml:space="preserve">attack</t>
        </is>
      </c>
      <c r="D27" t="inlineStr">
        <is>
          <t xml:space="preserve">ST24; ST25; ST26; ST27</t>
        </is>
      </c>
      <c r="E27" t="inlineStr">
        <is>
          <t xml:space="preserve">Real people ride these trains!</t>
        </is>
      </c>
      <c r="F27" t="inlineStr">
        <is>
          <t xml:space="preserve">A ticket is a week of groceries!</t>
        </is>
      </c>
      <c r="G27" t="inlineStr">
        <is>
          <t xml:space="preserve">Who speaks for the people on the platform?</t>
        </is>
      </c>
      <c r="H27" t="inlineStr">
        <is>
          <t xml:space="preserve">Explain this to a tired parent!</t>
        </is>
      </c>
      <c r="I27" t="inlineStr">
        <is>
          <t xml:space="preserve">Remember who pays at the turnstile!</t>
        </is>
      </c>
    </row>
    <row r="28">
      <c r="A28" t="inlineStr">
        <is>
          <t xml:space="preserve">PL27</t>
        </is>
      </c>
      <c r="B28" t="inlineStr">
        <is>
          <t xml:space="preserve">Emotional</t>
        </is>
      </c>
      <c r="C28" t="inlineStr">
        <is>
          <t xml:space="preserve">gain</t>
        </is>
      </c>
      <c r="D28" t="inlineStr">
        <is>
          <t xml:space="preserve">ST24; ST25; ST26; ST27</t>
        </is>
      </c>
      <c r="E28" t="inlineStr">
        <is>
          <t xml:space="preserve">I ride these lines with you!</t>
        </is>
      </c>
      <c r="F28" t="inlineStr">
        <is>
          <t xml:space="preserve">Every commuter deserves a safe platform!</t>
        </is>
      </c>
      <c r="G28" t="inlineStr">
        <is>
          <t xml:space="preserve">Together we keep the trains running!</t>
        </is>
      </c>
      <c r="H28" t="inlineStr">
        <is>
          <t xml:space="preserve">This fight is for every rider!</t>
        </is>
      </c>
      <c r="I28" t="inlineStr">
        <is>
          <t xml:space="preserve">I will not let fares crush families!</t>
        </is>
      </c>
    </row>
    <row r="29">
      <c r="A29" t="inlineStr">
        <is>
          <t xml:space="preserve">PL28</t>
        </is>
      </c>
      <c r="B29" t="inlineStr">
        <is>
          <t xml:space="preserve">Emotional</t>
        </is>
      </c>
      <c r="C29" t="inlineStr">
        <is>
          <t xml:space="preserve">gain</t>
        </is>
      </c>
      <c r="D29" t="inlineStr">
        <is>
          <t xml:space="preserve">ST24; ST25; ST26; ST27</t>
        </is>
      </c>
      <c r="E29" t="inlineStr">
        <is>
          <t xml:space="preserve">Our towns need their trains!</t>
        </is>
      </c>
      <c r="F29" t="inlineStr">
        <is>
          <t xml:space="preserve">No one should dread the ticket machine!</t>
        </is>
      </c>
      <c r="G29" t="inlineStr">
        <is>
          <t xml:space="preserve">This is about dignity on the commute!</t>
        </is>
      </c>
      <c r="H29" t="inlineStr">
        <is>
          <t xml:space="preserve">Hear the riders. They are right!</t>
        </is>
      </c>
      <c r="I29" t="inlineStr">
        <is>
          <t xml:space="preserve">Let us fix this together!</t>
        </is>
      </c>
    </row>
    <row r="30">
      <c r="A30" t="inlineStr">
        <is>
          <t xml:space="preserve">PL29</t>
        </is>
      </c>
      <c r="B30" t="inlineStr">
        <is>
          <t xml:space="preserve">Emotional</t>
        </is>
      </c>
      <c r="C30" t="inlineStr">
        <is>
          <t xml:space="preserve">block</t>
        </is>
      </c>
      <c r="D30" t="inlineStr">
        <is>
          <t xml:space="preserve">ST24; ST25; ST26; ST27</t>
        </is>
      </c>
      <c r="E30" t="inlineStr">
        <is>
          <t xml:space="preserve">Do not use their struggle as a weapon!</t>
        </is>
      </c>
      <c r="F30" t="inlineStr">
        <is>
          <t xml:space="preserve">I care about riders more than you know!</t>
        </is>
      </c>
      <c r="G30" t="inlineStr">
        <is>
          <t xml:space="preserve">Leave families out of your argument!</t>
        </is>
      </c>
      <c r="H30" t="inlineStr">
        <is>
          <t xml:space="preserve">My heart is with the commuters!</t>
        </is>
      </c>
      <c r="I30" t="inlineStr">
        <is>
          <t xml:space="preserve">Do not twist their stories!</t>
        </is>
      </c>
    </row>
    <row r="31">
      <c r="A31" t="inlineStr">
        <is>
          <t xml:space="preserve">PL30</t>
        </is>
      </c>
      <c r="B31" t="inlineStr">
        <is>
          <t xml:space="preserve">Emotional</t>
        </is>
      </c>
      <c r="C31" t="inlineStr">
        <is>
          <t xml:space="preserve">block</t>
        </is>
      </c>
      <c r="D31" t="inlineStr">
        <is>
          <t xml:space="preserve">ST24; ST25; ST26; ST27</t>
        </is>
      </c>
      <c r="E31" t="inlineStr">
        <is>
          <t xml:space="preserve">Compassion is not weakness!</t>
        </is>
      </c>
      <c r="F31" t="inlineStr">
        <is>
          <t xml:space="preserve">Riders deserve respect, not slogans!</t>
        </is>
      </c>
      <c r="G31" t="inlineStr">
        <is>
          <t xml:space="preserve">Their fears are real. Mine too!</t>
        </is>
      </c>
      <c r="H31" t="inlineStr">
        <is>
          <t xml:space="preserve">Do not wave their pain around!</t>
        </is>
      </c>
      <c r="I31" t="inlineStr">
        <is>
          <t xml:space="preserve">I stand with them, whatever you say!</t>
        </is>
      </c>
    </row>
    <row r="32">
      <c r="A32" t="inlineStr">
        <is>
          <t xml:space="preserve">PL31</t>
        </is>
      </c>
      <c r="B32" t="inlineStr">
        <is>
          <t xml:space="preserve">Earnest</t>
        </is>
      </c>
      <c r="C32" t="inlineStr">
        <is>
          <t xml:space="preserve">attack</t>
        </is>
      </c>
      <c r="D32" t="inlineStr">
        <is>
          <t xml:space="preserve">ST28; ST29; ST30; ST31</t>
        </is>
      </c>
      <c r="E32" t="inlineStr">
        <is>
          <t xml:space="preserve">Name the boat that fishes illegally.</t>
        </is>
      </c>
      <c r="F32" t="inlineStr">
        <is>
          <t xml:space="preserve">I have read the quota report.</t>
        </is>
      </c>
      <c r="G32" t="inlineStr">
        <is>
          <t xml:space="preserve">The catch figures do not support you.</t>
        </is>
      </c>
      <c r="H32" t="inlineStr">
        <is>
          <t xml:space="preserve">Plainly, the quota system is failing.</t>
        </is>
      </c>
      <c r="I32" t="inlineStr">
        <is>
          <t xml:space="preserve">Stand behind your label or remove it.</t>
        </is>
      </c>
    </row>
    <row r="33">
      <c r="A33" t="inlineStr">
        <is>
          <t xml:space="preserve">PL32</t>
        </is>
      </c>
      <c r="B33" t="inlineStr">
        <is>
          <t xml:space="preserve">Earnest</t>
        </is>
      </c>
      <c r="C33" t="inlineStr">
        <is>
          <t xml:space="preserve">attack</t>
        </is>
      </c>
      <c r="D33" t="inlineStr">
        <is>
          <t xml:space="preserve">ST28; ST29; ST30; ST31</t>
        </is>
      </c>
      <c r="E33" t="inlineStr">
        <is>
          <t xml:space="preserve">I want honest catch reports.</t>
        </is>
      </c>
      <c r="F33" t="inlineStr">
        <is>
          <t xml:space="preserve">Small boats deserve a fair share.</t>
        </is>
      </c>
      <c r="G33" t="inlineStr">
        <is>
          <t xml:space="preserve">I will not accept hidden quotas.</t>
        </is>
      </c>
      <c r="H33" t="inlineStr">
        <is>
          <t xml:space="preserve">Own the problem. Then fix it.</t>
        </is>
      </c>
      <c r="I33" t="inlineStr">
        <is>
          <t xml:space="preserve">Your plan leaves the harbours behind.</t>
        </is>
      </c>
    </row>
    <row r="34">
      <c r="A34" t="inlineStr">
        <is>
          <t xml:space="preserve">PL33</t>
        </is>
      </c>
      <c r="B34" t="inlineStr">
        <is>
          <t xml:space="preserve">Earnest</t>
        </is>
      </c>
      <c r="C34" t="inlineStr">
        <is>
          <t xml:space="preserve">gain</t>
        </is>
      </c>
      <c r="D34" t="inlineStr">
        <is>
          <t xml:space="preserve">ST28; ST29; ST30; ST31</t>
        </is>
      </c>
      <c r="E34" t="inlineStr">
        <is>
          <t xml:space="preserve">I will fix the harbour wall.</t>
        </is>
      </c>
      <c r="F34" t="inlineStr">
        <is>
          <t xml:space="preserve">Here is my plan for the quotas.</t>
        </is>
      </c>
      <c r="G34" t="inlineStr">
        <is>
          <t xml:space="preserve">Judge me by the catch limits.</t>
        </is>
      </c>
      <c r="H34" t="inlineStr">
        <is>
          <t xml:space="preserve">I will check every label myself.</t>
        </is>
      </c>
      <c r="I34" t="inlineStr">
        <is>
          <t xml:space="preserve">Plainly: family boats come first.</t>
        </is>
      </c>
    </row>
    <row r="35">
      <c r="A35" t="inlineStr">
        <is>
          <t xml:space="preserve">PL34</t>
        </is>
      </c>
      <c r="B35" t="inlineStr">
        <is>
          <t xml:space="preserve">Earnest</t>
        </is>
      </c>
      <c r="C35" t="inlineStr">
        <is>
          <t xml:space="preserve">gain</t>
        </is>
      </c>
      <c r="D35" t="inlineStr">
        <is>
          <t xml:space="preserve">ST28; ST29; ST30; ST31</t>
        </is>
      </c>
      <c r="E35" t="inlineStr">
        <is>
          <t xml:space="preserve">I will protect honest fishers.</t>
        </is>
      </c>
      <c r="F35" t="inlineStr">
        <is>
          <t xml:space="preserve">My position on quotas is simple.</t>
        </is>
      </c>
      <c r="G35" t="inlineStr">
        <is>
          <t xml:space="preserve">I will answer to the harbour.</t>
        </is>
      </c>
      <c r="H35" t="inlineStr">
        <is>
          <t xml:space="preserve">No label should mislead a shopper.</t>
        </is>
      </c>
      <c r="I35" t="inlineStr">
        <is>
          <t xml:space="preserve">I will keep this fair.</t>
        </is>
      </c>
    </row>
    <row r="36">
      <c r="A36" t="inlineStr">
        <is>
          <t xml:space="preserve">PL35</t>
        </is>
      </c>
      <c r="B36" t="inlineStr">
        <is>
          <t xml:space="preserve">Earnest</t>
        </is>
      </c>
      <c r="C36" t="inlineStr">
        <is>
          <t xml:space="preserve">block</t>
        </is>
      </c>
      <c r="D36" t="inlineStr">
        <is>
          <t xml:space="preserve">ST28; ST29; ST30; ST31</t>
        </is>
      </c>
      <c r="E36" t="inlineStr">
        <is>
          <t xml:space="preserve">My answer on quotas is plain.</t>
        </is>
      </c>
      <c r="F36" t="inlineStr">
        <is>
          <t xml:space="preserve">I have nothing to hide on catch limits.</t>
        </is>
      </c>
      <c r="G36" t="inlineStr">
        <is>
          <t xml:space="preserve">The record on catch limits is public.</t>
        </is>
      </c>
      <c r="H36" t="inlineStr">
        <is>
          <t xml:space="preserve">I take responsibility for this plan.</t>
        </is>
      </c>
      <c r="I36" t="inlineStr">
        <is>
          <t xml:space="preserve">Check the quota rules yourself.</t>
        </is>
      </c>
    </row>
    <row r="37">
      <c r="A37" t="inlineStr">
        <is>
          <t xml:space="preserve">PL36</t>
        </is>
      </c>
      <c r="B37" t="inlineStr">
        <is>
          <t xml:space="preserve">Earnest</t>
        </is>
      </c>
      <c r="C37" t="inlineStr">
        <is>
          <t xml:space="preserve">block</t>
        </is>
      </c>
      <c r="D37" t="inlineStr">
        <is>
          <t xml:space="preserve">ST28; ST29; ST30; ST31</t>
        </is>
      </c>
      <c r="E37" t="inlineStr">
        <is>
          <t xml:space="preserve">I own what the plan costs.</t>
        </is>
      </c>
      <c r="F37" t="inlineStr">
        <is>
          <t xml:space="preserve">Fair quotas are the whole point.</t>
        </is>
      </c>
      <c r="G37" t="inlineStr">
        <is>
          <t xml:space="preserve">I will not dodge on labelling.</t>
        </is>
      </c>
      <c r="H37" t="inlineStr">
        <is>
          <t xml:space="preserve">The report says otherwise.</t>
        </is>
      </c>
      <c r="I37" t="inlineStr">
        <is>
          <t xml:space="preserve">Honest labels protect honest fishers.</t>
        </is>
      </c>
    </row>
    <row r="38">
      <c r="A38" t="inlineStr">
        <is>
          <t xml:space="preserve">PL37</t>
        </is>
      </c>
      <c r="B38" t="inlineStr">
        <is>
          <t xml:space="preserve">Appeal</t>
        </is>
      </c>
      <c r="C38" t="inlineStr">
        <is>
          <t xml:space="preserve">attack</t>
        </is>
      </c>
      <c r="D38" t="inlineStr">
        <is>
          <t xml:space="preserve">ST28; ST29; ST30; ST31</t>
        </is>
      </c>
      <c r="E38" t="inlineStr">
        <is>
          <t xml:space="preserve">Harbour towns stand together. Whose side are you on?</t>
        </is>
      </c>
      <c r="F38" t="inlineStr">
        <is>
          <t xml:space="preserve">We all eat the catch. Be fair.</t>
        </is>
      </c>
      <c r="G38" t="inlineStr">
        <is>
          <t xml:space="preserve">Friends of the harbour know better.</t>
        </is>
      </c>
      <c r="H38" t="inlineStr">
        <is>
          <t xml:space="preserve">Surely we want fair labels together.</t>
        </is>
      </c>
      <c r="I38" t="inlineStr">
        <is>
          <t xml:space="preserve">Good neighbours do not hide quotas.</t>
        </is>
      </c>
    </row>
    <row r="39">
      <c r="A39" t="inlineStr">
        <is>
          <t xml:space="preserve">PL38</t>
        </is>
      </c>
      <c r="B39" t="inlineStr">
        <is>
          <t xml:space="preserve">Appeal</t>
        </is>
      </c>
      <c r="C39" t="inlineStr">
        <is>
          <t xml:space="preserve">attack</t>
        </is>
      </c>
      <c r="D39" t="inlineStr">
        <is>
          <t xml:space="preserve">ST28; ST29; ST30; ST31</t>
        </is>
      </c>
      <c r="E39" t="inlineStr">
        <is>
          <t xml:space="preserve">We share these waters. Share the quota.</t>
        </is>
      </c>
      <c r="F39" t="inlineStr">
        <is>
          <t xml:space="preserve">Our fishing towns deserve better from you.</t>
        </is>
      </c>
      <c r="G39" t="inlineStr">
        <is>
          <t xml:space="preserve">Be a friend to the harbour.</t>
        </is>
      </c>
      <c r="H39" t="inlineStr">
        <is>
          <t xml:space="preserve">Together we can do better than this.</t>
        </is>
      </c>
      <c r="I39" t="inlineStr">
        <is>
          <t xml:space="preserve">A good turn deserves a fair quota.</t>
        </is>
      </c>
    </row>
    <row r="40">
      <c r="A40" t="inlineStr">
        <is>
          <t xml:space="preserve">PL39</t>
        </is>
      </c>
      <c r="B40" t="inlineStr">
        <is>
          <t xml:space="preserve">Appeal</t>
        </is>
      </c>
      <c r="C40" t="inlineStr">
        <is>
          <t xml:space="preserve">gain</t>
        </is>
      </c>
      <c r="D40" t="inlineStr">
        <is>
          <t xml:space="preserve">ST28; ST29; ST30; ST31</t>
        </is>
      </c>
      <c r="E40" t="inlineStr">
        <is>
          <t xml:space="preserve">We will keep our harbours alive.</t>
        </is>
      </c>
      <c r="F40" t="inlineStr">
        <is>
          <t xml:space="preserve">Together we protect the family boats.</t>
        </is>
      </c>
      <c r="G40" t="inlineStr">
        <is>
          <t xml:space="preserve">Our fishing towns are one family.</t>
        </is>
      </c>
      <c r="H40" t="inlineStr">
        <is>
          <t xml:space="preserve">We all gain from honest labels.</t>
        </is>
      </c>
      <c r="I40" t="inlineStr">
        <is>
          <t xml:space="preserve">Let us steady the harbour together.</t>
        </is>
      </c>
    </row>
    <row r="41">
      <c r="A41" t="inlineStr">
        <is>
          <t xml:space="preserve">PL40</t>
        </is>
      </c>
      <c r="B41" t="inlineStr">
        <is>
          <t xml:space="preserve">Appeal</t>
        </is>
      </c>
      <c r="C41" t="inlineStr">
        <is>
          <t xml:space="preserve">gain</t>
        </is>
      </c>
      <c r="D41" t="inlineStr">
        <is>
          <t xml:space="preserve">ST28; ST29; ST30; ST31</t>
        </is>
      </c>
      <c r="E41" t="inlineStr">
        <is>
          <t xml:space="preserve">Friends, the sea feeds us all.</t>
        </is>
      </c>
      <c r="F41" t="inlineStr">
        <is>
          <t xml:space="preserve">We are stronger fishing as one.</t>
        </is>
      </c>
      <c r="G41" t="inlineStr">
        <is>
          <t xml:space="preserve">Stand with the harbour and with me.</t>
        </is>
      </c>
      <c r="H41" t="inlineStr">
        <is>
          <t xml:space="preserve">Our shared catch deserves our shared care.</t>
        </is>
      </c>
      <c r="I41" t="inlineStr">
        <is>
          <t xml:space="preserve">I know we agree on the sea.</t>
        </is>
      </c>
    </row>
    <row r="42">
      <c r="A42" t="inlineStr">
        <is>
          <t xml:space="preserve">PL41</t>
        </is>
      </c>
      <c r="B42" t="inlineStr">
        <is>
          <t xml:space="preserve">Appeal</t>
        </is>
      </c>
      <c r="C42" t="inlineStr">
        <is>
          <t xml:space="preserve">block</t>
        </is>
      </c>
      <c r="D42" t="inlineStr">
        <is>
          <t xml:space="preserve">ST28; ST29; ST30; ST31</t>
        </is>
      </c>
      <c r="E42" t="inlineStr">
        <is>
          <t xml:space="preserve">We can settle this like neighbours.</t>
        </is>
      </c>
      <c r="F42" t="inlineStr">
        <is>
          <t xml:space="preserve">Let us not divide the harbour.</t>
        </is>
      </c>
      <c r="G42" t="inlineStr">
        <is>
          <t xml:space="preserve">We are all on the same boat.</t>
        </is>
      </c>
      <c r="H42" t="inlineStr">
        <is>
          <t xml:space="preserve">Our towns need calm, not quarrels.</t>
        </is>
      </c>
      <c r="I42" t="inlineStr">
        <is>
          <t xml:space="preserve">We agree on more than we say.</t>
        </is>
      </c>
    </row>
    <row r="43">
      <c r="A43" t="inlineStr">
        <is>
          <t xml:space="preserve">PL42</t>
        </is>
      </c>
      <c r="B43" t="inlineStr">
        <is>
          <t xml:space="preserve">Appeal</t>
        </is>
      </c>
      <c r="C43" t="inlineStr">
        <is>
          <t xml:space="preserve">block</t>
        </is>
      </c>
      <c r="D43" t="inlineStr">
        <is>
          <t xml:space="preserve">ST28; ST29; ST30; ST31</t>
        </is>
      </c>
      <c r="E43" t="inlineStr">
        <is>
          <t xml:space="preserve">Good neighbours find the middle ground.</t>
        </is>
      </c>
      <c r="F43" t="inlineStr">
        <is>
          <t xml:space="preserve">Do not turn friends against friends.</t>
        </is>
      </c>
      <c r="G43" t="inlineStr">
        <is>
          <t xml:space="preserve">Let us keep the harbour united.</t>
        </is>
      </c>
      <c r="H43" t="inlineStr">
        <is>
          <t xml:space="preserve">We share the same tide.</t>
        </is>
      </c>
      <c r="I43" t="inlineStr">
        <is>
          <t xml:space="preserve">There is room for everyone's boat.</t>
        </is>
      </c>
    </row>
    <row r="44">
      <c r="A44" t="inlineStr">
        <is>
          <t xml:space="preserve">PL43</t>
        </is>
      </c>
      <c r="B44" t="inlineStr">
        <is>
          <t xml:space="preserve">Earnest</t>
        </is>
      </c>
      <c r="C44" t="inlineStr">
        <is>
          <t xml:space="preserve">attack</t>
        </is>
      </c>
      <c r="D44" t="inlineStr">
        <is>
          <t xml:space="preserve">ST01; ST09; ST10; ST11; ST12; ST13; ST14; ST15; ST16; ST17; ST18; ST27; ST31; ST33; ST54; ST37; ST47; ST80; ST90; ST95; ST51; ST57; ST77; ST60; ST63; ST66; ST69; ST74</t>
        </is>
      </c>
      <c r="E44" t="inlineStr">
        <is>
          <t xml:space="preserve">I read your submission. It falls short.</t>
        </is>
      </c>
      <c r="F44" t="inlineStr">
        <is>
          <t xml:space="preserve">Honest answers are owed to this committee.</t>
        </is>
      </c>
      <c r="G44" t="inlineStr">
        <is>
          <t xml:space="preserve">Which commitment will you actually keep?</t>
        </is>
      </c>
      <c r="H44" t="inlineStr">
        <is>
          <t xml:space="preserve">Own the failures in your own plan.</t>
        </is>
      </c>
      <c r="I44" t="inlineStr">
        <is>
          <t xml:space="preserve">Members deserve more than assurances.</t>
        </is>
      </c>
    </row>
    <row r="45">
      <c r="A45" t="inlineStr">
        <is>
          <t xml:space="preserve">PL44</t>
        </is>
      </c>
      <c r="B45" t="inlineStr">
        <is>
          <t xml:space="preserve">Earnest</t>
        </is>
      </c>
      <c r="C45" t="inlineStr">
        <is>
          <t xml:space="preserve">gain</t>
        </is>
      </c>
      <c r="D45" t="inlineStr">
        <is>
          <t xml:space="preserve">ST01; ST09; ST10; ST11; ST12; ST13; ST14; ST15; ST16; ST17; ST18; ST27; ST31; ST33; ST54; ST37; ST47; ST80; ST90; ST95; ST51; ST57; ST77; ST60; ST63; ST66; ST69; ST74</t>
        </is>
      </c>
      <c r="E45" t="inlineStr">
        <is>
          <t xml:space="preserve">I will return with whatever you require.</t>
        </is>
      </c>
      <c r="F45" t="inlineStr">
        <is>
          <t xml:space="preserve">I take this committee's concerns seriously.</t>
        </is>
      </c>
      <c r="G45" t="inlineStr">
        <is>
          <t xml:space="preserve">I will put my commitments in writing.</t>
        </is>
      </c>
      <c r="H45" t="inlineStr">
        <is>
          <t xml:space="preserve">Hold me accountable to this committee.</t>
        </is>
      </c>
      <c r="I45" t="inlineStr">
        <is>
          <t xml:space="preserve">I answer for every word.</t>
        </is>
      </c>
    </row>
    <row r="46">
      <c r="A46" t="inlineStr">
        <is>
          <t xml:space="preserve">PL45</t>
        </is>
      </c>
      <c r="B46" t="inlineStr">
        <is>
          <t xml:space="preserve">Earnest</t>
        </is>
      </c>
      <c r="C46" t="inlineStr">
        <is>
          <t xml:space="preserve">block</t>
        </is>
      </c>
      <c r="D46" t="inlineStr">
        <is>
          <t xml:space="preserve">ST01; ST09; ST10; ST11; ST12; ST13; ST14; ST15; ST16; ST17; ST18; ST27; ST31; ST33; ST54; ST37; ST47; ST80; ST90; ST95; ST51; ST57; ST77; ST60; ST63; ST66; ST69; ST74</t>
        </is>
      </c>
      <c r="E46" t="inlineStr">
        <is>
          <t xml:space="preserve">I stand behind the work as submitted.</t>
        </is>
      </c>
      <c r="F46" t="inlineStr">
        <is>
          <t xml:space="preserve">The record is open for inspection.</t>
        </is>
      </c>
      <c r="G46" t="inlineStr">
        <is>
          <t xml:space="preserve">I admit the gaps and will close them.</t>
        </is>
      </c>
      <c r="H46" t="inlineStr">
        <is>
          <t xml:space="preserve">My answers are the same in any room.</t>
        </is>
      </c>
      <c r="I46" t="inlineStr">
        <is>
          <t xml:space="preserve">I accept the committee's scrutiny.</t>
        </is>
      </c>
    </row>
    <row r="47">
      <c r="A47" t="inlineStr">
        <is>
          <t xml:space="preserve">PL46</t>
        </is>
      </c>
      <c r="B47" t="inlineStr">
        <is>
          <t xml:space="preserve">Emotional</t>
        </is>
      </c>
      <c r="C47" t="inlineStr">
        <is>
          <t xml:space="preserve">attack</t>
        </is>
      </c>
      <c r="D47" t="inlineStr">
        <is>
          <t xml:space="preserve">ST01; ST09; ST10; ST11; ST12; ST13; ST14; ST15; ST16; ST17; ST18; ST27; ST31; ST33; ST54; ST37; ST47; ST80; ST90; ST95; ST51; ST57; ST77; ST60; ST63; ST66; ST69; ST74</t>
        </is>
      </c>
      <c r="E47" t="inlineStr">
        <is>
          <t xml:space="preserve">People depend on this committee getting it right!</t>
        </is>
      </c>
      <c r="F47" t="inlineStr">
        <is>
          <t xml:space="preserve">Do not treat families as statistics!</t>
        </is>
      </c>
      <c r="G47" t="inlineStr">
        <is>
          <t xml:space="preserve">Members, hear the people outside!</t>
        </is>
      </c>
      <c r="H47" t="inlineStr">
        <is>
          <t xml:space="preserve">Real lives ride on these words!</t>
        </is>
      </c>
      <c r="I47" t="inlineStr">
        <is>
          <t xml:space="preserve">This is not an abstract exercise!</t>
        </is>
      </c>
    </row>
    <row r="48">
      <c r="A48" t="inlineStr">
        <is>
          <t xml:space="preserve">PL47</t>
        </is>
      </c>
      <c r="B48" t="inlineStr">
        <is>
          <t xml:space="preserve">Emotional</t>
        </is>
      </c>
      <c r="C48" t="inlineStr">
        <is>
          <t xml:space="preserve">gain</t>
        </is>
      </c>
      <c r="D48" t="inlineStr">
        <is>
          <t xml:space="preserve">ST01; ST09; ST10; ST11; ST12; ST13; ST14; ST15; ST16; ST17; ST18; ST27; ST31; ST33; ST54; ST37; ST47; ST80; ST90; ST95; ST51; ST57; ST77; ST60; ST63; ST66; ST69; ST74</t>
        </is>
      </c>
      <c r="E48" t="inlineStr">
        <is>
          <t xml:space="preserve">I care deeply about the people affected!</t>
        </is>
      </c>
      <c r="F48" t="inlineStr">
        <is>
          <t xml:space="preserve">I speak for those with no seat here!</t>
        </is>
      </c>
      <c r="G48" t="inlineStr">
        <is>
          <t xml:space="preserve">Members, our decision touches real homes!</t>
        </is>
      </c>
      <c r="H48" t="inlineStr">
        <is>
          <t xml:space="preserve">I will not forget who is waiting!</t>
        </is>
      </c>
      <c r="I48" t="inlineStr">
        <is>
          <t xml:space="preserve">This work matters to me personally!</t>
        </is>
      </c>
    </row>
    <row r="49">
      <c r="A49" t="inlineStr">
        <is>
          <t xml:space="preserve">PL48</t>
        </is>
      </c>
      <c r="B49" t="inlineStr">
        <is>
          <t xml:space="preserve">Emotional</t>
        </is>
      </c>
      <c r="C49" t="inlineStr">
        <is>
          <t xml:space="preserve">block</t>
        </is>
      </c>
      <c r="D49" t="inlineStr">
        <is>
          <t xml:space="preserve">ST01; ST09; ST10; ST11; ST12; ST13; ST14; ST15; ST16; ST17; ST18; ST27; ST31; ST33; ST54; ST37; ST47; ST80; ST90; ST95; ST51; ST57; ST77; ST60; ST63; ST66; ST69; ST74</t>
        </is>
      </c>
      <c r="E49" t="inlineStr">
        <is>
          <t xml:space="preserve">I take offence at that insinuation!</t>
        </is>
      </c>
      <c r="F49" t="inlineStr">
        <is>
          <t xml:space="preserve">Do not question my concern for people!</t>
        </is>
      </c>
      <c r="G49" t="inlineStr">
        <is>
          <t xml:space="preserve">I feel this responsibility keenly!</t>
        </is>
      </c>
      <c r="H49" t="inlineStr">
        <is>
          <t xml:space="preserve">Do not make this personal!</t>
        </is>
      </c>
      <c r="I49" t="inlineStr">
        <is>
          <t xml:space="preserve">My commitment is genuine!</t>
        </is>
      </c>
    </row>
    <row r="50">
      <c r="A50" t="inlineStr">
        <is>
          <t xml:space="preserve">PL49</t>
        </is>
      </c>
      <c r="B50" t="inlineStr">
        <is>
          <t xml:space="preserve">Appeal</t>
        </is>
      </c>
      <c r="C50" t="inlineStr">
        <is>
          <t xml:space="preserve">attack</t>
        </is>
      </c>
      <c r="D50" t="inlineStr">
        <is>
          <t xml:space="preserve">ST01; ST09; ST10; ST11; ST12; ST13; ST14; ST15; ST16; ST17; ST18; ST27; ST31; ST33; ST54; ST37; ST47; ST80; ST90; ST95; ST51; ST57; ST77; ST60; ST63; ST66; ST69; ST74</t>
        </is>
      </c>
      <c r="E50" t="inlineStr">
        <is>
          <t xml:space="preserve">Members, we are on the same side.</t>
        </is>
      </c>
      <c r="F50" t="inlineStr">
        <is>
          <t xml:space="preserve">A cooperative committee gets better results.</t>
        </is>
      </c>
      <c r="G50" t="inlineStr">
        <is>
          <t xml:space="preserve">Surely we can find a middle path.</t>
        </is>
      </c>
      <c r="H50" t="inlineStr">
        <is>
          <t xml:space="preserve">Friends across the aisle, please reconsider.</t>
        </is>
      </c>
      <c r="I50" t="inlineStr">
        <is>
          <t xml:space="preserve">Colleagues, we owe each other a hearing.</t>
        </is>
      </c>
    </row>
    <row r="51">
      <c r="A51" t="inlineStr">
        <is>
          <t xml:space="preserve">PL50</t>
        </is>
      </c>
      <c r="B51" t="inlineStr">
        <is>
          <t xml:space="preserve">Appeal</t>
        </is>
      </c>
      <c r="C51" t="inlineStr">
        <is>
          <t xml:space="preserve">gain</t>
        </is>
      </c>
      <c r="D51" t="inlineStr">
        <is>
          <t xml:space="preserve">ST01; ST09; ST10; ST11; ST12; ST13; ST14; ST15; ST16; ST17; ST18; ST27; ST31; ST33; ST54; ST37; ST47; ST80; ST90; ST95; ST51; ST57; ST77; ST60; ST63; ST66; ST69; ST74</t>
        </is>
      </c>
      <c r="E51" t="inlineStr">
        <is>
          <t xml:space="preserve">Members, I welcome your help on this.</t>
        </is>
      </c>
      <c r="F51" t="inlineStr">
        <is>
          <t xml:space="preserve">Together we can improve the proposal.</t>
        </is>
      </c>
      <c r="G51" t="inlineStr">
        <is>
          <t xml:space="preserve">I value the committee's collective wisdom.</t>
        </is>
      </c>
      <c r="H51" t="inlineStr">
        <is>
          <t xml:space="preserve">Cooperation is how good law is made.</t>
        </is>
      </c>
      <c r="I51" t="inlineStr">
        <is>
          <t xml:space="preserve">Let us shape this as colleagues.</t>
        </is>
      </c>
    </row>
    <row r="52">
      <c r="A52" t="inlineStr">
        <is>
          <t xml:space="preserve">PL51</t>
        </is>
      </c>
      <c r="B52" t="inlineStr">
        <is>
          <t xml:space="preserve">Appeal</t>
        </is>
      </c>
      <c r="C52" t="inlineStr">
        <is>
          <t xml:space="preserve">block</t>
        </is>
      </c>
      <c r="D52" t="inlineStr">
        <is>
          <t xml:space="preserve">ST01; ST09; ST10; ST11; ST12; ST13; ST14; ST15; ST16; ST17; ST18; ST27; ST31; ST33; ST54; ST37; ST47; ST80; ST90; ST95; ST51; ST57; ST77; ST60; ST63; ST66; ST69; ST74</t>
        </is>
      </c>
      <c r="E52" t="inlineStr">
        <is>
          <t xml:space="preserve">Colleagues, let us keep this constructive.</t>
        </is>
      </c>
      <c r="F52" t="inlineStr">
        <is>
          <t xml:space="preserve">We all want a workable result.</t>
        </is>
      </c>
      <c r="G52" t="inlineStr">
        <is>
          <t xml:space="preserve">There is goodwill in this room.</t>
        </is>
      </c>
      <c r="H52" t="inlineStr">
        <is>
          <t xml:space="preserve">Let us not harden positions.</t>
        </is>
      </c>
      <c r="I52" t="inlineStr">
        <is>
          <t xml:space="preserve">I trust we can agree on more.</t>
        </is>
      </c>
    </row>
    <row r="53">
      <c r="A53" t="inlineStr">
        <is>
          <t xml:space="preserve">PL52</t>
        </is>
      </c>
      <c r="B53" t="inlineStr">
        <is>
          <t xml:space="preserve">Data Driven</t>
        </is>
      </c>
      <c r="C53" t="inlineStr">
        <is>
          <t xml:space="preserve">attack</t>
        </is>
      </c>
      <c r="D53" t="inlineStr">
        <is>
          <t xml:space="preserve">ST01; ST09; ST10; ST11; ST12; ST13; ST14; ST15; ST16; ST17; ST18; ST27; ST31; ST33; ST54; ST37; ST47; ST80; ST90; ST95; ST51; ST57; ST77; ST60; ST63; ST66; ST69; ST74</t>
        </is>
      </c>
      <c r="E53" t="inlineStr">
        <is>
          <t xml:space="preserve">What is the source of that estimate?</t>
        </is>
      </c>
      <c r="F53" t="inlineStr">
        <is>
          <t xml:space="preserve">Give the committee the underlying data.</t>
        </is>
      </c>
      <c r="G53" t="inlineStr">
        <is>
          <t xml:space="preserve">How was the sample chosen?</t>
        </is>
      </c>
      <c r="H53" t="inlineStr">
        <is>
          <t xml:space="preserve">Is the cost figure net or gross?</t>
        </is>
      </c>
      <c r="I53" t="inlineStr">
        <is>
          <t xml:space="preserve">Which assumption carries the most weight?</t>
        </is>
      </c>
    </row>
    <row r="54">
      <c r="A54" t="inlineStr">
        <is>
          <t xml:space="preserve">PL53</t>
        </is>
      </c>
      <c r="B54" t="inlineStr">
        <is>
          <t xml:space="preserve">Data Driven</t>
        </is>
      </c>
      <c r="C54" t="inlineStr">
        <is>
          <t xml:space="preserve">gain</t>
        </is>
      </c>
      <c r="D54" t="inlineStr">
        <is>
          <t xml:space="preserve">ST01; ST09; ST10; ST11; ST12; ST13; ST14; ST15; ST16; ST17; ST18; ST27; ST31; ST33; ST54; ST37; ST47; ST80; ST90; ST95; ST51; ST57; ST77; ST60; ST63; ST66; ST69; ST74</t>
        </is>
      </c>
      <c r="E54" t="inlineStr">
        <is>
          <t xml:space="preserve">The committee has the data in front of it.</t>
        </is>
      </c>
      <c r="F54" t="inlineStr">
        <is>
          <t xml:space="preserve">Each figure is sourced and documented.</t>
        </is>
      </c>
      <c r="G54" t="inlineStr">
        <is>
          <t xml:space="preserve">Independent analysis supports this view.</t>
        </is>
      </c>
      <c r="H54" t="inlineStr">
        <is>
          <t xml:space="preserve">The appendix shows the full calculation.</t>
        </is>
      </c>
      <c r="I54" t="inlineStr">
        <is>
          <t xml:space="preserve">The numbers hold under every scenario.</t>
        </is>
      </c>
    </row>
    <row r="55">
      <c r="A55" t="inlineStr">
        <is>
          <t xml:space="preserve">PL54</t>
        </is>
      </c>
      <c r="B55" t="inlineStr">
        <is>
          <t xml:space="preserve">Data Driven</t>
        </is>
      </c>
      <c r="C55" t="inlineStr">
        <is>
          <t xml:space="preserve">block</t>
        </is>
      </c>
      <c r="D55" t="inlineStr">
        <is>
          <t xml:space="preserve">ST01; ST09; ST10; ST11; ST12; ST13; ST14; ST15; ST16; ST17; ST18; ST27; ST31; ST33; ST54; ST37; ST47; ST80; ST90; ST95; ST51; ST57; ST77; ST60; ST63; ST66; ST69; ST74</t>
        </is>
      </c>
      <c r="E55" t="inlineStr">
        <is>
          <t xml:space="preserve">The figures are net of all transfers.</t>
        </is>
      </c>
      <c r="F55" t="inlineStr">
        <is>
          <t xml:space="preserve">My sources are listed in the annex.</t>
        </is>
      </c>
      <c r="G55" t="inlineStr">
        <is>
          <t xml:space="preserve">The analysis was independently checked.</t>
        </is>
      </c>
      <c r="H55" t="inlineStr">
        <is>
          <t xml:space="preserve">That reading ignores the footnote.</t>
        </is>
      </c>
      <c r="I55" t="inlineStr">
        <is>
          <t xml:space="preserve">The sample meets the standard.</t>
        </is>
      </c>
    </row>
    <row r="56">
      <c r="A56" t="inlineStr">
        <is>
          <t xml:space="preserve">PL55</t>
        </is>
      </c>
      <c r="B56" t="inlineStr">
        <is>
          <t xml:space="preserve">Divisive</t>
        </is>
      </c>
      <c r="C56" t="inlineStr">
        <is>
          <t xml:space="preserve">attack</t>
        </is>
      </c>
      <c r="D56" t="inlineStr">
        <is>
          <t xml:space="preserve">ST01; ST09; ST10; ST11; ST12; ST13; ST14; ST15; ST16; ST17; ST18; ST27; ST31; ST33; ST54; ST37; ST47; ST80; ST90; ST95; ST51; ST57; ST77; ST60; ST63; ST66; ST69; ST74</t>
        </is>
      </c>
      <c r="E56" t="inlineStr">
        <is>
          <t xml:space="preserve">Members must decide whose interests they serve.</t>
        </is>
      </c>
      <c r="F56" t="inlineStr">
        <is>
          <t xml:space="preserve">This is a choice between two camps.</t>
        </is>
      </c>
      <c r="G56" t="inlineStr">
        <is>
          <t xml:space="preserve">The opposition benches know what they want.</t>
        </is>
      </c>
      <c r="H56" t="inlineStr">
        <is>
          <t xml:space="preserve">Do not hide behind procedure.</t>
        </is>
      </c>
      <c r="I56" t="inlineStr">
        <is>
          <t xml:space="preserve">Some members protect friends, not the public.</t>
        </is>
      </c>
    </row>
    <row r="57">
      <c r="A57" t="inlineStr">
        <is>
          <t xml:space="preserve">PL56</t>
        </is>
      </c>
      <c r="B57" t="inlineStr">
        <is>
          <t xml:space="preserve">Divisive</t>
        </is>
      </c>
      <c r="C57" t="inlineStr">
        <is>
          <t xml:space="preserve">gain</t>
        </is>
      </c>
      <c r="D57" t="inlineStr">
        <is>
          <t xml:space="preserve">ST01; ST09; ST10; ST11; ST12; ST13; ST14; ST15; ST16; ST17; ST18; ST27; ST31; ST33; ST54; ST37; ST47; ST80; ST90; ST95; ST51; ST57; ST77; ST60; ST63; ST66; ST69; ST74</t>
        </is>
      </c>
      <c r="E57" t="inlineStr">
        <is>
          <t xml:space="preserve">The public sees which members stand with them.</t>
        </is>
      </c>
      <c r="F57" t="inlineStr">
        <is>
          <t xml:space="preserve">Let the committee divide on this.</t>
        </is>
      </c>
      <c r="G57" t="inlineStr">
        <is>
          <t xml:space="preserve">I welcome a clear vote.</t>
        </is>
      </c>
      <c r="H57" t="inlineStr">
        <is>
          <t xml:space="preserve">Supporters of reform are on one side.</t>
        </is>
      </c>
      <c r="I57" t="inlineStr">
        <is>
          <t xml:space="preserve">The choice for members is plain.</t>
        </is>
      </c>
    </row>
    <row r="58">
      <c r="A58" t="inlineStr">
        <is>
          <t xml:space="preserve">PL57</t>
        </is>
      </c>
      <c r="B58" t="inlineStr">
        <is>
          <t xml:space="preserve">Divisive</t>
        </is>
      </c>
      <c r="C58" t="inlineStr">
        <is>
          <t xml:space="preserve">block</t>
        </is>
      </c>
      <c r="D58" t="inlineStr">
        <is>
          <t xml:space="preserve">ST01; ST09; ST10; ST11; ST12; ST13; ST14; ST15; ST16; ST17; ST18; ST27; ST31; ST33; ST54; ST37; ST47; ST80; ST90; ST95; ST51; ST57; ST77; ST60; ST63; ST66; ST69; ST74</t>
        </is>
      </c>
      <c r="E58" t="inlineStr">
        <is>
          <t xml:space="preserve">Do not paint members into corners.</t>
        </is>
      </c>
      <c r="F58" t="inlineStr">
        <is>
          <t xml:space="preserve">Labels will not settle this matter.</t>
        </is>
      </c>
      <c r="G58" t="inlineStr">
        <is>
          <t xml:space="preserve">Questioning motives is not an argument.</t>
        </is>
      </c>
      <c r="H58" t="inlineStr">
        <is>
          <t xml:space="preserve">I reject the idea of two camps.</t>
        </is>
      </c>
      <c r="I58" t="inlineStr">
        <is>
          <t xml:space="preserve">Debate the policy, not the person.</t>
        </is>
      </c>
    </row>
    <row r="59">
      <c r="A59" t="inlineStr">
        <is>
          <t xml:space="preserve">PL58</t>
        </is>
      </c>
      <c r="B59" t="inlineStr">
        <is>
          <t xml:space="preserve">Duplicitous</t>
        </is>
      </c>
      <c r="C59" t="inlineStr">
        <is>
          <t xml:space="preserve">attack</t>
        </is>
      </c>
      <c r="D59" t="inlineStr">
        <is>
          <t xml:space="preserve">ST01; ST09; ST10; ST11; ST12; ST13; ST14; ST15; ST16; ST17; ST18; ST27; ST31; ST33; ST54; ST37; ST47; ST80; ST90; ST95; ST51; ST57; ST77; ST60; ST63; ST66; ST69; ST74</t>
        </is>
      </c>
      <c r="E59" t="inlineStr">
        <is>
          <t xml:space="preserve">Certain members may have a conflict, one hears...</t>
        </is>
      </c>
      <c r="F59" t="inlineStr">
        <is>
          <t xml:space="preserve">It is hard to say who benefits...</t>
        </is>
      </c>
      <c r="G59" t="inlineStr">
        <is>
          <t xml:space="preserve">A closed-door arrangement is suspected...</t>
        </is>
      </c>
      <c r="H59" t="inlineStr">
        <is>
          <t xml:space="preserve">The paperwork seems oddly incomplete...</t>
        </is>
      </c>
      <c r="I59" t="inlineStr">
        <is>
          <t xml:space="preserve">Perhaps the minister knows more...</t>
        </is>
      </c>
    </row>
    <row r="60">
      <c r="A60" t="inlineStr">
        <is>
          <t xml:space="preserve">PL59</t>
        </is>
      </c>
      <c r="B60" t="inlineStr">
        <is>
          <t xml:space="preserve">Duplicitous</t>
        </is>
      </c>
      <c r="C60" t="inlineStr">
        <is>
          <t xml:space="preserve">gain</t>
        </is>
      </c>
      <c r="D60" t="inlineStr">
        <is>
          <t xml:space="preserve">ST01; ST09; ST10; ST11; ST12; ST13; ST14; ST15; ST16; ST17; ST18; ST27; ST31; ST33; ST54; ST37; ST47; ST80; ST90; ST95; ST51; ST57; ST77; ST60; ST63; ST66; ST69; ST74</t>
        </is>
      </c>
      <c r="E60" t="inlineStr">
        <is>
          <t xml:space="preserve">The committee's view will be considered carefully...</t>
        </is>
      </c>
      <c r="F60" t="inlineStr">
        <is>
          <t xml:space="preserve">Amendments may be possible, in principle...</t>
        </is>
      </c>
      <c r="G60" t="inlineStr">
        <is>
          <t xml:space="preserve">We are receptive to reasonable ideas...</t>
        </is>
      </c>
      <c r="H60" t="inlineStr">
        <is>
          <t xml:space="preserve">A compromise could emerge, perhaps...</t>
        </is>
      </c>
      <c r="I60" t="inlineStr">
        <is>
          <t xml:space="preserve">I would not rule that out...</t>
        </is>
      </c>
    </row>
    <row r="61">
      <c r="A61" t="inlineStr">
        <is>
          <t xml:space="preserve">PL60</t>
        </is>
      </c>
      <c r="B61" t="inlineStr">
        <is>
          <t xml:space="preserve">Duplicitous</t>
        </is>
      </c>
      <c r="C61" t="inlineStr">
        <is>
          <t xml:space="preserve">block</t>
        </is>
      </c>
      <c r="D61" t="inlineStr">
        <is>
          <t xml:space="preserve">ST01; ST09; ST10; ST11; ST12; ST13; ST14; ST15; ST16; ST17; ST18; ST27; ST31; ST33; ST54; ST37; ST47; ST80; ST90; ST95; ST51; ST57; ST77; ST60; ST63; ST66; ST69; ST74</t>
        </is>
      </c>
      <c r="E61" t="inlineStr">
        <is>
          <t xml:space="preserve">That detail escapes me, regrettably...</t>
        </is>
      </c>
      <c r="F61" t="inlineStr">
        <is>
          <t xml:space="preserve">The department would have that information...</t>
        </is>
      </c>
      <c r="G61" t="inlineStr">
        <is>
          <t xml:space="preserve">I am advised that is not settled...</t>
        </is>
      </c>
      <c r="H61" t="inlineStr">
        <is>
          <t xml:space="preserve">Records are being reviewed, I understand...</t>
        </is>
      </c>
      <c r="I61" t="inlineStr">
        <is>
          <t xml:space="preserve">It would be premature to say...</t>
        </is>
      </c>
    </row>
    <row r="62">
      <c r="A62" t="inlineStr">
        <is>
          <t xml:space="preserve">PL61</t>
        </is>
      </c>
      <c r="B62" t="inlineStr">
        <is>
          <t xml:space="preserve">Earnest</t>
        </is>
      </c>
      <c r="C62" t="inlineStr">
        <is>
          <t xml:space="preserve">attack</t>
        </is>
      </c>
      <c r="D62" t="inlineStr">
        <is>
          <t xml:space="preserve">ST01; ST09; ST10; ST11; ST12; ST13; ST14; ST15; ST16; ST17; ST18; ST27; ST31; ST33; ST54; ST37; ST47; ST80; ST90; ST95; ST51; ST57; ST77; ST60; ST63; ST66; ST69; ST74</t>
        </is>
      </c>
      <c r="E62" t="inlineStr">
        <is>
          <t xml:space="preserve">Answer the question put to you, please.</t>
        </is>
      </c>
      <c r="F62" t="inlineStr">
        <is>
          <t xml:space="preserve">Your submission has gaps. Name them.</t>
        </is>
      </c>
      <c r="G62" t="inlineStr">
        <is>
          <t xml:space="preserve">I need a straight account of costs.</t>
        </is>
      </c>
      <c r="H62" t="inlineStr">
        <is>
          <t xml:space="preserve">Do not retreat into generalities.</t>
        </is>
      </c>
      <c r="I62" t="inlineStr">
        <is>
          <t xml:space="preserve">Be specific about what you will do.</t>
        </is>
      </c>
    </row>
    <row r="63">
      <c r="A63" t="inlineStr">
        <is>
          <t xml:space="preserve">PL62</t>
        </is>
      </c>
      <c r="B63" t="inlineStr">
        <is>
          <t xml:space="preserve">Earnest</t>
        </is>
      </c>
      <c r="C63" t="inlineStr">
        <is>
          <t xml:space="preserve">gain</t>
        </is>
      </c>
      <c r="D63" t="inlineStr">
        <is>
          <t xml:space="preserve">ST01; ST09; ST10; ST11; ST12; ST13; ST14; ST15; ST16; ST17; ST18; ST27; ST31; ST33; ST54; ST37; ST47; ST80; ST90; ST95; ST51; ST57; ST77; ST60; ST63; ST66; ST69; ST74</t>
        </is>
      </c>
      <c r="E63" t="inlineStr">
        <is>
          <t xml:space="preserve">I will be specific and I will be brief.</t>
        </is>
      </c>
      <c r="F63" t="inlineStr">
        <is>
          <t xml:space="preserve">Here is what I commit to.</t>
        </is>
      </c>
      <c r="G63" t="inlineStr">
        <is>
          <t xml:space="preserve">I will report back on every point.</t>
        </is>
      </c>
      <c r="H63" t="inlineStr">
        <is>
          <t xml:space="preserve">I welcome the hard questions.</t>
        </is>
      </c>
      <c r="I63" t="inlineStr">
        <is>
          <t xml:space="preserve">You have my full cooperation.</t>
        </is>
      </c>
    </row>
    <row r="64">
      <c r="A64" t="inlineStr">
        <is>
          <t xml:space="preserve">PL63</t>
        </is>
      </c>
      <c r="B64" t="inlineStr">
        <is>
          <t xml:space="preserve">Earnest</t>
        </is>
      </c>
      <c r="C64" t="inlineStr">
        <is>
          <t xml:space="preserve">block</t>
        </is>
      </c>
      <c r="D64" t="inlineStr">
        <is>
          <t xml:space="preserve">ST01; ST09; ST10; ST11; ST12; ST13; ST14; ST15; ST16; ST17; ST18; ST27; ST31; ST33; ST54; ST37; ST47; ST80; ST90; ST95; ST51; ST57; ST77; ST60; ST63; ST66; ST69; ST74</t>
        </is>
      </c>
      <c r="E64" t="inlineStr">
        <is>
          <t xml:space="preserve">That is an accurate summary of my position.</t>
        </is>
      </c>
      <c r="F64" t="inlineStr">
        <is>
          <t xml:space="preserve">I have provided everything requested.</t>
        </is>
      </c>
      <c r="G64" t="inlineStr">
        <is>
          <t xml:space="preserve">I will clarify any point on request.</t>
        </is>
      </c>
      <c r="H64" t="inlineStr">
        <is>
          <t xml:space="preserve">I disclosed the risks in my submission.</t>
        </is>
      </c>
      <c r="I64" t="inlineStr">
        <is>
          <t xml:space="preserve">I will not overstate my case.</t>
        </is>
      </c>
    </row>
    <row r="65">
      <c r="A65" t="inlineStr">
        <is>
          <t xml:space="preserve">PL64</t>
        </is>
      </c>
      <c r="B65" t="inlineStr">
        <is>
          <t xml:space="preserve">Emotional</t>
        </is>
      </c>
      <c r="C65" t="inlineStr">
        <is>
          <t xml:space="preserve">attack</t>
        </is>
      </c>
      <c r="D65" t="inlineStr">
        <is>
          <t xml:space="preserve">ST01; ST09; ST10; ST11; ST12; ST13; ST14; ST15; ST16; ST17; ST18; ST27; ST31; ST33; ST54; ST37; ST47; ST80; ST90; ST95; ST51; ST57; ST77; ST60; ST63; ST66; ST69; ST74</t>
        </is>
      </c>
      <c r="E65" t="inlineStr">
        <is>
          <t xml:space="preserve">Behind every figure is a family!</t>
        </is>
      </c>
      <c r="F65" t="inlineStr">
        <is>
          <t xml:space="preserve">This committee cannot look away!</t>
        </is>
      </c>
      <c r="G65" t="inlineStr">
        <is>
          <t xml:space="preserve">Think about who bears the cost!</t>
        </is>
      </c>
      <c r="H65" t="inlineStr">
        <is>
          <t xml:space="preserve">People are depending on a clear answer!</t>
        </is>
      </c>
      <c r="I65" t="inlineStr">
        <is>
          <t xml:space="preserve">Do not bury this in procedure!</t>
        </is>
      </c>
    </row>
    <row r="66">
      <c r="A66" t="inlineStr">
        <is>
          <t xml:space="preserve">PL65</t>
        </is>
      </c>
      <c r="B66" t="inlineStr">
        <is>
          <t xml:space="preserve">Emotional</t>
        </is>
      </c>
      <c r="C66" t="inlineStr">
        <is>
          <t xml:space="preserve">gain</t>
        </is>
      </c>
      <c r="D66" t="inlineStr">
        <is>
          <t xml:space="preserve">ST01; ST09; ST10; ST11; ST12; ST13; ST14; ST15; ST16; ST17; ST18; ST27; ST31; ST33; ST54; ST37; ST47; ST80; ST90; ST95; ST51; ST57; ST77; ST60; ST63; ST66; ST69; ST74</t>
        </is>
      </c>
      <c r="E66" t="inlineStr">
        <is>
          <t xml:space="preserve">Members, this matters to real people!</t>
        </is>
      </c>
      <c r="F66" t="inlineStr">
        <is>
          <t xml:space="preserve">I speak for the people affected!</t>
        </is>
      </c>
      <c r="G66" t="inlineStr">
        <is>
          <t xml:space="preserve">This is why I do this work!</t>
        </is>
      </c>
      <c r="H66" t="inlineStr">
        <is>
          <t xml:space="preserve">Hear their voices in this room!</t>
        </is>
      </c>
      <c r="I66" t="inlineStr">
        <is>
          <t xml:space="preserve">I will fight for a fair outcome!</t>
        </is>
      </c>
    </row>
    <row r="67">
      <c r="A67" t="inlineStr">
        <is>
          <t xml:space="preserve">PL66</t>
        </is>
      </c>
      <c r="B67" t="inlineStr">
        <is>
          <t xml:space="preserve">Emotional</t>
        </is>
      </c>
      <c r="C67" t="inlineStr">
        <is>
          <t xml:space="preserve">block</t>
        </is>
      </c>
      <c r="D67" t="inlineStr">
        <is>
          <t xml:space="preserve">ST01; ST09; ST10; ST11; ST12; ST13; ST14; ST15; ST16; ST17; ST18; ST27; ST31; ST33; ST54; ST37; ST47; ST80; ST90; ST95; ST51; ST57; ST77; ST60; ST63; ST66; ST69; ST74</t>
        </is>
      </c>
      <c r="E67" t="inlineStr">
        <is>
          <t xml:space="preserve">That is an unfair characterisation!</t>
        </is>
      </c>
      <c r="F67" t="inlineStr">
        <is>
          <t xml:space="preserve">I will not be painted as indifferent!</t>
        </is>
      </c>
      <c r="G67" t="inlineStr">
        <is>
          <t xml:space="preserve">My concern for people is plain!</t>
        </is>
      </c>
      <c r="H67" t="inlineStr">
        <is>
          <t xml:space="preserve">Do not question my sincerity!</t>
        </is>
      </c>
      <c r="I67" t="inlineStr">
        <is>
          <t xml:space="preserve">I deserve a fair hearing!</t>
        </is>
      </c>
    </row>
    <row r="68">
      <c r="A68" t="inlineStr">
        <is>
          <t xml:space="preserve">PL67</t>
        </is>
      </c>
      <c r="B68" t="inlineStr">
        <is>
          <t xml:space="preserve">Appeal</t>
        </is>
      </c>
      <c r="C68" t="inlineStr">
        <is>
          <t xml:space="preserve">attack</t>
        </is>
      </c>
      <c r="D68" t="inlineStr">
        <is>
          <t xml:space="preserve">ST01; ST09; ST10; ST11; ST12; ST13; ST14; ST15; ST16; ST17; ST18; ST27; ST31; ST33; ST54; ST37; ST47; ST80; ST90; ST95; ST51; ST57; ST77; ST60; ST63; ST66; ST69; ST74</t>
        </is>
      </c>
      <c r="E68" t="inlineStr">
        <is>
          <t xml:space="preserve">Colleagues, can we agree on the basics?</t>
        </is>
      </c>
      <c r="F68" t="inlineStr">
        <is>
          <t xml:space="preserve">Let us not make this adversarial.</t>
        </is>
      </c>
      <c r="G68" t="inlineStr">
        <is>
          <t xml:space="preserve">Surely members share this concern.</t>
        </is>
      </c>
      <c r="H68" t="inlineStr">
        <is>
          <t xml:space="preserve">I would appeal to your better judgment.</t>
        </is>
      </c>
      <c r="I68" t="inlineStr">
        <is>
          <t xml:space="preserve">A little cooperation would go far.</t>
        </is>
      </c>
    </row>
    <row r="69">
      <c r="A69" t="inlineStr">
        <is>
          <t xml:space="preserve">PL68</t>
        </is>
      </c>
      <c r="B69" t="inlineStr">
        <is>
          <t xml:space="preserve">Appeal</t>
        </is>
      </c>
      <c r="C69" t="inlineStr">
        <is>
          <t xml:space="preserve">gain</t>
        </is>
      </c>
      <c r="D69" t="inlineStr">
        <is>
          <t xml:space="preserve">ST01; ST09; ST10; ST11; ST12; ST13; ST14; ST15; ST16; ST17; ST18; ST27; ST31; ST33; ST54; ST37; ST47; ST80; ST90; ST95; ST51; ST57; ST77; ST60; ST63; ST66; ST69; ST74</t>
        </is>
      </c>
      <c r="E69" t="inlineStr">
        <is>
          <t xml:space="preserve">Members, thank you for your patience.</t>
        </is>
      </c>
      <c r="F69" t="inlineStr">
        <is>
          <t xml:space="preserve">Let us build on common ground.</t>
        </is>
      </c>
      <c r="G69" t="inlineStr">
        <is>
          <t xml:space="preserve">I am grateful for the committee's help.</t>
        </is>
      </c>
      <c r="H69" t="inlineStr">
        <is>
          <t xml:space="preserve">Together we reach a better result.</t>
        </is>
      </c>
      <c r="I69" t="inlineStr">
        <is>
          <t xml:space="preserve">I welcome constructive amendments.</t>
        </is>
      </c>
    </row>
    <row r="70">
      <c r="A70" t="inlineStr">
        <is>
          <t xml:space="preserve">PL69</t>
        </is>
      </c>
      <c r="B70" t="inlineStr">
        <is>
          <t xml:space="preserve">Appeal</t>
        </is>
      </c>
      <c r="C70" t="inlineStr">
        <is>
          <t xml:space="preserve">block</t>
        </is>
      </c>
      <c r="D70" t="inlineStr">
        <is>
          <t xml:space="preserve">ST01; ST09; ST10; ST11; ST12; ST13; ST14; ST15; ST16; ST17; ST18; ST27; ST31; ST33; ST54; ST37; ST47; ST80; ST90; ST95; ST51; ST57; ST77; ST60; ST63; ST66; ST69; ST74</t>
        </is>
      </c>
      <c r="E70" t="inlineStr">
        <is>
          <t xml:space="preserve">I hope members will hear me out.</t>
        </is>
      </c>
      <c r="F70" t="inlineStr">
        <is>
          <t xml:space="preserve">We can work through this together.</t>
        </is>
      </c>
      <c r="G70" t="inlineStr">
        <is>
          <t xml:space="preserve">Let us give each other the benefit of doubt.</t>
        </is>
      </c>
      <c r="H70" t="inlineStr">
        <is>
          <t xml:space="preserve">A fair compromise serves everyone.</t>
        </is>
      </c>
      <c r="I70" t="inlineStr">
        <is>
          <t xml:space="preserve">I respect every view in this room.</t>
        </is>
      </c>
    </row>
    <row r="71">
      <c r="A71" t="inlineStr">
        <is>
          <t xml:space="preserve">PL70</t>
        </is>
      </c>
      <c r="B71" t="inlineStr">
        <is>
          <t xml:space="preserve">Data Driven</t>
        </is>
      </c>
      <c r="C71" t="inlineStr">
        <is>
          <t xml:space="preserve">attack</t>
        </is>
      </c>
      <c r="D71" t="inlineStr">
        <is>
          <t xml:space="preserve">ST01; ST09; ST10; ST11; ST12; ST13; ST14; ST15; ST16; ST17; ST18; ST27; ST31; ST33; ST54; ST37; ST47; ST80; ST90; ST95; ST51; ST57; ST77; ST60; ST63; ST66; ST69; ST74</t>
        </is>
      </c>
      <c r="E71" t="inlineStr">
        <is>
          <t xml:space="preserve">Provide the table that supports that claim.</t>
        </is>
      </c>
      <c r="F71" t="inlineStr">
        <is>
          <t xml:space="preserve">Is that figure adjusted for inflation?</t>
        </is>
      </c>
      <c r="G71" t="inlineStr">
        <is>
          <t xml:space="preserve">What is the baseline for that comparison?</t>
        </is>
      </c>
      <c r="H71" t="inlineStr">
        <is>
          <t xml:space="preserve">Cite the exact page, please.</t>
        </is>
      </c>
      <c r="I71" t="inlineStr">
        <is>
          <t xml:space="preserve">Which dataset are you relying on?</t>
        </is>
      </c>
    </row>
    <row r="72">
      <c r="A72" t="inlineStr">
        <is>
          <t xml:space="preserve">PL71</t>
        </is>
      </c>
      <c r="B72" t="inlineStr">
        <is>
          <t xml:space="preserve">Data Driven</t>
        </is>
      </c>
      <c r="C72" t="inlineStr">
        <is>
          <t xml:space="preserve">gain</t>
        </is>
      </c>
      <c r="D72" t="inlineStr">
        <is>
          <t xml:space="preserve">ST01; ST09; ST10; ST11; ST12; ST13; ST14; ST15; ST16; ST17; ST18; ST27; ST31; ST33; ST54; ST37; ST47; ST80; ST90; ST95; ST51; ST57; ST77; ST60; ST63; ST66; ST69; ST74</t>
        </is>
      </c>
      <c r="E72" t="inlineStr">
        <is>
          <t xml:space="preserve">The baseline is stated on page one.</t>
        </is>
      </c>
      <c r="F72" t="inlineStr">
        <is>
          <t xml:space="preserve">The figures are adjusted and audited.</t>
        </is>
      </c>
      <c r="G72" t="inlineStr">
        <is>
          <t xml:space="preserve">Comparisons use a consistent method.</t>
        </is>
      </c>
      <c r="H72" t="inlineStr">
        <is>
          <t xml:space="preserve">The dataset is open to members.</t>
        </is>
      </c>
      <c r="I72" t="inlineStr">
        <is>
          <t xml:space="preserve">I can cite chapter and verse.</t>
        </is>
      </c>
    </row>
    <row r="73">
      <c r="A73" t="inlineStr">
        <is>
          <t xml:space="preserve">PL72</t>
        </is>
      </c>
      <c r="B73" t="inlineStr">
        <is>
          <t xml:space="preserve">Data Driven</t>
        </is>
      </c>
      <c r="C73" t="inlineStr">
        <is>
          <t xml:space="preserve">block</t>
        </is>
      </c>
      <c r="D73" t="inlineStr">
        <is>
          <t xml:space="preserve">ST01; ST09; ST10; ST11; ST12; ST13; ST14; ST15; ST16; ST17; ST18; ST27; ST31; ST33; ST54; ST37; ST47; ST80; ST90; ST95; ST51; ST57; ST77; ST60; ST63; ST66; ST69; ST74</t>
        </is>
      </c>
      <c r="E73" t="inlineStr">
        <is>
          <t xml:space="preserve">Those numbers need their context.</t>
        </is>
      </c>
      <c r="F73" t="inlineStr">
        <is>
          <t xml:space="preserve">A single figure cannot settle this.</t>
        </is>
      </c>
      <c r="G73" t="inlineStr">
        <is>
          <t xml:space="preserve">The audit trail is complete.</t>
        </is>
      </c>
      <c r="H73" t="inlineStr">
        <is>
          <t xml:space="preserve">Ask for the working papers.</t>
        </is>
      </c>
      <c r="I73" t="inlineStr">
        <is>
          <t xml:space="preserve">My calculation is reproducible.</t>
        </is>
      </c>
    </row>
    <row r="74">
      <c r="A74" t="inlineStr">
        <is>
          <t xml:space="preserve">PL73</t>
        </is>
      </c>
      <c r="B74" t="inlineStr">
        <is>
          <t xml:space="preserve">Divisive</t>
        </is>
      </c>
      <c r="C74" t="inlineStr">
        <is>
          <t xml:space="preserve">attack</t>
        </is>
      </c>
      <c r="D74" t="inlineStr">
        <is>
          <t xml:space="preserve">ST01; ST09; ST10; ST11; ST12; ST13; ST14; ST15; ST16; ST17; ST18; ST27; ST31; ST33; ST54; ST37; ST47; ST80; ST90; ST95; ST51; ST57; ST77; ST60; ST63; ST66; ST69; ST74</t>
        </is>
      </c>
      <c r="E74" t="inlineStr">
        <is>
          <t xml:space="preserve">Members must choose between two paths.</t>
        </is>
      </c>
      <c r="F74" t="inlineStr">
        <is>
          <t xml:space="preserve">There is no neutral ground on this.</t>
        </is>
      </c>
      <c r="G74" t="inlineStr">
        <is>
          <t xml:space="preserve">Whose interests does this really serve?</t>
        </is>
      </c>
      <c r="H74" t="inlineStr">
        <is>
          <t xml:space="preserve">Do not shelter behind vague wording.</t>
        </is>
      </c>
      <c r="I74" t="inlineStr">
        <is>
          <t xml:space="preserve">The committee should name its allies.</t>
        </is>
      </c>
    </row>
    <row r="75">
      <c r="A75" t="inlineStr">
        <is>
          <t xml:space="preserve">PL74</t>
        </is>
      </c>
      <c r="B75" t="inlineStr">
        <is>
          <t xml:space="preserve">Divisive</t>
        </is>
      </c>
      <c r="C75" t="inlineStr">
        <is>
          <t xml:space="preserve">gain</t>
        </is>
      </c>
      <c r="D75" t="inlineStr">
        <is>
          <t xml:space="preserve">ST01; ST09; ST10; ST11; ST12; ST13; ST14; ST15; ST16; ST17; ST18; ST27; ST31; ST33; ST54; ST37; ST47; ST80; ST90; ST95; ST51; ST57; ST77; ST60; ST63; ST66; ST69; ST74</t>
        </is>
      </c>
      <c r="E75" t="inlineStr">
        <is>
          <t xml:space="preserve">The dividing line is plain to see.</t>
        </is>
      </c>
      <c r="F75" t="inlineStr">
        <is>
          <t xml:space="preserve">Members know where they stand.</t>
        </is>
      </c>
      <c r="G75" t="inlineStr">
        <is>
          <t xml:space="preserve">I welcome a recorded vote.</t>
        </is>
      </c>
      <c r="H75" t="inlineStr">
        <is>
          <t xml:space="preserve">Reform has supporters and obstructors.</t>
        </is>
      </c>
      <c r="I75" t="inlineStr">
        <is>
          <t xml:space="preserve">Let each member show their position.</t>
        </is>
      </c>
    </row>
    <row r="76">
      <c r="A76" t="inlineStr">
        <is>
          <t xml:space="preserve">PL75</t>
        </is>
      </c>
      <c r="B76" t="inlineStr">
        <is>
          <t xml:space="preserve">Divisive</t>
        </is>
      </c>
      <c r="C76" t="inlineStr">
        <is>
          <t xml:space="preserve">block</t>
        </is>
      </c>
      <c r="D76" t="inlineStr">
        <is>
          <t xml:space="preserve">ST01; ST09; ST10; ST11; ST12; ST13; ST14; ST15; ST16; ST17; ST18; ST27; ST31; ST33; ST54; ST37; ST47; ST80; ST90; ST95; ST51; ST57; ST77; ST60; ST63; ST66; ST69; ST74</t>
        </is>
      </c>
      <c r="E76" t="inlineStr">
        <is>
          <t xml:space="preserve">Do not reduce this to us and them.</t>
        </is>
      </c>
      <c r="F76" t="inlineStr">
        <is>
          <t xml:space="preserve">That framing helps no one.</t>
        </is>
      </c>
      <c r="G76" t="inlineStr">
        <is>
          <t xml:space="preserve">I resist the label you have chosen.</t>
        </is>
      </c>
      <c r="H76" t="inlineStr">
        <is>
          <t xml:space="preserve">Policy deserves better than tribal talk.</t>
        </is>
      </c>
      <c r="I76" t="inlineStr">
        <is>
          <t xml:space="preserve">Judge the merits, not the sides.</t>
        </is>
      </c>
    </row>
    <row r="77">
      <c r="A77" t="inlineStr">
        <is>
          <t xml:space="preserve">PL76</t>
        </is>
      </c>
      <c r="B77" t="inlineStr">
        <is>
          <t xml:space="preserve">Duplicitous</t>
        </is>
      </c>
      <c r="C77" t="inlineStr">
        <is>
          <t xml:space="preserve">attack</t>
        </is>
      </c>
      <c r="D77" t="inlineStr">
        <is>
          <t xml:space="preserve">ST01; ST09; ST10; ST11; ST12; ST13; ST14; ST15; ST16; ST17; ST18; ST27; ST31; ST33; ST54; ST37; ST47; ST80; ST90; ST95; ST51; ST57; ST77; ST60; ST63; ST66; ST69; ST74</t>
        </is>
      </c>
      <c r="E77" t="inlineStr">
        <is>
          <t xml:space="preserve">It seems certain papers are missing...</t>
        </is>
      </c>
      <c r="F77" t="inlineStr">
        <is>
          <t xml:space="preserve">Some members appear unusually quiet...</t>
        </is>
      </c>
      <c r="G77" t="inlineStr">
        <is>
          <t xml:space="preserve">Who drafted this section, one wonders...</t>
        </is>
      </c>
      <c r="H77" t="inlineStr">
        <is>
          <t xml:space="preserve">A convenient omission, perhaps...</t>
        </is>
      </c>
      <c r="I77" t="inlineStr">
        <is>
          <t xml:space="preserve">The timeline seems conveniently vague...</t>
        </is>
      </c>
    </row>
    <row r="78">
      <c r="A78" t="inlineStr">
        <is>
          <t xml:space="preserve">PL77</t>
        </is>
      </c>
      <c r="B78" t="inlineStr">
        <is>
          <t xml:space="preserve">Duplicitous</t>
        </is>
      </c>
      <c r="C78" t="inlineStr">
        <is>
          <t xml:space="preserve">gain</t>
        </is>
      </c>
      <c r="D78" t="inlineStr">
        <is>
          <t xml:space="preserve">ST01; ST09; ST10; ST11; ST12; ST13; ST14; ST15; ST16; ST17; ST18; ST27; ST31; ST33; ST54; ST37; ST47; ST80; ST90; ST95; ST51; ST57; ST77; ST60; ST63; ST66; ST69; ST74</t>
        </is>
      </c>
      <c r="E78" t="inlineStr">
        <is>
          <t xml:space="preserve">I am sure the committee will find a way...</t>
        </is>
      </c>
      <c r="F78" t="inlineStr">
        <is>
          <t xml:space="preserve">A suitable amendment may be arranged...</t>
        </is>
      </c>
      <c r="G78" t="inlineStr">
        <is>
          <t xml:space="preserve">Concerns can be addressed, I trust...</t>
        </is>
      </c>
      <c r="H78" t="inlineStr">
        <is>
          <t xml:space="preserve">We will revisit the details, of course...</t>
        </is>
      </c>
      <c r="I78" t="inlineStr">
        <is>
          <t xml:space="preserve">Flexibility is certainly possible...</t>
        </is>
      </c>
    </row>
    <row r="79">
      <c r="A79" t="inlineStr">
        <is>
          <t xml:space="preserve">PL78</t>
        </is>
      </c>
      <c r="B79" t="inlineStr">
        <is>
          <t xml:space="preserve">Duplicitous</t>
        </is>
      </c>
      <c r="C79" t="inlineStr">
        <is>
          <t xml:space="preserve">block</t>
        </is>
      </c>
      <c r="D79" t="inlineStr">
        <is>
          <t xml:space="preserve">ST01; ST09; ST10; ST11; ST12; ST13; ST14; ST15; ST16; ST17; ST18; ST27; ST31; ST33; ST54; ST37; ST47; ST80; ST90; ST95; ST51; ST57; ST77; ST60; ST63; ST66; ST69; ST74</t>
        </is>
      </c>
      <c r="E79" t="inlineStr">
        <is>
          <t xml:space="preserve">I would need notice to answer that...</t>
        </is>
      </c>
      <c r="F79" t="inlineStr">
        <is>
          <t xml:space="preserve">The relevant officials could say more...</t>
        </is>
      </c>
      <c r="G79" t="inlineStr">
        <is>
          <t xml:space="preserve">That is outside my brief, I believe...</t>
        </is>
      </c>
      <c r="H79" t="inlineStr">
        <is>
          <t xml:space="preserve">I will have my staff look into it...</t>
        </is>
      </c>
      <c r="I79" t="inlineStr">
        <is>
          <t xml:space="preserve">Details are for the implementation stage...</t>
        </is>
      </c>
    </row>
    <row r="80">
      <c r="A80" t="inlineStr">
        <is>
          <t xml:space="preserve">PL79</t>
        </is>
      </c>
      <c r="B80" t="inlineStr">
        <is>
          <t xml:space="preserve">Earnest</t>
        </is>
      </c>
      <c r="C80" t="inlineStr">
        <is>
          <t xml:space="preserve">attack</t>
        </is>
      </c>
      <c r="D80" t="inlineStr">
        <is>
          <t xml:space="preserve">ST06; ST41; ST44; ST73; ST84; ST91; ST98</t>
        </is>
      </c>
      <c r="E80" t="inlineStr">
        <is>
          <t xml:space="preserve">Viewers deserve a straight answer from you.</t>
        </is>
      </c>
      <c r="F80" t="inlineStr">
        <is>
          <t xml:space="preserve">I would rather be honest than polished.</t>
        </is>
      </c>
      <c r="G80" t="inlineStr">
        <is>
          <t xml:space="preserve">Say plainly what you believe.</t>
        </is>
      </c>
      <c r="H80" t="inlineStr">
        <is>
          <t xml:space="preserve">Your plan needs to survive scrutiny.</t>
        </is>
      </c>
      <c r="I80" t="inlineStr">
        <is>
          <t xml:space="preserve">Defend your record in front of everyone.</t>
        </is>
      </c>
    </row>
    <row r="81">
      <c r="A81" t="inlineStr">
        <is>
          <t xml:space="preserve">PL80</t>
        </is>
      </c>
      <c r="B81" t="inlineStr">
        <is>
          <t xml:space="preserve">Earnest</t>
        </is>
      </c>
      <c r="C81" t="inlineStr">
        <is>
          <t xml:space="preserve">gain</t>
        </is>
      </c>
      <c r="D81" t="inlineStr">
        <is>
          <t xml:space="preserve">ST06; ST41; ST44; ST73; ST84; ST91; ST98</t>
        </is>
      </c>
      <c r="E81" t="inlineStr">
        <is>
          <t xml:space="preserve">I will tell viewers the plain truth.</t>
        </is>
      </c>
      <c r="F81" t="inlineStr">
        <is>
          <t xml:space="preserve">Judge me on what I deliver.</t>
        </is>
      </c>
      <c r="G81" t="inlineStr">
        <is>
          <t xml:space="preserve">I speak the same on camera or off.</t>
        </is>
      </c>
      <c r="H81" t="inlineStr">
        <is>
          <t xml:space="preserve">Here is exactly where I stand.</t>
        </is>
      </c>
      <c r="I81" t="inlineStr">
        <is>
          <t xml:space="preserve">I will answer every challenge.</t>
        </is>
      </c>
    </row>
    <row r="82">
      <c r="A82" t="inlineStr">
        <is>
          <t xml:space="preserve">PL81</t>
        </is>
      </c>
      <c r="B82" t="inlineStr">
        <is>
          <t xml:space="preserve">Earnest</t>
        </is>
      </c>
      <c r="C82" t="inlineStr">
        <is>
          <t xml:space="preserve">block</t>
        </is>
      </c>
      <c r="D82" t="inlineStr">
        <is>
          <t xml:space="preserve">ST06; ST41; ST44; ST73; ST84; ST91; ST98</t>
        </is>
      </c>
      <c r="E82" t="inlineStr">
        <is>
          <t xml:space="preserve">My record is public for viewers to see.</t>
        </is>
      </c>
      <c r="F82" t="inlineStr">
        <is>
          <t xml:space="preserve">I stand by what I have said.</t>
        </is>
      </c>
      <c r="G82" t="inlineStr">
        <is>
          <t xml:space="preserve">I have no hidden position.</t>
        </is>
      </c>
      <c r="H82" t="inlineStr">
        <is>
          <t xml:space="preserve">Check my words against my actions.</t>
        </is>
      </c>
      <c r="I82" t="inlineStr">
        <is>
          <t xml:space="preserve">I own my choices.</t>
        </is>
      </c>
    </row>
    <row r="83">
      <c r="A83" t="inlineStr">
        <is>
          <t xml:space="preserve">PL82</t>
        </is>
      </c>
      <c r="B83" t="inlineStr">
        <is>
          <t xml:space="preserve">Emotional</t>
        </is>
      </c>
      <c r="C83" t="inlineStr">
        <is>
          <t xml:space="preserve">attack</t>
        </is>
      </c>
      <c r="D83" t="inlineStr">
        <is>
          <t xml:space="preserve">ST06; ST41; ST44; ST73; ST84; ST91; ST98</t>
        </is>
      </c>
      <c r="E83" t="inlineStr">
        <is>
          <t xml:space="preserve">Viewers at home are watching you dodge!</t>
        </is>
      </c>
      <c r="F83" t="inlineStr">
        <is>
          <t xml:space="preserve">Families deserve better than slogans!</t>
        </is>
      </c>
      <c r="G83" t="inlineStr">
        <is>
          <t xml:space="preserve">Say that to the people watching!</t>
        </is>
      </c>
      <c r="H83" t="inlineStr">
        <is>
          <t xml:space="preserve">Real people are listening right here!</t>
        </is>
      </c>
      <c r="I83" t="inlineStr">
        <is>
          <t xml:space="preserve">Do not hide behind talking points!</t>
        </is>
      </c>
    </row>
    <row r="84">
      <c r="A84" t="inlineStr">
        <is>
          <t xml:space="preserve">PL83</t>
        </is>
      </c>
      <c r="B84" t="inlineStr">
        <is>
          <t xml:space="preserve">Emotional</t>
        </is>
      </c>
      <c r="C84" t="inlineStr">
        <is>
          <t xml:space="preserve">gain</t>
        </is>
      </c>
      <c r="D84" t="inlineStr">
        <is>
          <t xml:space="preserve">ST06; ST41; ST44; ST73; ST84; ST91; ST98</t>
        </is>
      </c>
      <c r="E84" t="inlineStr">
        <is>
          <t xml:space="preserve">I speak for everyone watching at home!</t>
        </is>
      </c>
      <c r="F84" t="inlineStr">
        <is>
          <t xml:space="preserve">Viewers, I am fighting for you!</t>
        </is>
      </c>
      <c r="G84" t="inlineStr">
        <is>
          <t xml:space="preserve">Your struggles are why I am here!</t>
        </is>
      </c>
      <c r="H84" t="inlineStr">
        <is>
          <t xml:space="preserve">I feel what you feel!</t>
        </is>
      </c>
      <c r="I84" t="inlineStr">
        <is>
          <t xml:space="preserve">Hold on, we will get through this!</t>
        </is>
      </c>
    </row>
    <row r="85">
      <c r="A85" t="inlineStr">
        <is>
          <t xml:space="preserve">PL84</t>
        </is>
      </c>
      <c r="B85" t="inlineStr">
        <is>
          <t xml:space="preserve">Emotional</t>
        </is>
      </c>
      <c r="C85" t="inlineStr">
        <is>
          <t xml:space="preserve">block</t>
        </is>
      </c>
      <c r="D85" t="inlineStr">
        <is>
          <t xml:space="preserve">ST06; ST41; ST44; ST73; ST84; ST91; ST98</t>
        </is>
      </c>
      <c r="E85" t="inlineStr">
        <is>
          <t xml:space="preserve">Do not use cameras to wound people!</t>
        </is>
      </c>
      <c r="F85" t="inlineStr">
        <is>
          <t xml:space="preserve">I will not be mocked for caring!</t>
        </is>
      </c>
      <c r="G85" t="inlineStr">
        <is>
          <t xml:space="preserve">Viewers can see I mean it!</t>
        </is>
      </c>
      <c r="H85" t="inlineStr">
        <is>
          <t xml:space="preserve">My concern is genuine, not theatre!</t>
        </is>
      </c>
      <c r="I85" t="inlineStr">
        <is>
          <t xml:space="preserve">Do not twist their pain!</t>
        </is>
      </c>
    </row>
    <row r="86">
      <c r="A86" t="inlineStr">
        <is>
          <t xml:space="preserve">PL85</t>
        </is>
      </c>
      <c r="B86" t="inlineStr">
        <is>
          <t xml:space="preserve">Appeal</t>
        </is>
      </c>
      <c r="C86" t="inlineStr">
        <is>
          <t xml:space="preserve">attack</t>
        </is>
      </c>
      <c r="D86" t="inlineStr">
        <is>
          <t xml:space="preserve">ST06; ST41; ST44; ST73; ST84; ST91; ST98</t>
        </is>
      </c>
      <c r="E86" t="inlineStr">
        <is>
          <t xml:space="preserve">Viewers, ask yourselves who really listens.</t>
        </is>
      </c>
      <c r="F86" t="inlineStr">
        <is>
          <t xml:space="preserve">We all deserve a calmer debate.</t>
        </is>
      </c>
      <c r="G86" t="inlineStr">
        <is>
          <t xml:space="preserve">Be a friend to the voters.</t>
        </is>
      </c>
      <c r="H86" t="inlineStr">
        <is>
          <t xml:space="preserve">Neighbours across the country are watching.</t>
        </is>
      </c>
      <c r="I86" t="inlineStr">
        <is>
          <t xml:space="preserve">Surely we can speak with respect.</t>
        </is>
      </c>
    </row>
    <row r="87">
      <c r="A87" t="inlineStr">
        <is>
          <t xml:space="preserve">PL86</t>
        </is>
      </c>
      <c r="B87" t="inlineStr">
        <is>
          <t xml:space="preserve">Appeal</t>
        </is>
      </c>
      <c r="C87" t="inlineStr">
        <is>
          <t xml:space="preserve">gain</t>
        </is>
      </c>
      <c r="D87" t="inlineStr">
        <is>
          <t xml:space="preserve">ST06; ST41; ST44; ST73; ST84; ST91; ST98</t>
        </is>
      </c>
      <c r="E87" t="inlineStr">
        <is>
          <t xml:space="preserve">Viewers, we are in this together.</t>
        </is>
      </c>
      <c r="F87" t="inlineStr">
        <is>
          <t xml:space="preserve">Let us speak as one country.</t>
        </is>
      </c>
      <c r="G87" t="inlineStr">
        <is>
          <t xml:space="preserve">I am glad to share this stage.</t>
        </is>
      </c>
      <c r="H87" t="inlineStr">
        <is>
          <t xml:space="preserve">Together we can fix this.</t>
        </is>
      </c>
      <c r="I87" t="inlineStr">
        <is>
          <t xml:space="preserve">Welcome, everyone. Let us talk plainly.</t>
        </is>
      </c>
    </row>
    <row r="88">
      <c r="A88" t="inlineStr">
        <is>
          <t xml:space="preserve">PL87</t>
        </is>
      </c>
      <c r="B88" t="inlineStr">
        <is>
          <t xml:space="preserve">Appeal</t>
        </is>
      </c>
      <c r="C88" t="inlineStr">
        <is>
          <t xml:space="preserve">block</t>
        </is>
      </c>
      <c r="D88" t="inlineStr">
        <is>
          <t xml:space="preserve">ST06; ST41; ST44; ST73; ST84; ST91; ST98</t>
        </is>
      </c>
      <c r="E88" t="inlineStr">
        <is>
          <t xml:space="preserve">Let us keep this civil for viewers.</t>
        </is>
      </c>
      <c r="F88" t="inlineStr">
        <is>
          <t xml:space="preserve">We can disagree and respect each other.</t>
        </is>
      </c>
      <c r="G88" t="inlineStr">
        <is>
          <t xml:space="preserve">The country wants calm, not shouting.</t>
        </is>
      </c>
      <c r="H88" t="inlineStr">
        <is>
          <t xml:space="preserve">Friends, let us lower the temperature.</t>
        </is>
      </c>
      <c r="I88" t="inlineStr">
        <is>
          <t xml:space="preserve">There is common ground here.</t>
        </is>
      </c>
    </row>
    <row r="89">
      <c r="A89" t="inlineStr">
        <is>
          <t xml:space="preserve">PL88</t>
        </is>
      </c>
      <c r="B89" t="inlineStr">
        <is>
          <t xml:space="preserve">Data Driven</t>
        </is>
      </c>
      <c r="C89" t="inlineStr">
        <is>
          <t xml:space="preserve">attack</t>
        </is>
      </c>
      <c r="D89" t="inlineStr">
        <is>
          <t xml:space="preserve">ST06; ST41; ST44; ST73; ST84; ST91; ST98</t>
        </is>
      </c>
      <c r="E89" t="inlineStr">
        <is>
          <t xml:space="preserve">What is the source for that figure?</t>
        </is>
      </c>
      <c r="F89" t="inlineStr">
        <is>
          <t xml:space="preserve">Give viewers the number, not a slogan.</t>
        </is>
      </c>
      <c r="G89" t="inlineStr">
        <is>
          <t xml:space="preserve">Is that claim true? Yes or no.</t>
        </is>
      </c>
      <c r="H89" t="inlineStr">
        <is>
          <t xml:space="preserve">Where do those statistics come from?</t>
        </is>
      </c>
      <c r="I89" t="inlineStr">
        <is>
          <t xml:space="preserve">Show the evidence on screen.</t>
        </is>
      </c>
    </row>
    <row r="90">
      <c r="A90" t="inlineStr">
        <is>
          <t xml:space="preserve">PL89</t>
        </is>
      </c>
      <c r="B90" t="inlineStr">
        <is>
          <t xml:space="preserve">Data Driven</t>
        </is>
      </c>
      <c r="C90" t="inlineStr">
        <is>
          <t xml:space="preserve">gain</t>
        </is>
      </c>
      <c r="D90" t="inlineStr">
        <is>
          <t xml:space="preserve">ST06; ST41; ST44; ST73; ST84; ST91; ST98</t>
        </is>
      </c>
      <c r="E90" t="inlineStr">
        <is>
          <t xml:space="preserve">The figures are public. Viewers can check.</t>
        </is>
      </c>
      <c r="F90" t="inlineStr">
        <is>
          <t xml:space="preserve">Every claim here is sourced.</t>
        </is>
      </c>
      <c r="G90" t="inlineStr">
        <is>
          <t xml:space="preserve">The statistics support my case.</t>
        </is>
      </c>
      <c r="H90" t="inlineStr">
        <is>
          <t xml:space="preserve">Independent data says the same.</t>
        </is>
      </c>
      <c r="I90" t="inlineStr">
        <is>
          <t xml:space="preserve">Look at the chart behind me.</t>
        </is>
      </c>
    </row>
    <row r="91">
      <c r="A91" t="inlineStr">
        <is>
          <t xml:space="preserve">PL90</t>
        </is>
      </c>
      <c r="B91" t="inlineStr">
        <is>
          <t xml:space="preserve">Data Driven</t>
        </is>
      </c>
      <c r="C91" t="inlineStr">
        <is>
          <t xml:space="preserve">block</t>
        </is>
      </c>
      <c r="D91" t="inlineStr">
        <is>
          <t xml:space="preserve">ST06; ST41; ST44; ST73; ST84; ST91; ST98</t>
        </is>
      </c>
      <c r="E91" t="inlineStr">
        <is>
          <t xml:space="preserve">That statistic is taken out of context.</t>
        </is>
      </c>
      <c r="F91" t="inlineStr">
        <is>
          <t xml:space="preserve">Read the full survey.</t>
        </is>
      </c>
      <c r="G91" t="inlineStr">
        <is>
          <t xml:space="preserve">Check the footnote on that number.</t>
        </is>
      </c>
      <c r="H91" t="inlineStr">
        <is>
          <t xml:space="preserve">Averages mislead on this question.</t>
        </is>
      </c>
      <c r="I91" t="inlineStr">
        <is>
          <t xml:space="preserve">My figures are independently verified.</t>
        </is>
      </c>
    </row>
    <row r="92">
      <c r="A92" t="inlineStr">
        <is>
          <t xml:space="preserve">PL91</t>
        </is>
      </c>
      <c r="B92" t="inlineStr">
        <is>
          <t xml:space="preserve">Divisive</t>
        </is>
      </c>
      <c r="C92" t="inlineStr">
        <is>
          <t xml:space="preserve">attack</t>
        </is>
      </c>
      <c r="D92" t="inlineStr">
        <is>
          <t xml:space="preserve">ST06; ST41; ST44; ST73; ST84; ST91; ST98</t>
        </is>
      </c>
      <c r="E92" t="inlineStr">
        <is>
          <t xml:space="preserve">Viewers, whose side is this person on?</t>
        </is>
      </c>
      <c r="F92" t="inlineStr">
        <is>
          <t xml:space="preserve">Pick a side in front of the country.</t>
        </is>
      </c>
      <c r="G92" t="inlineStr">
        <is>
          <t xml:space="preserve">You speak for insiders, not voters.</t>
        </is>
      </c>
      <c r="H92" t="inlineStr">
        <is>
          <t xml:space="preserve">There is a clear choice here.</t>
        </is>
      </c>
      <c r="I92" t="inlineStr">
        <is>
          <t xml:space="preserve">Be honest about who you protect.</t>
        </is>
      </c>
    </row>
    <row r="93">
      <c r="A93" t="inlineStr">
        <is>
          <t xml:space="preserve">PL92</t>
        </is>
      </c>
      <c r="B93" t="inlineStr">
        <is>
          <t xml:space="preserve">Divisive</t>
        </is>
      </c>
      <c r="C93" t="inlineStr">
        <is>
          <t xml:space="preserve">gain</t>
        </is>
      </c>
      <c r="D93" t="inlineStr">
        <is>
          <t xml:space="preserve">ST06; ST41; ST44; ST73; ST84; ST91; ST98</t>
        </is>
      </c>
      <c r="E93" t="inlineStr">
        <is>
          <t xml:space="preserve">Viewers can see the divide for themselves.</t>
        </is>
      </c>
      <c r="F93" t="inlineStr">
        <is>
          <t xml:space="preserve">The country must choose a direction.</t>
        </is>
      </c>
      <c r="G93" t="inlineStr">
        <is>
          <t xml:space="preserve">I stand with ordinary voters.</t>
        </is>
      </c>
      <c r="H93" t="inlineStr">
        <is>
          <t xml:space="preserve">My opponents defend the powerful.</t>
        </is>
      </c>
      <c r="I93" t="inlineStr">
        <is>
          <t xml:space="preserve">Choose the side of the people.</t>
        </is>
      </c>
    </row>
    <row r="94">
      <c r="A94" t="inlineStr">
        <is>
          <t xml:space="preserve">PL93</t>
        </is>
      </c>
      <c r="B94" t="inlineStr">
        <is>
          <t xml:space="preserve">Divisive</t>
        </is>
      </c>
      <c r="C94" t="inlineStr">
        <is>
          <t xml:space="preserve">block</t>
        </is>
      </c>
      <c r="D94" t="inlineStr">
        <is>
          <t xml:space="preserve">ST06; ST41; ST44; ST73; ST84; ST91; ST98</t>
        </is>
      </c>
      <c r="E94" t="inlineStr">
        <is>
          <t xml:space="preserve">Slogans do not answer the question.</t>
        </is>
      </c>
      <c r="F94" t="inlineStr">
        <is>
          <t xml:space="preserve">You cannot label your way out of this.</t>
        </is>
      </c>
      <c r="G94" t="inlineStr">
        <is>
          <t xml:space="preserve">Viewers see the name-calling for what it is.</t>
        </is>
      </c>
      <c r="H94" t="inlineStr">
        <is>
          <t xml:space="preserve">Debate the policy, not my loyalty.</t>
        </is>
      </c>
      <c r="I94" t="inlineStr">
        <is>
          <t xml:space="preserve">Division is your tactic, not mine.</t>
        </is>
      </c>
    </row>
    <row r="95">
      <c r="A95" t="inlineStr">
        <is>
          <t xml:space="preserve">PL94</t>
        </is>
      </c>
      <c r="B95" t="inlineStr">
        <is>
          <t xml:space="preserve">Duplicitous</t>
        </is>
      </c>
      <c r="C95" t="inlineStr">
        <is>
          <t xml:space="preserve">attack</t>
        </is>
      </c>
      <c r="D95" t="inlineStr">
        <is>
          <t xml:space="preserve">ST06; ST41; ST44; ST73; ST84; ST91; ST98</t>
        </is>
      </c>
      <c r="E95" t="inlineStr">
        <is>
          <t xml:space="preserve">Viewers may wonder what is being hidden...</t>
        </is>
      </c>
      <c r="F95" t="inlineStr">
        <is>
          <t xml:space="preserve">Perhaps you would care to clarify...</t>
        </is>
      </c>
      <c r="G95" t="inlineStr">
        <is>
          <t xml:space="preserve">Some interesting details seem to be missing...</t>
        </is>
      </c>
      <c r="H95" t="inlineStr">
        <is>
          <t xml:space="preserve">One might ask who is behind this...</t>
        </is>
      </c>
      <c r="I95" t="inlineStr">
        <is>
          <t xml:space="preserve">That answer left a lot unsaid...</t>
        </is>
      </c>
    </row>
    <row r="96">
      <c r="A96" t="inlineStr">
        <is>
          <t xml:space="preserve">PL95</t>
        </is>
      </c>
      <c r="B96" t="inlineStr">
        <is>
          <t xml:space="preserve">Duplicitous</t>
        </is>
      </c>
      <c r="C96" t="inlineStr">
        <is>
          <t xml:space="preserve">gain</t>
        </is>
      </c>
      <c r="D96" t="inlineStr">
        <is>
          <t xml:space="preserve">ST06; ST41; ST44; ST73; ST84; ST91; ST98</t>
        </is>
      </c>
      <c r="E96" t="inlineStr">
        <is>
          <t xml:space="preserve">Viewers can rest assured, I think...</t>
        </is>
      </c>
      <c r="F96" t="inlineStr">
        <is>
          <t xml:space="preserve">We will certainly look into that...</t>
        </is>
      </c>
      <c r="G96" t="inlineStr">
        <is>
          <t xml:space="preserve">There may be room for agreement...</t>
        </is>
      </c>
      <c r="H96" t="inlineStr">
        <is>
          <t xml:space="preserve">I am confident things will work out...</t>
        </is>
      </c>
      <c r="I96" t="inlineStr">
        <is>
          <t xml:space="preserve">Positions can evolve, as needed...</t>
        </is>
      </c>
    </row>
    <row r="97">
      <c r="A97" t="inlineStr">
        <is>
          <t xml:space="preserve">PL96</t>
        </is>
      </c>
      <c r="B97" t="inlineStr">
        <is>
          <t xml:space="preserve">Duplicitous</t>
        </is>
      </c>
      <c r="C97" t="inlineStr">
        <is>
          <t xml:space="preserve">block</t>
        </is>
      </c>
      <c r="D97" t="inlineStr">
        <is>
          <t xml:space="preserve">ST06; ST41; ST44; ST73; ST84; ST91; ST98</t>
        </is>
      </c>
      <c r="E97" t="inlineStr">
        <is>
          <t xml:space="preserve">I will have to get back to you...</t>
        </is>
      </c>
      <c r="F97" t="inlineStr">
        <is>
          <t xml:space="preserve">That is not quite what I meant...</t>
        </is>
      </c>
      <c r="G97" t="inlineStr">
        <is>
          <t xml:space="preserve">The facts are emerging, I understand...</t>
        </is>
      </c>
      <c r="H97" t="inlineStr">
        <is>
          <t xml:space="preserve">I would not characterise it that way...</t>
        </is>
      </c>
      <c r="I97" t="inlineStr">
        <is>
          <t xml:space="preserve">Others may know more about that...</t>
        </is>
      </c>
    </row>
    <row r="98">
      <c r="A98" t="inlineStr">
        <is>
          <t xml:space="preserve">PL97</t>
        </is>
      </c>
      <c r="B98" t="inlineStr">
        <is>
          <t xml:space="preserve">Earnest</t>
        </is>
      </c>
      <c r="C98" t="inlineStr">
        <is>
          <t xml:space="preserve">attack</t>
        </is>
      </c>
      <c r="D98" t="inlineStr">
        <is>
          <t xml:space="preserve">ST05; ST24; ST29; ST34; ST36; ST53; ST58; ST61; ST76; ST82; ST86; ST94</t>
        </is>
      </c>
      <c r="E98" t="inlineStr">
        <is>
          <t xml:space="preserve">Tell these people exactly what you will do.</t>
        </is>
      </c>
      <c r="F98" t="inlineStr">
        <is>
          <t xml:space="preserve">Plain answers, please. Folks here deserve them.</t>
        </is>
      </c>
      <c r="G98" t="inlineStr">
        <is>
          <t xml:space="preserve">Your promises need a price tag.</t>
        </is>
      </c>
      <c r="H98" t="inlineStr">
        <is>
          <t xml:space="preserve">I judge plans by what they deliver.</t>
        </is>
      </c>
      <c r="I98" t="inlineStr">
        <is>
          <t xml:space="preserve">Say it straight so everyone can hear.</t>
        </is>
      </c>
    </row>
    <row r="99">
      <c r="A99" t="inlineStr">
        <is>
          <t xml:space="preserve">PL98</t>
        </is>
      </c>
      <c r="B99" t="inlineStr">
        <is>
          <t xml:space="preserve">Earnest</t>
        </is>
      </c>
      <c r="C99" t="inlineStr">
        <is>
          <t xml:space="preserve">attack</t>
        </is>
      </c>
      <c r="D99" t="inlineStr">
        <is>
          <t xml:space="preserve">ST05; ST24; ST29; ST34; ST36; ST53; ST58; ST61; ST76; ST82; ST86; ST94</t>
        </is>
      </c>
      <c r="E99" t="inlineStr">
        <is>
          <t xml:space="preserve">This hall deserves more than slogans.</t>
        </is>
      </c>
      <c r="F99" t="inlineStr">
        <is>
          <t xml:space="preserve">Own your record or change it.</t>
        </is>
      </c>
      <c r="G99" t="inlineStr">
        <is>
          <t xml:space="preserve">Do not ask us to just trust you.</t>
        </is>
      </c>
      <c r="H99" t="inlineStr">
        <is>
          <t xml:space="preserve">Show your work to your neighbours.</t>
        </is>
      </c>
      <c r="I99" t="inlineStr">
        <is>
          <t xml:space="preserve">Words are cheap. Show me results.</t>
        </is>
      </c>
    </row>
    <row r="100">
      <c r="A100" t="inlineStr">
        <is>
          <t xml:space="preserve">PL99</t>
        </is>
      </c>
      <c r="B100" t="inlineStr">
        <is>
          <t xml:space="preserve">Earnest</t>
        </is>
      </c>
      <c r="C100" t="inlineStr">
        <is>
          <t xml:space="preserve">gain</t>
        </is>
      </c>
      <c r="D100" t="inlineStr">
        <is>
          <t xml:space="preserve">ST05; ST24; ST29; ST34; ST36; ST53; ST58; ST61; ST76; ST82; ST86; ST94</t>
        </is>
      </c>
      <c r="E100" t="inlineStr">
        <is>
          <t xml:space="preserve">I will answer every question put to me.</t>
        </is>
      </c>
      <c r="F100" t="inlineStr">
        <is>
          <t xml:space="preserve">My word is only as good as my results.</t>
        </is>
      </c>
      <c r="G100" t="inlineStr">
        <is>
          <t xml:space="preserve">I will deliver what I promise here.</t>
        </is>
      </c>
      <c r="H100" t="inlineStr">
        <is>
          <t xml:space="preserve">Hold me to what I say.</t>
        </is>
      </c>
      <c r="I100" t="inlineStr">
        <is>
          <t xml:space="preserve">I am here to listen and to act.</t>
        </is>
      </c>
    </row>
    <row r="101">
      <c r="A101" t="inlineStr">
        <is>
          <t xml:space="preserve">PL100</t>
        </is>
      </c>
      <c r="B101" t="inlineStr">
        <is>
          <t xml:space="preserve">Earnest</t>
        </is>
      </c>
      <c r="C101" t="inlineStr">
        <is>
          <t xml:space="preserve">gain</t>
        </is>
      </c>
      <c r="D101" t="inlineStr">
        <is>
          <t xml:space="preserve">ST05; ST24; ST29; ST34; ST36; ST53; ST58; ST61; ST76; ST82; ST86; ST94</t>
        </is>
      </c>
      <c r="E101" t="inlineStr">
        <is>
          <t xml:space="preserve">I take responsibility for getting this done.</t>
        </is>
      </c>
      <c r="F101" t="inlineStr">
        <is>
          <t xml:space="preserve">I will be straight with you.</t>
        </is>
      </c>
      <c r="G101" t="inlineStr">
        <is>
          <t xml:space="preserve">You will see my work, not just words.</t>
        </is>
      </c>
      <c r="H101" t="inlineStr">
        <is>
          <t xml:space="preserve">I own this plan, flaws and all.</t>
        </is>
      </c>
      <c r="I101" t="inlineStr">
        <is>
          <t xml:space="preserve">Ask me anything. I will answer plainly.</t>
        </is>
      </c>
    </row>
    <row r="102">
      <c r="A102" t="inlineStr">
        <is>
          <t xml:space="preserve">PL101</t>
        </is>
      </c>
      <c r="B102" t="inlineStr">
        <is>
          <t xml:space="preserve">Earnest</t>
        </is>
      </c>
      <c r="C102" t="inlineStr">
        <is>
          <t xml:space="preserve">block</t>
        </is>
      </c>
      <c r="D102" t="inlineStr">
        <is>
          <t xml:space="preserve">ST05; ST24; ST29; ST34; ST36; ST53; ST58; ST61; ST76; ST82; ST86; ST94</t>
        </is>
      </c>
      <c r="E102" t="inlineStr">
        <is>
          <t xml:space="preserve">My record is open for anyone to read.</t>
        </is>
      </c>
      <c r="F102" t="inlineStr">
        <is>
          <t xml:space="preserve">I stand by what I have done.</t>
        </is>
      </c>
      <c r="G102" t="inlineStr">
        <is>
          <t xml:space="preserve">I will not dodge, and I will not spin.</t>
        </is>
      </c>
      <c r="H102" t="inlineStr">
        <is>
          <t xml:space="preserve">Fair question. Here is my honest answer.</t>
        </is>
      </c>
      <c r="I102" t="inlineStr">
        <is>
          <t xml:space="preserve">I admit what went wrong and what I fixed.</t>
        </is>
      </c>
    </row>
    <row r="103">
      <c r="A103" t="inlineStr">
        <is>
          <t xml:space="preserve">PL102</t>
        </is>
      </c>
      <c r="B103" t="inlineStr">
        <is>
          <t xml:space="preserve">Earnest</t>
        </is>
      </c>
      <c r="C103" t="inlineStr">
        <is>
          <t xml:space="preserve">block</t>
        </is>
      </c>
      <c r="D103" t="inlineStr">
        <is>
          <t xml:space="preserve">ST05; ST24; ST29; ST34; ST36; ST53; ST58; ST61; ST76; ST82; ST86; ST94</t>
        </is>
      </c>
      <c r="E103" t="inlineStr">
        <is>
          <t xml:space="preserve">Judge me on the work itself.</t>
        </is>
      </c>
      <c r="F103" t="inlineStr">
        <is>
          <t xml:space="preserve">I have nothing to hide from you.</t>
        </is>
      </c>
      <c r="G103" t="inlineStr">
        <is>
          <t xml:space="preserve">I accept responsibility for my choices.</t>
        </is>
      </c>
      <c r="H103" t="inlineStr">
        <is>
          <t xml:space="preserve">Plain facts: this is what I did.</t>
        </is>
      </c>
      <c r="I103" t="inlineStr">
        <is>
          <t xml:space="preserve">My answer does not change by audience.</t>
        </is>
      </c>
    </row>
    <row r="104">
      <c r="A104" t="inlineStr">
        <is>
          <t xml:space="preserve">PL103</t>
        </is>
      </c>
      <c r="B104" t="inlineStr">
        <is>
          <t xml:space="preserve">Emotional</t>
        </is>
      </c>
      <c r="C104" t="inlineStr">
        <is>
          <t xml:space="preserve">attack</t>
        </is>
      </c>
      <c r="D104" t="inlineStr">
        <is>
          <t xml:space="preserve">ST05; ST24; ST29; ST34; ST36; ST53; ST58; ST61; ST76; ST82; ST86; ST94</t>
        </is>
      </c>
      <c r="E104" t="inlineStr">
        <is>
          <t xml:space="preserve">Look these families in the eye!</t>
        </is>
      </c>
      <c r="F104" t="inlineStr">
        <is>
          <t xml:space="preserve">Real people pay for your choices!</t>
        </is>
      </c>
      <c r="G104" t="inlineStr">
        <is>
          <t xml:space="preserve">My neighbours are hurting, and you shrug!</t>
        </is>
      </c>
      <c r="H104" t="inlineStr">
        <is>
          <t xml:space="preserve">Do you hear what they are saying?</t>
        </is>
      </c>
      <c r="I104" t="inlineStr">
        <is>
          <t xml:space="preserve">People in this hall cannot wait!</t>
        </is>
      </c>
    </row>
    <row r="105">
      <c r="A105" t="inlineStr">
        <is>
          <t xml:space="preserve">PL104</t>
        </is>
      </c>
      <c r="B105" t="inlineStr">
        <is>
          <t xml:space="preserve">Emotional</t>
        </is>
      </c>
      <c r="C105" t="inlineStr">
        <is>
          <t xml:space="preserve">attack</t>
        </is>
      </c>
      <c r="D105" t="inlineStr">
        <is>
          <t xml:space="preserve">ST05; ST24; ST29; ST34; ST36; ST53; ST58; ST61; ST76; ST82; ST86; ST94</t>
        </is>
      </c>
      <c r="E105" t="inlineStr">
        <is>
          <t xml:space="preserve">Think of the children who depend on this!</t>
        </is>
      </c>
      <c r="F105" t="inlineStr">
        <is>
          <t xml:space="preserve">Our town deserves better than this!</t>
        </is>
      </c>
      <c r="G105" t="inlineStr">
        <is>
          <t xml:space="preserve">You are playing with our livelihoods!</t>
        </is>
      </c>
      <c r="H105" t="inlineStr">
        <is>
          <t xml:space="preserve">Say that to the mothers in this hall!</t>
        </is>
      </c>
      <c r="I105" t="inlineStr">
        <is>
          <t xml:space="preserve">Feel what we feel!</t>
        </is>
      </c>
    </row>
    <row r="106">
      <c r="A106" t="inlineStr">
        <is>
          <t xml:space="preserve">PL105</t>
        </is>
      </c>
      <c r="B106" t="inlineStr">
        <is>
          <t xml:space="preserve">Emotional</t>
        </is>
      </c>
      <c r="C106" t="inlineStr">
        <is>
          <t xml:space="preserve">gain</t>
        </is>
      </c>
      <c r="D106" t="inlineStr">
        <is>
          <t xml:space="preserve">ST05; ST24; ST29; ST34; ST36; ST53; ST58; ST61; ST76; ST82; ST86; ST94</t>
        </is>
      </c>
      <c r="E106" t="inlineStr">
        <is>
          <t xml:space="preserve">I hear you, and I am with you!</t>
        </is>
      </c>
      <c r="F106" t="inlineStr">
        <is>
          <t xml:space="preserve">Your stories keep me fighting!</t>
        </is>
      </c>
      <c r="G106" t="inlineStr">
        <is>
          <t xml:space="preserve">This is about our families!</t>
        </is>
      </c>
      <c r="H106" t="inlineStr">
        <is>
          <t xml:space="preserve">We will not leave anyone behind!</t>
        </is>
      </c>
      <c r="I106" t="inlineStr">
        <is>
          <t xml:space="preserve">Thank you for trusting me with this!</t>
        </is>
      </c>
    </row>
    <row r="107">
      <c r="A107" t="inlineStr">
        <is>
          <t xml:space="preserve">PL106</t>
        </is>
      </c>
      <c r="B107" t="inlineStr">
        <is>
          <t xml:space="preserve">Emotional</t>
        </is>
      </c>
      <c r="C107" t="inlineStr">
        <is>
          <t xml:space="preserve">gain</t>
        </is>
      </c>
      <c r="D107" t="inlineStr">
        <is>
          <t xml:space="preserve">ST05; ST24; ST29; ST34; ST36; ST53; ST58; ST61; ST76; ST82; ST86; ST94</t>
        </is>
      </c>
      <c r="E107" t="inlineStr">
        <is>
          <t xml:space="preserve">I will carry your voice into the chamber!</t>
        </is>
      </c>
      <c r="F107" t="inlineStr">
        <is>
          <t xml:space="preserve">Our town matters to me!</t>
        </is>
      </c>
      <c r="G107" t="inlineStr">
        <is>
          <t xml:space="preserve">Every one of you counts!</t>
        </is>
      </c>
      <c r="H107" t="inlineStr">
        <is>
          <t xml:space="preserve">I fight for the people in this hall!</t>
        </is>
      </c>
      <c r="I107" t="inlineStr">
        <is>
          <t xml:space="preserve">Together we are louder than doubt!</t>
        </is>
      </c>
    </row>
    <row r="108">
      <c r="A108" t="inlineStr">
        <is>
          <t xml:space="preserve">PL107</t>
        </is>
      </c>
      <c r="B108" t="inlineStr">
        <is>
          <t xml:space="preserve">Emotional</t>
        </is>
      </c>
      <c r="C108" t="inlineStr">
        <is>
          <t xml:space="preserve">block</t>
        </is>
      </c>
      <c r="D108" t="inlineStr">
        <is>
          <t xml:space="preserve">ST05; ST24; ST29; ST34; ST36; ST53; ST58; ST61; ST76; ST82; ST86; ST94</t>
        </is>
      </c>
      <c r="E108" t="inlineStr">
        <is>
          <t xml:space="preserve">Do not turn my care into a weapon!</t>
        </is>
      </c>
      <c r="F108" t="inlineStr">
        <is>
          <t xml:space="preserve">I feel this as deeply as you!</t>
        </is>
      </c>
      <c r="G108" t="inlineStr">
        <is>
          <t xml:space="preserve">Do not dismiss these families!</t>
        </is>
      </c>
      <c r="H108" t="inlineStr">
        <is>
          <t xml:space="preserve">My heart is in this town!</t>
        </is>
      </c>
      <c r="I108" t="inlineStr">
        <is>
          <t xml:space="preserve">Respect the people who came here!</t>
        </is>
      </c>
    </row>
    <row r="109">
      <c r="A109" t="inlineStr">
        <is>
          <t xml:space="preserve">PL108</t>
        </is>
      </c>
      <c r="B109" t="inlineStr">
        <is>
          <t xml:space="preserve">Emotional</t>
        </is>
      </c>
      <c r="C109" t="inlineStr">
        <is>
          <t xml:space="preserve">block</t>
        </is>
      </c>
      <c r="D109" t="inlineStr">
        <is>
          <t xml:space="preserve">ST05; ST24; ST29; ST34; ST36; ST53; ST58; ST61; ST76; ST82; ST86; ST94</t>
        </is>
      </c>
      <c r="E109" t="inlineStr">
        <is>
          <t xml:space="preserve">Compassion is not a weakness!</t>
        </is>
      </c>
      <c r="F109" t="inlineStr">
        <is>
          <t xml:space="preserve">I will not be shouted down!</t>
        </is>
      </c>
      <c r="G109" t="inlineStr">
        <is>
          <t xml:space="preserve">These worries are real, and so is my effort!</t>
        </is>
      </c>
      <c r="H109" t="inlineStr">
        <is>
          <t xml:space="preserve">Do not mock honest concern!</t>
        </is>
      </c>
      <c r="I109" t="inlineStr">
        <is>
          <t xml:space="preserve">I stand with this hall!</t>
        </is>
      </c>
    </row>
    <row r="110">
      <c r="A110" t="inlineStr">
        <is>
          <t xml:space="preserve">PL109</t>
        </is>
      </c>
      <c r="B110" t="inlineStr">
        <is>
          <t xml:space="preserve">Appeal</t>
        </is>
      </c>
      <c r="C110" t="inlineStr">
        <is>
          <t xml:space="preserve">attack</t>
        </is>
      </c>
      <c r="D110" t="inlineStr">
        <is>
          <t xml:space="preserve">ST05; ST24; ST29; ST34; ST36; ST53; ST58; ST61; ST76; ST82; ST86; ST94</t>
        </is>
      </c>
      <c r="E110" t="inlineStr">
        <is>
          <t xml:space="preserve">Friends, surely we can do better than this.</t>
        </is>
      </c>
      <c r="F110" t="inlineStr">
        <is>
          <t xml:space="preserve">We all want the same thing here.</t>
        </is>
      </c>
      <c r="G110" t="inlineStr">
        <is>
          <t xml:space="preserve">Neighbours would not treat us this way.</t>
        </is>
      </c>
      <c r="H110" t="inlineStr">
        <is>
          <t xml:space="preserve">Stand with your community, not against it.</t>
        </is>
      </c>
      <c r="I110" t="inlineStr">
        <is>
          <t xml:space="preserve">A good neighbour listens first.</t>
        </is>
      </c>
    </row>
    <row r="111">
      <c r="A111" t="inlineStr">
        <is>
          <t xml:space="preserve">PL110</t>
        </is>
      </c>
      <c r="B111" t="inlineStr">
        <is>
          <t xml:space="preserve">Appeal</t>
        </is>
      </c>
      <c r="C111" t="inlineStr">
        <is>
          <t xml:space="preserve">attack</t>
        </is>
      </c>
      <c r="D111" t="inlineStr">
        <is>
          <t xml:space="preserve">ST05; ST24; ST29; ST34; ST36; ST53; ST58; ST61; ST76; ST82; ST86; ST94</t>
        </is>
      </c>
      <c r="E111" t="inlineStr">
        <is>
          <t xml:space="preserve">We are all in this town together.</t>
        </is>
      </c>
      <c r="F111" t="inlineStr">
        <is>
          <t xml:space="preserve">Help us, and we will help you.</t>
        </is>
      </c>
      <c r="G111" t="inlineStr">
        <is>
          <t xml:space="preserve">Do right by the people beside you.</t>
        </is>
      </c>
      <c r="H111" t="inlineStr">
        <is>
          <t xml:space="preserve">Our community deserves a friend.</t>
        </is>
      </c>
      <c r="I111" t="inlineStr">
        <is>
          <t xml:space="preserve">Be one of us, not above us.</t>
        </is>
      </c>
    </row>
    <row r="112">
      <c r="A112" t="inlineStr">
        <is>
          <t xml:space="preserve">PL111</t>
        </is>
      </c>
      <c r="B112" t="inlineStr">
        <is>
          <t xml:space="preserve">Appeal</t>
        </is>
      </c>
      <c r="C112" t="inlineStr">
        <is>
          <t xml:space="preserve">gain</t>
        </is>
      </c>
      <c r="D112" t="inlineStr">
        <is>
          <t xml:space="preserve">ST05; ST24; ST29; ST34; ST36; ST53; ST58; ST61; ST76; ST82; ST86; ST94</t>
        </is>
      </c>
      <c r="E112" t="inlineStr">
        <is>
          <t xml:space="preserve">We are stronger when we stand together.</t>
        </is>
      </c>
      <c r="F112" t="inlineStr">
        <is>
          <t xml:space="preserve">Friends, let us build this as one town.</t>
        </is>
      </c>
      <c r="G112" t="inlineStr">
        <is>
          <t xml:space="preserve">Together we will find a way.</t>
        </is>
      </c>
      <c r="H112" t="inlineStr">
        <is>
          <t xml:space="preserve">I am proud to stand with you.</t>
        </is>
      </c>
      <c r="I112" t="inlineStr">
        <is>
          <t xml:space="preserve">Our town, our future, together.</t>
        </is>
      </c>
    </row>
    <row r="113">
      <c r="A113" t="inlineStr">
        <is>
          <t xml:space="preserve">PL112</t>
        </is>
      </c>
      <c r="B113" t="inlineStr">
        <is>
          <t xml:space="preserve">Appeal</t>
        </is>
      </c>
      <c r="C113" t="inlineStr">
        <is>
          <t xml:space="preserve">gain</t>
        </is>
      </c>
      <c r="D113" t="inlineStr">
        <is>
          <t xml:space="preserve">ST05; ST24; ST29; ST34; ST36; ST53; ST58; ST61; ST76; ST82; ST86; ST94</t>
        </is>
      </c>
      <c r="E113" t="inlineStr">
        <is>
          <t xml:space="preserve">Neighbours helping neighbours. That is the plan.</t>
        </is>
      </c>
      <c r="F113" t="inlineStr">
        <is>
          <t xml:space="preserve">We all win when the town wins.</t>
        </is>
      </c>
      <c r="G113" t="inlineStr">
        <is>
          <t xml:space="preserve">Count on me as a friend.</t>
        </is>
      </c>
      <c r="H113" t="inlineStr">
        <is>
          <t xml:space="preserve">Let us work this out together.</t>
        </is>
      </c>
      <c r="I113" t="inlineStr">
        <is>
          <t xml:space="preserve">Everyone has a place in this plan.</t>
        </is>
      </c>
    </row>
    <row r="114">
      <c r="A114" t="inlineStr">
        <is>
          <t xml:space="preserve">PL113</t>
        </is>
      </c>
      <c r="B114" t="inlineStr">
        <is>
          <t xml:space="preserve">Appeal</t>
        </is>
      </c>
      <c r="C114" t="inlineStr">
        <is>
          <t xml:space="preserve">block</t>
        </is>
      </c>
      <c r="D114" t="inlineStr">
        <is>
          <t xml:space="preserve">ST05; ST24; ST29; ST34; ST36; ST53; ST58; ST61; ST76; ST82; ST86; ST94</t>
        </is>
      </c>
      <c r="E114" t="inlineStr">
        <is>
          <t xml:space="preserve">Let us not divide this good town.</t>
        </is>
      </c>
      <c r="F114" t="inlineStr">
        <is>
          <t xml:space="preserve">We are friends first and rivals second.</t>
        </is>
      </c>
      <c r="G114" t="inlineStr">
        <is>
          <t xml:space="preserve">We can disagree and stay neighbours.</t>
        </is>
      </c>
      <c r="H114" t="inlineStr">
        <is>
          <t xml:space="preserve">Keep the peace, and we all gain.</t>
        </is>
      </c>
      <c r="I114" t="inlineStr">
        <is>
          <t xml:space="preserve">There is room for everyone here.</t>
        </is>
      </c>
    </row>
    <row r="115">
      <c r="A115" t="inlineStr">
        <is>
          <t xml:space="preserve">PL114</t>
        </is>
      </c>
      <c r="B115" t="inlineStr">
        <is>
          <t xml:space="preserve">Appeal</t>
        </is>
      </c>
      <c r="C115" t="inlineStr">
        <is>
          <t xml:space="preserve">block</t>
        </is>
      </c>
      <c r="D115" t="inlineStr">
        <is>
          <t xml:space="preserve">ST05; ST24; ST29; ST34; ST36; ST53; ST58; ST61; ST76; ST82; ST86; ST94</t>
        </is>
      </c>
      <c r="E115" t="inlineStr">
        <is>
          <t xml:space="preserve">Let us hear each other out.</t>
        </is>
      </c>
      <c r="F115" t="inlineStr">
        <is>
          <t xml:space="preserve">We share more than we dispute.</t>
        </is>
      </c>
      <c r="G115" t="inlineStr">
        <is>
          <t xml:space="preserve">Friendly words go a long way.</t>
        </is>
      </c>
      <c r="H115" t="inlineStr">
        <is>
          <t xml:space="preserve">We are on the same side.</t>
        </is>
      </c>
      <c r="I115" t="inlineStr">
        <is>
          <t xml:space="preserve">A kind word costs us nothing.</t>
        </is>
      </c>
    </row>
    <row r="116">
      <c r="A116" t="inlineStr">
        <is>
          <t xml:space="preserve">PL115</t>
        </is>
      </c>
      <c r="B116" t="inlineStr">
        <is>
          <t xml:space="preserve">Data Driven</t>
        </is>
      </c>
      <c r="C116" t="inlineStr">
        <is>
          <t xml:space="preserve">attack</t>
        </is>
      </c>
      <c r="D116" t="inlineStr">
        <is>
          <t xml:space="preserve">ST05; ST24; ST29; ST34; ST36; ST53; ST58; ST61; ST76; ST82; ST86; ST94</t>
        </is>
      </c>
      <c r="E116" t="inlineStr">
        <is>
          <t xml:space="preserve">How many households does this actually reach?</t>
        </is>
      </c>
      <c r="F116" t="inlineStr">
        <is>
          <t xml:space="preserve">Where is the figure behind that claim?</t>
        </is>
      </c>
      <c r="G116" t="inlineStr">
        <is>
          <t xml:space="preserve">What is the cost per resident?</t>
        </is>
      </c>
      <c r="H116" t="inlineStr">
        <is>
          <t xml:space="preserve">Name the source for that number.</t>
        </is>
      </c>
      <c r="I116" t="inlineStr">
        <is>
          <t xml:space="preserve">Which budget line pays for this?</t>
        </is>
      </c>
    </row>
    <row r="117">
      <c r="A117" t="inlineStr">
        <is>
          <t xml:space="preserve">PL116</t>
        </is>
      </c>
      <c r="B117" t="inlineStr">
        <is>
          <t xml:space="preserve">Data Driven</t>
        </is>
      </c>
      <c r="C117" t="inlineStr">
        <is>
          <t xml:space="preserve">attack</t>
        </is>
      </c>
      <c r="D117" t="inlineStr">
        <is>
          <t xml:space="preserve">ST05; ST24; ST29; ST34; ST36; ST53; ST58; ST61; ST76; ST82; ST86; ST94</t>
        </is>
      </c>
      <c r="E117" t="inlineStr">
        <is>
          <t xml:space="preserve">Does the data support this, yes or no?</t>
        </is>
      </c>
      <c r="F117" t="inlineStr">
        <is>
          <t xml:space="preserve">How was that estimate calculated?</t>
        </is>
      </c>
      <c r="G117" t="inlineStr">
        <is>
          <t xml:space="preserve">What is the margin of error?</t>
        </is>
      </c>
      <c r="H117" t="inlineStr">
        <is>
          <t xml:space="preserve">Show the table. I will read it.</t>
        </is>
      </c>
      <c r="I117" t="inlineStr">
        <is>
          <t xml:space="preserve">Which of these figures is verified?</t>
        </is>
      </c>
    </row>
    <row r="118">
      <c r="A118" t="inlineStr">
        <is>
          <t xml:space="preserve">PL117</t>
        </is>
      </c>
      <c r="B118" t="inlineStr">
        <is>
          <t xml:space="preserve">Data Driven</t>
        </is>
      </c>
      <c r="C118" t="inlineStr">
        <is>
          <t xml:space="preserve">gain</t>
        </is>
      </c>
      <c r="D118" t="inlineStr">
        <is>
          <t xml:space="preserve">ST05; ST24; ST29; ST34; ST36; ST53; ST58; ST61; ST76; ST82; ST86; ST94</t>
        </is>
      </c>
      <c r="E118" t="inlineStr">
        <is>
          <t xml:space="preserve">The numbers support this plan.</t>
        </is>
      </c>
      <c r="F118" t="inlineStr">
        <is>
          <t xml:space="preserve">Here are the figures, line by line.</t>
        </is>
      </c>
      <c r="G118" t="inlineStr">
        <is>
          <t xml:space="preserve">Every estimate is documented.</t>
        </is>
      </c>
      <c r="H118" t="inlineStr">
        <is>
          <t xml:space="preserve">Check the sources. They hold up.</t>
        </is>
      </c>
      <c r="I118" t="inlineStr">
        <is>
          <t xml:space="preserve">The data points in one direction.</t>
        </is>
      </c>
    </row>
    <row r="119">
      <c r="A119" t="inlineStr">
        <is>
          <t xml:space="preserve">PL118</t>
        </is>
      </c>
      <c r="B119" t="inlineStr">
        <is>
          <t xml:space="preserve">Data Driven</t>
        </is>
      </c>
      <c r="C119" t="inlineStr">
        <is>
          <t xml:space="preserve">gain</t>
        </is>
      </c>
      <c r="D119" t="inlineStr">
        <is>
          <t xml:space="preserve">ST05; ST24; ST29; ST34; ST36; ST53; ST58; ST61; ST76; ST82; ST86; ST94</t>
        </is>
      </c>
      <c r="E119" t="inlineStr">
        <is>
          <t xml:space="preserve">The cost per resident is modest.</t>
        </is>
      </c>
      <c r="F119" t="inlineStr">
        <is>
          <t xml:space="preserve">Independent figures agree with mine.</t>
        </is>
      </c>
      <c r="G119" t="inlineStr">
        <is>
          <t xml:space="preserve">The trend line favours this plan.</t>
        </is>
      </c>
      <c r="H119" t="inlineStr">
        <is>
          <t xml:space="preserve">I can show the calculation.</t>
        </is>
      </c>
      <c r="I119" t="inlineStr">
        <is>
          <t xml:space="preserve">The evidence is on the table.</t>
        </is>
      </c>
    </row>
    <row r="120">
      <c r="A120" t="inlineStr">
        <is>
          <t xml:space="preserve">PL119</t>
        </is>
      </c>
      <c r="B120" t="inlineStr">
        <is>
          <t xml:space="preserve">Data Driven</t>
        </is>
      </c>
      <c r="C120" t="inlineStr">
        <is>
          <t xml:space="preserve">block</t>
        </is>
      </c>
      <c r="D120" t="inlineStr">
        <is>
          <t xml:space="preserve">ST05; ST24; ST29; ST34; ST36; ST53; ST58; ST61; ST76; ST82; ST86; ST94</t>
        </is>
      </c>
      <c r="E120" t="inlineStr">
        <is>
          <t xml:space="preserve">Those figures use the wrong baseline.</t>
        </is>
      </c>
      <c r="F120" t="inlineStr">
        <is>
          <t xml:space="preserve">Read the full table, not one line.</t>
        </is>
      </c>
      <c r="G120" t="inlineStr">
        <is>
          <t xml:space="preserve">Averages hide the real spread.</t>
        </is>
      </c>
      <c r="H120" t="inlineStr">
        <is>
          <t xml:space="preserve">That source is out of date.</t>
        </is>
      </c>
      <c r="I120" t="inlineStr">
        <is>
          <t xml:space="preserve">Compare like with like.</t>
        </is>
      </c>
    </row>
    <row r="121">
      <c r="A121" t="inlineStr">
        <is>
          <t xml:space="preserve">PL120</t>
        </is>
      </c>
      <c r="B121" t="inlineStr">
        <is>
          <t xml:space="preserve">Data Driven</t>
        </is>
      </c>
      <c r="C121" t="inlineStr">
        <is>
          <t xml:space="preserve">block</t>
        </is>
      </c>
      <c r="D121" t="inlineStr">
        <is>
          <t xml:space="preserve">ST05; ST24; ST29; ST34; ST36; ST53; ST58; ST61; ST76; ST82; ST86; ST94</t>
        </is>
      </c>
      <c r="E121" t="inlineStr">
        <is>
          <t xml:space="preserve">The assumptions are stated openly.</t>
        </is>
      </c>
      <c r="F121" t="inlineStr">
        <is>
          <t xml:space="preserve">My method is on the record.</t>
        </is>
      </c>
      <c r="G121" t="inlineStr">
        <is>
          <t xml:space="preserve">Ask for the raw data.</t>
        </is>
      </c>
      <c r="H121" t="inlineStr">
        <is>
          <t xml:space="preserve">The sample is large enough.</t>
        </is>
      </c>
      <c r="I121" t="inlineStr">
        <is>
          <t xml:space="preserve">Correct the units, then ask.</t>
        </is>
      </c>
    </row>
    <row r="122">
      <c r="A122" t="inlineStr">
        <is>
          <t xml:space="preserve">PL121</t>
        </is>
      </c>
      <c r="B122" t="inlineStr">
        <is>
          <t xml:space="preserve">Divisive</t>
        </is>
      </c>
      <c r="C122" t="inlineStr">
        <is>
          <t xml:space="preserve">attack</t>
        </is>
      </c>
      <c r="D122" t="inlineStr">
        <is>
          <t xml:space="preserve">ST05; ST24; ST29; ST34; ST36; ST53; ST58; ST61; ST76; ST82; ST86; ST94</t>
        </is>
      </c>
      <c r="E122" t="inlineStr">
        <is>
          <t xml:space="preserve">Whose side are you on, theirs or ours?</t>
        </is>
      </c>
      <c r="F122" t="inlineStr">
        <is>
          <t xml:space="preserve">You stand with them, not with us.</t>
        </is>
      </c>
      <c r="G122" t="inlineStr">
        <is>
          <t xml:space="preserve">Pick a side. This town is watching.</t>
        </is>
      </c>
      <c r="H122" t="inlineStr">
        <is>
          <t xml:space="preserve">Friends of the powerful are no friends here.</t>
        </is>
      </c>
      <c r="I122" t="inlineStr">
        <is>
          <t xml:space="preserve">Are you with the people or the insiders?</t>
        </is>
      </c>
    </row>
    <row r="123">
      <c r="A123" t="inlineStr">
        <is>
          <t xml:space="preserve">PL122</t>
        </is>
      </c>
      <c r="B123" t="inlineStr">
        <is>
          <t xml:space="preserve">Divisive</t>
        </is>
      </c>
      <c r="C123" t="inlineStr">
        <is>
          <t xml:space="preserve">attack</t>
        </is>
      </c>
      <c r="D123" t="inlineStr">
        <is>
          <t xml:space="preserve">ST05; ST24; ST29; ST34; ST36; ST53; ST58; ST61; ST76; ST82; ST86; ST94</t>
        </is>
      </c>
      <c r="E123" t="inlineStr">
        <is>
          <t xml:space="preserve">Some of you serve yourselves first.</t>
        </is>
      </c>
      <c r="F123" t="inlineStr">
        <is>
          <t xml:space="preserve">There are two kinds of leaders here.</t>
        </is>
      </c>
      <c r="G123" t="inlineStr">
        <is>
          <t xml:space="preserve">You are either for us or against us.</t>
        </is>
      </c>
      <c r="H123" t="inlineStr">
        <is>
          <t xml:space="preserve">Outsiders do not speak for this town.</t>
        </is>
      </c>
      <c r="I123" t="inlineStr">
        <is>
          <t xml:space="preserve">Choose your people.</t>
        </is>
      </c>
    </row>
    <row r="124">
      <c r="A124" t="inlineStr">
        <is>
          <t xml:space="preserve">PL123</t>
        </is>
      </c>
      <c r="B124" t="inlineStr">
        <is>
          <t xml:space="preserve">Divisive</t>
        </is>
      </c>
      <c r="C124" t="inlineStr">
        <is>
          <t xml:space="preserve">gain</t>
        </is>
      </c>
      <c r="D124" t="inlineStr">
        <is>
          <t xml:space="preserve">ST05; ST24; ST29; ST34; ST36; ST53; ST58; ST61; ST76; ST82; ST86; ST94</t>
        </is>
      </c>
      <c r="E124" t="inlineStr">
        <is>
          <t xml:space="preserve">This town knows its real friends.</t>
        </is>
      </c>
      <c r="F124" t="inlineStr">
        <is>
          <t xml:space="preserve">The line is clear, and I am with you.</t>
        </is>
      </c>
      <c r="G124" t="inlineStr">
        <is>
          <t xml:space="preserve">We stand apart from the insiders.</t>
        </is>
      </c>
      <c r="H124" t="inlineStr">
        <is>
          <t xml:space="preserve">Real neighbours stick together.</t>
        </is>
      </c>
      <c r="I124" t="inlineStr">
        <is>
          <t xml:space="preserve">I choose this town over the powerful.</t>
        </is>
      </c>
    </row>
    <row r="125">
      <c r="A125" t="inlineStr">
        <is>
          <t xml:space="preserve">PL124</t>
        </is>
      </c>
      <c r="B125" t="inlineStr">
        <is>
          <t xml:space="preserve">Divisive</t>
        </is>
      </c>
      <c r="C125" t="inlineStr">
        <is>
          <t xml:space="preserve">gain</t>
        </is>
      </c>
      <c r="D125" t="inlineStr">
        <is>
          <t xml:space="preserve">ST05; ST24; ST29; ST34; ST36; ST53; ST58; ST61; ST76; ST82; ST86; ST94</t>
        </is>
      </c>
      <c r="E125" t="inlineStr">
        <is>
          <t xml:space="preserve">Us and them: I am one of us.</t>
        </is>
      </c>
      <c r="F125" t="inlineStr">
        <is>
          <t xml:space="preserve">No more favours for the connected.</t>
        </is>
      </c>
      <c r="G125" t="inlineStr">
        <is>
          <t xml:space="preserve">Whoever stands with this town stands with me.</t>
        </is>
      </c>
      <c r="H125" t="inlineStr">
        <is>
          <t xml:space="preserve">The people come first, the elite second.</t>
        </is>
      </c>
      <c r="I125" t="inlineStr">
        <is>
          <t xml:space="preserve">I draw the line with you.</t>
        </is>
      </c>
    </row>
    <row r="126">
      <c r="A126" t="inlineStr">
        <is>
          <t xml:space="preserve">PL125</t>
        </is>
      </c>
      <c r="B126" t="inlineStr">
        <is>
          <t xml:space="preserve">Divisive</t>
        </is>
      </c>
      <c r="C126" t="inlineStr">
        <is>
          <t xml:space="preserve">block</t>
        </is>
      </c>
      <c r="D126" t="inlineStr">
        <is>
          <t xml:space="preserve">ST05; ST24; ST29; ST34; ST36; ST53; ST58; ST61; ST76; ST82; ST86; ST94</t>
        </is>
      </c>
      <c r="E126" t="inlineStr">
        <is>
          <t xml:space="preserve">Labels do not change the facts.</t>
        </is>
      </c>
      <c r="F126" t="inlineStr">
        <is>
          <t xml:space="preserve">Name-calling is all you have.</t>
        </is>
      </c>
      <c r="G126" t="inlineStr">
        <is>
          <t xml:space="preserve">Loyalty is not a slur.</t>
        </is>
      </c>
      <c r="H126" t="inlineStr">
        <is>
          <t xml:space="preserve">Find an argument, not an insult.</t>
        </is>
      </c>
      <c r="I126" t="inlineStr">
        <is>
          <t xml:space="preserve">Spare us the camps and the slogans.</t>
        </is>
      </c>
    </row>
    <row r="127">
      <c r="A127" t="inlineStr">
        <is>
          <t xml:space="preserve">PL126</t>
        </is>
      </c>
      <c r="B127" t="inlineStr">
        <is>
          <t xml:space="preserve">Divisive</t>
        </is>
      </c>
      <c r="C127" t="inlineStr">
        <is>
          <t xml:space="preserve">block</t>
        </is>
      </c>
      <c r="D127" t="inlineStr">
        <is>
          <t xml:space="preserve">ST05; ST24; ST29; ST34; ST36; ST53; ST58; ST61; ST76; ST82; ST86; ST94</t>
        </is>
      </c>
      <c r="E127" t="inlineStr">
        <is>
          <t xml:space="preserve">I know which side my critics are on.</t>
        </is>
      </c>
      <c r="F127" t="inlineStr">
        <is>
          <t xml:space="preserve">Your labels say more about you.</t>
        </is>
      </c>
      <c r="G127" t="inlineStr">
        <is>
          <t xml:space="preserve">Draw lines elsewhere, not here.</t>
        </is>
      </c>
      <c r="H127" t="inlineStr">
        <is>
          <t xml:space="preserve">You question my loyalty? Examine yours.</t>
        </is>
      </c>
      <c r="I127" t="inlineStr">
        <is>
          <t xml:space="preserve">Insiders love to accuse outsiders.</t>
        </is>
      </c>
    </row>
    <row r="128">
      <c r="A128" t="inlineStr">
        <is>
          <t xml:space="preserve">PL127</t>
        </is>
      </c>
      <c r="B128" t="inlineStr">
        <is>
          <t xml:space="preserve">Duplicitous</t>
        </is>
      </c>
      <c r="C128" t="inlineStr">
        <is>
          <t xml:space="preserve">attack</t>
        </is>
      </c>
      <c r="D128" t="inlineStr">
        <is>
          <t xml:space="preserve">ST05; ST24; ST29; ST34; ST36; ST53; ST58; ST61; ST76; ST82; ST86; ST94</t>
        </is>
      </c>
      <c r="E128" t="inlineStr">
        <is>
          <t xml:space="preserve">Some say a deal may exist...</t>
        </is>
      </c>
      <c r="F128" t="inlineStr">
        <is>
          <t xml:space="preserve">One wonders who benefits here...</t>
        </is>
      </c>
      <c r="G128" t="inlineStr">
        <is>
          <t xml:space="preserve">Mistakes may have been made...</t>
        </is>
      </c>
      <c r="H128" t="inlineStr">
        <is>
          <t xml:space="preserve">It is often said you know more...</t>
        </is>
      </c>
      <c r="I128" t="inlineStr">
        <is>
          <t xml:space="preserve">Funny, how that detail is missing...</t>
        </is>
      </c>
    </row>
    <row r="129">
      <c r="A129" t="inlineStr">
        <is>
          <t xml:space="preserve">PL128</t>
        </is>
      </c>
      <c r="B129" t="inlineStr">
        <is>
          <t xml:space="preserve">Duplicitous</t>
        </is>
      </c>
      <c r="C129" t="inlineStr">
        <is>
          <t xml:space="preserve">attack</t>
        </is>
      </c>
      <c r="D129" t="inlineStr">
        <is>
          <t xml:space="preserve">ST05; ST24; ST29; ST34; ST36; ST53; ST58; ST61; ST76; ST82; ST86; ST94</t>
        </is>
      </c>
      <c r="E129" t="inlineStr">
        <is>
          <t xml:space="preserve">People are asking questions, quietly...</t>
        </is>
      </c>
      <c r="F129" t="inlineStr">
        <is>
          <t xml:space="preserve">I would not want to speculate, but...</t>
        </is>
      </c>
      <c r="G129" t="inlineStr">
        <is>
          <t xml:space="preserve">The record may need a second look...</t>
        </is>
      </c>
      <c r="H129" t="inlineStr">
        <is>
          <t xml:space="preserve">Perhaps this was overlooked on purpose...</t>
        </is>
      </c>
      <c r="I129" t="inlineStr">
        <is>
          <t xml:space="preserve">Interesting what gets left unsaid...</t>
        </is>
      </c>
    </row>
    <row r="130">
      <c r="A130" t="inlineStr">
        <is>
          <t xml:space="preserve">PL129</t>
        </is>
      </c>
      <c r="B130" t="inlineStr">
        <is>
          <t xml:space="preserve">Duplicitous</t>
        </is>
      </c>
      <c r="C130" t="inlineStr">
        <is>
          <t xml:space="preserve">gain</t>
        </is>
      </c>
      <c r="D130" t="inlineStr">
        <is>
          <t xml:space="preserve">ST05; ST24; ST29; ST34; ST36; ST53; ST58; ST61; ST76; ST82; ST86; ST94</t>
        </is>
      </c>
      <c r="E130" t="inlineStr">
        <is>
          <t xml:space="preserve">We will consider that very positively...</t>
        </is>
      </c>
      <c r="F130" t="inlineStr">
        <is>
          <t xml:space="preserve">A solution may well be found...</t>
        </is>
      </c>
      <c r="G130" t="inlineStr">
        <is>
          <t xml:space="preserve">Everything will be looked at carefully...</t>
        </is>
      </c>
      <c r="H130" t="inlineStr">
        <is>
          <t xml:space="preserve">Concerns have been noted, warmly...</t>
        </is>
      </c>
      <c r="I130" t="inlineStr">
        <is>
          <t xml:space="preserve">I am sure it will work out...</t>
        </is>
      </c>
    </row>
    <row r="131">
      <c r="A131" t="inlineStr">
        <is>
          <t xml:space="preserve">PL130</t>
        </is>
      </c>
      <c r="B131" t="inlineStr">
        <is>
          <t xml:space="preserve">Duplicitous</t>
        </is>
      </c>
      <c r="C131" t="inlineStr">
        <is>
          <t xml:space="preserve">gain</t>
        </is>
      </c>
      <c r="D131" t="inlineStr">
        <is>
          <t xml:space="preserve">ST05; ST24; ST29; ST34; ST36; ST53; ST58; ST61; ST76; ST82; ST86; ST94</t>
        </is>
      </c>
      <c r="E131" t="inlineStr">
        <is>
          <t xml:space="preserve">Something can probably be arranged...</t>
        </is>
      </c>
      <c r="F131" t="inlineStr">
        <is>
          <t xml:space="preserve">That is under active consideration...</t>
        </is>
      </c>
      <c r="G131" t="inlineStr">
        <is>
          <t xml:space="preserve">We are open to many possibilities...</t>
        </is>
      </c>
      <c r="H131" t="inlineStr">
        <is>
          <t xml:space="preserve">Your point has been well taken...</t>
        </is>
      </c>
      <c r="I131" t="inlineStr">
        <is>
          <t xml:space="preserve">It is being looked into, certainly...</t>
        </is>
      </c>
    </row>
    <row r="132">
      <c r="A132" t="inlineStr">
        <is>
          <t xml:space="preserve">PL131</t>
        </is>
      </c>
      <c r="B132" t="inlineStr">
        <is>
          <t xml:space="preserve">Duplicitous</t>
        </is>
      </c>
      <c r="C132" t="inlineStr">
        <is>
          <t xml:space="preserve">block</t>
        </is>
      </c>
      <c r="D132" t="inlineStr">
        <is>
          <t xml:space="preserve">ST05; ST24; ST29; ST34; ST36; ST53; ST58; ST61; ST76; ST82; ST86; ST94</t>
        </is>
      </c>
      <c r="E132" t="inlineStr">
        <is>
          <t xml:space="preserve">I do not recall the details...</t>
        </is>
      </c>
      <c r="F132" t="inlineStr">
        <is>
          <t xml:space="preserve">That would be a matter for others...</t>
        </is>
      </c>
      <c r="G132" t="inlineStr">
        <is>
          <t xml:space="preserve">Mistakes are made by many people...</t>
        </is>
      </c>
      <c r="H132" t="inlineStr">
        <is>
          <t xml:space="preserve">I could not say with certainty...</t>
        </is>
      </c>
      <c r="I132" t="inlineStr">
        <is>
          <t xml:space="preserve">The question is premature, perhaps...</t>
        </is>
      </c>
    </row>
    <row r="133">
      <c r="A133" t="inlineStr">
        <is>
          <t xml:space="preserve">PL132</t>
        </is>
      </c>
      <c r="B133" t="inlineStr">
        <is>
          <t xml:space="preserve">Duplicitous</t>
        </is>
      </c>
      <c r="C133" t="inlineStr">
        <is>
          <t xml:space="preserve">block</t>
        </is>
      </c>
      <c r="D133" t="inlineStr">
        <is>
          <t xml:space="preserve">ST05; ST24; ST29; ST34; ST36; ST53; ST58; ST61; ST76; ST82; ST86; ST94</t>
        </is>
      </c>
      <c r="E133" t="inlineStr">
        <is>
          <t xml:space="preserve">Nothing was decided, as far as I know...</t>
        </is>
      </c>
      <c r="F133" t="inlineStr">
        <is>
          <t xml:space="preserve">Records can be read in many ways...</t>
        </is>
      </c>
      <c r="G133" t="inlineStr">
        <is>
          <t xml:space="preserve">I would need to check with others...</t>
        </is>
      </c>
      <c r="H133" t="inlineStr">
        <is>
          <t xml:space="preserve">Let us not rush to conclusions...</t>
        </is>
      </c>
      <c r="I133" t="inlineStr">
        <is>
          <t xml:space="preserve">That is not my area, really...</t>
        </is>
      </c>
    </row>
    <row r="134">
      <c r="A134" t="inlineStr">
        <is>
          <t xml:space="preserve">PL133</t>
        </is>
      </c>
      <c r="B134" t="inlineStr">
        <is>
          <t xml:space="preserve">Earnest</t>
        </is>
      </c>
      <c r="C134" t="inlineStr">
        <is>
          <t xml:space="preserve">attack</t>
        </is>
      </c>
      <c r="D134" t="inlineStr">
        <is>
          <t xml:space="preserve">ST03; ST35; ST39; ST42; ST45; ST49; ST52; ST56; ST59; ST62; ST65; ST68; ST72; ST75; ST78; ST81; ST85; ST89; ST93; ST97; ST100</t>
        </is>
      </c>
      <c r="E134" t="inlineStr">
        <is>
          <t xml:space="preserve">Colleagues deserve plain talk from you.</t>
        </is>
      </c>
      <c r="F134" t="inlineStr">
        <is>
          <t xml:space="preserve">I have read the party platform. Have you?</t>
        </is>
      </c>
      <c r="G134" t="inlineStr">
        <is>
          <t xml:space="preserve">Our members expect honest results.</t>
        </is>
      </c>
      <c r="H134" t="inlineStr">
        <is>
          <t xml:space="preserve">Explain your plan to this room.</t>
        </is>
      </c>
      <c r="I134" t="inlineStr">
        <is>
          <t xml:space="preserve">Own your numbers in front of us.</t>
        </is>
      </c>
    </row>
    <row r="135">
      <c r="A135" t="inlineStr">
        <is>
          <t xml:space="preserve">PL134</t>
        </is>
      </c>
      <c r="B135" t="inlineStr">
        <is>
          <t xml:space="preserve">Earnest</t>
        </is>
      </c>
      <c r="C135" t="inlineStr">
        <is>
          <t xml:space="preserve">attack</t>
        </is>
      </c>
      <c r="D135" t="inlineStr">
        <is>
          <t xml:space="preserve">ST03; ST35; ST39; ST42; ST45; ST49; ST52; ST56; ST59; ST62; ST65; ST68; ST72; ST75; ST78; ST81; ST85; ST89; ST93; ST97; ST100</t>
        </is>
      </c>
      <c r="E135" t="inlineStr">
        <is>
          <t xml:space="preserve">Speak plainly about what you want.</t>
        </is>
      </c>
      <c r="F135" t="inlineStr">
        <is>
          <t xml:space="preserve">I want commitments, not comfort.</t>
        </is>
      </c>
      <c r="G135" t="inlineStr">
        <is>
          <t xml:space="preserve">Loyalty means delivering, not posturing.</t>
        </is>
      </c>
      <c r="H135" t="inlineStr">
        <is>
          <t xml:space="preserve">Put your name to the plan.</t>
        </is>
      </c>
      <c r="I135" t="inlineStr">
        <is>
          <t xml:space="preserve">Show the party you can deliver.</t>
        </is>
      </c>
    </row>
    <row r="136">
      <c r="A136" t="inlineStr">
        <is>
          <t xml:space="preserve">PL135</t>
        </is>
      </c>
      <c r="B136" t="inlineStr">
        <is>
          <t xml:space="preserve">Earnest</t>
        </is>
      </c>
      <c r="C136" t="inlineStr">
        <is>
          <t xml:space="preserve">gain</t>
        </is>
      </c>
      <c r="D136" t="inlineStr">
        <is>
          <t xml:space="preserve">ST03; ST35; ST39; ST42; ST45; ST49; ST52; ST56; ST59; ST62; ST65; ST68; ST72; ST75; ST78; ST81; ST85; ST89; ST93; ST97; ST100</t>
        </is>
      </c>
      <c r="E136" t="inlineStr">
        <is>
          <t xml:space="preserve">I will earn this room's trust through work.</t>
        </is>
      </c>
      <c r="F136" t="inlineStr">
        <is>
          <t xml:space="preserve">I will deliver for the party.</t>
        </is>
      </c>
      <c r="G136" t="inlineStr">
        <is>
          <t xml:space="preserve">You will see results from me.</t>
        </is>
      </c>
      <c r="H136" t="inlineStr">
        <is>
          <t xml:space="preserve">I put the team ahead of myself.</t>
        </is>
      </c>
      <c r="I136" t="inlineStr">
        <is>
          <t xml:space="preserve">My commitment to the party is plain.</t>
        </is>
      </c>
    </row>
    <row r="137">
      <c r="A137" t="inlineStr">
        <is>
          <t xml:space="preserve">PL136</t>
        </is>
      </c>
      <c r="B137" t="inlineStr">
        <is>
          <t xml:space="preserve">Earnest</t>
        </is>
      </c>
      <c r="C137" t="inlineStr">
        <is>
          <t xml:space="preserve">gain</t>
        </is>
      </c>
      <c r="D137" t="inlineStr">
        <is>
          <t xml:space="preserve">ST03; ST35; ST39; ST42; ST45; ST49; ST52; ST56; ST59; ST62; ST65; ST68; ST72; ST75; ST78; ST81; ST85; ST89; ST93; ST97; ST100</t>
        </is>
      </c>
      <c r="E137" t="inlineStr">
        <is>
          <t xml:space="preserve">I will do my share and more.</t>
        </is>
      </c>
      <c r="F137" t="inlineStr">
        <is>
          <t xml:space="preserve">Hold me to my word.</t>
        </is>
      </c>
      <c r="G137" t="inlineStr">
        <is>
          <t xml:space="preserve">I serve this party honestly.</t>
        </is>
      </c>
      <c r="H137" t="inlineStr">
        <is>
          <t xml:space="preserve">I will take the hard assignments.</t>
        </is>
      </c>
      <c r="I137" t="inlineStr">
        <is>
          <t xml:space="preserve">Count my votes, not my speeches.</t>
        </is>
      </c>
    </row>
    <row r="138">
      <c r="A138" t="inlineStr">
        <is>
          <t xml:space="preserve">PL137</t>
        </is>
      </c>
      <c r="B138" t="inlineStr">
        <is>
          <t xml:space="preserve">Earnest</t>
        </is>
      </c>
      <c r="C138" t="inlineStr">
        <is>
          <t xml:space="preserve">block</t>
        </is>
      </c>
      <c r="D138" t="inlineStr">
        <is>
          <t xml:space="preserve">ST03; ST35; ST39; ST42; ST45; ST49; ST52; ST56; ST59; ST62; ST65; ST68; ST72; ST75; ST78; ST81; ST85; ST89; ST93; ST97; ST100</t>
        </is>
      </c>
      <c r="E138" t="inlineStr">
        <is>
          <t xml:space="preserve">My loyalty is not in question.</t>
        </is>
      </c>
      <c r="F138" t="inlineStr">
        <is>
          <t xml:space="preserve">The record speaks for itself.</t>
        </is>
      </c>
      <c r="G138" t="inlineStr">
        <is>
          <t xml:space="preserve">I have kept faith with the party.</t>
        </is>
      </c>
      <c r="H138" t="inlineStr">
        <is>
          <t xml:space="preserve">I owe this room an honest account.</t>
        </is>
      </c>
      <c r="I138" t="inlineStr">
        <is>
          <t xml:space="preserve">Ask me directly. I will answer.</t>
        </is>
      </c>
    </row>
    <row r="139">
      <c r="A139" t="inlineStr">
        <is>
          <t xml:space="preserve">PL138</t>
        </is>
      </c>
      <c r="B139" t="inlineStr">
        <is>
          <t xml:space="preserve">Earnest</t>
        </is>
      </c>
      <c r="C139" t="inlineStr">
        <is>
          <t xml:space="preserve">block</t>
        </is>
      </c>
      <c r="D139" t="inlineStr">
        <is>
          <t xml:space="preserve">ST03; ST35; ST39; ST42; ST45; ST49; ST52; ST56; ST59; ST62; ST65; ST68; ST72; ST75; ST78; ST81; ST85; ST89; ST93; ST97; ST100</t>
        </is>
      </c>
      <c r="E139" t="inlineStr">
        <is>
          <t xml:space="preserve">I stand by my votes.</t>
        </is>
      </c>
      <c r="F139" t="inlineStr">
        <is>
          <t xml:space="preserve">I accept the party's judgment of my work.</t>
        </is>
      </c>
      <c r="G139" t="inlineStr">
        <is>
          <t xml:space="preserve">My work is open to review.</t>
        </is>
      </c>
      <c r="H139" t="inlineStr">
        <is>
          <t xml:space="preserve">I have been plain with everyone.</t>
        </is>
      </c>
      <c r="I139" t="inlineStr">
        <is>
          <t xml:space="preserve">I do not hide behind the whip.</t>
        </is>
      </c>
    </row>
    <row r="140">
      <c r="A140" t="inlineStr">
        <is>
          <t xml:space="preserve">PL139</t>
        </is>
      </c>
      <c r="B140" t="inlineStr">
        <is>
          <t xml:space="preserve">Emotional</t>
        </is>
      </c>
      <c r="C140" t="inlineStr">
        <is>
          <t xml:space="preserve">attack</t>
        </is>
      </c>
      <c r="D140" t="inlineStr">
        <is>
          <t xml:space="preserve">ST03; ST35; ST39; ST42; ST45; ST49; ST52; ST56; ST59; ST62; ST65; ST68; ST72; ST75; ST78; ST81; ST85; ST89; ST93; ST97; ST100</t>
        </is>
      </c>
      <c r="E140" t="inlineStr">
        <is>
          <t xml:space="preserve">This party was built for people, not careers!</t>
        </is>
      </c>
      <c r="F140" t="inlineStr">
        <is>
          <t xml:space="preserve">Think of the voters who believe in us!</t>
        </is>
      </c>
      <c r="G140" t="inlineStr">
        <is>
          <t xml:space="preserve">Colleagues, hear the people back home!</t>
        </is>
      </c>
      <c r="H140" t="inlineStr">
        <is>
          <t xml:space="preserve">Do you feel nothing for our base?</t>
        </is>
      </c>
      <c r="I140" t="inlineStr">
        <is>
          <t xml:space="preserve">Our supporters deserve better than this!</t>
        </is>
      </c>
    </row>
    <row r="141">
      <c r="A141" t="inlineStr">
        <is>
          <t xml:space="preserve">PL140</t>
        </is>
      </c>
      <c r="B141" t="inlineStr">
        <is>
          <t xml:space="preserve">Emotional</t>
        </is>
      </c>
      <c r="C141" t="inlineStr">
        <is>
          <t xml:space="preserve">attack</t>
        </is>
      </c>
      <c r="D141" t="inlineStr">
        <is>
          <t xml:space="preserve">ST03; ST35; ST39; ST42; ST45; ST49; ST52; ST56; ST59; ST62; ST65; ST68; ST72; ST75; ST78; ST81; ST85; ST89; ST93; ST97; ST100</t>
        </is>
      </c>
      <c r="E141" t="inlineStr">
        <is>
          <t xml:space="preserve">You are breaking faith with our voters!</t>
        </is>
      </c>
      <c r="F141" t="inlineStr">
        <is>
          <t xml:space="preserve">Our members gave everything for this cause!</t>
        </is>
      </c>
      <c r="G141" t="inlineStr">
        <is>
          <t xml:space="preserve">Remember why we joined this party!</t>
        </is>
      </c>
      <c r="H141" t="inlineStr">
        <is>
          <t xml:space="preserve">We owe our people more!</t>
        </is>
      </c>
      <c r="I141" t="inlineStr">
        <is>
          <t xml:space="preserve">This is not what our voters want!</t>
        </is>
      </c>
    </row>
    <row r="142">
      <c r="A142" t="inlineStr">
        <is>
          <t xml:space="preserve">PL141</t>
        </is>
      </c>
      <c r="B142" t="inlineStr">
        <is>
          <t xml:space="preserve">Emotional</t>
        </is>
      </c>
      <c r="C142" t="inlineStr">
        <is>
          <t xml:space="preserve">gain</t>
        </is>
      </c>
      <c r="D142" t="inlineStr">
        <is>
          <t xml:space="preserve">ST03; ST35; ST39; ST42; ST45; ST49; ST52; ST56; ST59; ST62; ST65; ST68; ST72; ST75; ST78; ST81; ST85; ST89; ST93; ST97; ST100</t>
        </is>
      </c>
      <c r="E142" t="inlineStr">
        <is>
          <t xml:space="preserve">I love this party and its people!</t>
        </is>
      </c>
      <c r="F142" t="inlineStr">
        <is>
          <t xml:space="preserve">We fight for those who trust us!</t>
        </is>
      </c>
      <c r="G142" t="inlineStr">
        <is>
          <t xml:space="preserve">Our cause is bigger than any of us!</t>
        </is>
      </c>
      <c r="H142" t="inlineStr">
        <is>
          <t xml:space="preserve">Together we carry their hopes!</t>
        </is>
      </c>
      <c r="I142" t="inlineStr">
        <is>
          <t xml:space="preserve">I feel the weight of their trust!</t>
        </is>
      </c>
    </row>
    <row r="143">
      <c r="A143" t="inlineStr">
        <is>
          <t xml:space="preserve">PL142</t>
        </is>
      </c>
      <c r="B143" t="inlineStr">
        <is>
          <t xml:space="preserve">Emotional</t>
        </is>
      </c>
      <c r="C143" t="inlineStr">
        <is>
          <t xml:space="preserve">gain</t>
        </is>
      </c>
      <c r="D143" t="inlineStr">
        <is>
          <t xml:space="preserve">ST03; ST35; ST39; ST42; ST45; ST49; ST52; ST56; ST59; ST62; ST65; ST68; ST72; ST75; ST78; ST81; ST85; ST89; ST93; ST97; ST100</t>
        </is>
      </c>
      <c r="E143" t="inlineStr">
        <is>
          <t xml:space="preserve">This party is my family!</t>
        </is>
      </c>
      <c r="F143" t="inlineStr">
        <is>
          <t xml:space="preserve">I will not let our people down!</t>
        </is>
      </c>
      <c r="G143" t="inlineStr">
        <is>
          <t xml:space="preserve">Our members deserve a champion!</t>
        </is>
      </c>
      <c r="H143" t="inlineStr">
        <is>
          <t xml:space="preserve">I am proud to fight beside you!</t>
        </is>
      </c>
      <c r="I143" t="inlineStr">
        <is>
          <t xml:space="preserve">Their faith in us drives me!</t>
        </is>
      </c>
    </row>
    <row r="144">
      <c r="A144" t="inlineStr">
        <is>
          <t xml:space="preserve">PL143</t>
        </is>
      </c>
      <c r="B144" t="inlineStr">
        <is>
          <t xml:space="preserve">Emotional</t>
        </is>
      </c>
      <c r="C144" t="inlineStr">
        <is>
          <t xml:space="preserve">block</t>
        </is>
      </c>
      <c r="D144" t="inlineStr">
        <is>
          <t xml:space="preserve">ST03; ST35; ST39; ST42; ST45; ST49; ST52; ST56; ST59; ST62; ST65; ST68; ST72; ST75; ST78; ST81; ST85; ST89; ST93; ST97; ST100</t>
        </is>
      </c>
      <c r="E144" t="inlineStr">
        <is>
          <t xml:space="preserve">Do not question my love for this party!</t>
        </is>
      </c>
      <c r="F144" t="inlineStr">
        <is>
          <t xml:space="preserve">I bleed for this cause!</t>
        </is>
      </c>
      <c r="G144" t="inlineStr">
        <is>
          <t xml:space="preserve">My dedication is not for sale!</t>
        </is>
      </c>
      <c r="H144" t="inlineStr">
        <is>
          <t xml:space="preserve">Spare me the lectures on loyalty!</t>
        </is>
      </c>
      <c r="I144" t="inlineStr">
        <is>
          <t xml:space="preserve">I care more than you know!</t>
        </is>
      </c>
    </row>
    <row r="145">
      <c r="A145" t="inlineStr">
        <is>
          <t xml:space="preserve">PL144</t>
        </is>
      </c>
      <c r="B145" t="inlineStr">
        <is>
          <t xml:space="preserve">Emotional</t>
        </is>
      </c>
      <c r="C145" t="inlineStr">
        <is>
          <t xml:space="preserve">block</t>
        </is>
      </c>
      <c r="D145" t="inlineStr">
        <is>
          <t xml:space="preserve">ST03; ST35; ST39; ST42; ST45; ST49; ST52; ST56; ST59; ST62; ST65; ST68; ST72; ST75; ST78; ST81; ST85; ST89; ST93; ST97; ST100</t>
        </is>
      </c>
      <c r="E145" t="inlineStr">
        <is>
          <t xml:space="preserve">My heart is with this party!</t>
        </is>
      </c>
      <c r="F145" t="inlineStr">
        <is>
          <t xml:space="preserve">Do not wound those who serve!</t>
        </is>
      </c>
      <c r="G145" t="inlineStr">
        <is>
          <t xml:space="preserve">I am hurt by that accusation!</t>
        </is>
      </c>
      <c r="H145" t="inlineStr">
        <is>
          <t xml:space="preserve">Respect the people who built this!</t>
        </is>
      </c>
      <c r="I145" t="inlineStr">
        <is>
          <t xml:space="preserve">I give this party everything!</t>
        </is>
      </c>
    </row>
    <row r="146">
      <c r="A146" t="inlineStr">
        <is>
          <t xml:space="preserve">PL145</t>
        </is>
      </c>
      <c r="B146" t="inlineStr">
        <is>
          <t xml:space="preserve">Appeal</t>
        </is>
      </c>
      <c r="C146" t="inlineStr">
        <is>
          <t xml:space="preserve">attack</t>
        </is>
      </c>
      <c r="D146" t="inlineStr">
        <is>
          <t xml:space="preserve">ST03; ST35; ST39; ST42; ST45; ST49; ST52; ST56; ST59; ST62; ST65; ST68; ST72; ST75; ST78; ST81; ST85; ST89; ST93; ST97; ST100</t>
        </is>
      </c>
      <c r="E146" t="inlineStr">
        <is>
          <t xml:space="preserve">Colleagues, we need each other. Act like it.</t>
        </is>
      </c>
      <c r="F146" t="inlineStr">
        <is>
          <t xml:space="preserve">The party is a family. Behave as one.</t>
        </is>
      </c>
      <c r="G146" t="inlineStr">
        <is>
          <t xml:space="preserve">Surely we can share the burden.</t>
        </is>
      </c>
      <c r="H146" t="inlineStr">
        <is>
          <t xml:space="preserve">Friends help friends in this room.</t>
        </is>
      </c>
      <c r="I146" t="inlineStr">
        <is>
          <t xml:space="preserve">Stand with your team, please.</t>
        </is>
      </c>
    </row>
    <row r="147">
      <c r="A147" t="inlineStr">
        <is>
          <t xml:space="preserve">PL146</t>
        </is>
      </c>
      <c r="B147" t="inlineStr">
        <is>
          <t xml:space="preserve">Appeal</t>
        </is>
      </c>
      <c r="C147" t="inlineStr">
        <is>
          <t xml:space="preserve">attack</t>
        </is>
      </c>
      <c r="D147" t="inlineStr">
        <is>
          <t xml:space="preserve">ST03; ST35; ST39; ST42; ST45; ST49; ST52; ST56; ST59; ST62; ST65; ST68; ST72; ST75; ST78; ST81; ST85; ST89; ST93; ST97; ST100</t>
        </is>
      </c>
      <c r="E147" t="inlineStr">
        <is>
          <t xml:space="preserve">We rise together or not at all.</t>
        </is>
      </c>
      <c r="F147" t="inlineStr">
        <is>
          <t xml:space="preserve">I expected solidarity from you.</t>
        </is>
      </c>
      <c r="G147" t="inlineStr">
        <is>
          <t xml:space="preserve">A favour is owed to this team.</t>
        </is>
      </c>
      <c r="H147" t="inlineStr">
        <is>
          <t xml:space="preserve">Do not leave your colleagues exposed.</t>
        </is>
      </c>
      <c r="I147" t="inlineStr">
        <is>
          <t xml:space="preserve">Unity is the party's strength.</t>
        </is>
      </c>
    </row>
    <row r="148">
      <c r="A148" t="inlineStr">
        <is>
          <t xml:space="preserve">PL147</t>
        </is>
      </c>
      <c r="B148" t="inlineStr">
        <is>
          <t xml:space="preserve">Appeal</t>
        </is>
      </c>
      <c r="C148" t="inlineStr">
        <is>
          <t xml:space="preserve">gain</t>
        </is>
      </c>
      <c r="D148" t="inlineStr">
        <is>
          <t xml:space="preserve">ST03; ST35; ST39; ST42; ST45; ST49; ST52; ST56; ST59; ST62; ST65; ST68; ST72; ST75; ST78; ST81; ST85; ST89; ST93; ST97; ST100</t>
        </is>
      </c>
      <c r="E148" t="inlineStr">
        <is>
          <t xml:space="preserve">We are stronger as one party.</t>
        </is>
      </c>
      <c r="F148" t="inlineStr">
        <is>
          <t xml:space="preserve">Colleagues, let us pull together.</t>
        </is>
      </c>
      <c r="G148" t="inlineStr">
        <is>
          <t xml:space="preserve">I will back you, and you back me.</t>
        </is>
      </c>
      <c r="H148" t="inlineStr">
        <is>
          <t xml:space="preserve">Team first, and the rest follows.</t>
        </is>
      </c>
      <c r="I148" t="inlineStr">
        <is>
          <t xml:space="preserve">Together we will carry this through.</t>
        </is>
      </c>
    </row>
    <row r="149">
      <c r="A149" t="inlineStr">
        <is>
          <t xml:space="preserve">PL148</t>
        </is>
      </c>
      <c r="B149" t="inlineStr">
        <is>
          <t xml:space="preserve">Appeal</t>
        </is>
      </c>
      <c r="C149" t="inlineStr">
        <is>
          <t xml:space="preserve">gain</t>
        </is>
      </c>
      <c r="D149" t="inlineStr">
        <is>
          <t xml:space="preserve">ST03; ST35; ST39; ST42; ST45; ST49; ST52; ST56; ST59; ST62; ST65; ST68; ST72; ST75; ST78; ST81; ST85; ST89; ST93; ST97; ST100</t>
        </is>
      </c>
      <c r="E149" t="inlineStr">
        <is>
          <t xml:space="preserve">Our party is at its best united.</t>
        </is>
      </c>
      <c r="F149" t="inlineStr">
        <is>
          <t xml:space="preserve">I am glad to stand with you.</t>
        </is>
      </c>
      <c r="G149" t="inlineStr">
        <is>
          <t xml:space="preserve">Friends, we have a good plan.</t>
        </is>
      </c>
      <c r="H149" t="inlineStr">
        <is>
          <t xml:space="preserve">Let us share the credit and the work.</t>
        </is>
      </c>
      <c r="I149" t="inlineStr">
        <is>
          <t xml:space="preserve">Good colleagues make good laws.</t>
        </is>
      </c>
    </row>
    <row r="150">
      <c r="A150" t="inlineStr">
        <is>
          <t xml:space="preserve">PL149</t>
        </is>
      </c>
      <c r="B150" t="inlineStr">
        <is>
          <t xml:space="preserve">Appeal</t>
        </is>
      </c>
      <c r="C150" t="inlineStr">
        <is>
          <t xml:space="preserve">block</t>
        </is>
      </c>
      <c r="D150" t="inlineStr">
        <is>
          <t xml:space="preserve">ST03; ST35; ST39; ST42; ST45; ST49; ST52; ST56; ST59; ST62; ST65; ST68; ST72; ST75; ST78; ST81; ST85; ST89; ST93; ST97; ST100</t>
        </is>
      </c>
      <c r="E150" t="inlineStr">
        <is>
          <t xml:space="preserve">Let us keep this among friends.</t>
        </is>
      </c>
      <c r="F150" t="inlineStr">
        <is>
          <t xml:space="preserve">We can resolve this as colleagues.</t>
        </is>
      </c>
      <c r="G150" t="inlineStr">
        <is>
          <t xml:space="preserve">No need to air our differences.</t>
        </is>
      </c>
      <c r="H150" t="inlineStr">
        <is>
          <t xml:space="preserve">Unity matters more than winning an argument.</t>
        </is>
      </c>
      <c r="I150" t="inlineStr">
        <is>
          <t xml:space="preserve">Let us find common ground.</t>
        </is>
      </c>
    </row>
    <row r="151">
      <c r="A151" t="inlineStr">
        <is>
          <t xml:space="preserve">PL150</t>
        </is>
      </c>
      <c r="B151" t="inlineStr">
        <is>
          <t xml:space="preserve">Appeal</t>
        </is>
      </c>
      <c r="C151" t="inlineStr">
        <is>
          <t xml:space="preserve">block</t>
        </is>
      </c>
      <c r="D151" t="inlineStr">
        <is>
          <t xml:space="preserve">ST03; ST35; ST39; ST42; ST45; ST49; ST52; ST56; ST59; ST62; ST65; ST68; ST72; ST75; ST78; ST81; ST85; ST89; ST93; ST97; ST100</t>
        </is>
      </c>
      <c r="E151" t="inlineStr">
        <is>
          <t xml:space="preserve">I value every voice in this room.</t>
        </is>
      </c>
      <c r="F151" t="inlineStr">
        <is>
          <t xml:space="preserve">We are one party, after all.</t>
        </is>
      </c>
      <c r="G151" t="inlineStr">
        <is>
          <t xml:space="preserve">Cooler heads help the whole team.</t>
        </is>
      </c>
      <c r="H151" t="inlineStr">
        <is>
          <t xml:space="preserve">Let us not wound each other.</t>
        </is>
      </c>
      <c r="I151" t="inlineStr">
        <is>
          <t xml:space="preserve">A united room serves everyone.</t>
        </is>
      </c>
    </row>
    <row r="152">
      <c r="A152" t="inlineStr">
        <is>
          <t xml:space="preserve">PL151</t>
        </is>
      </c>
      <c r="B152" t="inlineStr">
        <is>
          <t xml:space="preserve">Data Driven</t>
        </is>
      </c>
      <c r="C152" t="inlineStr">
        <is>
          <t xml:space="preserve">attack</t>
        </is>
      </c>
      <c r="D152" t="inlineStr">
        <is>
          <t xml:space="preserve">ST03; ST35; ST39; ST42; ST45; ST49; ST52; ST56; ST59; ST62; ST65; ST68; ST72; ST75; ST78; ST81; ST85; ST89; ST93; ST97; ST100</t>
        </is>
      </c>
      <c r="E152" t="inlineStr">
        <is>
          <t xml:space="preserve">How many seats does this plan win us?</t>
        </is>
      </c>
      <c r="F152" t="inlineStr">
        <is>
          <t xml:space="preserve">What does the polling actually show?</t>
        </is>
      </c>
      <c r="G152" t="inlineStr">
        <is>
          <t xml:space="preserve">Which members are counted as supporters?</t>
        </is>
      </c>
      <c r="H152" t="inlineStr">
        <is>
          <t xml:space="preserve">Show the whip count. Name names.</t>
        </is>
      </c>
      <c r="I152" t="inlineStr">
        <is>
          <t xml:space="preserve">What is the budget impact for the party?</t>
        </is>
      </c>
    </row>
    <row r="153">
      <c r="A153" t="inlineStr">
        <is>
          <t xml:space="preserve">PL152</t>
        </is>
      </c>
      <c r="B153" t="inlineStr">
        <is>
          <t xml:space="preserve">Data Driven</t>
        </is>
      </c>
      <c r="C153" t="inlineStr">
        <is>
          <t xml:space="preserve">attack</t>
        </is>
      </c>
      <c r="D153" t="inlineStr">
        <is>
          <t xml:space="preserve">ST03; ST35; ST39; ST42; ST45; ST49; ST52; ST56; ST59; ST62; ST65; ST68; ST72; ST75; ST78; ST81; ST85; ST89; ST93; ST97; ST100</t>
        </is>
      </c>
      <c r="E153" t="inlineStr">
        <is>
          <t xml:space="preserve">Where is the analysis behind this?</t>
        </is>
      </c>
      <c r="F153" t="inlineStr">
        <is>
          <t xml:space="preserve">Is that vote total confirmed?</t>
        </is>
      </c>
      <c r="G153" t="inlineStr">
        <is>
          <t xml:space="preserve">How does this compare with the platform?</t>
        </is>
      </c>
      <c r="H153" t="inlineStr">
        <is>
          <t xml:space="preserve">Give the figures, not the feelings.</t>
        </is>
      </c>
      <c r="I153" t="inlineStr">
        <is>
          <t xml:space="preserve">What are the odds this passes?</t>
        </is>
      </c>
    </row>
    <row r="154">
      <c r="A154" t="inlineStr">
        <is>
          <t xml:space="preserve">PL153</t>
        </is>
      </c>
      <c r="B154" t="inlineStr">
        <is>
          <t xml:space="preserve">Data Driven</t>
        </is>
      </c>
      <c r="C154" t="inlineStr">
        <is>
          <t xml:space="preserve">gain</t>
        </is>
      </c>
      <c r="D154" t="inlineStr">
        <is>
          <t xml:space="preserve">ST03; ST35; ST39; ST42; ST45; ST49; ST52; ST56; ST59; ST62; ST65; ST68; ST72; ST75; ST78; ST81; ST85; ST89; ST93; ST97; ST100</t>
        </is>
      </c>
      <c r="E154" t="inlineStr">
        <is>
          <t xml:space="preserve">The whip count favours this approach.</t>
        </is>
      </c>
      <c r="F154" t="inlineStr">
        <is>
          <t xml:space="preserve">The polling backs the plan.</t>
        </is>
      </c>
      <c r="G154" t="inlineStr">
        <is>
          <t xml:space="preserve">The numbers are with us.</t>
        </is>
      </c>
      <c r="H154" t="inlineStr">
        <is>
          <t xml:space="preserve">Here is the vote tally, member by member.</t>
        </is>
      </c>
      <c r="I154" t="inlineStr">
        <is>
          <t xml:space="preserve">The analysis is attached for all to read.</t>
        </is>
      </c>
    </row>
    <row r="155">
      <c r="A155" t="inlineStr">
        <is>
          <t xml:space="preserve">PL154</t>
        </is>
      </c>
      <c r="B155" t="inlineStr">
        <is>
          <t xml:space="preserve">Data Driven</t>
        </is>
      </c>
      <c r="C155" t="inlineStr">
        <is>
          <t xml:space="preserve">gain</t>
        </is>
      </c>
      <c r="D155" t="inlineStr">
        <is>
          <t xml:space="preserve">ST03; ST35; ST39; ST42; ST45; ST49; ST52; ST56; ST59; ST62; ST65; ST68; ST72; ST75; ST78; ST81; ST85; ST89; ST93; ST97; ST100</t>
        </is>
      </c>
      <c r="E155" t="inlineStr">
        <is>
          <t xml:space="preserve">The projection holds across scenarios.</t>
        </is>
      </c>
      <c r="F155" t="inlineStr">
        <is>
          <t xml:space="preserve">Support is higher than critics claim.</t>
        </is>
      </c>
      <c r="G155" t="inlineStr">
        <is>
          <t xml:space="preserve">The data shows steady backing.</t>
        </is>
      </c>
      <c r="H155" t="inlineStr">
        <is>
          <t xml:space="preserve">Seat estimates are conservative.</t>
        </is>
      </c>
      <c r="I155" t="inlineStr">
        <is>
          <t xml:space="preserve">Check the tally. It adds up.</t>
        </is>
      </c>
    </row>
    <row r="156">
      <c r="A156" t="inlineStr">
        <is>
          <t xml:space="preserve">PL155</t>
        </is>
      </c>
      <c r="B156" t="inlineStr">
        <is>
          <t xml:space="preserve">Data Driven</t>
        </is>
      </c>
      <c r="C156" t="inlineStr">
        <is>
          <t xml:space="preserve">block</t>
        </is>
      </c>
      <c r="D156" t="inlineStr">
        <is>
          <t xml:space="preserve">ST03; ST35; ST39; ST42; ST45; ST49; ST52; ST56; ST59; ST62; ST65; ST68; ST72; ST75; ST78; ST81; ST85; ST89; ST93; ST97; ST100</t>
        </is>
      </c>
      <c r="E156" t="inlineStr">
        <is>
          <t xml:space="preserve">That count includes undecided members.</t>
        </is>
      </c>
      <c r="F156" t="inlineStr">
        <is>
          <t xml:space="preserve">The poll sample is too small.</t>
        </is>
      </c>
      <c r="G156" t="inlineStr">
        <is>
          <t xml:space="preserve">Margins of error matter here.</t>
        </is>
      </c>
      <c r="H156" t="inlineStr">
        <is>
          <t xml:space="preserve">Those totals ignore absentees.</t>
        </is>
      </c>
      <c r="I156" t="inlineStr">
        <is>
          <t xml:space="preserve">Read the footnotes on that table.</t>
        </is>
      </c>
    </row>
    <row r="157">
      <c r="A157" t="inlineStr">
        <is>
          <t xml:space="preserve">PL156</t>
        </is>
      </c>
      <c r="B157" t="inlineStr">
        <is>
          <t xml:space="preserve">Data Driven</t>
        </is>
      </c>
      <c r="C157" t="inlineStr">
        <is>
          <t xml:space="preserve">block</t>
        </is>
      </c>
      <c r="D157" t="inlineStr">
        <is>
          <t xml:space="preserve">ST03; ST35; ST39; ST42; ST45; ST49; ST52; ST56; ST59; ST62; ST65; ST68; ST72; ST75; ST78; ST81; ST85; ST89; ST93; ST97; ST100</t>
        </is>
      </c>
      <c r="E157" t="inlineStr">
        <is>
          <t xml:space="preserve">My tally is on the record.</t>
        </is>
      </c>
      <c r="F157" t="inlineStr">
        <is>
          <t xml:space="preserve">The model has been stress-tested.</t>
        </is>
      </c>
      <c r="G157" t="inlineStr">
        <is>
          <t xml:space="preserve">Different assumptions give different counts.</t>
        </is>
      </c>
      <c r="H157" t="inlineStr">
        <is>
          <t xml:space="preserve">Compare the full data, not a slice.</t>
        </is>
      </c>
      <c r="I157" t="inlineStr">
        <is>
          <t xml:space="preserve">The projection stands.</t>
        </is>
      </c>
    </row>
    <row r="158">
      <c r="A158" t="inlineStr">
        <is>
          <t xml:space="preserve">PL157</t>
        </is>
      </c>
      <c r="B158" t="inlineStr">
        <is>
          <t xml:space="preserve">Divisive</t>
        </is>
      </c>
      <c r="C158" t="inlineStr">
        <is>
          <t xml:space="preserve">attack</t>
        </is>
      </c>
      <c r="D158" t="inlineStr">
        <is>
          <t xml:space="preserve">ST03; ST35; ST39; ST42; ST45; ST49; ST52; ST56; ST59; ST62; ST65; ST68; ST72; ST75; ST78; ST81; ST85; ST89; ST93; ST97; ST100</t>
        </is>
      </c>
      <c r="E158" t="inlineStr">
        <is>
          <t xml:space="preserve">Are you with the leadership or against it?</t>
        </is>
      </c>
      <c r="F158" t="inlineStr">
        <is>
          <t xml:space="preserve">Whose side are you really on?</t>
        </is>
      </c>
      <c r="G158" t="inlineStr">
        <is>
          <t xml:space="preserve">Loyal members do not behave this way.</t>
        </is>
      </c>
      <c r="H158" t="inlineStr">
        <is>
          <t xml:space="preserve">Pick a faction and stand by it.</t>
        </is>
      </c>
      <c r="I158" t="inlineStr">
        <is>
          <t xml:space="preserve">Some here serve themselves, not the party.</t>
        </is>
      </c>
    </row>
    <row r="159">
      <c r="A159" t="inlineStr">
        <is>
          <t xml:space="preserve">PL158</t>
        </is>
      </c>
      <c r="B159" t="inlineStr">
        <is>
          <t xml:space="preserve">Divisive</t>
        </is>
      </c>
      <c r="C159" t="inlineStr">
        <is>
          <t xml:space="preserve">attack</t>
        </is>
      </c>
      <c r="D159" t="inlineStr">
        <is>
          <t xml:space="preserve">ST03; ST35; ST39; ST42; ST45; ST49; ST52; ST56; ST59; ST62; ST65; ST68; ST72; ST75; ST78; ST81; ST85; ST89; ST93; ST97; ST100</t>
        </is>
      </c>
      <c r="E159" t="inlineStr">
        <is>
          <t xml:space="preserve">Rebels weaken us all.</t>
        </is>
      </c>
      <c r="F159" t="inlineStr">
        <is>
          <t xml:space="preserve">You are either with us or a risk.</t>
        </is>
      </c>
      <c r="G159" t="inlineStr">
        <is>
          <t xml:space="preserve">The party knows who its friends are.</t>
        </is>
      </c>
      <c r="H159" t="inlineStr">
        <is>
          <t xml:space="preserve">Careerists and loyalists are not the same.</t>
        </is>
      </c>
      <c r="I159" t="inlineStr">
        <is>
          <t xml:space="preserve">Choose: the party or yourself.</t>
        </is>
      </c>
    </row>
    <row r="160">
      <c r="A160" t="inlineStr">
        <is>
          <t xml:space="preserve">PL159</t>
        </is>
      </c>
      <c r="B160" t="inlineStr">
        <is>
          <t xml:space="preserve">Divisive</t>
        </is>
      </c>
      <c r="C160" t="inlineStr">
        <is>
          <t xml:space="preserve">gain</t>
        </is>
      </c>
      <c r="D160" t="inlineStr">
        <is>
          <t xml:space="preserve">ST03; ST35; ST39; ST42; ST45; ST49; ST52; ST56; ST59; ST62; ST65; ST68; ST72; ST75; ST78; ST81; ST85; ST89; ST93; ST97; ST100</t>
        </is>
      </c>
      <c r="E160" t="inlineStr">
        <is>
          <t xml:space="preserve">The loyal members are with me.</t>
        </is>
      </c>
      <c r="F160" t="inlineStr">
        <is>
          <t xml:space="preserve">The party is clear on who leads.</t>
        </is>
      </c>
      <c r="G160" t="inlineStr">
        <is>
          <t xml:space="preserve">Rebels have no place at this table.</t>
        </is>
      </c>
      <c r="H160" t="inlineStr">
        <is>
          <t xml:space="preserve">Real members stand with leadership.</t>
        </is>
      </c>
      <c r="I160" t="inlineStr">
        <is>
          <t xml:space="preserve">We know our true friends.</t>
        </is>
      </c>
    </row>
    <row r="161">
      <c r="A161" t="inlineStr">
        <is>
          <t xml:space="preserve">PL160</t>
        </is>
      </c>
      <c r="B161" t="inlineStr">
        <is>
          <t xml:space="preserve">Divisive</t>
        </is>
      </c>
      <c r="C161" t="inlineStr">
        <is>
          <t xml:space="preserve">gain</t>
        </is>
      </c>
      <c r="D161" t="inlineStr">
        <is>
          <t xml:space="preserve">ST03; ST35; ST39; ST42; ST45; ST49; ST52; ST56; ST59; ST62; ST65; ST68; ST72; ST75; ST78; ST81; ST85; ST89; ST93; ST97; ST100</t>
        </is>
      </c>
      <c r="E161" t="inlineStr">
        <is>
          <t xml:space="preserve">The line between us and them is clear.</t>
        </is>
      </c>
      <c r="F161" t="inlineStr">
        <is>
          <t xml:space="preserve">I stand with the party, not the critics.</t>
        </is>
      </c>
      <c r="G161" t="inlineStr">
        <is>
          <t xml:space="preserve">Loyalty will be recognised.</t>
        </is>
      </c>
      <c r="H161" t="inlineStr">
        <is>
          <t xml:space="preserve">The party is united against doubters.</t>
        </is>
      </c>
      <c r="I161" t="inlineStr">
        <is>
          <t xml:space="preserve">Those who stay on side will be rewarded.</t>
        </is>
      </c>
    </row>
    <row r="162">
      <c r="A162" t="inlineStr">
        <is>
          <t xml:space="preserve">PL161</t>
        </is>
      </c>
      <c r="B162" t="inlineStr">
        <is>
          <t xml:space="preserve">Divisive</t>
        </is>
      </c>
      <c r="C162" t="inlineStr">
        <is>
          <t xml:space="preserve">block</t>
        </is>
      </c>
      <c r="D162" t="inlineStr">
        <is>
          <t xml:space="preserve">ST03; ST35; ST39; ST42; ST45; ST49; ST52; ST56; ST59; ST62; ST65; ST68; ST72; ST75; ST78; ST81; ST85; ST89; ST93; ST97; ST100</t>
        </is>
      </c>
      <c r="E162" t="inlineStr">
        <is>
          <t xml:space="preserve">Labels do not make you right.</t>
        </is>
      </c>
      <c r="F162" t="inlineStr">
        <is>
          <t xml:space="preserve">Calling me disloyal proves nothing.</t>
        </is>
      </c>
      <c r="G162" t="inlineStr">
        <is>
          <t xml:space="preserve">I know whose interests you serve.</t>
        </is>
      </c>
      <c r="H162" t="inlineStr">
        <is>
          <t xml:space="preserve">Faction games help only our rivals.</t>
        </is>
      </c>
      <c r="I162" t="inlineStr">
        <is>
          <t xml:space="preserve">Find a better argument than loyalty.</t>
        </is>
      </c>
    </row>
    <row r="163">
      <c r="A163" t="inlineStr">
        <is>
          <t xml:space="preserve">PL162</t>
        </is>
      </c>
      <c r="B163" t="inlineStr">
        <is>
          <t xml:space="preserve">Divisive</t>
        </is>
      </c>
      <c r="C163" t="inlineStr">
        <is>
          <t xml:space="preserve">block</t>
        </is>
      </c>
      <c r="D163" t="inlineStr">
        <is>
          <t xml:space="preserve">ST03; ST35; ST39; ST42; ST45; ST49; ST52; ST56; ST59; ST62; ST65; ST68; ST72; ST75; ST78; ST81; ST85; ST89; ST93; ST97; ST100</t>
        </is>
      </c>
      <c r="E163" t="inlineStr">
        <is>
          <t xml:space="preserve">Do not split this party for show.</t>
        </is>
      </c>
      <c r="F163" t="inlineStr">
        <is>
          <t xml:space="preserve">Your accusations say more about you.</t>
        </is>
      </c>
      <c r="G163" t="inlineStr">
        <is>
          <t xml:space="preserve">I will not be sorted into a camp.</t>
        </is>
      </c>
      <c r="H163" t="inlineStr">
        <is>
          <t xml:space="preserve">Question the policy, not the member.</t>
        </is>
      </c>
      <c r="I163" t="inlineStr">
        <is>
          <t xml:space="preserve">Rivals love this kind of quarrel.</t>
        </is>
      </c>
    </row>
    <row r="164">
      <c r="A164" t="inlineStr">
        <is>
          <t xml:space="preserve">PL163</t>
        </is>
      </c>
      <c r="B164" t="inlineStr">
        <is>
          <t xml:space="preserve">Duplicitous</t>
        </is>
      </c>
      <c r="C164" t="inlineStr">
        <is>
          <t xml:space="preserve">attack</t>
        </is>
      </c>
      <c r="D164" t="inlineStr">
        <is>
          <t xml:space="preserve">ST03; ST35; ST39; ST42; ST45; ST49; ST52; ST56; ST59; ST62; ST65; ST68; ST72; ST75; ST78; ST81; ST85; ST89; ST93; ST97; ST100</t>
        </is>
      </c>
      <c r="E164" t="inlineStr">
        <is>
          <t xml:space="preserve">Some members may have other plans...</t>
        </is>
      </c>
      <c r="F164" t="inlineStr">
        <is>
          <t xml:space="preserve">It would be unfortunate if details leaked...</t>
        </is>
      </c>
      <c r="G164" t="inlineStr">
        <is>
          <t xml:space="preserve">A certain arrangement has been mentioned...</t>
        </is>
      </c>
      <c r="H164" t="inlineStr">
        <is>
          <t xml:space="preserve">One hears the leadership is not pleased...</t>
        </is>
      </c>
      <c r="I164" t="inlineStr">
        <is>
          <t xml:space="preserve">Quiet conversations are taking place...</t>
        </is>
      </c>
    </row>
    <row r="165">
      <c r="A165" t="inlineStr">
        <is>
          <t xml:space="preserve">PL164</t>
        </is>
      </c>
      <c r="B165" t="inlineStr">
        <is>
          <t xml:space="preserve">Duplicitous</t>
        </is>
      </c>
      <c r="C165" t="inlineStr">
        <is>
          <t xml:space="preserve">attack</t>
        </is>
      </c>
      <c r="D165" t="inlineStr">
        <is>
          <t xml:space="preserve">ST03; ST35; ST39; ST42; ST45; ST49; ST52; ST56; ST59; ST62; ST65; ST68; ST72; ST75; ST78; ST81; ST85; ST89; ST93; ST97; ST100</t>
        </is>
      </c>
      <c r="E165" t="inlineStr">
        <is>
          <t xml:space="preserve">People are talking, of course...</t>
        </is>
      </c>
      <c r="F165" t="inlineStr">
        <is>
          <t xml:space="preserve">I would not wish to name names...</t>
        </is>
      </c>
      <c r="G165" t="inlineStr">
        <is>
          <t xml:space="preserve">Loyalty can be flexible, I hear...</t>
        </is>
      </c>
      <c r="H165" t="inlineStr">
        <is>
          <t xml:space="preserve">Rumours say a deal is close...</t>
        </is>
      </c>
      <c r="I165" t="inlineStr">
        <is>
          <t xml:space="preserve">It might be wise to reconsider...</t>
        </is>
      </c>
    </row>
    <row r="166">
      <c r="A166" t="inlineStr">
        <is>
          <t xml:space="preserve">PL165</t>
        </is>
      </c>
      <c r="B166" t="inlineStr">
        <is>
          <t xml:space="preserve">Duplicitous</t>
        </is>
      </c>
      <c r="C166" t="inlineStr">
        <is>
          <t xml:space="preserve">gain</t>
        </is>
      </c>
      <c r="D166" t="inlineStr">
        <is>
          <t xml:space="preserve">ST03; ST35; ST39; ST42; ST45; ST49; ST52; ST56; ST59; ST62; ST65; ST68; ST72; ST75; ST78; ST81; ST85; ST89; ST93; ST97; ST100</t>
        </is>
      </c>
      <c r="E166" t="inlineStr">
        <is>
          <t xml:space="preserve">I am sure we can accommodate everyone...</t>
        </is>
      </c>
      <c r="F166" t="inlineStr">
        <is>
          <t xml:space="preserve">Positions can be adjusted, if needed...</t>
        </is>
      </c>
      <c r="G166" t="inlineStr">
        <is>
          <t xml:space="preserve">Everyone will be looked after, naturally...</t>
        </is>
      </c>
      <c r="H166" t="inlineStr">
        <is>
          <t xml:space="preserve">Arrangements are being explored...</t>
        </is>
      </c>
      <c r="I166" t="inlineStr">
        <is>
          <t xml:space="preserve">Your concerns will be kept in mind...</t>
        </is>
      </c>
    </row>
    <row r="167">
      <c r="A167" t="inlineStr">
        <is>
          <t xml:space="preserve">PL166</t>
        </is>
      </c>
      <c r="B167" t="inlineStr">
        <is>
          <t xml:space="preserve">Duplicitous</t>
        </is>
      </c>
      <c r="C167" t="inlineStr">
        <is>
          <t xml:space="preserve">gain</t>
        </is>
      </c>
      <c r="D167" t="inlineStr">
        <is>
          <t xml:space="preserve">ST03; ST35; ST39; ST42; ST45; ST49; ST52; ST56; ST59; ST62; ST65; ST68; ST72; ST75; ST78; ST81; ST85; ST89; ST93; ST97; ST100</t>
        </is>
      </c>
      <c r="E167" t="inlineStr">
        <is>
          <t xml:space="preserve">The leadership is sympathetic, I believe...</t>
        </is>
      </c>
      <c r="F167" t="inlineStr">
        <is>
          <t xml:space="preserve">Perhaps a place can be found...</t>
        </is>
      </c>
      <c r="G167" t="inlineStr">
        <is>
          <t xml:space="preserve">Nothing is off the table, really...</t>
        </is>
      </c>
      <c r="H167" t="inlineStr">
        <is>
          <t xml:space="preserve">We may find a happy outcome...</t>
        </is>
      </c>
      <c r="I167" t="inlineStr">
        <is>
          <t xml:space="preserve">A way forward is emerging, softly...</t>
        </is>
      </c>
    </row>
    <row r="168">
      <c r="A168" t="inlineStr">
        <is>
          <t xml:space="preserve">PL167</t>
        </is>
      </c>
      <c r="B168" t="inlineStr">
        <is>
          <t xml:space="preserve">Duplicitous</t>
        </is>
      </c>
      <c r="C168" t="inlineStr">
        <is>
          <t xml:space="preserve">block</t>
        </is>
      </c>
      <c r="D168" t="inlineStr">
        <is>
          <t xml:space="preserve">ST03; ST35; ST39; ST42; ST45; ST49; ST52; ST56; ST59; ST62; ST65; ST68; ST72; ST75; ST78; ST81; ST85; ST89; ST93; ST97; ST100</t>
        </is>
      </c>
      <c r="E168" t="inlineStr">
        <is>
          <t xml:space="preserve">I do not recall promising anything...</t>
        </is>
      </c>
      <c r="F168" t="inlineStr">
        <is>
          <t xml:space="preserve">My position has been misunderstood...</t>
        </is>
      </c>
      <c r="G168" t="inlineStr">
        <is>
          <t xml:space="preserve">I was not in that conversation...</t>
        </is>
      </c>
      <c r="H168" t="inlineStr">
        <is>
          <t xml:space="preserve">These things are rarely so simple...</t>
        </is>
      </c>
      <c r="I168" t="inlineStr">
        <is>
          <t xml:space="preserve">That is a leadership matter, surely...</t>
        </is>
      </c>
    </row>
    <row r="169">
      <c r="A169" t="inlineStr">
        <is>
          <t xml:space="preserve">PL168</t>
        </is>
      </c>
      <c r="B169" t="inlineStr">
        <is>
          <t xml:space="preserve">Duplicitous</t>
        </is>
      </c>
      <c r="C169" t="inlineStr">
        <is>
          <t xml:space="preserve">block</t>
        </is>
      </c>
      <c r="D169" t="inlineStr">
        <is>
          <t xml:space="preserve">ST03; ST35; ST39; ST42; ST45; ST49; ST52; ST56; ST59; ST62; ST65; ST68; ST72; ST75; ST78; ST81; ST85; ST89; ST93; ST97; ST100</t>
        </is>
      </c>
      <c r="E169" t="inlineStr">
        <is>
          <t xml:space="preserve">No one has asked me to decide...</t>
        </is>
      </c>
      <c r="F169" t="inlineStr">
        <is>
          <t xml:space="preserve">I will consult others and then answer...</t>
        </is>
      </c>
      <c r="G169" t="inlineStr">
        <is>
          <t xml:space="preserve">Minutes can be read many ways...</t>
        </is>
      </c>
      <c r="H169" t="inlineStr">
        <is>
          <t xml:space="preserve">I could not confirm that, I fear...</t>
        </is>
      </c>
      <c r="I169" t="inlineStr">
        <is>
          <t xml:space="preserve">Let us not put that in writing...</t>
        </is>
      </c>
    </row>
    <row r="170">
      <c r="A170" t="inlineStr">
        <is>
          <t xml:space="preserve">PL169</t>
        </is>
      </c>
      <c r="B170" t="inlineStr">
        <is>
          <t xml:space="preserve">Earnest</t>
        </is>
      </c>
      <c r="C170" t="inlineStr">
        <is>
          <t xml:space="preserve">attack</t>
        </is>
      </c>
      <c r="D170" t="inlineStr">
        <is>
          <t xml:space="preserve">ST32; ST33; ST34; ST35</t>
        </is>
      </c>
      <c r="E170" t="inlineStr">
        <is>
          <t xml:space="preserve">The wilderness deserves honesty, not slogans.</t>
        </is>
      </c>
      <c r="F170" t="inlineStr">
        <is>
          <t xml:space="preserve">Say plainly what you mean about the wilderness.</t>
        </is>
      </c>
      <c r="G170" t="inlineStr">
        <is>
          <t xml:space="preserve">Be sincere with people about the wilderness.</t>
        </is>
      </c>
      <c r="H170" t="inlineStr">
        <is>
          <t xml:space="preserve">The wilderness is no place for games.</t>
        </is>
      </c>
      <c r="I170" t="inlineStr">
        <is>
          <t xml:space="preserve">People deserve a straight answer on the wilderness.</t>
        </is>
      </c>
    </row>
    <row r="171">
      <c r="A171" t="inlineStr">
        <is>
          <t xml:space="preserve">PL170</t>
        </is>
      </c>
      <c r="B171" t="inlineStr">
        <is>
          <t xml:space="preserve">Earnest</t>
        </is>
      </c>
      <c r="C171" t="inlineStr">
        <is>
          <t xml:space="preserve">gain</t>
        </is>
      </c>
      <c r="D171" t="inlineStr">
        <is>
          <t xml:space="preserve">ST32; ST33; ST34; ST35</t>
        </is>
      </c>
      <c r="E171" t="inlineStr">
        <is>
          <t xml:space="preserve">I mean every word about the wilderness.</t>
        </is>
      </c>
      <c r="F171" t="inlineStr">
        <is>
          <t xml:space="preserve">People can trust me on the wilderness.</t>
        </is>
      </c>
      <c r="G171" t="inlineStr">
        <is>
          <t xml:space="preserve">The wilderness matters to me personally.</t>
        </is>
      </c>
      <c r="H171" t="inlineStr">
        <is>
          <t xml:space="preserve">I will be honest about the wilderness.</t>
        </is>
      </c>
      <c r="I171" t="inlineStr">
        <is>
          <t xml:space="preserve">Here is my honest view on the wilderness.</t>
        </is>
      </c>
    </row>
    <row r="172">
      <c r="A172" t="inlineStr">
        <is>
          <t xml:space="preserve">PL171</t>
        </is>
      </c>
      <c r="B172" t="inlineStr">
        <is>
          <t xml:space="preserve">Earnest</t>
        </is>
      </c>
      <c r="C172" t="inlineStr">
        <is>
          <t xml:space="preserve">block</t>
        </is>
      </c>
      <c r="D172" t="inlineStr">
        <is>
          <t xml:space="preserve">ST32; ST33; ST34; ST35</t>
        </is>
      </c>
      <c r="E172" t="inlineStr">
        <is>
          <t xml:space="preserve">I will not dodge the wilderness.</t>
        </is>
      </c>
      <c r="F172" t="inlineStr">
        <is>
          <t xml:space="preserve">You can ask me about the wilderness.</t>
        </is>
      </c>
      <c r="G172" t="inlineStr">
        <is>
          <t xml:space="preserve">I stand by what I said.</t>
        </is>
      </c>
      <c r="H172" t="inlineStr">
        <is>
          <t xml:space="preserve">Ask plainly. I will answer plainly.</t>
        </is>
      </c>
      <c r="I172" t="inlineStr">
        <is>
          <t xml:space="preserve">My view on the wilderness is sincere.</t>
        </is>
      </c>
    </row>
    <row r="173">
      <c r="A173" t="inlineStr">
        <is>
          <t xml:space="preserve">PL172</t>
        </is>
      </c>
      <c r="B173" t="inlineStr">
        <is>
          <t xml:space="preserve">Emotional</t>
        </is>
      </c>
      <c r="C173" t="inlineStr">
        <is>
          <t xml:space="preserve">attack</t>
        </is>
      </c>
      <c r="D173" t="inlineStr">
        <is>
          <t xml:space="preserve">ST32; ST33; ST34; ST35</t>
        </is>
      </c>
      <c r="E173" t="inlineStr">
        <is>
          <t xml:space="preserve">Think of the families behind the wilderness.</t>
        </is>
      </c>
      <c r="F173" t="inlineStr">
        <is>
          <t xml:space="preserve">Look at the faces affected by the wilderness.</t>
        </is>
      </c>
      <c r="G173" t="inlineStr">
        <is>
          <t xml:space="preserve">The wilderness is about real people.</t>
        </is>
      </c>
      <c r="H173" t="inlineStr">
        <is>
          <t xml:space="preserve">Do you feel nothing about the wilderness?</t>
        </is>
      </c>
      <c r="I173" t="inlineStr">
        <is>
          <t xml:space="preserve">Tell that to those hurt by the wilderness.</t>
        </is>
      </c>
    </row>
    <row r="174">
      <c r="A174" t="inlineStr">
        <is>
          <t xml:space="preserve">PL173</t>
        </is>
      </c>
      <c r="B174" t="inlineStr">
        <is>
          <t xml:space="preserve">Emotional</t>
        </is>
      </c>
      <c r="C174" t="inlineStr">
        <is>
          <t xml:space="preserve">gain</t>
        </is>
      </c>
      <c r="D174" t="inlineStr">
        <is>
          <t xml:space="preserve">ST32; ST33; ST34; ST35</t>
        </is>
      </c>
      <c r="E174" t="inlineStr">
        <is>
          <t xml:space="preserve">I have met people touched by the wilderness.</t>
        </is>
      </c>
      <c r="F174" t="inlineStr">
        <is>
          <t xml:space="preserve">The wilderness weighs on me.</t>
        </is>
      </c>
      <c r="G174" t="inlineStr">
        <is>
          <t xml:space="preserve">Their stories made me care about the wilderness.</t>
        </is>
      </c>
      <c r="H174" t="inlineStr">
        <is>
          <t xml:space="preserve">I carry those families with me.</t>
        </is>
      </c>
      <c r="I174" t="inlineStr">
        <is>
          <t xml:space="preserve">Every family I met raised the wilderness.</t>
        </is>
      </c>
    </row>
    <row r="175">
      <c r="A175" t="inlineStr">
        <is>
          <t xml:space="preserve">PL174</t>
        </is>
      </c>
      <c r="B175" t="inlineStr">
        <is>
          <t xml:space="preserve">Emotional</t>
        </is>
      </c>
      <c r="C175" t="inlineStr">
        <is>
          <t xml:space="preserve">block</t>
        </is>
      </c>
      <c r="D175" t="inlineStr">
        <is>
          <t xml:space="preserve">ST32; ST33; ST34; ST35</t>
        </is>
      </c>
      <c r="E175" t="inlineStr">
        <is>
          <t xml:space="preserve">You cannot dismiss people over the wilderness.</t>
        </is>
      </c>
      <c r="F175" t="inlineStr">
        <is>
          <t xml:space="preserve">Do not turn the wilderness into a game.</t>
        </is>
      </c>
      <c r="G175" t="inlineStr">
        <is>
          <t xml:space="preserve">I will not shrink their stories.</t>
        </is>
      </c>
      <c r="H175" t="inlineStr">
        <is>
          <t xml:space="preserve">These are people, not statistics.</t>
        </is>
      </c>
      <c r="I175" t="inlineStr">
        <is>
          <t xml:space="preserve">Speak gently about the wilderness.</t>
        </is>
      </c>
    </row>
    <row r="176">
      <c r="A176" t="inlineStr">
        <is>
          <t xml:space="preserve">PL175</t>
        </is>
      </c>
      <c r="B176" t="inlineStr">
        <is>
          <t xml:space="preserve">Appeal</t>
        </is>
      </c>
      <c r="C176" t="inlineStr">
        <is>
          <t xml:space="preserve">attack</t>
        </is>
      </c>
      <c r="D176" t="inlineStr">
        <is>
          <t xml:space="preserve">ST32; ST33; ST34; ST35</t>
        </is>
      </c>
      <c r="E176" t="inlineStr">
        <is>
          <t xml:space="preserve">People want answers on the wilderness.</t>
        </is>
      </c>
      <c r="F176" t="inlineStr">
        <is>
          <t xml:space="preserve">Ask anyone in the street about the wilderness.</t>
        </is>
      </c>
      <c r="G176" t="inlineStr">
        <is>
          <t xml:space="preserve">The public wants less spin on the wilderness.</t>
        </is>
      </c>
      <c r="H176" t="inlineStr">
        <is>
          <t xml:space="preserve">Most people disagree with you on the wilderness.</t>
        </is>
      </c>
      <c r="I176" t="inlineStr">
        <is>
          <t xml:space="preserve">Voters have spoken on the wilderness.</t>
        </is>
      </c>
    </row>
    <row r="177">
      <c r="A177" t="inlineStr">
        <is>
          <t xml:space="preserve">PL176</t>
        </is>
      </c>
      <c r="B177" t="inlineStr">
        <is>
          <t xml:space="preserve">Appeal</t>
        </is>
      </c>
      <c r="C177" t="inlineStr">
        <is>
          <t xml:space="preserve">gain</t>
        </is>
      </c>
      <c r="D177" t="inlineStr">
        <is>
          <t xml:space="preserve">ST32; ST33; ST34; ST35</t>
        </is>
      </c>
      <c r="E177" t="inlineStr">
        <is>
          <t xml:space="preserve">Most people I meet back the wilderness.</t>
        </is>
      </c>
      <c r="F177" t="inlineStr">
        <is>
          <t xml:space="preserve">Ordinary people want action on the wilderness.</t>
        </is>
      </c>
      <c r="G177" t="inlineStr">
        <is>
          <t xml:space="preserve">Voters keep raising the wilderness.</t>
        </is>
      </c>
      <c r="H177" t="inlineStr">
        <is>
          <t xml:space="preserve">Ask around. People care about the wilderness.</t>
        </is>
      </c>
      <c r="I177" t="inlineStr">
        <is>
          <t xml:space="preserve">The public mood favours the wilderness.</t>
        </is>
      </c>
    </row>
    <row r="178">
      <c r="A178" t="inlineStr">
        <is>
          <t xml:space="preserve">PL177</t>
        </is>
      </c>
      <c r="B178" t="inlineStr">
        <is>
          <t xml:space="preserve">Appeal</t>
        </is>
      </c>
      <c r="C178" t="inlineStr">
        <is>
          <t xml:space="preserve">block</t>
        </is>
      </c>
      <c r="D178" t="inlineStr">
        <is>
          <t xml:space="preserve">ST32; ST33; ST34; ST35</t>
        </is>
      </c>
      <c r="E178" t="inlineStr">
        <is>
          <t xml:space="preserve">Do not speak for everyone on the wilderness.</t>
        </is>
      </c>
      <c r="F178" t="inlineStr">
        <is>
          <t xml:space="preserve">People are divided on the wilderness.</t>
        </is>
      </c>
      <c r="G178" t="inlineStr">
        <is>
          <t xml:space="preserve">Do not claim the crowd on the wilderness.</t>
        </is>
      </c>
      <c r="H178" t="inlineStr">
        <is>
          <t xml:space="preserve">Let the public decide the wilderness.</t>
        </is>
      </c>
      <c r="I178" t="inlineStr">
        <is>
          <t xml:space="preserve">I hear all sides on the wilderness.</t>
        </is>
      </c>
    </row>
    <row r="179">
      <c r="A179" t="inlineStr">
        <is>
          <t xml:space="preserve">PL178</t>
        </is>
      </c>
      <c r="B179" t="inlineStr">
        <is>
          <t xml:space="preserve">Data Driven</t>
        </is>
      </c>
      <c r="C179" t="inlineStr">
        <is>
          <t xml:space="preserve">attack</t>
        </is>
      </c>
      <c r="D179" t="inlineStr">
        <is>
          <t xml:space="preserve">ST32; ST33; ST34; ST35</t>
        </is>
      </c>
      <c r="E179" t="inlineStr">
        <is>
          <t xml:space="preserve">Where are the figures on the wilderness?</t>
        </is>
      </c>
      <c r="F179" t="inlineStr">
        <is>
          <t xml:space="preserve">Your numbers on the wilderness do not hold.</t>
        </is>
      </c>
      <c r="G179" t="inlineStr">
        <is>
          <t xml:space="preserve">Show the evidence for the wilderness.</t>
        </is>
      </c>
      <c r="H179" t="inlineStr">
        <is>
          <t xml:space="preserve">What is the real cost of the wilderness?</t>
        </is>
      </c>
      <c r="I179" t="inlineStr">
        <is>
          <t xml:space="preserve">Those the wilderness statistics are selective.</t>
        </is>
      </c>
    </row>
    <row r="180">
      <c r="A180" t="inlineStr">
        <is>
          <t xml:space="preserve">PL179</t>
        </is>
      </c>
      <c r="B180" t="inlineStr">
        <is>
          <t xml:space="preserve">Data Driven</t>
        </is>
      </c>
      <c r="C180" t="inlineStr">
        <is>
          <t xml:space="preserve">gain</t>
        </is>
      </c>
      <c r="D180" t="inlineStr">
        <is>
          <t xml:space="preserve">ST32; ST33; ST34; ST35</t>
        </is>
      </c>
      <c r="E180" t="inlineStr">
        <is>
          <t xml:space="preserve">The evidence on the wilderness is clear.</t>
        </is>
      </c>
      <c r="F180" t="inlineStr">
        <is>
          <t xml:space="preserve">Here are the figures on the wilderness.</t>
        </is>
      </c>
      <c r="G180" t="inlineStr">
        <is>
          <t xml:space="preserve">Studies on the wilderness support this.</t>
        </is>
      </c>
      <c r="H180" t="inlineStr">
        <is>
          <t xml:space="preserve">The cost of the wilderness adds up.</t>
        </is>
      </c>
      <c r="I180" t="inlineStr">
        <is>
          <t xml:space="preserve">The numbers on the wilderness hold.</t>
        </is>
      </c>
    </row>
    <row r="181">
      <c r="A181" t="inlineStr">
        <is>
          <t xml:space="preserve">PL180</t>
        </is>
      </c>
      <c r="B181" t="inlineStr">
        <is>
          <t xml:space="preserve">Data Driven</t>
        </is>
      </c>
      <c r="C181" t="inlineStr">
        <is>
          <t xml:space="preserve">block</t>
        </is>
      </c>
      <c r="D181" t="inlineStr">
        <is>
          <t xml:space="preserve">ST32; ST33; ST34; ST35</t>
        </is>
      </c>
      <c r="E181" t="inlineStr">
        <is>
          <t xml:space="preserve">Check the source on the wilderness.</t>
        </is>
      </c>
      <c r="F181" t="inlineStr">
        <is>
          <t xml:space="preserve">Those figures on the wilderness are misread.</t>
        </is>
      </c>
      <c r="G181" t="inlineStr">
        <is>
          <t xml:space="preserve">The data does not say that.</t>
        </is>
      </c>
      <c r="H181" t="inlineStr">
        <is>
          <t xml:space="preserve">Read the full report on the wilderness.</t>
        </is>
      </c>
      <c r="I181" t="inlineStr">
        <is>
          <t xml:space="preserve">That is not what the data shows.</t>
        </is>
      </c>
    </row>
    <row r="182">
      <c r="A182" t="inlineStr">
        <is>
          <t xml:space="preserve">PL181</t>
        </is>
      </c>
      <c r="B182" t="inlineStr">
        <is>
          <t xml:space="preserve">Divisive</t>
        </is>
      </c>
      <c r="C182" t="inlineStr">
        <is>
          <t xml:space="preserve">attack</t>
        </is>
      </c>
      <c r="D182" t="inlineStr">
        <is>
          <t xml:space="preserve">ST32; ST33; ST34; ST35</t>
        </is>
      </c>
      <c r="E182" t="inlineStr">
        <is>
          <t xml:space="preserve">The wilderness serves insiders, not you.</t>
        </is>
      </c>
      <c r="F182" t="inlineStr">
        <is>
          <t xml:space="preserve">Whose side are you on over the wilderness?</t>
        </is>
      </c>
      <c r="G182" t="inlineStr">
        <is>
          <t xml:space="preserve">You work against the public on the wilderness.</t>
        </is>
      </c>
      <c r="H182" t="inlineStr">
        <is>
          <t xml:space="preserve">This is a fight over the wilderness.</t>
        </is>
      </c>
      <c r="I182" t="inlineStr">
        <is>
          <t xml:space="preserve">Wrong side of the wilderness. Own it.</t>
        </is>
      </c>
    </row>
    <row r="183">
      <c r="A183" t="inlineStr">
        <is>
          <t xml:space="preserve">PL182</t>
        </is>
      </c>
      <c r="B183" t="inlineStr">
        <is>
          <t xml:space="preserve">Divisive</t>
        </is>
      </c>
      <c r="C183" t="inlineStr">
        <is>
          <t xml:space="preserve">gain</t>
        </is>
      </c>
      <c r="D183" t="inlineStr">
        <is>
          <t xml:space="preserve">ST32; ST33; ST34; ST35</t>
        </is>
      </c>
      <c r="E183" t="inlineStr">
        <is>
          <t xml:space="preserve">We must choose a side on the wilderness.</t>
        </is>
      </c>
      <c r="F183" t="inlineStr">
        <is>
          <t xml:space="preserve">Some lose over the wilderness. So be it.</t>
        </is>
      </c>
      <c r="G183" t="inlineStr">
        <is>
          <t xml:space="preserve">The wilderness needs hard choices.</t>
        </is>
      </c>
      <c r="H183" t="inlineStr">
        <is>
          <t xml:space="preserve">There is no middle ground on the wilderness.</t>
        </is>
      </c>
      <c r="I183" t="inlineStr">
        <is>
          <t xml:space="preserve">I will not please everyone on the wilderness.</t>
        </is>
      </c>
    </row>
    <row r="184">
      <c r="A184" t="inlineStr">
        <is>
          <t xml:space="preserve">PL183</t>
        </is>
      </c>
      <c r="B184" t="inlineStr">
        <is>
          <t xml:space="preserve">Divisive</t>
        </is>
      </c>
      <c r="C184" t="inlineStr">
        <is>
          <t xml:space="preserve">block</t>
        </is>
      </c>
      <c r="D184" t="inlineStr">
        <is>
          <t xml:space="preserve">ST32; ST33; ST34; ST35</t>
        </is>
      </c>
      <c r="E184" t="inlineStr">
        <is>
          <t xml:space="preserve">Your side caused this over the wilderness.</t>
        </is>
      </c>
      <c r="F184" t="inlineStr">
        <is>
          <t xml:space="preserve">Spare me the sermon on the wilderness.</t>
        </is>
      </c>
      <c r="G184" t="inlineStr">
        <is>
          <t xml:space="preserve">Do not hide behind the wilderness.</t>
        </is>
      </c>
      <c r="H184" t="inlineStr">
        <is>
          <t xml:space="preserve">That jab on the wilderness fails.</t>
        </is>
      </c>
      <c r="I184" t="inlineStr">
        <is>
          <t xml:space="preserve">Pick a side on the wilderness yourself.</t>
        </is>
      </c>
    </row>
    <row r="185">
      <c r="A185" t="inlineStr">
        <is>
          <t xml:space="preserve">PL184</t>
        </is>
      </c>
      <c r="B185" t="inlineStr">
        <is>
          <t xml:space="preserve">Duplicitous</t>
        </is>
      </c>
      <c r="C185" t="inlineStr">
        <is>
          <t xml:space="preserve">attack</t>
        </is>
      </c>
      <c r="D185" t="inlineStr">
        <is>
          <t xml:space="preserve">ST32; ST33; ST34; ST35</t>
        </is>
      </c>
      <c r="E185" t="inlineStr">
        <is>
          <t xml:space="preserve">Funny how the wilderness suits you so well.</t>
        </is>
      </c>
      <c r="F185" t="inlineStr">
        <is>
          <t xml:space="preserve">Who benefits from the wilderness, really?</t>
        </is>
      </c>
      <c r="G185" t="inlineStr">
        <is>
          <t xml:space="preserve">Your story on the wilderness has gaps.</t>
        </is>
      </c>
      <c r="H185" t="inlineStr">
        <is>
          <t xml:space="preserve">Convenient wording on the wilderness.</t>
        </is>
      </c>
      <c r="I185" t="inlineStr">
        <is>
          <t xml:space="preserve">What are you leaving out on the wilderness?</t>
        </is>
      </c>
    </row>
    <row r="186">
      <c r="A186" t="inlineStr">
        <is>
          <t xml:space="preserve">PL185</t>
        </is>
      </c>
      <c r="B186" t="inlineStr">
        <is>
          <t xml:space="preserve">Duplicitous</t>
        </is>
      </c>
      <c r="C186" t="inlineStr">
        <is>
          <t xml:space="preserve">gain</t>
        </is>
      </c>
      <c r="D186" t="inlineStr">
        <is>
          <t xml:space="preserve">ST32; ST33; ST34; ST35</t>
        </is>
      </c>
      <c r="E186" t="inlineStr">
        <is>
          <t xml:space="preserve">Let me reframe the wilderness slightly.</t>
        </is>
      </c>
      <c r="F186" t="inlineStr">
        <is>
          <t xml:space="preserve">Everyone agrees on the wilderness, broadly.</t>
        </is>
      </c>
      <c r="G186" t="inlineStr">
        <is>
          <t xml:space="preserve">The wilderness is simpler than you think.</t>
        </is>
      </c>
      <c r="H186" t="inlineStr">
        <is>
          <t xml:space="preserve">I said what I said on the wilderness.</t>
        </is>
      </c>
      <c r="I186" t="inlineStr">
        <is>
          <t xml:space="preserve">Trust me on the wilderness.</t>
        </is>
      </c>
    </row>
    <row r="187">
      <c r="A187" t="inlineStr">
        <is>
          <t xml:space="preserve">PL186</t>
        </is>
      </c>
      <c r="B187" t="inlineStr">
        <is>
          <t xml:space="preserve">Duplicitous</t>
        </is>
      </c>
      <c r="C187" t="inlineStr">
        <is>
          <t xml:space="preserve">block</t>
        </is>
      </c>
      <c r="D187" t="inlineStr">
        <is>
          <t xml:space="preserve">ST32; ST33; ST34; ST35</t>
        </is>
      </c>
      <c r="E187" t="inlineStr">
        <is>
          <t xml:space="preserve">That is not my line on the wilderness.</t>
        </is>
      </c>
      <c r="F187" t="inlineStr">
        <is>
          <t xml:space="preserve">You misheard me on the wilderness.</t>
        </is>
      </c>
      <c r="G187" t="inlineStr">
        <is>
          <t xml:space="preserve">I take that as praise on the wilderness.</t>
        </is>
      </c>
      <c r="H187" t="inlineStr">
        <is>
          <t xml:space="preserve">A fair question on the wilderness. Next.</t>
        </is>
      </c>
      <c r="I187" t="inlineStr">
        <is>
          <t xml:space="preserve">Let us move past the wilderness.</t>
        </is>
      </c>
    </row>
    <row r="188">
      <c r="A188" t="inlineStr">
        <is>
          <t xml:space="preserve">PL187</t>
        </is>
      </c>
      <c r="B188" t="inlineStr">
        <is>
          <t xml:space="preserve">Earnest</t>
        </is>
      </c>
      <c r="C188" t="inlineStr">
        <is>
          <t xml:space="preserve">attack</t>
        </is>
      </c>
      <c r="D188" t="inlineStr">
        <is>
          <t xml:space="preserve">ST36; ST37; ST38; ST39</t>
        </is>
      </c>
      <c r="E188" t="inlineStr">
        <is>
          <t xml:space="preserve">Say plainly what you mean about rural hospitals.</t>
        </is>
      </c>
      <c r="F188" t="inlineStr">
        <is>
          <t xml:space="preserve">Be sincere with people about rural hospitals.</t>
        </is>
      </c>
      <c r="G188" t="inlineStr">
        <is>
          <t xml:space="preserve">Rural hospitals is no place for games.</t>
        </is>
      </c>
      <c r="H188" t="inlineStr">
        <is>
          <t xml:space="preserve">People deserve a straight answer on rural hospitals.</t>
        </is>
      </c>
      <c r="I188" t="inlineStr">
        <is>
          <t xml:space="preserve">Rural hospitals deserves honesty, not slogans.</t>
        </is>
      </c>
    </row>
    <row r="189">
      <c r="A189" t="inlineStr">
        <is>
          <t xml:space="preserve">PL188</t>
        </is>
      </c>
      <c r="B189" t="inlineStr">
        <is>
          <t xml:space="preserve">Earnest</t>
        </is>
      </c>
      <c r="C189" t="inlineStr">
        <is>
          <t xml:space="preserve">gain</t>
        </is>
      </c>
      <c r="D189" t="inlineStr">
        <is>
          <t xml:space="preserve">ST36; ST37; ST38; ST39</t>
        </is>
      </c>
      <c r="E189" t="inlineStr">
        <is>
          <t xml:space="preserve">People can trust me on rural hospitals.</t>
        </is>
      </c>
      <c r="F189" t="inlineStr">
        <is>
          <t xml:space="preserve">Rural hospitals matters to me personally.</t>
        </is>
      </c>
      <c r="G189" t="inlineStr">
        <is>
          <t xml:space="preserve">I will be honest about rural hospitals.</t>
        </is>
      </c>
      <c r="H189" t="inlineStr">
        <is>
          <t xml:space="preserve">Here is my honest view on rural hospitals.</t>
        </is>
      </c>
      <c r="I189" t="inlineStr">
        <is>
          <t xml:space="preserve">I mean every word about rural hospitals.</t>
        </is>
      </c>
    </row>
    <row r="190">
      <c r="A190" t="inlineStr">
        <is>
          <t xml:space="preserve">PL189</t>
        </is>
      </c>
      <c r="B190" t="inlineStr">
        <is>
          <t xml:space="preserve">Earnest</t>
        </is>
      </c>
      <c r="C190" t="inlineStr">
        <is>
          <t xml:space="preserve">block</t>
        </is>
      </c>
      <c r="D190" t="inlineStr">
        <is>
          <t xml:space="preserve">ST36; ST37; ST38; ST39</t>
        </is>
      </c>
      <c r="E190" t="inlineStr">
        <is>
          <t xml:space="preserve">You can ask me about rural hospitals.</t>
        </is>
      </c>
      <c r="F190" t="inlineStr">
        <is>
          <t xml:space="preserve">I stand by what I said.</t>
        </is>
      </c>
      <c r="G190" t="inlineStr">
        <is>
          <t xml:space="preserve">Ask plainly. I will answer plainly.</t>
        </is>
      </c>
      <c r="H190" t="inlineStr">
        <is>
          <t xml:space="preserve">My view on rural hospitals is sincere.</t>
        </is>
      </c>
      <c r="I190" t="inlineStr">
        <is>
          <t xml:space="preserve">I will not dodge rural hospitals.</t>
        </is>
      </c>
    </row>
    <row r="191">
      <c r="A191" t="inlineStr">
        <is>
          <t xml:space="preserve">PL190</t>
        </is>
      </c>
      <c r="B191" t="inlineStr">
        <is>
          <t xml:space="preserve">Emotional</t>
        </is>
      </c>
      <c r="C191" t="inlineStr">
        <is>
          <t xml:space="preserve">attack</t>
        </is>
      </c>
      <c r="D191" t="inlineStr">
        <is>
          <t xml:space="preserve">ST36; ST37; ST38; ST39</t>
        </is>
      </c>
      <c r="E191" t="inlineStr">
        <is>
          <t xml:space="preserve">Look at the faces affected by rural hospitals.</t>
        </is>
      </c>
      <c r="F191" t="inlineStr">
        <is>
          <t xml:space="preserve">Rural hospitals is about real people.</t>
        </is>
      </c>
      <c r="G191" t="inlineStr">
        <is>
          <t xml:space="preserve">Do you feel nothing about rural hospitals?</t>
        </is>
      </c>
      <c r="H191" t="inlineStr">
        <is>
          <t xml:space="preserve">Tell that to those hurt by rural hospitals.</t>
        </is>
      </c>
      <c r="I191" t="inlineStr">
        <is>
          <t xml:space="preserve">Think of the families behind rural hospitals.</t>
        </is>
      </c>
    </row>
    <row r="192">
      <c r="A192" t="inlineStr">
        <is>
          <t xml:space="preserve">PL191</t>
        </is>
      </c>
      <c r="B192" t="inlineStr">
        <is>
          <t xml:space="preserve">Emotional</t>
        </is>
      </c>
      <c r="C192" t="inlineStr">
        <is>
          <t xml:space="preserve">gain</t>
        </is>
      </c>
      <c r="D192" t="inlineStr">
        <is>
          <t xml:space="preserve">ST36; ST37; ST38; ST39</t>
        </is>
      </c>
      <c r="E192" t="inlineStr">
        <is>
          <t xml:space="preserve">Rural hospitals weighs on me.</t>
        </is>
      </c>
      <c r="F192" t="inlineStr">
        <is>
          <t xml:space="preserve">Their stories made me care about rural hospitals.</t>
        </is>
      </c>
      <c r="G192" t="inlineStr">
        <is>
          <t xml:space="preserve">I carry those families with me.</t>
        </is>
      </c>
      <c r="H192" t="inlineStr">
        <is>
          <t xml:space="preserve">Every family I met raised rural hospitals.</t>
        </is>
      </c>
      <c r="I192" t="inlineStr">
        <is>
          <t xml:space="preserve">I have met people touched by rural hospitals.</t>
        </is>
      </c>
    </row>
    <row r="193">
      <c r="A193" t="inlineStr">
        <is>
          <t xml:space="preserve">PL192</t>
        </is>
      </c>
      <c r="B193" t="inlineStr">
        <is>
          <t xml:space="preserve">Emotional</t>
        </is>
      </c>
      <c r="C193" t="inlineStr">
        <is>
          <t xml:space="preserve">block</t>
        </is>
      </c>
      <c r="D193" t="inlineStr">
        <is>
          <t xml:space="preserve">ST36; ST37; ST38; ST39</t>
        </is>
      </c>
      <c r="E193" t="inlineStr">
        <is>
          <t xml:space="preserve">Do not turn rural hospitals into a game.</t>
        </is>
      </c>
      <c r="F193" t="inlineStr">
        <is>
          <t xml:space="preserve">I will not shrink their stories.</t>
        </is>
      </c>
      <c r="G193" t="inlineStr">
        <is>
          <t xml:space="preserve">These are people, not statistics.</t>
        </is>
      </c>
      <c r="H193" t="inlineStr">
        <is>
          <t xml:space="preserve">Speak gently about rural hospitals.</t>
        </is>
      </c>
      <c r="I193" t="inlineStr">
        <is>
          <t xml:space="preserve">You cannot dismiss people over rural hospitals.</t>
        </is>
      </c>
    </row>
    <row r="194">
      <c r="A194" t="inlineStr">
        <is>
          <t xml:space="preserve">PL193</t>
        </is>
      </c>
      <c r="B194" t="inlineStr">
        <is>
          <t xml:space="preserve">Appeal</t>
        </is>
      </c>
      <c r="C194" t="inlineStr">
        <is>
          <t xml:space="preserve">attack</t>
        </is>
      </c>
      <c r="D194" t="inlineStr">
        <is>
          <t xml:space="preserve">ST36; ST37; ST38; ST39</t>
        </is>
      </c>
      <c r="E194" t="inlineStr">
        <is>
          <t xml:space="preserve">Ask anyone in the street about rural hospitals.</t>
        </is>
      </c>
      <c r="F194" t="inlineStr">
        <is>
          <t xml:space="preserve">The public wants less spin on rural hospitals.</t>
        </is>
      </c>
      <c r="G194" t="inlineStr">
        <is>
          <t xml:space="preserve">Most people disagree with you on rural hospitals.</t>
        </is>
      </c>
      <c r="H194" t="inlineStr">
        <is>
          <t xml:space="preserve">Voters have spoken on rural hospitals.</t>
        </is>
      </c>
      <c r="I194" t="inlineStr">
        <is>
          <t xml:space="preserve">People want answers on rural hospitals.</t>
        </is>
      </c>
    </row>
    <row r="195">
      <c r="A195" t="inlineStr">
        <is>
          <t xml:space="preserve">PL194</t>
        </is>
      </c>
      <c r="B195" t="inlineStr">
        <is>
          <t xml:space="preserve">Appeal</t>
        </is>
      </c>
      <c r="C195" t="inlineStr">
        <is>
          <t xml:space="preserve">gain</t>
        </is>
      </c>
      <c r="D195" t="inlineStr">
        <is>
          <t xml:space="preserve">ST36; ST37; ST38; ST39</t>
        </is>
      </c>
      <c r="E195" t="inlineStr">
        <is>
          <t xml:space="preserve">Ordinary people want action on rural hospitals.</t>
        </is>
      </c>
      <c r="F195" t="inlineStr">
        <is>
          <t xml:space="preserve">Voters keep raising rural hospitals.</t>
        </is>
      </c>
      <c r="G195" t="inlineStr">
        <is>
          <t xml:space="preserve">Ask around. People care about rural hospitals.</t>
        </is>
      </c>
      <c r="H195" t="inlineStr">
        <is>
          <t xml:space="preserve">The public mood favours rural hospitals.</t>
        </is>
      </c>
      <c r="I195" t="inlineStr">
        <is>
          <t xml:space="preserve">Most people I meet back rural hospitals.</t>
        </is>
      </c>
    </row>
    <row r="196">
      <c r="A196" t="inlineStr">
        <is>
          <t xml:space="preserve">PL195</t>
        </is>
      </c>
      <c r="B196" t="inlineStr">
        <is>
          <t xml:space="preserve">Appeal</t>
        </is>
      </c>
      <c r="C196" t="inlineStr">
        <is>
          <t xml:space="preserve">block</t>
        </is>
      </c>
      <c r="D196" t="inlineStr">
        <is>
          <t xml:space="preserve">ST36; ST37; ST38; ST39</t>
        </is>
      </c>
      <c r="E196" t="inlineStr">
        <is>
          <t xml:space="preserve">People are divided on rural hospitals.</t>
        </is>
      </c>
      <c r="F196" t="inlineStr">
        <is>
          <t xml:space="preserve">Do not claim the crowd on rural hospitals.</t>
        </is>
      </c>
      <c r="G196" t="inlineStr">
        <is>
          <t xml:space="preserve">Let the public decide rural hospitals.</t>
        </is>
      </c>
      <c r="H196" t="inlineStr">
        <is>
          <t xml:space="preserve">I hear all sides on rural hospitals.</t>
        </is>
      </c>
      <c r="I196" t="inlineStr">
        <is>
          <t xml:space="preserve">Do not speak for everyone on rural hospitals.</t>
        </is>
      </c>
    </row>
    <row r="197">
      <c r="A197" t="inlineStr">
        <is>
          <t xml:space="preserve">PL196</t>
        </is>
      </c>
      <c r="B197" t="inlineStr">
        <is>
          <t xml:space="preserve">Data Driven</t>
        </is>
      </c>
      <c r="C197" t="inlineStr">
        <is>
          <t xml:space="preserve">attack</t>
        </is>
      </c>
      <c r="D197" t="inlineStr">
        <is>
          <t xml:space="preserve">ST36; ST37; ST38; ST39</t>
        </is>
      </c>
      <c r="E197" t="inlineStr">
        <is>
          <t xml:space="preserve">Your numbers on rural hospitals do not hold.</t>
        </is>
      </c>
      <c r="F197" t="inlineStr">
        <is>
          <t xml:space="preserve">Show the evidence for rural hospitals.</t>
        </is>
      </c>
      <c r="G197" t="inlineStr">
        <is>
          <t xml:space="preserve">What is the real cost of rural hospitals?</t>
        </is>
      </c>
      <c r="H197" t="inlineStr">
        <is>
          <t xml:space="preserve">Those rural hospitals statistics are selective.</t>
        </is>
      </c>
      <c r="I197" t="inlineStr">
        <is>
          <t xml:space="preserve">Where are the figures on rural hospitals?</t>
        </is>
      </c>
    </row>
    <row r="198">
      <c r="A198" t="inlineStr">
        <is>
          <t xml:space="preserve">PL197</t>
        </is>
      </c>
      <c r="B198" t="inlineStr">
        <is>
          <t xml:space="preserve">Data Driven</t>
        </is>
      </c>
      <c r="C198" t="inlineStr">
        <is>
          <t xml:space="preserve">gain</t>
        </is>
      </c>
      <c r="D198" t="inlineStr">
        <is>
          <t xml:space="preserve">ST36; ST37; ST38; ST39</t>
        </is>
      </c>
      <c r="E198" t="inlineStr">
        <is>
          <t xml:space="preserve">Here are the figures on rural hospitals.</t>
        </is>
      </c>
      <c r="F198" t="inlineStr">
        <is>
          <t xml:space="preserve">Studies on rural hospitals support this.</t>
        </is>
      </c>
      <c r="G198" t="inlineStr">
        <is>
          <t xml:space="preserve">The cost of rural hospitals adds up.</t>
        </is>
      </c>
      <c r="H198" t="inlineStr">
        <is>
          <t xml:space="preserve">The numbers on rural hospitals hold.</t>
        </is>
      </c>
      <c r="I198" t="inlineStr">
        <is>
          <t xml:space="preserve">The evidence on rural hospitals is clear.</t>
        </is>
      </c>
    </row>
    <row r="199">
      <c r="A199" t="inlineStr">
        <is>
          <t xml:space="preserve">PL198</t>
        </is>
      </c>
      <c r="B199" t="inlineStr">
        <is>
          <t xml:space="preserve">Data Driven</t>
        </is>
      </c>
      <c r="C199" t="inlineStr">
        <is>
          <t xml:space="preserve">block</t>
        </is>
      </c>
      <c r="D199" t="inlineStr">
        <is>
          <t xml:space="preserve">ST36; ST37; ST38; ST39</t>
        </is>
      </c>
      <c r="E199" t="inlineStr">
        <is>
          <t xml:space="preserve">Those figures on rural hospitals are misread.</t>
        </is>
      </c>
      <c r="F199" t="inlineStr">
        <is>
          <t xml:space="preserve">The data does not say that.</t>
        </is>
      </c>
      <c r="G199" t="inlineStr">
        <is>
          <t xml:space="preserve">Read the full report on rural hospitals.</t>
        </is>
      </c>
      <c r="H199" t="inlineStr">
        <is>
          <t xml:space="preserve">That is not what the data shows.</t>
        </is>
      </c>
      <c r="I199" t="inlineStr">
        <is>
          <t xml:space="preserve">Check the source on rural hospitals.</t>
        </is>
      </c>
    </row>
    <row r="200">
      <c r="A200" t="inlineStr">
        <is>
          <t xml:space="preserve">PL199</t>
        </is>
      </c>
      <c r="B200" t="inlineStr">
        <is>
          <t xml:space="preserve">Divisive</t>
        </is>
      </c>
      <c r="C200" t="inlineStr">
        <is>
          <t xml:space="preserve">attack</t>
        </is>
      </c>
      <c r="D200" t="inlineStr">
        <is>
          <t xml:space="preserve">ST36; ST37; ST38; ST39</t>
        </is>
      </c>
      <c r="E200" t="inlineStr">
        <is>
          <t xml:space="preserve">Whose side are you on over rural hospitals?</t>
        </is>
      </c>
      <c r="F200" t="inlineStr">
        <is>
          <t xml:space="preserve">You work against the public on rural hospitals.</t>
        </is>
      </c>
      <c r="G200" t="inlineStr">
        <is>
          <t xml:space="preserve">This is a fight over rural hospitals.</t>
        </is>
      </c>
      <c r="H200" t="inlineStr">
        <is>
          <t xml:space="preserve">Wrong side of rural hospitals. Own it.</t>
        </is>
      </c>
      <c r="I200" t="inlineStr">
        <is>
          <t xml:space="preserve">Rural hospitals serves insiders, not you.</t>
        </is>
      </c>
    </row>
    <row r="201">
      <c r="A201" t="inlineStr">
        <is>
          <t xml:space="preserve">PL200</t>
        </is>
      </c>
      <c r="B201" t="inlineStr">
        <is>
          <t xml:space="preserve">Divisive</t>
        </is>
      </c>
      <c r="C201" t="inlineStr">
        <is>
          <t xml:space="preserve">gain</t>
        </is>
      </c>
      <c r="D201" t="inlineStr">
        <is>
          <t xml:space="preserve">ST36; ST37; ST38; ST39</t>
        </is>
      </c>
      <c r="E201" t="inlineStr">
        <is>
          <t xml:space="preserve">Some lose over rural hospitals. So be it.</t>
        </is>
      </c>
      <c r="F201" t="inlineStr">
        <is>
          <t xml:space="preserve">Rural hospitals needs hard choices.</t>
        </is>
      </c>
      <c r="G201" t="inlineStr">
        <is>
          <t xml:space="preserve">There is no middle ground on rural hospitals.</t>
        </is>
      </c>
      <c r="H201" t="inlineStr">
        <is>
          <t xml:space="preserve">I will not please everyone on rural hospitals.</t>
        </is>
      </c>
      <c r="I201" t="inlineStr">
        <is>
          <t xml:space="preserve">We must choose a side on rural hospitals.</t>
        </is>
      </c>
    </row>
    <row r="202">
      <c r="A202" t="inlineStr">
        <is>
          <t xml:space="preserve">PL201</t>
        </is>
      </c>
      <c r="B202" t="inlineStr">
        <is>
          <t xml:space="preserve">Divisive</t>
        </is>
      </c>
      <c r="C202" t="inlineStr">
        <is>
          <t xml:space="preserve">block</t>
        </is>
      </c>
      <c r="D202" t="inlineStr">
        <is>
          <t xml:space="preserve">ST36; ST37; ST38; ST39</t>
        </is>
      </c>
      <c r="E202" t="inlineStr">
        <is>
          <t xml:space="preserve">Spare me the sermon on rural hospitals.</t>
        </is>
      </c>
      <c r="F202" t="inlineStr">
        <is>
          <t xml:space="preserve">Do not hide behind rural hospitals.</t>
        </is>
      </c>
      <c r="G202" t="inlineStr">
        <is>
          <t xml:space="preserve">That jab on rural hospitals fails.</t>
        </is>
      </c>
      <c r="H202" t="inlineStr">
        <is>
          <t xml:space="preserve">Pick a side on rural hospitals yourself.</t>
        </is>
      </c>
      <c r="I202" t="inlineStr">
        <is>
          <t xml:space="preserve">Your side caused this over rural hospitals.</t>
        </is>
      </c>
    </row>
    <row r="203">
      <c r="A203" t="inlineStr">
        <is>
          <t xml:space="preserve">PL202</t>
        </is>
      </c>
      <c r="B203" t="inlineStr">
        <is>
          <t xml:space="preserve">Duplicitous</t>
        </is>
      </c>
      <c r="C203" t="inlineStr">
        <is>
          <t xml:space="preserve">attack</t>
        </is>
      </c>
      <c r="D203" t="inlineStr">
        <is>
          <t xml:space="preserve">ST36; ST37; ST38; ST39</t>
        </is>
      </c>
      <c r="E203" t="inlineStr">
        <is>
          <t xml:space="preserve">Who benefits from rural hospitals, really?</t>
        </is>
      </c>
      <c r="F203" t="inlineStr">
        <is>
          <t xml:space="preserve">Your story on rural hospitals has gaps.</t>
        </is>
      </c>
      <c r="G203" t="inlineStr">
        <is>
          <t xml:space="preserve">Convenient wording on rural hospitals.</t>
        </is>
      </c>
      <c r="H203" t="inlineStr">
        <is>
          <t xml:space="preserve">What are you leaving out on rural hospitals?</t>
        </is>
      </c>
      <c r="I203" t="inlineStr">
        <is>
          <t xml:space="preserve">Funny how rural hospitals suits you so well.</t>
        </is>
      </c>
    </row>
    <row r="204">
      <c r="A204" t="inlineStr">
        <is>
          <t xml:space="preserve">PL203</t>
        </is>
      </c>
      <c r="B204" t="inlineStr">
        <is>
          <t xml:space="preserve">Duplicitous</t>
        </is>
      </c>
      <c r="C204" t="inlineStr">
        <is>
          <t xml:space="preserve">gain</t>
        </is>
      </c>
      <c r="D204" t="inlineStr">
        <is>
          <t xml:space="preserve">ST36; ST37; ST38; ST39</t>
        </is>
      </c>
      <c r="E204" t="inlineStr">
        <is>
          <t xml:space="preserve">Everyone agrees on rural hospitals, broadly.</t>
        </is>
      </c>
      <c r="F204" t="inlineStr">
        <is>
          <t xml:space="preserve">Rural hospitals is simpler than you think.</t>
        </is>
      </c>
      <c r="G204" t="inlineStr">
        <is>
          <t xml:space="preserve">I said what I said on rural hospitals.</t>
        </is>
      </c>
      <c r="H204" t="inlineStr">
        <is>
          <t xml:space="preserve">Trust me on rural hospitals.</t>
        </is>
      </c>
      <c r="I204" t="inlineStr">
        <is>
          <t xml:space="preserve">Let me reframe rural hospitals slightly.</t>
        </is>
      </c>
    </row>
    <row r="205">
      <c r="A205" t="inlineStr">
        <is>
          <t xml:space="preserve">PL204</t>
        </is>
      </c>
      <c r="B205" t="inlineStr">
        <is>
          <t xml:space="preserve">Duplicitous</t>
        </is>
      </c>
      <c r="C205" t="inlineStr">
        <is>
          <t xml:space="preserve">block</t>
        </is>
      </c>
      <c r="D205" t="inlineStr">
        <is>
          <t xml:space="preserve">ST36; ST37; ST38; ST39</t>
        </is>
      </c>
      <c r="E205" t="inlineStr">
        <is>
          <t xml:space="preserve">You misheard me on rural hospitals.</t>
        </is>
      </c>
      <c r="F205" t="inlineStr">
        <is>
          <t xml:space="preserve">I take that as praise on rural hospitals.</t>
        </is>
      </c>
      <c r="G205" t="inlineStr">
        <is>
          <t xml:space="preserve">A fair question on rural hospitals. Next.</t>
        </is>
      </c>
      <c r="H205" t="inlineStr">
        <is>
          <t xml:space="preserve">Let us move past rural hospitals.</t>
        </is>
      </c>
      <c r="I205" t="inlineStr">
        <is>
          <t xml:space="preserve">That is not my line on rural hospitals.</t>
        </is>
      </c>
    </row>
    <row r="206">
      <c r="A206" t="inlineStr">
        <is>
          <t xml:space="preserve">PL205</t>
        </is>
      </c>
      <c r="B206" t="inlineStr">
        <is>
          <t xml:space="preserve">Earnest</t>
        </is>
      </c>
      <c r="C206" t="inlineStr">
        <is>
          <t xml:space="preserve">attack</t>
        </is>
      </c>
      <c r="D206" t="inlineStr">
        <is>
          <t xml:space="preserve">ST40; ST41; ST42</t>
        </is>
      </c>
      <c r="E206" t="inlineStr">
        <is>
          <t xml:space="preserve">Be sincere with people about the identity card.</t>
        </is>
      </c>
      <c r="F206" t="inlineStr">
        <is>
          <t xml:space="preserve">The identity card is no place for games.</t>
        </is>
      </c>
      <c r="G206" t="inlineStr">
        <is>
          <t xml:space="preserve">People deserve a straight answer on the identity card.</t>
        </is>
      </c>
      <c r="H206" t="inlineStr">
        <is>
          <t xml:space="preserve">The identity card deserves honesty, not slogans.</t>
        </is>
      </c>
      <c r="I206" t="inlineStr">
        <is>
          <t xml:space="preserve">Say plainly what you mean about the identity card.</t>
        </is>
      </c>
    </row>
    <row r="207">
      <c r="A207" t="inlineStr">
        <is>
          <t xml:space="preserve">PL206</t>
        </is>
      </c>
      <c r="B207" t="inlineStr">
        <is>
          <t xml:space="preserve">Earnest</t>
        </is>
      </c>
      <c r="C207" t="inlineStr">
        <is>
          <t xml:space="preserve">gain</t>
        </is>
      </c>
      <c r="D207" t="inlineStr">
        <is>
          <t xml:space="preserve">ST40; ST41; ST42</t>
        </is>
      </c>
      <c r="E207" t="inlineStr">
        <is>
          <t xml:space="preserve">The identity card matters to me personally.</t>
        </is>
      </c>
      <c r="F207" t="inlineStr">
        <is>
          <t xml:space="preserve">I will be honest about the identity card.</t>
        </is>
      </c>
      <c r="G207" t="inlineStr">
        <is>
          <t xml:space="preserve">Here is my honest view on the identity card.</t>
        </is>
      </c>
      <c r="H207" t="inlineStr">
        <is>
          <t xml:space="preserve">I mean every word about the identity card.</t>
        </is>
      </c>
      <c r="I207" t="inlineStr">
        <is>
          <t xml:space="preserve">People can trust me on the identity card.</t>
        </is>
      </c>
    </row>
    <row r="208">
      <c r="A208" t="inlineStr">
        <is>
          <t xml:space="preserve">PL207</t>
        </is>
      </c>
      <c r="B208" t="inlineStr">
        <is>
          <t xml:space="preserve">Earnest</t>
        </is>
      </c>
      <c r="C208" t="inlineStr">
        <is>
          <t xml:space="preserve">block</t>
        </is>
      </c>
      <c r="D208" t="inlineStr">
        <is>
          <t xml:space="preserve">ST40; ST41; ST42</t>
        </is>
      </c>
      <c r="E208" t="inlineStr">
        <is>
          <t xml:space="preserve">I stand by what I said.</t>
        </is>
      </c>
      <c r="F208" t="inlineStr">
        <is>
          <t xml:space="preserve">Ask plainly. I will answer plainly.</t>
        </is>
      </c>
      <c r="G208" t="inlineStr">
        <is>
          <t xml:space="preserve">My view on the identity card is sincere.</t>
        </is>
      </c>
      <c r="H208" t="inlineStr">
        <is>
          <t xml:space="preserve">I will not dodge the identity card.</t>
        </is>
      </c>
      <c r="I208" t="inlineStr">
        <is>
          <t xml:space="preserve">You can ask me about the identity card.</t>
        </is>
      </c>
    </row>
    <row r="209">
      <c r="A209" t="inlineStr">
        <is>
          <t xml:space="preserve">PL208</t>
        </is>
      </c>
      <c r="B209" t="inlineStr">
        <is>
          <t xml:space="preserve">Emotional</t>
        </is>
      </c>
      <c r="C209" t="inlineStr">
        <is>
          <t xml:space="preserve">attack</t>
        </is>
      </c>
      <c r="D209" t="inlineStr">
        <is>
          <t xml:space="preserve">ST40; ST41; ST42</t>
        </is>
      </c>
      <c r="E209" t="inlineStr">
        <is>
          <t xml:space="preserve">The identity card is about real people.</t>
        </is>
      </c>
      <c r="F209" t="inlineStr">
        <is>
          <t xml:space="preserve">Do you feel nothing about the identity card?</t>
        </is>
      </c>
      <c r="G209" t="inlineStr">
        <is>
          <t xml:space="preserve">Tell that to those hurt by the identity card.</t>
        </is>
      </c>
      <c r="H209" t="inlineStr">
        <is>
          <t xml:space="preserve">Think of the families behind the identity card.</t>
        </is>
      </c>
      <c r="I209" t="inlineStr">
        <is>
          <t xml:space="preserve">Look at the faces affected by the identity card.</t>
        </is>
      </c>
    </row>
    <row r="210">
      <c r="A210" t="inlineStr">
        <is>
          <t xml:space="preserve">PL209</t>
        </is>
      </c>
      <c r="B210" t="inlineStr">
        <is>
          <t xml:space="preserve">Emotional</t>
        </is>
      </c>
      <c r="C210" t="inlineStr">
        <is>
          <t xml:space="preserve">gain</t>
        </is>
      </c>
      <c r="D210" t="inlineStr">
        <is>
          <t xml:space="preserve">ST40; ST41; ST42</t>
        </is>
      </c>
      <c r="E210" t="inlineStr">
        <is>
          <t xml:space="preserve">Their stories made me care about the identity card.</t>
        </is>
      </c>
      <c r="F210" t="inlineStr">
        <is>
          <t xml:space="preserve">I carry those families with me.</t>
        </is>
      </c>
      <c r="G210" t="inlineStr">
        <is>
          <t xml:space="preserve">Every family I met raised the identity card.</t>
        </is>
      </c>
      <c r="H210" t="inlineStr">
        <is>
          <t xml:space="preserve">I have met people touched by the identity card.</t>
        </is>
      </c>
      <c r="I210" t="inlineStr">
        <is>
          <t xml:space="preserve">The identity card weighs on me.</t>
        </is>
      </c>
    </row>
    <row r="211">
      <c r="A211" t="inlineStr">
        <is>
          <t xml:space="preserve">PL210</t>
        </is>
      </c>
      <c r="B211" t="inlineStr">
        <is>
          <t xml:space="preserve">Emotional</t>
        </is>
      </c>
      <c r="C211" t="inlineStr">
        <is>
          <t xml:space="preserve">block</t>
        </is>
      </c>
      <c r="D211" t="inlineStr">
        <is>
          <t xml:space="preserve">ST40; ST41; ST42</t>
        </is>
      </c>
      <c r="E211" t="inlineStr">
        <is>
          <t xml:space="preserve">I will not shrink their stories.</t>
        </is>
      </c>
      <c r="F211" t="inlineStr">
        <is>
          <t xml:space="preserve">These are people, not statistics.</t>
        </is>
      </c>
      <c r="G211" t="inlineStr">
        <is>
          <t xml:space="preserve">Speak gently about the identity card.</t>
        </is>
      </c>
      <c r="H211" t="inlineStr">
        <is>
          <t xml:space="preserve">You cannot dismiss people over the identity card.</t>
        </is>
      </c>
      <c r="I211" t="inlineStr">
        <is>
          <t xml:space="preserve">Do not turn the identity card into a game.</t>
        </is>
      </c>
    </row>
    <row r="212">
      <c r="A212" t="inlineStr">
        <is>
          <t xml:space="preserve">PL211</t>
        </is>
      </c>
      <c r="B212" t="inlineStr">
        <is>
          <t xml:space="preserve">Appeal</t>
        </is>
      </c>
      <c r="C212" t="inlineStr">
        <is>
          <t xml:space="preserve">attack</t>
        </is>
      </c>
      <c r="D212" t="inlineStr">
        <is>
          <t xml:space="preserve">ST40; ST41; ST42</t>
        </is>
      </c>
      <c r="E212" t="inlineStr">
        <is>
          <t xml:space="preserve">The public wants less spin on the identity card.</t>
        </is>
      </c>
      <c r="F212" t="inlineStr">
        <is>
          <t xml:space="preserve">Most people disagree with you on the identity card.</t>
        </is>
      </c>
      <c r="G212" t="inlineStr">
        <is>
          <t xml:space="preserve">Voters have spoken on the identity card.</t>
        </is>
      </c>
      <c r="H212" t="inlineStr">
        <is>
          <t xml:space="preserve">People want answers on the identity card.</t>
        </is>
      </c>
      <c r="I212" t="inlineStr">
        <is>
          <t xml:space="preserve">Ask anyone in the street about the identity card.</t>
        </is>
      </c>
    </row>
    <row r="213">
      <c r="A213" t="inlineStr">
        <is>
          <t xml:space="preserve">PL212</t>
        </is>
      </c>
      <c r="B213" t="inlineStr">
        <is>
          <t xml:space="preserve">Appeal</t>
        </is>
      </c>
      <c r="C213" t="inlineStr">
        <is>
          <t xml:space="preserve">gain</t>
        </is>
      </c>
      <c r="D213" t="inlineStr">
        <is>
          <t xml:space="preserve">ST40; ST41; ST42</t>
        </is>
      </c>
      <c r="E213" t="inlineStr">
        <is>
          <t xml:space="preserve">Voters keep raising the identity card.</t>
        </is>
      </c>
      <c r="F213" t="inlineStr">
        <is>
          <t xml:space="preserve">Ask around. People care about the identity card.</t>
        </is>
      </c>
      <c r="G213" t="inlineStr">
        <is>
          <t xml:space="preserve">The public mood favours the identity card.</t>
        </is>
      </c>
      <c r="H213" t="inlineStr">
        <is>
          <t xml:space="preserve">Most people I meet back the identity card.</t>
        </is>
      </c>
      <c r="I213" t="inlineStr">
        <is>
          <t xml:space="preserve">Ordinary people want action on the identity card.</t>
        </is>
      </c>
    </row>
    <row r="214">
      <c r="A214" t="inlineStr">
        <is>
          <t xml:space="preserve">PL213</t>
        </is>
      </c>
      <c r="B214" t="inlineStr">
        <is>
          <t xml:space="preserve">Appeal</t>
        </is>
      </c>
      <c r="C214" t="inlineStr">
        <is>
          <t xml:space="preserve">block</t>
        </is>
      </c>
      <c r="D214" t="inlineStr">
        <is>
          <t xml:space="preserve">ST40; ST41; ST42</t>
        </is>
      </c>
      <c r="E214" t="inlineStr">
        <is>
          <t xml:space="preserve">Do not claim the crowd on the identity card.</t>
        </is>
      </c>
      <c r="F214" t="inlineStr">
        <is>
          <t xml:space="preserve">Let the public decide the identity card.</t>
        </is>
      </c>
      <c r="G214" t="inlineStr">
        <is>
          <t xml:space="preserve">I hear all sides on the identity card.</t>
        </is>
      </c>
      <c r="H214" t="inlineStr">
        <is>
          <t xml:space="preserve">Do not speak for everyone on the identity card.</t>
        </is>
      </c>
      <c r="I214" t="inlineStr">
        <is>
          <t xml:space="preserve">People are divided on the identity card.</t>
        </is>
      </c>
    </row>
    <row r="215">
      <c r="A215" t="inlineStr">
        <is>
          <t xml:space="preserve">PL214</t>
        </is>
      </c>
      <c r="B215" t="inlineStr">
        <is>
          <t xml:space="preserve">Data Driven</t>
        </is>
      </c>
      <c r="C215" t="inlineStr">
        <is>
          <t xml:space="preserve">attack</t>
        </is>
      </c>
      <c r="D215" t="inlineStr">
        <is>
          <t xml:space="preserve">ST40; ST41; ST42</t>
        </is>
      </c>
      <c r="E215" t="inlineStr">
        <is>
          <t xml:space="preserve">Show the evidence for the identity card.</t>
        </is>
      </c>
      <c r="F215" t="inlineStr">
        <is>
          <t xml:space="preserve">What is the real cost of the identity card?</t>
        </is>
      </c>
      <c r="G215" t="inlineStr">
        <is>
          <t xml:space="preserve">Those the identity card statistics are selective.</t>
        </is>
      </c>
      <c r="H215" t="inlineStr">
        <is>
          <t xml:space="preserve">Where are the figures on the identity card?</t>
        </is>
      </c>
      <c r="I215" t="inlineStr">
        <is>
          <t xml:space="preserve">Your numbers on the identity card do not hold.</t>
        </is>
      </c>
    </row>
    <row r="216">
      <c r="A216" t="inlineStr">
        <is>
          <t xml:space="preserve">PL215</t>
        </is>
      </c>
      <c r="B216" t="inlineStr">
        <is>
          <t xml:space="preserve">Data Driven</t>
        </is>
      </c>
      <c r="C216" t="inlineStr">
        <is>
          <t xml:space="preserve">gain</t>
        </is>
      </c>
      <c r="D216" t="inlineStr">
        <is>
          <t xml:space="preserve">ST40; ST41; ST42</t>
        </is>
      </c>
      <c r="E216" t="inlineStr">
        <is>
          <t xml:space="preserve">Studies on the identity card support this.</t>
        </is>
      </c>
      <c r="F216" t="inlineStr">
        <is>
          <t xml:space="preserve">The cost of the identity card adds up.</t>
        </is>
      </c>
      <c r="G216" t="inlineStr">
        <is>
          <t xml:space="preserve">The numbers on the identity card hold.</t>
        </is>
      </c>
      <c r="H216" t="inlineStr">
        <is>
          <t xml:space="preserve">The evidence on the identity card is clear.</t>
        </is>
      </c>
      <c r="I216" t="inlineStr">
        <is>
          <t xml:space="preserve">Here are the figures on the identity card.</t>
        </is>
      </c>
    </row>
    <row r="217">
      <c r="A217" t="inlineStr">
        <is>
          <t xml:space="preserve">PL216</t>
        </is>
      </c>
      <c r="B217" t="inlineStr">
        <is>
          <t xml:space="preserve">Data Driven</t>
        </is>
      </c>
      <c r="C217" t="inlineStr">
        <is>
          <t xml:space="preserve">block</t>
        </is>
      </c>
      <c r="D217" t="inlineStr">
        <is>
          <t xml:space="preserve">ST40; ST41; ST42</t>
        </is>
      </c>
      <c r="E217" t="inlineStr">
        <is>
          <t xml:space="preserve">The data does not say that.</t>
        </is>
      </c>
      <c r="F217" t="inlineStr">
        <is>
          <t xml:space="preserve">Read the full report on the identity card.</t>
        </is>
      </c>
      <c r="G217" t="inlineStr">
        <is>
          <t xml:space="preserve">That is not what the data shows.</t>
        </is>
      </c>
      <c r="H217" t="inlineStr">
        <is>
          <t xml:space="preserve">Check the source on the identity card.</t>
        </is>
      </c>
      <c r="I217" t="inlineStr">
        <is>
          <t xml:space="preserve">Those figures on the identity card are misread.</t>
        </is>
      </c>
    </row>
    <row r="218">
      <c r="A218" t="inlineStr">
        <is>
          <t xml:space="preserve">PL217</t>
        </is>
      </c>
      <c r="B218" t="inlineStr">
        <is>
          <t xml:space="preserve">Divisive</t>
        </is>
      </c>
      <c r="C218" t="inlineStr">
        <is>
          <t xml:space="preserve">attack</t>
        </is>
      </c>
      <c r="D218" t="inlineStr">
        <is>
          <t xml:space="preserve">ST40; ST41; ST42</t>
        </is>
      </c>
      <c r="E218" t="inlineStr">
        <is>
          <t xml:space="preserve">You work against the public on the identity card.</t>
        </is>
      </c>
      <c r="F218" t="inlineStr">
        <is>
          <t xml:space="preserve">This is a fight over the identity card.</t>
        </is>
      </c>
      <c r="G218" t="inlineStr">
        <is>
          <t xml:space="preserve">Wrong side of the identity card. Own it.</t>
        </is>
      </c>
      <c r="H218" t="inlineStr">
        <is>
          <t xml:space="preserve">The identity card serves insiders, not you.</t>
        </is>
      </c>
      <c r="I218" t="inlineStr">
        <is>
          <t xml:space="preserve">Whose side are you on over the identity card?</t>
        </is>
      </c>
    </row>
    <row r="219">
      <c r="A219" t="inlineStr">
        <is>
          <t xml:space="preserve">PL218</t>
        </is>
      </c>
      <c r="B219" t="inlineStr">
        <is>
          <t xml:space="preserve">Divisive</t>
        </is>
      </c>
      <c r="C219" t="inlineStr">
        <is>
          <t xml:space="preserve">gain</t>
        </is>
      </c>
      <c r="D219" t="inlineStr">
        <is>
          <t xml:space="preserve">ST40; ST41; ST42</t>
        </is>
      </c>
      <c r="E219" t="inlineStr">
        <is>
          <t xml:space="preserve">The identity card needs hard choices.</t>
        </is>
      </c>
      <c r="F219" t="inlineStr">
        <is>
          <t xml:space="preserve">There is no middle ground on the identity card.</t>
        </is>
      </c>
      <c r="G219" t="inlineStr">
        <is>
          <t xml:space="preserve">I will not please everyone on the identity card.</t>
        </is>
      </c>
      <c r="H219" t="inlineStr">
        <is>
          <t xml:space="preserve">We must choose a side on the identity card.</t>
        </is>
      </c>
      <c r="I219" t="inlineStr">
        <is>
          <t xml:space="preserve">Some lose over the identity card. So be it.</t>
        </is>
      </c>
    </row>
    <row r="220">
      <c r="A220" t="inlineStr">
        <is>
          <t xml:space="preserve">PL219</t>
        </is>
      </c>
      <c r="B220" t="inlineStr">
        <is>
          <t xml:space="preserve">Divisive</t>
        </is>
      </c>
      <c r="C220" t="inlineStr">
        <is>
          <t xml:space="preserve">block</t>
        </is>
      </c>
      <c r="D220" t="inlineStr">
        <is>
          <t xml:space="preserve">ST40; ST41; ST42</t>
        </is>
      </c>
      <c r="E220" t="inlineStr">
        <is>
          <t xml:space="preserve">Do not hide behind the identity card.</t>
        </is>
      </c>
      <c r="F220" t="inlineStr">
        <is>
          <t xml:space="preserve">That jab on the identity card fails.</t>
        </is>
      </c>
      <c r="G220" t="inlineStr">
        <is>
          <t xml:space="preserve">Pick a side on the identity card yourself.</t>
        </is>
      </c>
      <c r="H220" t="inlineStr">
        <is>
          <t xml:space="preserve">Your side caused this over the identity card.</t>
        </is>
      </c>
      <c r="I220" t="inlineStr">
        <is>
          <t xml:space="preserve">Spare me the sermon on the identity card.</t>
        </is>
      </c>
    </row>
    <row r="221">
      <c r="A221" t="inlineStr">
        <is>
          <t xml:space="preserve">PL220</t>
        </is>
      </c>
      <c r="B221" t="inlineStr">
        <is>
          <t xml:space="preserve">Duplicitous</t>
        </is>
      </c>
      <c r="C221" t="inlineStr">
        <is>
          <t xml:space="preserve">attack</t>
        </is>
      </c>
      <c r="D221" t="inlineStr">
        <is>
          <t xml:space="preserve">ST40; ST41; ST42</t>
        </is>
      </c>
      <c r="E221" t="inlineStr">
        <is>
          <t xml:space="preserve">Your story on the identity card has gaps.</t>
        </is>
      </c>
      <c r="F221" t="inlineStr">
        <is>
          <t xml:space="preserve">Convenient wording on the identity card.</t>
        </is>
      </c>
      <c r="G221" t="inlineStr">
        <is>
          <t xml:space="preserve">What are you leaving out on the identity card?</t>
        </is>
      </c>
      <c r="H221" t="inlineStr">
        <is>
          <t xml:space="preserve">Funny how the identity card suits you so well.</t>
        </is>
      </c>
      <c r="I221" t="inlineStr">
        <is>
          <t xml:space="preserve">Who benefits from the identity card, really?</t>
        </is>
      </c>
    </row>
    <row r="222">
      <c r="A222" t="inlineStr">
        <is>
          <t xml:space="preserve">PL221</t>
        </is>
      </c>
      <c r="B222" t="inlineStr">
        <is>
          <t xml:space="preserve">Duplicitous</t>
        </is>
      </c>
      <c r="C222" t="inlineStr">
        <is>
          <t xml:space="preserve">gain</t>
        </is>
      </c>
      <c r="D222" t="inlineStr">
        <is>
          <t xml:space="preserve">ST40; ST41; ST42</t>
        </is>
      </c>
      <c r="E222" t="inlineStr">
        <is>
          <t xml:space="preserve">The identity card is simpler than you think.</t>
        </is>
      </c>
      <c r="F222" t="inlineStr">
        <is>
          <t xml:space="preserve">I said what I said on the identity card.</t>
        </is>
      </c>
      <c r="G222" t="inlineStr">
        <is>
          <t xml:space="preserve">Trust me on the identity card.</t>
        </is>
      </c>
      <c r="H222" t="inlineStr">
        <is>
          <t xml:space="preserve">Let me reframe the identity card slightly.</t>
        </is>
      </c>
      <c r="I222" t="inlineStr">
        <is>
          <t xml:space="preserve">Everyone agrees on the identity card, broadly.</t>
        </is>
      </c>
    </row>
    <row r="223">
      <c r="A223" t="inlineStr">
        <is>
          <t xml:space="preserve">PL222</t>
        </is>
      </c>
      <c r="B223" t="inlineStr">
        <is>
          <t xml:space="preserve">Duplicitous</t>
        </is>
      </c>
      <c r="C223" t="inlineStr">
        <is>
          <t xml:space="preserve">block</t>
        </is>
      </c>
      <c r="D223" t="inlineStr">
        <is>
          <t xml:space="preserve">ST40; ST41; ST42</t>
        </is>
      </c>
      <c r="E223" t="inlineStr">
        <is>
          <t xml:space="preserve">I take that as praise on the identity card.</t>
        </is>
      </c>
      <c r="F223" t="inlineStr">
        <is>
          <t xml:space="preserve">A fair question on the identity card. Next.</t>
        </is>
      </c>
      <c r="G223" t="inlineStr">
        <is>
          <t xml:space="preserve">Let us move past the identity card.</t>
        </is>
      </c>
      <c r="H223" t="inlineStr">
        <is>
          <t xml:space="preserve">That is not my line on the identity card.</t>
        </is>
      </c>
      <c r="I223" t="inlineStr">
        <is>
          <t xml:space="preserve">You misheard me on the identity card.</t>
        </is>
      </c>
    </row>
    <row r="224">
      <c r="A224" t="inlineStr">
        <is>
          <t xml:space="preserve">PL223</t>
        </is>
      </c>
      <c r="B224" t="inlineStr">
        <is>
          <t xml:space="preserve">Earnest</t>
        </is>
      </c>
      <c r="C224" t="inlineStr">
        <is>
          <t xml:space="preserve">attack</t>
        </is>
      </c>
      <c r="D224" t="inlineStr">
        <is>
          <t xml:space="preserve">ST43; ST44; ST45</t>
        </is>
      </c>
      <c r="E224" t="inlineStr">
        <is>
          <t xml:space="preserve">The broadcaster is no place for games.</t>
        </is>
      </c>
      <c r="F224" t="inlineStr">
        <is>
          <t xml:space="preserve">People deserve a straight answer on the broadcaster.</t>
        </is>
      </c>
      <c r="G224" t="inlineStr">
        <is>
          <t xml:space="preserve">The broadcaster deserves honesty, not slogans.</t>
        </is>
      </c>
      <c r="H224" t="inlineStr">
        <is>
          <t xml:space="preserve">Say plainly what you mean about the broadcaster.</t>
        </is>
      </c>
      <c r="I224" t="inlineStr">
        <is>
          <t xml:space="preserve">Be sincere with people about the broadcaster.</t>
        </is>
      </c>
    </row>
    <row r="225">
      <c r="A225" t="inlineStr">
        <is>
          <t xml:space="preserve">PL224</t>
        </is>
      </c>
      <c r="B225" t="inlineStr">
        <is>
          <t xml:space="preserve">Earnest</t>
        </is>
      </c>
      <c r="C225" t="inlineStr">
        <is>
          <t xml:space="preserve">gain</t>
        </is>
      </c>
      <c r="D225" t="inlineStr">
        <is>
          <t xml:space="preserve">ST43; ST44; ST45</t>
        </is>
      </c>
      <c r="E225" t="inlineStr">
        <is>
          <t xml:space="preserve">I will be honest about the broadcaster.</t>
        </is>
      </c>
      <c r="F225" t="inlineStr">
        <is>
          <t xml:space="preserve">Here is my honest view on the broadcaster.</t>
        </is>
      </c>
      <c r="G225" t="inlineStr">
        <is>
          <t xml:space="preserve">I mean every word about the broadcaster.</t>
        </is>
      </c>
      <c r="H225" t="inlineStr">
        <is>
          <t xml:space="preserve">People can trust me on the broadcaster.</t>
        </is>
      </c>
      <c r="I225" t="inlineStr">
        <is>
          <t xml:space="preserve">The broadcaster matters to me personally.</t>
        </is>
      </c>
    </row>
    <row r="226">
      <c r="A226" t="inlineStr">
        <is>
          <t xml:space="preserve">PL225</t>
        </is>
      </c>
      <c r="B226" t="inlineStr">
        <is>
          <t xml:space="preserve">Earnest</t>
        </is>
      </c>
      <c r="C226" t="inlineStr">
        <is>
          <t xml:space="preserve">block</t>
        </is>
      </c>
      <c r="D226" t="inlineStr">
        <is>
          <t xml:space="preserve">ST43; ST44; ST45</t>
        </is>
      </c>
      <c r="E226" t="inlineStr">
        <is>
          <t xml:space="preserve">Ask plainly. I will answer plainly.</t>
        </is>
      </c>
      <c r="F226" t="inlineStr">
        <is>
          <t xml:space="preserve">My view on the broadcaster is sincere.</t>
        </is>
      </c>
      <c r="G226" t="inlineStr">
        <is>
          <t xml:space="preserve">I will not dodge the broadcaster.</t>
        </is>
      </c>
      <c r="H226" t="inlineStr">
        <is>
          <t xml:space="preserve">You can ask me about the broadcaster.</t>
        </is>
      </c>
      <c r="I226" t="inlineStr">
        <is>
          <t xml:space="preserve">I stand by what I said.</t>
        </is>
      </c>
    </row>
    <row r="227">
      <c r="A227" t="inlineStr">
        <is>
          <t xml:space="preserve">PL226</t>
        </is>
      </c>
      <c r="B227" t="inlineStr">
        <is>
          <t xml:space="preserve">Emotional</t>
        </is>
      </c>
      <c r="C227" t="inlineStr">
        <is>
          <t xml:space="preserve">attack</t>
        </is>
      </c>
      <c r="D227" t="inlineStr">
        <is>
          <t xml:space="preserve">ST43; ST44; ST45</t>
        </is>
      </c>
      <c r="E227" t="inlineStr">
        <is>
          <t xml:space="preserve">Do you feel nothing about the broadcaster?</t>
        </is>
      </c>
      <c r="F227" t="inlineStr">
        <is>
          <t xml:space="preserve">Tell that to those hurt by the broadcaster.</t>
        </is>
      </c>
      <c r="G227" t="inlineStr">
        <is>
          <t xml:space="preserve">Think of the families behind the broadcaster.</t>
        </is>
      </c>
      <c r="H227" t="inlineStr">
        <is>
          <t xml:space="preserve">Look at the faces affected by the broadcaster.</t>
        </is>
      </c>
      <c r="I227" t="inlineStr">
        <is>
          <t xml:space="preserve">The broadcaster is about real people.</t>
        </is>
      </c>
    </row>
    <row r="228">
      <c r="A228" t="inlineStr">
        <is>
          <t xml:space="preserve">PL227</t>
        </is>
      </c>
      <c r="B228" t="inlineStr">
        <is>
          <t xml:space="preserve">Emotional</t>
        </is>
      </c>
      <c r="C228" t="inlineStr">
        <is>
          <t xml:space="preserve">gain</t>
        </is>
      </c>
      <c r="D228" t="inlineStr">
        <is>
          <t xml:space="preserve">ST43; ST44; ST45</t>
        </is>
      </c>
      <c r="E228" t="inlineStr">
        <is>
          <t xml:space="preserve">I carry those families with me.</t>
        </is>
      </c>
      <c r="F228" t="inlineStr">
        <is>
          <t xml:space="preserve">Every family I met raised the broadcaster.</t>
        </is>
      </c>
      <c r="G228" t="inlineStr">
        <is>
          <t xml:space="preserve">I have met people touched by the broadcaster.</t>
        </is>
      </c>
      <c r="H228" t="inlineStr">
        <is>
          <t xml:space="preserve">The broadcaster weighs on me.</t>
        </is>
      </c>
      <c r="I228" t="inlineStr">
        <is>
          <t xml:space="preserve">Their stories made me care about the broadcaster.</t>
        </is>
      </c>
    </row>
    <row r="229">
      <c r="A229" t="inlineStr">
        <is>
          <t xml:space="preserve">PL228</t>
        </is>
      </c>
      <c r="B229" t="inlineStr">
        <is>
          <t xml:space="preserve">Emotional</t>
        </is>
      </c>
      <c r="C229" t="inlineStr">
        <is>
          <t xml:space="preserve">block</t>
        </is>
      </c>
      <c r="D229" t="inlineStr">
        <is>
          <t xml:space="preserve">ST43; ST44; ST45</t>
        </is>
      </c>
      <c r="E229" t="inlineStr">
        <is>
          <t xml:space="preserve">These are people, not statistics.</t>
        </is>
      </c>
      <c r="F229" t="inlineStr">
        <is>
          <t xml:space="preserve">Speak gently about the broadcaster.</t>
        </is>
      </c>
      <c r="G229" t="inlineStr">
        <is>
          <t xml:space="preserve">You cannot dismiss people over the broadcaster.</t>
        </is>
      </c>
      <c r="H229" t="inlineStr">
        <is>
          <t xml:space="preserve">Do not turn the broadcaster into a game.</t>
        </is>
      </c>
      <c r="I229" t="inlineStr">
        <is>
          <t xml:space="preserve">I will not shrink their stories.</t>
        </is>
      </c>
    </row>
    <row r="230">
      <c r="A230" t="inlineStr">
        <is>
          <t xml:space="preserve">PL229</t>
        </is>
      </c>
      <c r="B230" t="inlineStr">
        <is>
          <t xml:space="preserve">Appeal</t>
        </is>
      </c>
      <c r="C230" t="inlineStr">
        <is>
          <t xml:space="preserve">attack</t>
        </is>
      </c>
      <c r="D230" t="inlineStr">
        <is>
          <t xml:space="preserve">ST43; ST44; ST45</t>
        </is>
      </c>
      <c r="E230" t="inlineStr">
        <is>
          <t xml:space="preserve">Most people disagree with you on the broadcaster.</t>
        </is>
      </c>
      <c r="F230" t="inlineStr">
        <is>
          <t xml:space="preserve">Voters have spoken on the broadcaster.</t>
        </is>
      </c>
      <c r="G230" t="inlineStr">
        <is>
          <t xml:space="preserve">People want answers on the broadcaster.</t>
        </is>
      </c>
      <c r="H230" t="inlineStr">
        <is>
          <t xml:space="preserve">Ask anyone in the street about the broadcaster.</t>
        </is>
      </c>
      <c r="I230" t="inlineStr">
        <is>
          <t xml:space="preserve">The public wants less spin on the broadcaster.</t>
        </is>
      </c>
    </row>
    <row r="231">
      <c r="A231" t="inlineStr">
        <is>
          <t xml:space="preserve">PL230</t>
        </is>
      </c>
      <c r="B231" t="inlineStr">
        <is>
          <t xml:space="preserve">Appeal</t>
        </is>
      </c>
      <c r="C231" t="inlineStr">
        <is>
          <t xml:space="preserve">gain</t>
        </is>
      </c>
      <c r="D231" t="inlineStr">
        <is>
          <t xml:space="preserve">ST43; ST44; ST45</t>
        </is>
      </c>
      <c r="E231" t="inlineStr">
        <is>
          <t xml:space="preserve">Ask around. People care about the broadcaster.</t>
        </is>
      </c>
      <c r="F231" t="inlineStr">
        <is>
          <t xml:space="preserve">The public mood favours the broadcaster.</t>
        </is>
      </c>
      <c r="G231" t="inlineStr">
        <is>
          <t xml:space="preserve">Most people I meet back the broadcaster.</t>
        </is>
      </c>
      <c r="H231" t="inlineStr">
        <is>
          <t xml:space="preserve">Ordinary people want action on the broadcaster.</t>
        </is>
      </c>
      <c r="I231" t="inlineStr">
        <is>
          <t xml:space="preserve">Voters keep raising the broadcaster.</t>
        </is>
      </c>
    </row>
    <row r="232">
      <c r="A232" t="inlineStr">
        <is>
          <t xml:space="preserve">PL231</t>
        </is>
      </c>
      <c r="B232" t="inlineStr">
        <is>
          <t xml:space="preserve">Appeal</t>
        </is>
      </c>
      <c r="C232" t="inlineStr">
        <is>
          <t xml:space="preserve">block</t>
        </is>
      </c>
      <c r="D232" t="inlineStr">
        <is>
          <t xml:space="preserve">ST43; ST44; ST45</t>
        </is>
      </c>
      <c r="E232" t="inlineStr">
        <is>
          <t xml:space="preserve">Let the public decide the broadcaster.</t>
        </is>
      </c>
      <c r="F232" t="inlineStr">
        <is>
          <t xml:space="preserve">I hear all sides on the broadcaster.</t>
        </is>
      </c>
      <c r="G232" t="inlineStr">
        <is>
          <t xml:space="preserve">Do not speak for everyone on the broadcaster.</t>
        </is>
      </c>
      <c r="H232" t="inlineStr">
        <is>
          <t xml:space="preserve">People are divided on the broadcaster.</t>
        </is>
      </c>
      <c r="I232" t="inlineStr">
        <is>
          <t xml:space="preserve">Do not claim the crowd on the broadcaster.</t>
        </is>
      </c>
    </row>
    <row r="233">
      <c r="A233" t="inlineStr">
        <is>
          <t xml:space="preserve">PL232</t>
        </is>
      </c>
      <c r="B233" t="inlineStr">
        <is>
          <t xml:space="preserve">Data Driven</t>
        </is>
      </c>
      <c r="C233" t="inlineStr">
        <is>
          <t xml:space="preserve">attack</t>
        </is>
      </c>
      <c r="D233" t="inlineStr">
        <is>
          <t xml:space="preserve">ST43; ST44; ST45</t>
        </is>
      </c>
      <c r="E233" t="inlineStr">
        <is>
          <t xml:space="preserve">What is the real cost of the broadcaster?</t>
        </is>
      </c>
      <c r="F233" t="inlineStr">
        <is>
          <t xml:space="preserve">Those the broadcaster statistics are selective.</t>
        </is>
      </c>
      <c r="G233" t="inlineStr">
        <is>
          <t xml:space="preserve">Where are the figures on the broadcaster?</t>
        </is>
      </c>
      <c r="H233" t="inlineStr">
        <is>
          <t xml:space="preserve">Your numbers on the broadcaster do not hold.</t>
        </is>
      </c>
      <c r="I233" t="inlineStr">
        <is>
          <t xml:space="preserve">Show the evidence for the broadcaster.</t>
        </is>
      </c>
    </row>
    <row r="234">
      <c r="A234" t="inlineStr">
        <is>
          <t xml:space="preserve">PL233</t>
        </is>
      </c>
      <c r="B234" t="inlineStr">
        <is>
          <t xml:space="preserve">Data Driven</t>
        </is>
      </c>
      <c r="C234" t="inlineStr">
        <is>
          <t xml:space="preserve">gain</t>
        </is>
      </c>
      <c r="D234" t="inlineStr">
        <is>
          <t xml:space="preserve">ST43; ST44; ST45</t>
        </is>
      </c>
      <c r="E234" t="inlineStr">
        <is>
          <t xml:space="preserve">The cost of the broadcaster adds up.</t>
        </is>
      </c>
      <c r="F234" t="inlineStr">
        <is>
          <t xml:space="preserve">The numbers on the broadcaster hold.</t>
        </is>
      </c>
      <c r="G234" t="inlineStr">
        <is>
          <t xml:space="preserve">The evidence on the broadcaster is clear.</t>
        </is>
      </c>
      <c r="H234" t="inlineStr">
        <is>
          <t xml:space="preserve">Here are the figures on the broadcaster.</t>
        </is>
      </c>
      <c r="I234" t="inlineStr">
        <is>
          <t xml:space="preserve">Studies on the broadcaster support this.</t>
        </is>
      </c>
    </row>
    <row r="235">
      <c r="A235" t="inlineStr">
        <is>
          <t xml:space="preserve">PL234</t>
        </is>
      </c>
      <c r="B235" t="inlineStr">
        <is>
          <t xml:space="preserve">Data Driven</t>
        </is>
      </c>
      <c r="C235" t="inlineStr">
        <is>
          <t xml:space="preserve">block</t>
        </is>
      </c>
      <c r="D235" t="inlineStr">
        <is>
          <t xml:space="preserve">ST43; ST44; ST45</t>
        </is>
      </c>
      <c r="E235" t="inlineStr">
        <is>
          <t xml:space="preserve">Read the full report on the broadcaster.</t>
        </is>
      </c>
      <c r="F235" t="inlineStr">
        <is>
          <t xml:space="preserve">That is not what the data shows.</t>
        </is>
      </c>
      <c r="G235" t="inlineStr">
        <is>
          <t xml:space="preserve">Check the source on the broadcaster.</t>
        </is>
      </c>
      <c r="H235" t="inlineStr">
        <is>
          <t xml:space="preserve">Those figures on the broadcaster are misread.</t>
        </is>
      </c>
      <c r="I235" t="inlineStr">
        <is>
          <t xml:space="preserve">The data does not say that.</t>
        </is>
      </c>
    </row>
    <row r="236">
      <c r="A236" t="inlineStr">
        <is>
          <t xml:space="preserve">PL235</t>
        </is>
      </c>
      <c r="B236" t="inlineStr">
        <is>
          <t xml:space="preserve">Divisive</t>
        </is>
      </c>
      <c r="C236" t="inlineStr">
        <is>
          <t xml:space="preserve">attack</t>
        </is>
      </c>
      <c r="D236" t="inlineStr">
        <is>
          <t xml:space="preserve">ST43; ST44; ST45</t>
        </is>
      </c>
      <c r="E236" t="inlineStr">
        <is>
          <t xml:space="preserve">This is a fight over the broadcaster.</t>
        </is>
      </c>
      <c r="F236" t="inlineStr">
        <is>
          <t xml:space="preserve">Wrong side of the broadcaster. Own it.</t>
        </is>
      </c>
      <c r="G236" t="inlineStr">
        <is>
          <t xml:space="preserve">The broadcaster serves insiders, not you.</t>
        </is>
      </c>
      <c r="H236" t="inlineStr">
        <is>
          <t xml:space="preserve">Whose side are you on over the broadcaster?</t>
        </is>
      </c>
      <c r="I236" t="inlineStr">
        <is>
          <t xml:space="preserve">You work against the public on the broadcaster.</t>
        </is>
      </c>
    </row>
    <row r="237">
      <c r="A237" t="inlineStr">
        <is>
          <t xml:space="preserve">PL236</t>
        </is>
      </c>
      <c r="B237" t="inlineStr">
        <is>
          <t xml:space="preserve">Divisive</t>
        </is>
      </c>
      <c r="C237" t="inlineStr">
        <is>
          <t xml:space="preserve">gain</t>
        </is>
      </c>
      <c r="D237" t="inlineStr">
        <is>
          <t xml:space="preserve">ST43; ST44; ST45</t>
        </is>
      </c>
      <c r="E237" t="inlineStr">
        <is>
          <t xml:space="preserve">There is no middle ground on the broadcaster.</t>
        </is>
      </c>
      <c r="F237" t="inlineStr">
        <is>
          <t xml:space="preserve">I will not please everyone on the broadcaster.</t>
        </is>
      </c>
      <c r="G237" t="inlineStr">
        <is>
          <t xml:space="preserve">We must choose a side on the broadcaster.</t>
        </is>
      </c>
      <c r="H237" t="inlineStr">
        <is>
          <t xml:space="preserve">Some lose over the broadcaster. So be it.</t>
        </is>
      </c>
      <c r="I237" t="inlineStr">
        <is>
          <t xml:space="preserve">The broadcaster needs hard choices.</t>
        </is>
      </c>
    </row>
    <row r="238">
      <c r="A238" t="inlineStr">
        <is>
          <t xml:space="preserve">PL237</t>
        </is>
      </c>
      <c r="B238" t="inlineStr">
        <is>
          <t xml:space="preserve">Divisive</t>
        </is>
      </c>
      <c r="C238" t="inlineStr">
        <is>
          <t xml:space="preserve">block</t>
        </is>
      </c>
      <c r="D238" t="inlineStr">
        <is>
          <t xml:space="preserve">ST43; ST44; ST45</t>
        </is>
      </c>
      <c r="E238" t="inlineStr">
        <is>
          <t xml:space="preserve">That jab on the broadcaster fails.</t>
        </is>
      </c>
      <c r="F238" t="inlineStr">
        <is>
          <t xml:space="preserve">Pick a side on the broadcaster yourself.</t>
        </is>
      </c>
      <c r="G238" t="inlineStr">
        <is>
          <t xml:space="preserve">Your side caused this over the broadcaster.</t>
        </is>
      </c>
      <c r="H238" t="inlineStr">
        <is>
          <t xml:space="preserve">Spare me the sermon on the broadcaster.</t>
        </is>
      </c>
      <c r="I238" t="inlineStr">
        <is>
          <t xml:space="preserve">Do not hide behind the broadcaster.</t>
        </is>
      </c>
    </row>
    <row r="239">
      <c r="A239" t="inlineStr">
        <is>
          <t xml:space="preserve">PL238</t>
        </is>
      </c>
      <c r="B239" t="inlineStr">
        <is>
          <t xml:space="preserve">Duplicitous</t>
        </is>
      </c>
      <c r="C239" t="inlineStr">
        <is>
          <t xml:space="preserve">attack</t>
        </is>
      </c>
      <c r="D239" t="inlineStr">
        <is>
          <t xml:space="preserve">ST43; ST44; ST45</t>
        </is>
      </c>
      <c r="E239" t="inlineStr">
        <is>
          <t xml:space="preserve">Convenient wording on the broadcaster.</t>
        </is>
      </c>
      <c r="F239" t="inlineStr">
        <is>
          <t xml:space="preserve">What are you leaving out on the broadcaster?</t>
        </is>
      </c>
      <c r="G239" t="inlineStr">
        <is>
          <t xml:space="preserve">Funny how the broadcaster suits you so well.</t>
        </is>
      </c>
      <c r="H239" t="inlineStr">
        <is>
          <t xml:space="preserve">Who benefits from the broadcaster, really?</t>
        </is>
      </c>
      <c r="I239" t="inlineStr">
        <is>
          <t xml:space="preserve">Your story on the broadcaster has gaps.</t>
        </is>
      </c>
    </row>
    <row r="240">
      <c r="A240" t="inlineStr">
        <is>
          <t xml:space="preserve">PL239</t>
        </is>
      </c>
      <c r="B240" t="inlineStr">
        <is>
          <t xml:space="preserve">Duplicitous</t>
        </is>
      </c>
      <c r="C240" t="inlineStr">
        <is>
          <t xml:space="preserve">gain</t>
        </is>
      </c>
      <c r="D240" t="inlineStr">
        <is>
          <t xml:space="preserve">ST43; ST44; ST45</t>
        </is>
      </c>
      <c r="E240" t="inlineStr">
        <is>
          <t xml:space="preserve">I said what I said on the broadcaster.</t>
        </is>
      </c>
      <c r="F240" t="inlineStr">
        <is>
          <t xml:space="preserve">Trust me on the broadcaster.</t>
        </is>
      </c>
      <c r="G240" t="inlineStr">
        <is>
          <t xml:space="preserve">Let me reframe the broadcaster slightly.</t>
        </is>
      </c>
      <c r="H240" t="inlineStr">
        <is>
          <t xml:space="preserve">Everyone agrees on the broadcaster, broadly.</t>
        </is>
      </c>
      <c r="I240" t="inlineStr">
        <is>
          <t xml:space="preserve">The broadcaster is simpler than you think.</t>
        </is>
      </c>
    </row>
    <row r="241">
      <c r="A241" t="inlineStr">
        <is>
          <t xml:space="preserve">PL240</t>
        </is>
      </c>
      <c r="B241" t="inlineStr">
        <is>
          <t xml:space="preserve">Duplicitous</t>
        </is>
      </c>
      <c r="C241" t="inlineStr">
        <is>
          <t xml:space="preserve">block</t>
        </is>
      </c>
      <c r="D241" t="inlineStr">
        <is>
          <t xml:space="preserve">ST43; ST44; ST45</t>
        </is>
      </c>
      <c r="E241" t="inlineStr">
        <is>
          <t xml:space="preserve">A fair question on the broadcaster. Next.</t>
        </is>
      </c>
      <c r="F241" t="inlineStr">
        <is>
          <t xml:space="preserve">Let us move past the broadcaster.</t>
        </is>
      </c>
      <c r="G241" t="inlineStr">
        <is>
          <t xml:space="preserve">That is not my line on the broadcaster.</t>
        </is>
      </c>
      <c r="H241" t="inlineStr">
        <is>
          <t xml:space="preserve">You misheard me on the broadcaster.</t>
        </is>
      </c>
      <c r="I241" t="inlineStr">
        <is>
          <t xml:space="preserve">I take that as praise on the broadcaster.</t>
        </is>
      </c>
    </row>
    <row r="242">
      <c r="A242" t="inlineStr">
        <is>
          <t xml:space="preserve">PL241</t>
        </is>
      </c>
      <c r="B242" t="inlineStr">
        <is>
          <t xml:space="preserve">Earnest</t>
        </is>
      </c>
      <c r="C242" t="inlineStr">
        <is>
          <t xml:space="preserve">attack</t>
        </is>
      </c>
      <c r="D242" t="inlineStr">
        <is>
          <t xml:space="preserve">ST46; ST47; ST48; ST49</t>
        </is>
      </c>
      <c r="E242" t="inlineStr">
        <is>
          <t xml:space="preserve">People deserve a straight answer on political donations.</t>
        </is>
      </c>
      <c r="F242" t="inlineStr">
        <is>
          <t xml:space="preserve">Political donations deserves honesty, not slogans.</t>
        </is>
      </c>
      <c r="G242" t="inlineStr">
        <is>
          <t xml:space="preserve">Say plainly what you mean about political donations.</t>
        </is>
      </c>
      <c r="H242" t="inlineStr">
        <is>
          <t xml:space="preserve">Be sincere with people about political donations.</t>
        </is>
      </c>
      <c r="I242" t="inlineStr">
        <is>
          <t xml:space="preserve">Political donations is no place for games.</t>
        </is>
      </c>
    </row>
    <row r="243">
      <c r="A243" t="inlineStr">
        <is>
          <t xml:space="preserve">PL242</t>
        </is>
      </c>
      <c r="B243" t="inlineStr">
        <is>
          <t xml:space="preserve">Earnest</t>
        </is>
      </c>
      <c r="C243" t="inlineStr">
        <is>
          <t xml:space="preserve">gain</t>
        </is>
      </c>
      <c r="D243" t="inlineStr">
        <is>
          <t xml:space="preserve">ST46; ST47; ST48; ST49</t>
        </is>
      </c>
      <c r="E243" t="inlineStr">
        <is>
          <t xml:space="preserve">Here is my honest view on political donations.</t>
        </is>
      </c>
      <c r="F243" t="inlineStr">
        <is>
          <t xml:space="preserve">I mean every word about political donations.</t>
        </is>
      </c>
      <c r="G243" t="inlineStr">
        <is>
          <t xml:space="preserve">People can trust me on political donations.</t>
        </is>
      </c>
      <c r="H243" t="inlineStr">
        <is>
          <t xml:space="preserve">Political donations matters to me personally.</t>
        </is>
      </c>
      <c r="I243" t="inlineStr">
        <is>
          <t xml:space="preserve">I will be honest about political donations.</t>
        </is>
      </c>
    </row>
    <row r="244">
      <c r="A244" t="inlineStr">
        <is>
          <t xml:space="preserve">PL243</t>
        </is>
      </c>
      <c r="B244" t="inlineStr">
        <is>
          <t xml:space="preserve">Earnest</t>
        </is>
      </c>
      <c r="C244" t="inlineStr">
        <is>
          <t xml:space="preserve">block</t>
        </is>
      </c>
      <c r="D244" t="inlineStr">
        <is>
          <t xml:space="preserve">ST46; ST47; ST48; ST49</t>
        </is>
      </c>
      <c r="E244" t="inlineStr">
        <is>
          <t xml:space="preserve">My view on political donations is sincere.</t>
        </is>
      </c>
      <c r="F244" t="inlineStr">
        <is>
          <t xml:space="preserve">I will not dodge political donations.</t>
        </is>
      </c>
      <c r="G244" t="inlineStr">
        <is>
          <t xml:space="preserve">You can ask me about political donations.</t>
        </is>
      </c>
      <c r="H244" t="inlineStr">
        <is>
          <t xml:space="preserve">I stand by what I said.</t>
        </is>
      </c>
      <c r="I244" t="inlineStr">
        <is>
          <t xml:space="preserve">Ask plainly. I will answer plainly.</t>
        </is>
      </c>
    </row>
    <row r="245">
      <c r="A245" t="inlineStr">
        <is>
          <t xml:space="preserve">PL244</t>
        </is>
      </c>
      <c r="B245" t="inlineStr">
        <is>
          <t xml:space="preserve">Emotional</t>
        </is>
      </c>
      <c r="C245" t="inlineStr">
        <is>
          <t xml:space="preserve">attack</t>
        </is>
      </c>
      <c r="D245" t="inlineStr">
        <is>
          <t xml:space="preserve">ST46; ST47; ST48; ST49</t>
        </is>
      </c>
      <c r="E245" t="inlineStr">
        <is>
          <t xml:space="preserve">Tell that to those hurt by political donations.</t>
        </is>
      </c>
      <c r="F245" t="inlineStr">
        <is>
          <t xml:space="preserve">Think of the families behind political donations.</t>
        </is>
      </c>
      <c r="G245" t="inlineStr">
        <is>
          <t xml:space="preserve">Look at the faces affected by political donations.</t>
        </is>
      </c>
      <c r="H245" t="inlineStr">
        <is>
          <t xml:space="preserve">Political donations is about real people.</t>
        </is>
      </c>
      <c r="I245" t="inlineStr">
        <is>
          <t xml:space="preserve">Do you feel nothing about political donations?</t>
        </is>
      </c>
    </row>
    <row r="246">
      <c r="A246" t="inlineStr">
        <is>
          <t xml:space="preserve">PL245</t>
        </is>
      </c>
      <c r="B246" t="inlineStr">
        <is>
          <t xml:space="preserve">Emotional</t>
        </is>
      </c>
      <c r="C246" t="inlineStr">
        <is>
          <t xml:space="preserve">gain</t>
        </is>
      </c>
      <c r="D246" t="inlineStr">
        <is>
          <t xml:space="preserve">ST46; ST47; ST48; ST49</t>
        </is>
      </c>
      <c r="E246" t="inlineStr">
        <is>
          <t xml:space="preserve">Every family I met raised political donations.</t>
        </is>
      </c>
      <c r="F246" t="inlineStr">
        <is>
          <t xml:space="preserve">I have met people touched by political donations.</t>
        </is>
      </c>
      <c r="G246" t="inlineStr">
        <is>
          <t xml:space="preserve">Political donations weighs on me.</t>
        </is>
      </c>
      <c r="H246" t="inlineStr">
        <is>
          <t xml:space="preserve">Their stories made me care about political donations.</t>
        </is>
      </c>
      <c r="I246" t="inlineStr">
        <is>
          <t xml:space="preserve">I carry those families with me.</t>
        </is>
      </c>
    </row>
    <row r="247">
      <c r="A247" t="inlineStr">
        <is>
          <t xml:space="preserve">PL246</t>
        </is>
      </c>
      <c r="B247" t="inlineStr">
        <is>
          <t xml:space="preserve">Emotional</t>
        </is>
      </c>
      <c r="C247" t="inlineStr">
        <is>
          <t xml:space="preserve">block</t>
        </is>
      </c>
      <c r="D247" t="inlineStr">
        <is>
          <t xml:space="preserve">ST46; ST47; ST48; ST49</t>
        </is>
      </c>
      <c r="E247" t="inlineStr">
        <is>
          <t xml:space="preserve">Speak gently about political donations.</t>
        </is>
      </c>
      <c r="F247" t="inlineStr">
        <is>
          <t xml:space="preserve">You cannot dismiss people over political donations.</t>
        </is>
      </c>
      <c r="G247" t="inlineStr">
        <is>
          <t xml:space="preserve">Do not turn political donations into a game.</t>
        </is>
      </c>
      <c r="H247" t="inlineStr">
        <is>
          <t xml:space="preserve">I will not shrink their stories.</t>
        </is>
      </c>
      <c r="I247" t="inlineStr">
        <is>
          <t xml:space="preserve">These are people, not statistics.</t>
        </is>
      </c>
    </row>
    <row r="248">
      <c r="A248" t="inlineStr">
        <is>
          <t xml:space="preserve">PL247</t>
        </is>
      </c>
      <c r="B248" t="inlineStr">
        <is>
          <t xml:space="preserve">Appeal</t>
        </is>
      </c>
      <c r="C248" t="inlineStr">
        <is>
          <t xml:space="preserve">attack</t>
        </is>
      </c>
      <c r="D248" t="inlineStr">
        <is>
          <t xml:space="preserve">ST46; ST47; ST48; ST49</t>
        </is>
      </c>
      <c r="E248" t="inlineStr">
        <is>
          <t xml:space="preserve">Voters have spoken on political donations.</t>
        </is>
      </c>
      <c r="F248" t="inlineStr">
        <is>
          <t xml:space="preserve">People want answers on political donations.</t>
        </is>
      </c>
      <c r="G248" t="inlineStr">
        <is>
          <t xml:space="preserve">Ask anyone in the street about political donations.</t>
        </is>
      </c>
      <c r="H248" t="inlineStr">
        <is>
          <t xml:space="preserve">The public wants less spin on political donations.</t>
        </is>
      </c>
      <c r="I248" t="inlineStr">
        <is>
          <t xml:space="preserve">Most people disagree with you on political donations.</t>
        </is>
      </c>
    </row>
    <row r="249">
      <c r="A249" t="inlineStr">
        <is>
          <t xml:space="preserve">PL248</t>
        </is>
      </c>
      <c r="B249" t="inlineStr">
        <is>
          <t xml:space="preserve">Appeal</t>
        </is>
      </c>
      <c r="C249" t="inlineStr">
        <is>
          <t xml:space="preserve">gain</t>
        </is>
      </c>
      <c r="D249" t="inlineStr">
        <is>
          <t xml:space="preserve">ST46; ST47; ST48; ST49</t>
        </is>
      </c>
      <c r="E249" t="inlineStr">
        <is>
          <t xml:space="preserve">The public mood favours political donations.</t>
        </is>
      </c>
      <c r="F249" t="inlineStr">
        <is>
          <t xml:space="preserve">Most people I meet back political donations.</t>
        </is>
      </c>
      <c r="G249" t="inlineStr">
        <is>
          <t xml:space="preserve">Ordinary people want action on political donations.</t>
        </is>
      </c>
      <c r="H249" t="inlineStr">
        <is>
          <t xml:space="preserve">Voters keep raising political donations.</t>
        </is>
      </c>
      <c r="I249" t="inlineStr">
        <is>
          <t xml:space="preserve">Ask around. People care about political donations.</t>
        </is>
      </c>
    </row>
    <row r="250">
      <c r="A250" t="inlineStr">
        <is>
          <t xml:space="preserve">PL249</t>
        </is>
      </c>
      <c r="B250" t="inlineStr">
        <is>
          <t xml:space="preserve">Appeal</t>
        </is>
      </c>
      <c r="C250" t="inlineStr">
        <is>
          <t xml:space="preserve">block</t>
        </is>
      </c>
      <c r="D250" t="inlineStr">
        <is>
          <t xml:space="preserve">ST46; ST47; ST48; ST49</t>
        </is>
      </c>
      <c r="E250" t="inlineStr">
        <is>
          <t xml:space="preserve">I hear all sides on political donations.</t>
        </is>
      </c>
      <c r="F250" t="inlineStr">
        <is>
          <t xml:space="preserve">Do not speak for everyone on political donations.</t>
        </is>
      </c>
      <c r="G250" t="inlineStr">
        <is>
          <t xml:space="preserve">People are divided on political donations.</t>
        </is>
      </c>
      <c r="H250" t="inlineStr">
        <is>
          <t xml:space="preserve">Do not claim the crowd on political donations.</t>
        </is>
      </c>
      <c r="I250" t="inlineStr">
        <is>
          <t xml:space="preserve">Let the public decide political donations.</t>
        </is>
      </c>
    </row>
    <row r="251">
      <c r="A251" t="inlineStr">
        <is>
          <t xml:space="preserve">PL250</t>
        </is>
      </c>
      <c r="B251" t="inlineStr">
        <is>
          <t xml:space="preserve">Data Driven</t>
        </is>
      </c>
      <c r="C251" t="inlineStr">
        <is>
          <t xml:space="preserve">attack</t>
        </is>
      </c>
      <c r="D251" t="inlineStr">
        <is>
          <t xml:space="preserve">ST46; ST47; ST48; ST49</t>
        </is>
      </c>
      <c r="E251" t="inlineStr">
        <is>
          <t xml:space="preserve">Those political donations statistics are selective.</t>
        </is>
      </c>
      <c r="F251" t="inlineStr">
        <is>
          <t xml:space="preserve">Where are the figures on political donations?</t>
        </is>
      </c>
      <c r="G251" t="inlineStr">
        <is>
          <t xml:space="preserve">Your numbers on political donations do not hold.</t>
        </is>
      </c>
      <c r="H251" t="inlineStr">
        <is>
          <t xml:space="preserve">Show the evidence for political donations.</t>
        </is>
      </c>
      <c r="I251" t="inlineStr">
        <is>
          <t xml:space="preserve">What is the real cost of political donations?</t>
        </is>
      </c>
    </row>
    <row r="252">
      <c r="A252" t="inlineStr">
        <is>
          <t xml:space="preserve">PL251</t>
        </is>
      </c>
      <c r="B252" t="inlineStr">
        <is>
          <t xml:space="preserve">Data Driven</t>
        </is>
      </c>
      <c r="C252" t="inlineStr">
        <is>
          <t xml:space="preserve">gain</t>
        </is>
      </c>
      <c r="D252" t="inlineStr">
        <is>
          <t xml:space="preserve">ST46; ST47; ST48; ST49</t>
        </is>
      </c>
      <c r="E252" t="inlineStr">
        <is>
          <t xml:space="preserve">The numbers on political donations hold.</t>
        </is>
      </c>
      <c r="F252" t="inlineStr">
        <is>
          <t xml:space="preserve">The evidence on political donations is clear.</t>
        </is>
      </c>
      <c r="G252" t="inlineStr">
        <is>
          <t xml:space="preserve">Here are the figures on political donations.</t>
        </is>
      </c>
      <c r="H252" t="inlineStr">
        <is>
          <t xml:space="preserve">Studies on political donations support this.</t>
        </is>
      </c>
      <c r="I252" t="inlineStr">
        <is>
          <t xml:space="preserve">The cost of political donations adds up.</t>
        </is>
      </c>
    </row>
    <row r="253">
      <c r="A253" t="inlineStr">
        <is>
          <t xml:space="preserve">PL252</t>
        </is>
      </c>
      <c r="B253" t="inlineStr">
        <is>
          <t xml:space="preserve">Data Driven</t>
        </is>
      </c>
      <c r="C253" t="inlineStr">
        <is>
          <t xml:space="preserve">block</t>
        </is>
      </c>
      <c r="D253" t="inlineStr">
        <is>
          <t xml:space="preserve">ST46; ST47; ST48; ST49</t>
        </is>
      </c>
      <c r="E253" t="inlineStr">
        <is>
          <t xml:space="preserve">That is not what the data shows.</t>
        </is>
      </c>
      <c r="F253" t="inlineStr">
        <is>
          <t xml:space="preserve">Check the source on political donations.</t>
        </is>
      </c>
      <c r="G253" t="inlineStr">
        <is>
          <t xml:space="preserve">Those figures on political donations are misread.</t>
        </is>
      </c>
      <c r="H253" t="inlineStr">
        <is>
          <t xml:space="preserve">The data does not say that.</t>
        </is>
      </c>
      <c r="I253" t="inlineStr">
        <is>
          <t xml:space="preserve">Read the full report on political donations.</t>
        </is>
      </c>
    </row>
    <row r="254">
      <c r="A254" t="inlineStr">
        <is>
          <t xml:space="preserve">PL253</t>
        </is>
      </c>
      <c r="B254" t="inlineStr">
        <is>
          <t xml:space="preserve">Divisive</t>
        </is>
      </c>
      <c r="C254" t="inlineStr">
        <is>
          <t xml:space="preserve">attack</t>
        </is>
      </c>
      <c r="D254" t="inlineStr">
        <is>
          <t xml:space="preserve">ST46; ST47; ST48; ST49</t>
        </is>
      </c>
      <c r="E254" t="inlineStr">
        <is>
          <t xml:space="preserve">Wrong side of political donations. Own it.</t>
        </is>
      </c>
      <c r="F254" t="inlineStr">
        <is>
          <t xml:space="preserve">Political donations serves insiders, not you.</t>
        </is>
      </c>
      <c r="G254" t="inlineStr">
        <is>
          <t xml:space="preserve">Whose side are you on over political donations?</t>
        </is>
      </c>
      <c r="H254" t="inlineStr">
        <is>
          <t xml:space="preserve">You work against the public on political donations.</t>
        </is>
      </c>
      <c r="I254" t="inlineStr">
        <is>
          <t xml:space="preserve">This is a fight over political donations.</t>
        </is>
      </c>
    </row>
    <row r="255">
      <c r="A255" t="inlineStr">
        <is>
          <t xml:space="preserve">PL254</t>
        </is>
      </c>
      <c r="B255" t="inlineStr">
        <is>
          <t xml:space="preserve">Divisive</t>
        </is>
      </c>
      <c r="C255" t="inlineStr">
        <is>
          <t xml:space="preserve">gain</t>
        </is>
      </c>
      <c r="D255" t="inlineStr">
        <is>
          <t xml:space="preserve">ST46; ST47; ST48; ST49</t>
        </is>
      </c>
      <c r="E255" t="inlineStr">
        <is>
          <t xml:space="preserve">I will not please everyone on political donations.</t>
        </is>
      </c>
      <c r="F255" t="inlineStr">
        <is>
          <t xml:space="preserve">We must choose a side on political donations.</t>
        </is>
      </c>
      <c r="G255" t="inlineStr">
        <is>
          <t xml:space="preserve">Some lose over political donations. So be it.</t>
        </is>
      </c>
      <c r="H255" t="inlineStr">
        <is>
          <t xml:space="preserve">Political donations needs hard choices.</t>
        </is>
      </c>
      <c r="I255" t="inlineStr">
        <is>
          <t xml:space="preserve">There is no middle ground on political donations.</t>
        </is>
      </c>
    </row>
    <row r="256">
      <c r="A256" t="inlineStr">
        <is>
          <t xml:space="preserve">PL255</t>
        </is>
      </c>
      <c r="B256" t="inlineStr">
        <is>
          <t xml:space="preserve">Divisive</t>
        </is>
      </c>
      <c r="C256" t="inlineStr">
        <is>
          <t xml:space="preserve">block</t>
        </is>
      </c>
      <c r="D256" t="inlineStr">
        <is>
          <t xml:space="preserve">ST46; ST47; ST48; ST49</t>
        </is>
      </c>
      <c r="E256" t="inlineStr">
        <is>
          <t xml:space="preserve">Pick a side on political donations yourself.</t>
        </is>
      </c>
      <c r="F256" t="inlineStr">
        <is>
          <t xml:space="preserve">Your side caused this over political donations.</t>
        </is>
      </c>
      <c r="G256" t="inlineStr">
        <is>
          <t xml:space="preserve">Spare me the sermon on political donations.</t>
        </is>
      </c>
      <c r="H256" t="inlineStr">
        <is>
          <t xml:space="preserve">Do not hide behind political donations.</t>
        </is>
      </c>
      <c r="I256" t="inlineStr">
        <is>
          <t xml:space="preserve">That jab on political donations fails.</t>
        </is>
      </c>
    </row>
    <row r="257">
      <c r="A257" t="inlineStr">
        <is>
          <t xml:space="preserve">PL256</t>
        </is>
      </c>
      <c r="B257" t="inlineStr">
        <is>
          <t xml:space="preserve">Duplicitous</t>
        </is>
      </c>
      <c r="C257" t="inlineStr">
        <is>
          <t xml:space="preserve">attack</t>
        </is>
      </c>
      <c r="D257" t="inlineStr">
        <is>
          <t xml:space="preserve">ST46; ST47; ST48; ST49</t>
        </is>
      </c>
      <c r="E257" t="inlineStr">
        <is>
          <t xml:space="preserve">What are you leaving out on political donations?</t>
        </is>
      </c>
      <c r="F257" t="inlineStr">
        <is>
          <t xml:space="preserve">Funny how political donations suits you so well.</t>
        </is>
      </c>
      <c r="G257" t="inlineStr">
        <is>
          <t xml:space="preserve">Who benefits from political donations, really?</t>
        </is>
      </c>
      <c r="H257" t="inlineStr">
        <is>
          <t xml:space="preserve">Your story on political donations has gaps.</t>
        </is>
      </c>
      <c r="I257" t="inlineStr">
        <is>
          <t xml:space="preserve">Convenient wording on political donations.</t>
        </is>
      </c>
    </row>
    <row r="258">
      <c r="A258" t="inlineStr">
        <is>
          <t xml:space="preserve">PL257</t>
        </is>
      </c>
      <c r="B258" t="inlineStr">
        <is>
          <t xml:space="preserve">Duplicitous</t>
        </is>
      </c>
      <c r="C258" t="inlineStr">
        <is>
          <t xml:space="preserve">gain</t>
        </is>
      </c>
      <c r="D258" t="inlineStr">
        <is>
          <t xml:space="preserve">ST46; ST47; ST48; ST49</t>
        </is>
      </c>
      <c r="E258" t="inlineStr">
        <is>
          <t xml:space="preserve">Trust me on political donations.</t>
        </is>
      </c>
      <c r="F258" t="inlineStr">
        <is>
          <t xml:space="preserve">Let me reframe political donations slightly.</t>
        </is>
      </c>
      <c r="G258" t="inlineStr">
        <is>
          <t xml:space="preserve">Everyone agrees on political donations, broadly.</t>
        </is>
      </c>
      <c r="H258" t="inlineStr">
        <is>
          <t xml:space="preserve">Political donations is simpler than you think.</t>
        </is>
      </c>
      <c r="I258" t="inlineStr">
        <is>
          <t xml:space="preserve">I said what I said on political donations.</t>
        </is>
      </c>
    </row>
    <row r="259">
      <c r="A259" t="inlineStr">
        <is>
          <t xml:space="preserve">PL258</t>
        </is>
      </c>
      <c r="B259" t="inlineStr">
        <is>
          <t xml:space="preserve">Duplicitous</t>
        </is>
      </c>
      <c r="C259" t="inlineStr">
        <is>
          <t xml:space="preserve">block</t>
        </is>
      </c>
      <c r="D259" t="inlineStr">
        <is>
          <t xml:space="preserve">ST46; ST47; ST48; ST49</t>
        </is>
      </c>
      <c r="E259" t="inlineStr">
        <is>
          <t xml:space="preserve">Let us move past political donations.</t>
        </is>
      </c>
      <c r="F259" t="inlineStr">
        <is>
          <t xml:space="preserve">That is not my line on political donations.</t>
        </is>
      </c>
      <c r="G259" t="inlineStr">
        <is>
          <t xml:space="preserve">You misheard me on political donations.</t>
        </is>
      </c>
      <c r="H259" t="inlineStr">
        <is>
          <t xml:space="preserve">I take that as praise on political donations.</t>
        </is>
      </c>
      <c r="I259" t="inlineStr">
        <is>
          <t xml:space="preserve">A fair question on political donations. Next.</t>
        </is>
      </c>
    </row>
    <row r="260">
      <c r="A260" t="inlineStr">
        <is>
          <t xml:space="preserve">PL259</t>
        </is>
      </c>
      <c r="B260" t="inlineStr">
        <is>
          <t xml:space="preserve">Earnest</t>
        </is>
      </c>
      <c r="C260" t="inlineStr">
        <is>
          <t xml:space="preserve">attack</t>
        </is>
      </c>
      <c r="D260" t="inlineStr">
        <is>
          <t xml:space="preserve">ST50; ST51; ST52</t>
        </is>
      </c>
      <c r="E260" t="inlineStr">
        <is>
          <t xml:space="preserve">The tax cut deserves honesty, not slogans.</t>
        </is>
      </c>
      <c r="F260" t="inlineStr">
        <is>
          <t xml:space="preserve">Say plainly what you mean about the tax cut.</t>
        </is>
      </c>
      <c r="G260" t="inlineStr">
        <is>
          <t xml:space="preserve">Be sincere with people about the tax cut.</t>
        </is>
      </c>
      <c r="H260" t="inlineStr">
        <is>
          <t xml:space="preserve">The tax cut is no place for games.</t>
        </is>
      </c>
      <c r="I260" t="inlineStr">
        <is>
          <t xml:space="preserve">People deserve a straight answer on the tax cut.</t>
        </is>
      </c>
    </row>
    <row r="261">
      <c r="A261" t="inlineStr">
        <is>
          <t xml:space="preserve">PL260</t>
        </is>
      </c>
      <c r="B261" t="inlineStr">
        <is>
          <t xml:space="preserve">Earnest</t>
        </is>
      </c>
      <c r="C261" t="inlineStr">
        <is>
          <t xml:space="preserve">gain</t>
        </is>
      </c>
      <c r="D261" t="inlineStr">
        <is>
          <t xml:space="preserve">ST50; ST51; ST52</t>
        </is>
      </c>
      <c r="E261" t="inlineStr">
        <is>
          <t xml:space="preserve">I mean every word about the tax cut.</t>
        </is>
      </c>
      <c r="F261" t="inlineStr">
        <is>
          <t xml:space="preserve">People can trust me on the tax cut.</t>
        </is>
      </c>
      <c r="G261" t="inlineStr">
        <is>
          <t xml:space="preserve">The tax cut matters to me personally.</t>
        </is>
      </c>
      <c r="H261" t="inlineStr">
        <is>
          <t xml:space="preserve">I will be honest about the tax cut.</t>
        </is>
      </c>
      <c r="I261" t="inlineStr">
        <is>
          <t xml:space="preserve">Here is my honest view on the tax cut.</t>
        </is>
      </c>
    </row>
    <row r="262">
      <c r="A262" t="inlineStr">
        <is>
          <t xml:space="preserve">PL261</t>
        </is>
      </c>
      <c r="B262" t="inlineStr">
        <is>
          <t xml:space="preserve">Earnest</t>
        </is>
      </c>
      <c r="C262" t="inlineStr">
        <is>
          <t xml:space="preserve">block</t>
        </is>
      </c>
      <c r="D262" t="inlineStr">
        <is>
          <t xml:space="preserve">ST50; ST51; ST52</t>
        </is>
      </c>
      <c r="E262" t="inlineStr">
        <is>
          <t xml:space="preserve">I will not dodge the tax cut.</t>
        </is>
      </c>
      <c r="F262" t="inlineStr">
        <is>
          <t xml:space="preserve">You can ask me about the tax cut.</t>
        </is>
      </c>
      <c r="G262" t="inlineStr">
        <is>
          <t xml:space="preserve">I stand by what I said.</t>
        </is>
      </c>
      <c r="H262" t="inlineStr">
        <is>
          <t xml:space="preserve">Ask plainly. I will answer plainly.</t>
        </is>
      </c>
      <c r="I262" t="inlineStr">
        <is>
          <t xml:space="preserve">My view on the tax cut is sincere.</t>
        </is>
      </c>
    </row>
    <row r="263">
      <c r="A263" t="inlineStr">
        <is>
          <t xml:space="preserve">PL262</t>
        </is>
      </c>
      <c r="B263" t="inlineStr">
        <is>
          <t xml:space="preserve">Emotional</t>
        </is>
      </c>
      <c r="C263" t="inlineStr">
        <is>
          <t xml:space="preserve">attack</t>
        </is>
      </c>
      <c r="D263" t="inlineStr">
        <is>
          <t xml:space="preserve">ST50; ST51; ST52</t>
        </is>
      </c>
      <c r="E263" t="inlineStr">
        <is>
          <t xml:space="preserve">Think of the families behind the tax cut.</t>
        </is>
      </c>
      <c r="F263" t="inlineStr">
        <is>
          <t xml:space="preserve">Look at the faces affected by the tax cut.</t>
        </is>
      </c>
      <c r="G263" t="inlineStr">
        <is>
          <t xml:space="preserve">The tax cut is about real people.</t>
        </is>
      </c>
      <c r="H263" t="inlineStr">
        <is>
          <t xml:space="preserve">Do you feel nothing about the tax cut?</t>
        </is>
      </c>
      <c r="I263" t="inlineStr">
        <is>
          <t xml:space="preserve">Tell that to those hurt by the tax cut.</t>
        </is>
      </c>
    </row>
    <row r="264">
      <c r="A264" t="inlineStr">
        <is>
          <t xml:space="preserve">PL263</t>
        </is>
      </c>
      <c r="B264" t="inlineStr">
        <is>
          <t xml:space="preserve">Emotional</t>
        </is>
      </c>
      <c r="C264" t="inlineStr">
        <is>
          <t xml:space="preserve">gain</t>
        </is>
      </c>
      <c r="D264" t="inlineStr">
        <is>
          <t xml:space="preserve">ST50; ST51; ST52</t>
        </is>
      </c>
      <c r="E264" t="inlineStr">
        <is>
          <t xml:space="preserve">I have met people touched by the tax cut.</t>
        </is>
      </c>
      <c r="F264" t="inlineStr">
        <is>
          <t xml:space="preserve">The tax cut weighs on me.</t>
        </is>
      </c>
      <c r="G264" t="inlineStr">
        <is>
          <t xml:space="preserve">Their stories made me care about the tax cut.</t>
        </is>
      </c>
      <c r="H264" t="inlineStr">
        <is>
          <t xml:space="preserve">I carry those families with me.</t>
        </is>
      </c>
      <c r="I264" t="inlineStr">
        <is>
          <t xml:space="preserve">Every family I met raised the tax cut.</t>
        </is>
      </c>
    </row>
    <row r="265">
      <c r="A265" t="inlineStr">
        <is>
          <t xml:space="preserve">PL264</t>
        </is>
      </c>
      <c r="B265" t="inlineStr">
        <is>
          <t xml:space="preserve">Emotional</t>
        </is>
      </c>
      <c r="C265" t="inlineStr">
        <is>
          <t xml:space="preserve">block</t>
        </is>
      </c>
      <c r="D265" t="inlineStr">
        <is>
          <t xml:space="preserve">ST50; ST51; ST52</t>
        </is>
      </c>
      <c r="E265" t="inlineStr">
        <is>
          <t xml:space="preserve">You cannot dismiss people over the tax cut.</t>
        </is>
      </c>
      <c r="F265" t="inlineStr">
        <is>
          <t xml:space="preserve">Do not turn the tax cut into a game.</t>
        </is>
      </c>
      <c r="G265" t="inlineStr">
        <is>
          <t xml:space="preserve">I will not shrink their stories.</t>
        </is>
      </c>
      <c r="H265" t="inlineStr">
        <is>
          <t xml:space="preserve">These are people, not statistics.</t>
        </is>
      </c>
      <c r="I265" t="inlineStr">
        <is>
          <t xml:space="preserve">Speak gently about the tax cut.</t>
        </is>
      </c>
    </row>
    <row r="266">
      <c r="A266" t="inlineStr">
        <is>
          <t xml:space="preserve">PL265</t>
        </is>
      </c>
      <c r="B266" t="inlineStr">
        <is>
          <t xml:space="preserve">Appeal</t>
        </is>
      </c>
      <c r="C266" t="inlineStr">
        <is>
          <t xml:space="preserve">attack</t>
        </is>
      </c>
      <c r="D266" t="inlineStr">
        <is>
          <t xml:space="preserve">ST50; ST51; ST52</t>
        </is>
      </c>
      <c r="E266" t="inlineStr">
        <is>
          <t xml:space="preserve">People want answers on the tax cut.</t>
        </is>
      </c>
      <c r="F266" t="inlineStr">
        <is>
          <t xml:space="preserve">Ask anyone in the street about the tax cut.</t>
        </is>
      </c>
      <c r="G266" t="inlineStr">
        <is>
          <t xml:space="preserve">The public wants less spin on the tax cut.</t>
        </is>
      </c>
      <c r="H266" t="inlineStr">
        <is>
          <t xml:space="preserve">Most people disagree with you on the tax cut.</t>
        </is>
      </c>
      <c r="I266" t="inlineStr">
        <is>
          <t xml:space="preserve">Voters have spoken on the tax cut.</t>
        </is>
      </c>
    </row>
    <row r="267">
      <c r="A267" t="inlineStr">
        <is>
          <t xml:space="preserve">PL266</t>
        </is>
      </c>
      <c r="B267" t="inlineStr">
        <is>
          <t xml:space="preserve">Appeal</t>
        </is>
      </c>
      <c r="C267" t="inlineStr">
        <is>
          <t xml:space="preserve">gain</t>
        </is>
      </c>
      <c r="D267" t="inlineStr">
        <is>
          <t xml:space="preserve">ST50; ST51; ST52</t>
        </is>
      </c>
      <c r="E267" t="inlineStr">
        <is>
          <t xml:space="preserve">Most people I meet back the tax cut.</t>
        </is>
      </c>
      <c r="F267" t="inlineStr">
        <is>
          <t xml:space="preserve">Ordinary people want action on the tax cut.</t>
        </is>
      </c>
      <c r="G267" t="inlineStr">
        <is>
          <t xml:space="preserve">Voters keep raising the tax cut.</t>
        </is>
      </c>
      <c r="H267" t="inlineStr">
        <is>
          <t xml:space="preserve">Ask around. People care about the tax cut.</t>
        </is>
      </c>
      <c r="I267" t="inlineStr">
        <is>
          <t xml:space="preserve">The public mood favours the tax cut.</t>
        </is>
      </c>
    </row>
    <row r="268">
      <c r="A268" t="inlineStr">
        <is>
          <t xml:space="preserve">PL267</t>
        </is>
      </c>
      <c r="B268" t="inlineStr">
        <is>
          <t xml:space="preserve">Appeal</t>
        </is>
      </c>
      <c r="C268" t="inlineStr">
        <is>
          <t xml:space="preserve">block</t>
        </is>
      </c>
      <c r="D268" t="inlineStr">
        <is>
          <t xml:space="preserve">ST50; ST51; ST52</t>
        </is>
      </c>
      <c r="E268" t="inlineStr">
        <is>
          <t xml:space="preserve">Do not speak for everyone on the tax cut.</t>
        </is>
      </c>
      <c r="F268" t="inlineStr">
        <is>
          <t xml:space="preserve">People are divided on the tax cut.</t>
        </is>
      </c>
      <c r="G268" t="inlineStr">
        <is>
          <t xml:space="preserve">Do not claim the crowd on the tax cut.</t>
        </is>
      </c>
      <c r="H268" t="inlineStr">
        <is>
          <t xml:space="preserve">Let the public decide the tax cut.</t>
        </is>
      </c>
      <c r="I268" t="inlineStr">
        <is>
          <t xml:space="preserve">I hear all sides on the tax cut.</t>
        </is>
      </c>
    </row>
    <row r="269">
      <c r="A269" t="inlineStr">
        <is>
          <t xml:space="preserve">PL268</t>
        </is>
      </c>
      <c r="B269" t="inlineStr">
        <is>
          <t xml:space="preserve">Data Driven</t>
        </is>
      </c>
      <c r="C269" t="inlineStr">
        <is>
          <t xml:space="preserve">attack</t>
        </is>
      </c>
      <c r="D269" t="inlineStr">
        <is>
          <t xml:space="preserve">ST50; ST51; ST52</t>
        </is>
      </c>
      <c r="E269" t="inlineStr">
        <is>
          <t xml:space="preserve">Where are the figures on the tax cut?</t>
        </is>
      </c>
      <c r="F269" t="inlineStr">
        <is>
          <t xml:space="preserve">Your numbers on the tax cut do not hold.</t>
        </is>
      </c>
      <c r="G269" t="inlineStr">
        <is>
          <t xml:space="preserve">Show the evidence for the tax cut.</t>
        </is>
      </c>
      <c r="H269" t="inlineStr">
        <is>
          <t xml:space="preserve">What is the real cost of the tax cut?</t>
        </is>
      </c>
      <c r="I269" t="inlineStr">
        <is>
          <t xml:space="preserve">Those the tax cut statistics are selective.</t>
        </is>
      </c>
    </row>
    <row r="270">
      <c r="A270" t="inlineStr">
        <is>
          <t xml:space="preserve">PL269</t>
        </is>
      </c>
      <c r="B270" t="inlineStr">
        <is>
          <t xml:space="preserve">Data Driven</t>
        </is>
      </c>
      <c r="C270" t="inlineStr">
        <is>
          <t xml:space="preserve">gain</t>
        </is>
      </c>
      <c r="D270" t="inlineStr">
        <is>
          <t xml:space="preserve">ST50; ST51; ST52</t>
        </is>
      </c>
      <c r="E270" t="inlineStr">
        <is>
          <t xml:space="preserve">The evidence on the tax cut is clear.</t>
        </is>
      </c>
      <c r="F270" t="inlineStr">
        <is>
          <t xml:space="preserve">Here are the figures on the tax cut.</t>
        </is>
      </c>
      <c r="G270" t="inlineStr">
        <is>
          <t xml:space="preserve">Studies on the tax cut support this.</t>
        </is>
      </c>
      <c r="H270" t="inlineStr">
        <is>
          <t xml:space="preserve">The cost of the tax cut adds up.</t>
        </is>
      </c>
      <c r="I270" t="inlineStr">
        <is>
          <t xml:space="preserve">The numbers on the tax cut hold.</t>
        </is>
      </c>
    </row>
    <row r="271">
      <c r="A271" t="inlineStr">
        <is>
          <t xml:space="preserve">PL270</t>
        </is>
      </c>
      <c r="B271" t="inlineStr">
        <is>
          <t xml:space="preserve">Data Driven</t>
        </is>
      </c>
      <c r="C271" t="inlineStr">
        <is>
          <t xml:space="preserve">block</t>
        </is>
      </c>
      <c r="D271" t="inlineStr">
        <is>
          <t xml:space="preserve">ST50; ST51; ST52</t>
        </is>
      </c>
      <c r="E271" t="inlineStr">
        <is>
          <t xml:space="preserve">Check the source on the tax cut.</t>
        </is>
      </c>
      <c r="F271" t="inlineStr">
        <is>
          <t xml:space="preserve">Those figures on the tax cut are misread.</t>
        </is>
      </c>
      <c r="G271" t="inlineStr">
        <is>
          <t xml:space="preserve">The data does not say that.</t>
        </is>
      </c>
      <c r="H271" t="inlineStr">
        <is>
          <t xml:space="preserve">Read the full report on the tax cut.</t>
        </is>
      </c>
      <c r="I271" t="inlineStr">
        <is>
          <t xml:space="preserve">That is not what the data shows.</t>
        </is>
      </c>
    </row>
    <row r="272">
      <c r="A272" t="inlineStr">
        <is>
          <t xml:space="preserve">PL271</t>
        </is>
      </c>
      <c r="B272" t="inlineStr">
        <is>
          <t xml:space="preserve">Divisive</t>
        </is>
      </c>
      <c r="C272" t="inlineStr">
        <is>
          <t xml:space="preserve">attack</t>
        </is>
      </c>
      <c r="D272" t="inlineStr">
        <is>
          <t xml:space="preserve">ST50; ST51; ST52</t>
        </is>
      </c>
      <c r="E272" t="inlineStr">
        <is>
          <t xml:space="preserve">The tax cut serves insiders, not you.</t>
        </is>
      </c>
      <c r="F272" t="inlineStr">
        <is>
          <t xml:space="preserve">Whose side are you on over the tax cut?</t>
        </is>
      </c>
      <c r="G272" t="inlineStr">
        <is>
          <t xml:space="preserve">You work against the public on the tax cut.</t>
        </is>
      </c>
      <c r="H272" t="inlineStr">
        <is>
          <t xml:space="preserve">This is a fight over the tax cut.</t>
        </is>
      </c>
      <c r="I272" t="inlineStr">
        <is>
          <t xml:space="preserve">Wrong side of the tax cut. Own it.</t>
        </is>
      </c>
    </row>
    <row r="273">
      <c r="A273" t="inlineStr">
        <is>
          <t xml:space="preserve">PL272</t>
        </is>
      </c>
      <c r="B273" t="inlineStr">
        <is>
          <t xml:space="preserve">Divisive</t>
        </is>
      </c>
      <c r="C273" t="inlineStr">
        <is>
          <t xml:space="preserve">gain</t>
        </is>
      </c>
      <c r="D273" t="inlineStr">
        <is>
          <t xml:space="preserve">ST50; ST51; ST52</t>
        </is>
      </c>
      <c r="E273" t="inlineStr">
        <is>
          <t xml:space="preserve">We must choose a side on the tax cut.</t>
        </is>
      </c>
      <c r="F273" t="inlineStr">
        <is>
          <t xml:space="preserve">Some lose over the tax cut. So be it.</t>
        </is>
      </c>
      <c r="G273" t="inlineStr">
        <is>
          <t xml:space="preserve">The tax cut needs hard choices.</t>
        </is>
      </c>
      <c r="H273" t="inlineStr">
        <is>
          <t xml:space="preserve">There is no middle ground on the tax cut.</t>
        </is>
      </c>
      <c r="I273" t="inlineStr">
        <is>
          <t xml:space="preserve">I will not please everyone on the tax cut.</t>
        </is>
      </c>
    </row>
    <row r="274">
      <c r="A274" t="inlineStr">
        <is>
          <t xml:space="preserve">PL273</t>
        </is>
      </c>
      <c r="B274" t="inlineStr">
        <is>
          <t xml:space="preserve">Divisive</t>
        </is>
      </c>
      <c r="C274" t="inlineStr">
        <is>
          <t xml:space="preserve">block</t>
        </is>
      </c>
      <c r="D274" t="inlineStr">
        <is>
          <t xml:space="preserve">ST50; ST51; ST52</t>
        </is>
      </c>
      <c r="E274" t="inlineStr">
        <is>
          <t xml:space="preserve">Your side caused this over the tax cut.</t>
        </is>
      </c>
      <c r="F274" t="inlineStr">
        <is>
          <t xml:space="preserve">Spare me the sermon on the tax cut.</t>
        </is>
      </c>
      <c r="G274" t="inlineStr">
        <is>
          <t xml:space="preserve">Do not hide behind the tax cut.</t>
        </is>
      </c>
      <c r="H274" t="inlineStr">
        <is>
          <t xml:space="preserve">That jab on the tax cut fails.</t>
        </is>
      </c>
      <c r="I274" t="inlineStr">
        <is>
          <t xml:space="preserve">Pick a side on the tax cut yourself.</t>
        </is>
      </c>
    </row>
    <row r="275">
      <c r="A275" t="inlineStr">
        <is>
          <t xml:space="preserve">PL274</t>
        </is>
      </c>
      <c r="B275" t="inlineStr">
        <is>
          <t xml:space="preserve">Duplicitous</t>
        </is>
      </c>
      <c r="C275" t="inlineStr">
        <is>
          <t xml:space="preserve">attack</t>
        </is>
      </c>
      <c r="D275" t="inlineStr">
        <is>
          <t xml:space="preserve">ST50; ST51; ST52</t>
        </is>
      </c>
      <c r="E275" t="inlineStr">
        <is>
          <t xml:space="preserve">Funny how the tax cut suits you so well.</t>
        </is>
      </c>
      <c r="F275" t="inlineStr">
        <is>
          <t xml:space="preserve">Who benefits from the tax cut, really?</t>
        </is>
      </c>
      <c r="G275" t="inlineStr">
        <is>
          <t xml:space="preserve">Your story on the tax cut has gaps.</t>
        </is>
      </c>
      <c r="H275" t="inlineStr">
        <is>
          <t xml:space="preserve">Convenient wording on the tax cut.</t>
        </is>
      </c>
      <c r="I275" t="inlineStr">
        <is>
          <t xml:space="preserve">What are you leaving out on the tax cut?</t>
        </is>
      </c>
    </row>
    <row r="276">
      <c r="A276" t="inlineStr">
        <is>
          <t xml:space="preserve">PL275</t>
        </is>
      </c>
      <c r="B276" t="inlineStr">
        <is>
          <t xml:space="preserve">Duplicitous</t>
        </is>
      </c>
      <c r="C276" t="inlineStr">
        <is>
          <t xml:space="preserve">gain</t>
        </is>
      </c>
      <c r="D276" t="inlineStr">
        <is>
          <t xml:space="preserve">ST50; ST51; ST52</t>
        </is>
      </c>
      <c r="E276" t="inlineStr">
        <is>
          <t xml:space="preserve">Let me reframe the tax cut slightly.</t>
        </is>
      </c>
      <c r="F276" t="inlineStr">
        <is>
          <t xml:space="preserve">Everyone agrees on the tax cut, broadly.</t>
        </is>
      </c>
      <c r="G276" t="inlineStr">
        <is>
          <t xml:space="preserve">The tax cut is simpler than you think.</t>
        </is>
      </c>
      <c r="H276" t="inlineStr">
        <is>
          <t xml:space="preserve">I said what I said on the tax cut.</t>
        </is>
      </c>
      <c r="I276" t="inlineStr">
        <is>
          <t xml:space="preserve">Trust me on the tax cut.</t>
        </is>
      </c>
    </row>
    <row r="277">
      <c r="A277" t="inlineStr">
        <is>
          <t xml:space="preserve">PL276</t>
        </is>
      </c>
      <c r="B277" t="inlineStr">
        <is>
          <t xml:space="preserve">Duplicitous</t>
        </is>
      </c>
      <c r="C277" t="inlineStr">
        <is>
          <t xml:space="preserve">block</t>
        </is>
      </c>
      <c r="D277" t="inlineStr">
        <is>
          <t xml:space="preserve">ST50; ST51; ST52</t>
        </is>
      </c>
      <c r="E277" t="inlineStr">
        <is>
          <t xml:space="preserve">That is not my line on the tax cut.</t>
        </is>
      </c>
      <c r="F277" t="inlineStr">
        <is>
          <t xml:space="preserve">You misheard me on the tax cut.</t>
        </is>
      </c>
      <c r="G277" t="inlineStr">
        <is>
          <t xml:space="preserve">I take that as praise on the tax cut.</t>
        </is>
      </c>
      <c r="H277" t="inlineStr">
        <is>
          <t xml:space="preserve">A fair question on the tax cut. Next.</t>
        </is>
      </c>
      <c r="I277" t="inlineStr">
        <is>
          <t xml:space="preserve">Let us move past the tax cut.</t>
        </is>
      </c>
    </row>
    <row r="278">
      <c r="A278" t="inlineStr">
        <is>
          <t xml:space="preserve">PL277</t>
        </is>
      </c>
      <c r="B278" t="inlineStr">
        <is>
          <t xml:space="preserve">Earnest</t>
        </is>
      </c>
      <c r="C278" t="inlineStr">
        <is>
          <t xml:space="preserve">attack</t>
        </is>
      </c>
      <c r="D278" t="inlineStr">
        <is>
          <t xml:space="preserve">ST53; ST54; ST55; ST56</t>
        </is>
      </c>
      <c r="E278" t="inlineStr">
        <is>
          <t xml:space="preserve">Say plainly what you mean about the carbon levy.</t>
        </is>
      </c>
      <c r="F278" t="inlineStr">
        <is>
          <t xml:space="preserve">Be sincere with people about the carbon levy.</t>
        </is>
      </c>
      <c r="G278" t="inlineStr">
        <is>
          <t xml:space="preserve">The carbon levy is no place for games.</t>
        </is>
      </c>
      <c r="H278" t="inlineStr">
        <is>
          <t xml:space="preserve">People deserve a straight answer on the carbon levy.</t>
        </is>
      </c>
      <c r="I278" t="inlineStr">
        <is>
          <t xml:space="preserve">The carbon levy deserves honesty, not slogans.</t>
        </is>
      </c>
    </row>
    <row r="279">
      <c r="A279" t="inlineStr">
        <is>
          <t xml:space="preserve">PL278</t>
        </is>
      </c>
      <c r="B279" t="inlineStr">
        <is>
          <t xml:space="preserve">Earnest</t>
        </is>
      </c>
      <c r="C279" t="inlineStr">
        <is>
          <t xml:space="preserve">gain</t>
        </is>
      </c>
      <c r="D279" t="inlineStr">
        <is>
          <t xml:space="preserve">ST53; ST54; ST55; ST56</t>
        </is>
      </c>
      <c r="E279" t="inlineStr">
        <is>
          <t xml:space="preserve">People can trust me on the carbon levy.</t>
        </is>
      </c>
      <c r="F279" t="inlineStr">
        <is>
          <t xml:space="preserve">The carbon levy matters to me personally.</t>
        </is>
      </c>
      <c r="G279" t="inlineStr">
        <is>
          <t xml:space="preserve">I will be honest about the carbon levy.</t>
        </is>
      </c>
      <c r="H279" t="inlineStr">
        <is>
          <t xml:space="preserve">Here is my honest view on the carbon levy.</t>
        </is>
      </c>
      <c r="I279" t="inlineStr">
        <is>
          <t xml:space="preserve">I mean every word about the carbon levy.</t>
        </is>
      </c>
    </row>
    <row r="280">
      <c r="A280" t="inlineStr">
        <is>
          <t xml:space="preserve">PL279</t>
        </is>
      </c>
      <c r="B280" t="inlineStr">
        <is>
          <t xml:space="preserve">Earnest</t>
        </is>
      </c>
      <c r="C280" t="inlineStr">
        <is>
          <t xml:space="preserve">block</t>
        </is>
      </c>
      <c r="D280" t="inlineStr">
        <is>
          <t xml:space="preserve">ST53; ST54; ST55; ST56</t>
        </is>
      </c>
      <c r="E280" t="inlineStr">
        <is>
          <t xml:space="preserve">You can ask me about the carbon levy.</t>
        </is>
      </c>
      <c r="F280" t="inlineStr">
        <is>
          <t xml:space="preserve">I stand by what I said.</t>
        </is>
      </c>
      <c r="G280" t="inlineStr">
        <is>
          <t xml:space="preserve">Ask plainly. I will answer plainly.</t>
        </is>
      </c>
      <c r="H280" t="inlineStr">
        <is>
          <t xml:space="preserve">My view on the carbon levy is sincere.</t>
        </is>
      </c>
      <c r="I280" t="inlineStr">
        <is>
          <t xml:space="preserve">I will not dodge the carbon levy.</t>
        </is>
      </c>
    </row>
    <row r="281">
      <c r="A281" t="inlineStr">
        <is>
          <t xml:space="preserve">PL280</t>
        </is>
      </c>
      <c r="B281" t="inlineStr">
        <is>
          <t xml:space="preserve">Emotional</t>
        </is>
      </c>
      <c r="C281" t="inlineStr">
        <is>
          <t xml:space="preserve">attack</t>
        </is>
      </c>
      <c r="D281" t="inlineStr">
        <is>
          <t xml:space="preserve">ST53; ST54; ST55; ST56</t>
        </is>
      </c>
      <c r="E281" t="inlineStr">
        <is>
          <t xml:space="preserve">Look at the faces affected by the carbon levy.</t>
        </is>
      </c>
      <c r="F281" t="inlineStr">
        <is>
          <t xml:space="preserve">The carbon levy is about real people.</t>
        </is>
      </c>
      <c r="G281" t="inlineStr">
        <is>
          <t xml:space="preserve">Do you feel nothing about the carbon levy?</t>
        </is>
      </c>
      <c r="H281" t="inlineStr">
        <is>
          <t xml:space="preserve">Tell that to those hurt by the carbon levy.</t>
        </is>
      </c>
      <c r="I281" t="inlineStr">
        <is>
          <t xml:space="preserve">Think of the families behind the carbon levy.</t>
        </is>
      </c>
    </row>
    <row r="282">
      <c r="A282" t="inlineStr">
        <is>
          <t xml:space="preserve">PL281</t>
        </is>
      </c>
      <c r="B282" t="inlineStr">
        <is>
          <t xml:space="preserve">Emotional</t>
        </is>
      </c>
      <c r="C282" t="inlineStr">
        <is>
          <t xml:space="preserve">gain</t>
        </is>
      </c>
      <c r="D282" t="inlineStr">
        <is>
          <t xml:space="preserve">ST53; ST54; ST55; ST56</t>
        </is>
      </c>
      <c r="E282" t="inlineStr">
        <is>
          <t xml:space="preserve">The carbon levy weighs on me.</t>
        </is>
      </c>
      <c r="F282" t="inlineStr">
        <is>
          <t xml:space="preserve">Their stories made me care about the carbon levy.</t>
        </is>
      </c>
      <c r="G282" t="inlineStr">
        <is>
          <t xml:space="preserve">I carry those families with me.</t>
        </is>
      </c>
      <c r="H282" t="inlineStr">
        <is>
          <t xml:space="preserve">Every family I met raised the carbon levy.</t>
        </is>
      </c>
      <c r="I282" t="inlineStr">
        <is>
          <t xml:space="preserve">I have met people touched by the carbon levy.</t>
        </is>
      </c>
    </row>
    <row r="283">
      <c r="A283" t="inlineStr">
        <is>
          <t xml:space="preserve">PL282</t>
        </is>
      </c>
      <c r="B283" t="inlineStr">
        <is>
          <t xml:space="preserve">Emotional</t>
        </is>
      </c>
      <c r="C283" t="inlineStr">
        <is>
          <t xml:space="preserve">block</t>
        </is>
      </c>
      <c r="D283" t="inlineStr">
        <is>
          <t xml:space="preserve">ST53; ST54; ST55; ST56</t>
        </is>
      </c>
      <c r="E283" t="inlineStr">
        <is>
          <t xml:space="preserve">Do not turn the carbon levy into a game.</t>
        </is>
      </c>
      <c r="F283" t="inlineStr">
        <is>
          <t xml:space="preserve">I will not shrink their stories.</t>
        </is>
      </c>
      <c r="G283" t="inlineStr">
        <is>
          <t xml:space="preserve">These are people, not statistics.</t>
        </is>
      </c>
      <c r="H283" t="inlineStr">
        <is>
          <t xml:space="preserve">Speak gently about the carbon levy.</t>
        </is>
      </c>
      <c r="I283" t="inlineStr">
        <is>
          <t xml:space="preserve">You cannot dismiss people over the carbon levy.</t>
        </is>
      </c>
    </row>
    <row r="284">
      <c r="A284" t="inlineStr">
        <is>
          <t xml:space="preserve">PL283</t>
        </is>
      </c>
      <c r="B284" t="inlineStr">
        <is>
          <t xml:space="preserve">Appeal</t>
        </is>
      </c>
      <c r="C284" t="inlineStr">
        <is>
          <t xml:space="preserve">attack</t>
        </is>
      </c>
      <c r="D284" t="inlineStr">
        <is>
          <t xml:space="preserve">ST53; ST54; ST55; ST56</t>
        </is>
      </c>
      <c r="E284" t="inlineStr">
        <is>
          <t xml:space="preserve">Ask anyone in the street about the carbon levy.</t>
        </is>
      </c>
      <c r="F284" t="inlineStr">
        <is>
          <t xml:space="preserve">The public wants less spin on the carbon levy.</t>
        </is>
      </c>
      <c r="G284" t="inlineStr">
        <is>
          <t xml:space="preserve">Most people disagree with you on the carbon levy.</t>
        </is>
      </c>
      <c r="H284" t="inlineStr">
        <is>
          <t xml:space="preserve">Voters have spoken on the carbon levy.</t>
        </is>
      </c>
      <c r="I284" t="inlineStr">
        <is>
          <t xml:space="preserve">People want answers on the carbon levy.</t>
        </is>
      </c>
    </row>
    <row r="285">
      <c r="A285" t="inlineStr">
        <is>
          <t xml:space="preserve">PL284</t>
        </is>
      </c>
      <c r="B285" t="inlineStr">
        <is>
          <t xml:space="preserve">Appeal</t>
        </is>
      </c>
      <c r="C285" t="inlineStr">
        <is>
          <t xml:space="preserve">gain</t>
        </is>
      </c>
      <c r="D285" t="inlineStr">
        <is>
          <t xml:space="preserve">ST53; ST54; ST55; ST56</t>
        </is>
      </c>
      <c r="E285" t="inlineStr">
        <is>
          <t xml:space="preserve">Ordinary people want action on the carbon levy.</t>
        </is>
      </c>
      <c r="F285" t="inlineStr">
        <is>
          <t xml:space="preserve">Voters keep raising the carbon levy.</t>
        </is>
      </c>
      <c r="G285" t="inlineStr">
        <is>
          <t xml:space="preserve">Ask around. People care about the carbon levy.</t>
        </is>
      </c>
      <c r="H285" t="inlineStr">
        <is>
          <t xml:space="preserve">The public mood favours the carbon levy.</t>
        </is>
      </c>
      <c r="I285" t="inlineStr">
        <is>
          <t xml:space="preserve">Most people I meet back the carbon levy.</t>
        </is>
      </c>
    </row>
    <row r="286">
      <c r="A286" t="inlineStr">
        <is>
          <t xml:space="preserve">PL285</t>
        </is>
      </c>
      <c r="B286" t="inlineStr">
        <is>
          <t xml:space="preserve">Appeal</t>
        </is>
      </c>
      <c r="C286" t="inlineStr">
        <is>
          <t xml:space="preserve">block</t>
        </is>
      </c>
      <c r="D286" t="inlineStr">
        <is>
          <t xml:space="preserve">ST53; ST54; ST55; ST56</t>
        </is>
      </c>
      <c r="E286" t="inlineStr">
        <is>
          <t xml:space="preserve">People are divided on the carbon levy.</t>
        </is>
      </c>
      <c r="F286" t="inlineStr">
        <is>
          <t xml:space="preserve">Do not claim the crowd on the carbon levy.</t>
        </is>
      </c>
      <c r="G286" t="inlineStr">
        <is>
          <t xml:space="preserve">Let the public decide the carbon levy.</t>
        </is>
      </c>
      <c r="H286" t="inlineStr">
        <is>
          <t xml:space="preserve">I hear all sides on the carbon levy.</t>
        </is>
      </c>
      <c r="I286" t="inlineStr">
        <is>
          <t xml:space="preserve">Do not speak for everyone on the carbon levy.</t>
        </is>
      </c>
    </row>
    <row r="287">
      <c r="A287" t="inlineStr">
        <is>
          <t xml:space="preserve">PL286</t>
        </is>
      </c>
      <c r="B287" t="inlineStr">
        <is>
          <t xml:space="preserve">Data Driven</t>
        </is>
      </c>
      <c r="C287" t="inlineStr">
        <is>
          <t xml:space="preserve">attack</t>
        </is>
      </c>
      <c r="D287" t="inlineStr">
        <is>
          <t xml:space="preserve">ST53; ST54; ST55; ST56</t>
        </is>
      </c>
      <c r="E287" t="inlineStr">
        <is>
          <t xml:space="preserve">Your numbers on the carbon levy do not hold.</t>
        </is>
      </c>
      <c r="F287" t="inlineStr">
        <is>
          <t xml:space="preserve">Show the evidence for the carbon levy.</t>
        </is>
      </c>
      <c r="G287" t="inlineStr">
        <is>
          <t xml:space="preserve">What is the real cost of the carbon levy?</t>
        </is>
      </c>
      <c r="H287" t="inlineStr">
        <is>
          <t xml:space="preserve">Those the carbon levy statistics are selective.</t>
        </is>
      </c>
      <c r="I287" t="inlineStr">
        <is>
          <t xml:space="preserve">Where are the figures on the carbon levy?</t>
        </is>
      </c>
    </row>
    <row r="288">
      <c r="A288" t="inlineStr">
        <is>
          <t xml:space="preserve">PL287</t>
        </is>
      </c>
      <c r="B288" t="inlineStr">
        <is>
          <t xml:space="preserve">Data Driven</t>
        </is>
      </c>
      <c r="C288" t="inlineStr">
        <is>
          <t xml:space="preserve">gain</t>
        </is>
      </c>
      <c r="D288" t="inlineStr">
        <is>
          <t xml:space="preserve">ST53; ST54; ST55; ST56</t>
        </is>
      </c>
      <c r="E288" t="inlineStr">
        <is>
          <t xml:space="preserve">Here are the figures on the carbon levy.</t>
        </is>
      </c>
      <c r="F288" t="inlineStr">
        <is>
          <t xml:space="preserve">Studies on the carbon levy support this.</t>
        </is>
      </c>
      <c r="G288" t="inlineStr">
        <is>
          <t xml:space="preserve">The cost of the carbon levy adds up.</t>
        </is>
      </c>
      <c r="H288" t="inlineStr">
        <is>
          <t xml:space="preserve">The numbers on the carbon levy hold.</t>
        </is>
      </c>
      <c r="I288" t="inlineStr">
        <is>
          <t xml:space="preserve">The evidence on the carbon levy is clear.</t>
        </is>
      </c>
    </row>
    <row r="289">
      <c r="A289" t="inlineStr">
        <is>
          <t xml:space="preserve">PL288</t>
        </is>
      </c>
      <c r="B289" t="inlineStr">
        <is>
          <t xml:space="preserve">Data Driven</t>
        </is>
      </c>
      <c r="C289" t="inlineStr">
        <is>
          <t xml:space="preserve">block</t>
        </is>
      </c>
      <c r="D289" t="inlineStr">
        <is>
          <t xml:space="preserve">ST53; ST54; ST55; ST56</t>
        </is>
      </c>
      <c r="E289" t="inlineStr">
        <is>
          <t xml:space="preserve">Those figures on the carbon levy are misread.</t>
        </is>
      </c>
      <c r="F289" t="inlineStr">
        <is>
          <t xml:space="preserve">The data does not say that.</t>
        </is>
      </c>
      <c r="G289" t="inlineStr">
        <is>
          <t xml:space="preserve">Read the full report on the carbon levy.</t>
        </is>
      </c>
      <c r="H289" t="inlineStr">
        <is>
          <t xml:space="preserve">That is not what the data shows.</t>
        </is>
      </c>
      <c r="I289" t="inlineStr">
        <is>
          <t xml:space="preserve">Check the source on the carbon levy.</t>
        </is>
      </c>
    </row>
    <row r="290">
      <c r="A290" t="inlineStr">
        <is>
          <t xml:space="preserve">PL289</t>
        </is>
      </c>
      <c r="B290" t="inlineStr">
        <is>
          <t xml:space="preserve">Divisive</t>
        </is>
      </c>
      <c r="C290" t="inlineStr">
        <is>
          <t xml:space="preserve">attack</t>
        </is>
      </c>
      <c r="D290" t="inlineStr">
        <is>
          <t xml:space="preserve">ST53; ST54; ST55; ST56</t>
        </is>
      </c>
      <c r="E290" t="inlineStr">
        <is>
          <t xml:space="preserve">Whose side are you on over the carbon levy?</t>
        </is>
      </c>
      <c r="F290" t="inlineStr">
        <is>
          <t xml:space="preserve">You work against the public on the carbon levy.</t>
        </is>
      </c>
      <c r="G290" t="inlineStr">
        <is>
          <t xml:space="preserve">This is a fight over the carbon levy.</t>
        </is>
      </c>
      <c r="H290" t="inlineStr">
        <is>
          <t xml:space="preserve">Wrong side of the carbon levy. Own it.</t>
        </is>
      </c>
      <c r="I290" t="inlineStr">
        <is>
          <t xml:space="preserve">The carbon levy serves insiders, not you.</t>
        </is>
      </c>
    </row>
    <row r="291">
      <c r="A291" t="inlineStr">
        <is>
          <t xml:space="preserve">PL290</t>
        </is>
      </c>
      <c r="B291" t="inlineStr">
        <is>
          <t xml:space="preserve">Divisive</t>
        </is>
      </c>
      <c r="C291" t="inlineStr">
        <is>
          <t xml:space="preserve">gain</t>
        </is>
      </c>
      <c r="D291" t="inlineStr">
        <is>
          <t xml:space="preserve">ST53; ST54; ST55; ST56</t>
        </is>
      </c>
      <c r="E291" t="inlineStr">
        <is>
          <t xml:space="preserve">Some lose over the carbon levy. So be it.</t>
        </is>
      </c>
      <c r="F291" t="inlineStr">
        <is>
          <t xml:space="preserve">The carbon levy needs hard choices.</t>
        </is>
      </c>
      <c r="G291" t="inlineStr">
        <is>
          <t xml:space="preserve">There is no middle ground on the carbon levy.</t>
        </is>
      </c>
      <c r="H291" t="inlineStr">
        <is>
          <t xml:space="preserve">I will not please everyone on the carbon levy.</t>
        </is>
      </c>
      <c r="I291" t="inlineStr">
        <is>
          <t xml:space="preserve">We must choose a side on the carbon levy.</t>
        </is>
      </c>
    </row>
    <row r="292">
      <c r="A292" t="inlineStr">
        <is>
          <t xml:space="preserve">PL291</t>
        </is>
      </c>
      <c r="B292" t="inlineStr">
        <is>
          <t xml:space="preserve">Divisive</t>
        </is>
      </c>
      <c r="C292" t="inlineStr">
        <is>
          <t xml:space="preserve">block</t>
        </is>
      </c>
      <c r="D292" t="inlineStr">
        <is>
          <t xml:space="preserve">ST53; ST54; ST55; ST56</t>
        </is>
      </c>
      <c r="E292" t="inlineStr">
        <is>
          <t xml:space="preserve">Spare me the sermon on the carbon levy.</t>
        </is>
      </c>
      <c r="F292" t="inlineStr">
        <is>
          <t xml:space="preserve">Do not hide behind the carbon levy.</t>
        </is>
      </c>
      <c r="G292" t="inlineStr">
        <is>
          <t xml:space="preserve">That jab on the carbon levy fails.</t>
        </is>
      </c>
      <c r="H292" t="inlineStr">
        <is>
          <t xml:space="preserve">Pick a side on the carbon levy yourself.</t>
        </is>
      </c>
      <c r="I292" t="inlineStr">
        <is>
          <t xml:space="preserve">Your side caused this over the carbon levy.</t>
        </is>
      </c>
    </row>
    <row r="293">
      <c r="A293" t="inlineStr">
        <is>
          <t xml:space="preserve">PL292</t>
        </is>
      </c>
      <c r="B293" t="inlineStr">
        <is>
          <t xml:space="preserve">Duplicitous</t>
        </is>
      </c>
      <c r="C293" t="inlineStr">
        <is>
          <t xml:space="preserve">attack</t>
        </is>
      </c>
      <c r="D293" t="inlineStr">
        <is>
          <t xml:space="preserve">ST53; ST54; ST55; ST56</t>
        </is>
      </c>
      <c r="E293" t="inlineStr">
        <is>
          <t xml:space="preserve">Who benefits from the carbon levy, really?</t>
        </is>
      </c>
      <c r="F293" t="inlineStr">
        <is>
          <t xml:space="preserve">Your story on the carbon levy has gaps.</t>
        </is>
      </c>
      <c r="G293" t="inlineStr">
        <is>
          <t xml:space="preserve">Convenient wording on the carbon levy.</t>
        </is>
      </c>
      <c r="H293" t="inlineStr">
        <is>
          <t xml:space="preserve">What are you leaving out on the carbon levy?</t>
        </is>
      </c>
      <c r="I293" t="inlineStr">
        <is>
          <t xml:space="preserve">Funny how the carbon levy suits you so well.</t>
        </is>
      </c>
    </row>
    <row r="294">
      <c r="A294" t="inlineStr">
        <is>
          <t xml:space="preserve">PL293</t>
        </is>
      </c>
      <c r="B294" t="inlineStr">
        <is>
          <t xml:space="preserve">Duplicitous</t>
        </is>
      </c>
      <c r="C294" t="inlineStr">
        <is>
          <t xml:space="preserve">gain</t>
        </is>
      </c>
      <c r="D294" t="inlineStr">
        <is>
          <t xml:space="preserve">ST53; ST54; ST55; ST56</t>
        </is>
      </c>
      <c r="E294" t="inlineStr">
        <is>
          <t xml:space="preserve">Everyone agrees on the carbon levy, broadly.</t>
        </is>
      </c>
      <c r="F294" t="inlineStr">
        <is>
          <t xml:space="preserve">The carbon levy is simpler than you think.</t>
        </is>
      </c>
      <c r="G294" t="inlineStr">
        <is>
          <t xml:space="preserve">I said what I said on the carbon levy.</t>
        </is>
      </c>
      <c r="H294" t="inlineStr">
        <is>
          <t xml:space="preserve">Trust me on the carbon levy.</t>
        </is>
      </c>
      <c r="I294" t="inlineStr">
        <is>
          <t xml:space="preserve">Let me reframe the carbon levy slightly.</t>
        </is>
      </c>
    </row>
    <row r="295">
      <c r="A295" t="inlineStr">
        <is>
          <t xml:space="preserve">PL294</t>
        </is>
      </c>
      <c r="B295" t="inlineStr">
        <is>
          <t xml:space="preserve">Duplicitous</t>
        </is>
      </c>
      <c r="C295" t="inlineStr">
        <is>
          <t xml:space="preserve">block</t>
        </is>
      </c>
      <c r="D295" t="inlineStr">
        <is>
          <t xml:space="preserve">ST53; ST54; ST55; ST56</t>
        </is>
      </c>
      <c r="E295" t="inlineStr">
        <is>
          <t xml:space="preserve">You misheard me on the carbon levy.</t>
        </is>
      </c>
      <c r="F295" t="inlineStr">
        <is>
          <t xml:space="preserve">I take that as praise on the carbon levy.</t>
        </is>
      </c>
      <c r="G295" t="inlineStr">
        <is>
          <t xml:space="preserve">A fair question on the carbon levy. Next.</t>
        </is>
      </c>
      <c r="H295" t="inlineStr">
        <is>
          <t xml:space="preserve">Let us move past the carbon levy.</t>
        </is>
      </c>
      <c r="I295" t="inlineStr">
        <is>
          <t xml:space="preserve">That is not my line on the carbon levy.</t>
        </is>
      </c>
    </row>
    <row r="296">
      <c r="A296" t="inlineStr">
        <is>
          <t xml:space="preserve">PL295</t>
        </is>
      </c>
      <c r="B296" t="inlineStr">
        <is>
          <t xml:space="preserve">Earnest</t>
        </is>
      </c>
      <c r="C296" t="inlineStr">
        <is>
          <t xml:space="preserve">attack</t>
        </is>
      </c>
      <c r="D296" t="inlineStr">
        <is>
          <t xml:space="preserve">ST57; ST58; ST59</t>
        </is>
      </c>
      <c r="E296" t="inlineStr">
        <is>
          <t xml:space="preserve">Be sincere with people about tradeable quotas.</t>
        </is>
      </c>
      <c r="F296" t="inlineStr">
        <is>
          <t xml:space="preserve">Tradeable quotas is no place for games.</t>
        </is>
      </c>
      <c r="G296" t="inlineStr">
        <is>
          <t xml:space="preserve">People deserve a straight answer on tradeable quotas.</t>
        </is>
      </c>
      <c r="H296" t="inlineStr">
        <is>
          <t xml:space="preserve">Tradeable quotas deserves honesty, not slogans.</t>
        </is>
      </c>
      <c r="I296" t="inlineStr">
        <is>
          <t xml:space="preserve">Say plainly what you mean about tradeable quotas.</t>
        </is>
      </c>
    </row>
    <row r="297">
      <c r="A297" t="inlineStr">
        <is>
          <t xml:space="preserve">PL296</t>
        </is>
      </c>
      <c r="B297" t="inlineStr">
        <is>
          <t xml:space="preserve">Earnest</t>
        </is>
      </c>
      <c r="C297" t="inlineStr">
        <is>
          <t xml:space="preserve">gain</t>
        </is>
      </c>
      <c r="D297" t="inlineStr">
        <is>
          <t xml:space="preserve">ST57; ST58; ST59</t>
        </is>
      </c>
      <c r="E297" t="inlineStr">
        <is>
          <t xml:space="preserve">Tradeable quotas matters to me personally.</t>
        </is>
      </c>
      <c r="F297" t="inlineStr">
        <is>
          <t xml:space="preserve">I will be honest about tradeable quotas.</t>
        </is>
      </c>
      <c r="G297" t="inlineStr">
        <is>
          <t xml:space="preserve">Here is my honest view on tradeable quotas.</t>
        </is>
      </c>
      <c r="H297" t="inlineStr">
        <is>
          <t xml:space="preserve">I mean every word about tradeable quotas.</t>
        </is>
      </c>
      <c r="I297" t="inlineStr">
        <is>
          <t xml:space="preserve">People can trust me on tradeable quotas.</t>
        </is>
      </c>
    </row>
    <row r="298">
      <c r="A298" t="inlineStr">
        <is>
          <t xml:space="preserve">PL297</t>
        </is>
      </c>
      <c r="B298" t="inlineStr">
        <is>
          <t xml:space="preserve">Earnest</t>
        </is>
      </c>
      <c r="C298" t="inlineStr">
        <is>
          <t xml:space="preserve">block</t>
        </is>
      </c>
      <c r="D298" t="inlineStr">
        <is>
          <t xml:space="preserve">ST57; ST58; ST59</t>
        </is>
      </c>
      <c r="E298" t="inlineStr">
        <is>
          <t xml:space="preserve">I stand by what I said.</t>
        </is>
      </c>
      <c r="F298" t="inlineStr">
        <is>
          <t xml:space="preserve">Ask plainly. I will answer plainly.</t>
        </is>
      </c>
      <c r="G298" t="inlineStr">
        <is>
          <t xml:space="preserve">My view on tradeable quotas is sincere.</t>
        </is>
      </c>
      <c r="H298" t="inlineStr">
        <is>
          <t xml:space="preserve">I will not dodge tradeable quotas.</t>
        </is>
      </c>
      <c r="I298" t="inlineStr">
        <is>
          <t xml:space="preserve">You can ask me about tradeable quotas.</t>
        </is>
      </c>
    </row>
    <row r="299">
      <c r="A299" t="inlineStr">
        <is>
          <t xml:space="preserve">PL298</t>
        </is>
      </c>
      <c r="B299" t="inlineStr">
        <is>
          <t xml:space="preserve">Emotional</t>
        </is>
      </c>
      <c r="C299" t="inlineStr">
        <is>
          <t xml:space="preserve">attack</t>
        </is>
      </c>
      <c r="D299" t="inlineStr">
        <is>
          <t xml:space="preserve">ST57; ST58; ST59</t>
        </is>
      </c>
      <c r="E299" t="inlineStr">
        <is>
          <t xml:space="preserve">Tradeable quotas is about real people.</t>
        </is>
      </c>
      <c r="F299" t="inlineStr">
        <is>
          <t xml:space="preserve">Do you feel nothing about tradeable quotas?</t>
        </is>
      </c>
      <c r="G299" t="inlineStr">
        <is>
          <t xml:space="preserve">Tell that to those hurt by tradeable quotas.</t>
        </is>
      </c>
      <c r="H299" t="inlineStr">
        <is>
          <t xml:space="preserve">Think of the families behind tradeable quotas.</t>
        </is>
      </c>
      <c r="I299" t="inlineStr">
        <is>
          <t xml:space="preserve">Look at the faces affected by tradeable quotas.</t>
        </is>
      </c>
    </row>
    <row r="300">
      <c r="A300" t="inlineStr">
        <is>
          <t xml:space="preserve">PL299</t>
        </is>
      </c>
      <c r="B300" t="inlineStr">
        <is>
          <t xml:space="preserve">Emotional</t>
        </is>
      </c>
      <c r="C300" t="inlineStr">
        <is>
          <t xml:space="preserve">gain</t>
        </is>
      </c>
      <c r="D300" t="inlineStr">
        <is>
          <t xml:space="preserve">ST57; ST58; ST59</t>
        </is>
      </c>
      <c r="E300" t="inlineStr">
        <is>
          <t xml:space="preserve">Their stories made me care about tradeable quotas.</t>
        </is>
      </c>
      <c r="F300" t="inlineStr">
        <is>
          <t xml:space="preserve">I carry those families with me.</t>
        </is>
      </c>
      <c r="G300" t="inlineStr">
        <is>
          <t xml:space="preserve">Every family I met raised tradeable quotas.</t>
        </is>
      </c>
      <c r="H300" t="inlineStr">
        <is>
          <t xml:space="preserve">I have met people touched by tradeable quotas.</t>
        </is>
      </c>
      <c r="I300" t="inlineStr">
        <is>
          <t xml:space="preserve">Tradeable quotas weighs on me.</t>
        </is>
      </c>
    </row>
    <row r="301">
      <c r="A301" t="inlineStr">
        <is>
          <t xml:space="preserve">PL300</t>
        </is>
      </c>
      <c r="B301" t="inlineStr">
        <is>
          <t xml:space="preserve">Emotional</t>
        </is>
      </c>
      <c r="C301" t="inlineStr">
        <is>
          <t xml:space="preserve">block</t>
        </is>
      </c>
      <c r="D301" t="inlineStr">
        <is>
          <t xml:space="preserve">ST57; ST58; ST59</t>
        </is>
      </c>
      <c r="E301" t="inlineStr">
        <is>
          <t xml:space="preserve">I will not shrink their stories.</t>
        </is>
      </c>
      <c r="F301" t="inlineStr">
        <is>
          <t xml:space="preserve">These are people, not statistics.</t>
        </is>
      </c>
      <c r="G301" t="inlineStr">
        <is>
          <t xml:space="preserve">Speak gently about tradeable quotas.</t>
        </is>
      </c>
      <c r="H301" t="inlineStr">
        <is>
          <t xml:space="preserve">You cannot dismiss people over tradeable quotas.</t>
        </is>
      </c>
      <c r="I301" t="inlineStr">
        <is>
          <t xml:space="preserve">Do not turn tradeable quotas into a game.</t>
        </is>
      </c>
    </row>
    <row r="302">
      <c r="A302" t="inlineStr">
        <is>
          <t xml:space="preserve">PL301</t>
        </is>
      </c>
      <c r="B302" t="inlineStr">
        <is>
          <t xml:space="preserve">Appeal</t>
        </is>
      </c>
      <c r="C302" t="inlineStr">
        <is>
          <t xml:space="preserve">attack</t>
        </is>
      </c>
      <c r="D302" t="inlineStr">
        <is>
          <t xml:space="preserve">ST57; ST58; ST59</t>
        </is>
      </c>
      <c r="E302" t="inlineStr">
        <is>
          <t xml:space="preserve">The public wants less spin on tradeable quotas.</t>
        </is>
      </c>
      <c r="F302" t="inlineStr">
        <is>
          <t xml:space="preserve">Most people disagree with you on tradeable quotas.</t>
        </is>
      </c>
      <c r="G302" t="inlineStr">
        <is>
          <t xml:space="preserve">Voters have spoken on tradeable quotas.</t>
        </is>
      </c>
      <c r="H302" t="inlineStr">
        <is>
          <t xml:space="preserve">People want answers on tradeable quotas.</t>
        </is>
      </c>
      <c r="I302" t="inlineStr">
        <is>
          <t xml:space="preserve">Ask anyone in the street about tradeable quotas.</t>
        </is>
      </c>
    </row>
    <row r="303">
      <c r="A303" t="inlineStr">
        <is>
          <t xml:space="preserve">PL302</t>
        </is>
      </c>
      <c r="B303" t="inlineStr">
        <is>
          <t xml:space="preserve">Appeal</t>
        </is>
      </c>
      <c r="C303" t="inlineStr">
        <is>
          <t xml:space="preserve">gain</t>
        </is>
      </c>
      <c r="D303" t="inlineStr">
        <is>
          <t xml:space="preserve">ST57; ST58; ST59</t>
        </is>
      </c>
      <c r="E303" t="inlineStr">
        <is>
          <t xml:space="preserve">Voters keep raising tradeable quotas.</t>
        </is>
      </c>
      <c r="F303" t="inlineStr">
        <is>
          <t xml:space="preserve">Ask around. People care about tradeable quotas.</t>
        </is>
      </c>
      <c r="G303" t="inlineStr">
        <is>
          <t xml:space="preserve">The public mood favours tradeable quotas.</t>
        </is>
      </c>
      <c r="H303" t="inlineStr">
        <is>
          <t xml:space="preserve">Most people I meet back tradeable quotas.</t>
        </is>
      </c>
      <c r="I303" t="inlineStr">
        <is>
          <t xml:space="preserve">Ordinary people want action on tradeable quotas.</t>
        </is>
      </c>
    </row>
    <row r="304">
      <c r="A304" t="inlineStr">
        <is>
          <t xml:space="preserve">PL303</t>
        </is>
      </c>
      <c r="B304" t="inlineStr">
        <is>
          <t xml:space="preserve">Appeal</t>
        </is>
      </c>
      <c r="C304" t="inlineStr">
        <is>
          <t xml:space="preserve">block</t>
        </is>
      </c>
      <c r="D304" t="inlineStr">
        <is>
          <t xml:space="preserve">ST57; ST58; ST59</t>
        </is>
      </c>
      <c r="E304" t="inlineStr">
        <is>
          <t xml:space="preserve">Do not claim the crowd on tradeable quotas.</t>
        </is>
      </c>
      <c r="F304" t="inlineStr">
        <is>
          <t xml:space="preserve">Let the public decide tradeable quotas.</t>
        </is>
      </c>
      <c r="G304" t="inlineStr">
        <is>
          <t xml:space="preserve">I hear all sides on tradeable quotas.</t>
        </is>
      </c>
      <c r="H304" t="inlineStr">
        <is>
          <t xml:space="preserve">Do not speak for everyone on tradeable quotas.</t>
        </is>
      </c>
      <c r="I304" t="inlineStr">
        <is>
          <t xml:space="preserve">People are divided on tradeable quotas.</t>
        </is>
      </c>
    </row>
    <row r="305">
      <c r="A305" t="inlineStr">
        <is>
          <t xml:space="preserve">PL304</t>
        </is>
      </c>
      <c r="B305" t="inlineStr">
        <is>
          <t xml:space="preserve">Data Driven</t>
        </is>
      </c>
      <c r="C305" t="inlineStr">
        <is>
          <t xml:space="preserve">attack</t>
        </is>
      </c>
      <c r="D305" t="inlineStr">
        <is>
          <t xml:space="preserve">ST57; ST58; ST59</t>
        </is>
      </c>
      <c r="E305" t="inlineStr">
        <is>
          <t xml:space="preserve">Show the evidence for tradeable quotas.</t>
        </is>
      </c>
      <c r="F305" t="inlineStr">
        <is>
          <t xml:space="preserve">What is the real cost of tradeable quotas?</t>
        </is>
      </c>
      <c r="G305" t="inlineStr">
        <is>
          <t xml:space="preserve">Those tradeable quotas statistics are selective.</t>
        </is>
      </c>
      <c r="H305" t="inlineStr">
        <is>
          <t xml:space="preserve">Where are the figures on tradeable quotas?</t>
        </is>
      </c>
      <c r="I305" t="inlineStr">
        <is>
          <t xml:space="preserve">Your numbers on tradeable quotas do not hold.</t>
        </is>
      </c>
    </row>
    <row r="306">
      <c r="A306" t="inlineStr">
        <is>
          <t xml:space="preserve">PL305</t>
        </is>
      </c>
      <c r="B306" t="inlineStr">
        <is>
          <t xml:space="preserve">Data Driven</t>
        </is>
      </c>
      <c r="C306" t="inlineStr">
        <is>
          <t xml:space="preserve">gain</t>
        </is>
      </c>
      <c r="D306" t="inlineStr">
        <is>
          <t xml:space="preserve">ST57; ST58; ST59</t>
        </is>
      </c>
      <c r="E306" t="inlineStr">
        <is>
          <t xml:space="preserve">Studies on tradeable quotas support this.</t>
        </is>
      </c>
      <c r="F306" t="inlineStr">
        <is>
          <t xml:space="preserve">The cost of tradeable quotas adds up.</t>
        </is>
      </c>
      <c r="G306" t="inlineStr">
        <is>
          <t xml:space="preserve">The numbers on tradeable quotas hold.</t>
        </is>
      </c>
      <c r="H306" t="inlineStr">
        <is>
          <t xml:space="preserve">The evidence on tradeable quotas is clear.</t>
        </is>
      </c>
      <c r="I306" t="inlineStr">
        <is>
          <t xml:space="preserve">Here are the figures on tradeable quotas.</t>
        </is>
      </c>
    </row>
    <row r="307">
      <c r="A307" t="inlineStr">
        <is>
          <t xml:space="preserve">PL306</t>
        </is>
      </c>
      <c r="B307" t="inlineStr">
        <is>
          <t xml:space="preserve">Data Driven</t>
        </is>
      </c>
      <c r="C307" t="inlineStr">
        <is>
          <t xml:space="preserve">block</t>
        </is>
      </c>
      <c r="D307" t="inlineStr">
        <is>
          <t xml:space="preserve">ST57; ST58; ST59</t>
        </is>
      </c>
      <c r="E307" t="inlineStr">
        <is>
          <t xml:space="preserve">The data does not say that.</t>
        </is>
      </c>
      <c r="F307" t="inlineStr">
        <is>
          <t xml:space="preserve">Read the full report on tradeable quotas.</t>
        </is>
      </c>
      <c r="G307" t="inlineStr">
        <is>
          <t xml:space="preserve">That is not what the data shows.</t>
        </is>
      </c>
      <c r="H307" t="inlineStr">
        <is>
          <t xml:space="preserve">Check the source on tradeable quotas.</t>
        </is>
      </c>
      <c r="I307" t="inlineStr">
        <is>
          <t xml:space="preserve">Those figures on tradeable quotas are misread.</t>
        </is>
      </c>
    </row>
    <row r="308">
      <c r="A308" t="inlineStr">
        <is>
          <t xml:space="preserve">PL307</t>
        </is>
      </c>
      <c r="B308" t="inlineStr">
        <is>
          <t xml:space="preserve">Divisive</t>
        </is>
      </c>
      <c r="C308" t="inlineStr">
        <is>
          <t xml:space="preserve">attack</t>
        </is>
      </c>
      <c r="D308" t="inlineStr">
        <is>
          <t xml:space="preserve">ST57; ST58; ST59</t>
        </is>
      </c>
      <c r="E308" t="inlineStr">
        <is>
          <t xml:space="preserve">You work against the public on tradeable quotas.</t>
        </is>
      </c>
      <c r="F308" t="inlineStr">
        <is>
          <t xml:space="preserve">This is a fight over tradeable quotas.</t>
        </is>
      </c>
      <c r="G308" t="inlineStr">
        <is>
          <t xml:space="preserve">Wrong side of tradeable quotas. Own it.</t>
        </is>
      </c>
      <c r="H308" t="inlineStr">
        <is>
          <t xml:space="preserve">Tradeable quotas serves insiders, not you.</t>
        </is>
      </c>
      <c r="I308" t="inlineStr">
        <is>
          <t xml:space="preserve">Whose side are you on over tradeable quotas?</t>
        </is>
      </c>
    </row>
    <row r="309">
      <c r="A309" t="inlineStr">
        <is>
          <t xml:space="preserve">PL308</t>
        </is>
      </c>
      <c r="B309" t="inlineStr">
        <is>
          <t xml:space="preserve">Divisive</t>
        </is>
      </c>
      <c r="C309" t="inlineStr">
        <is>
          <t xml:space="preserve">gain</t>
        </is>
      </c>
      <c r="D309" t="inlineStr">
        <is>
          <t xml:space="preserve">ST57; ST58; ST59</t>
        </is>
      </c>
      <c r="E309" t="inlineStr">
        <is>
          <t xml:space="preserve">Tradeable quotas needs hard choices.</t>
        </is>
      </c>
      <c r="F309" t="inlineStr">
        <is>
          <t xml:space="preserve">There is no middle ground on tradeable quotas.</t>
        </is>
      </c>
      <c r="G309" t="inlineStr">
        <is>
          <t xml:space="preserve">I will not please everyone on tradeable quotas.</t>
        </is>
      </c>
      <c r="H309" t="inlineStr">
        <is>
          <t xml:space="preserve">We must choose a side on tradeable quotas.</t>
        </is>
      </c>
      <c r="I309" t="inlineStr">
        <is>
          <t xml:space="preserve">Some lose over tradeable quotas. So be it.</t>
        </is>
      </c>
    </row>
    <row r="310">
      <c r="A310" t="inlineStr">
        <is>
          <t xml:space="preserve">PL309</t>
        </is>
      </c>
      <c r="B310" t="inlineStr">
        <is>
          <t xml:space="preserve">Divisive</t>
        </is>
      </c>
      <c r="C310" t="inlineStr">
        <is>
          <t xml:space="preserve">block</t>
        </is>
      </c>
      <c r="D310" t="inlineStr">
        <is>
          <t xml:space="preserve">ST57; ST58; ST59</t>
        </is>
      </c>
      <c r="E310" t="inlineStr">
        <is>
          <t xml:space="preserve">Do not hide behind tradeable quotas.</t>
        </is>
      </c>
      <c r="F310" t="inlineStr">
        <is>
          <t xml:space="preserve">That jab on tradeable quotas fails.</t>
        </is>
      </c>
      <c r="G310" t="inlineStr">
        <is>
          <t xml:space="preserve">Pick a side on tradeable quotas yourself.</t>
        </is>
      </c>
      <c r="H310" t="inlineStr">
        <is>
          <t xml:space="preserve">Your side caused this over tradeable quotas.</t>
        </is>
      </c>
      <c r="I310" t="inlineStr">
        <is>
          <t xml:space="preserve">Spare me the sermon on tradeable quotas.</t>
        </is>
      </c>
    </row>
    <row r="311">
      <c r="A311" t="inlineStr">
        <is>
          <t xml:space="preserve">PL310</t>
        </is>
      </c>
      <c r="B311" t="inlineStr">
        <is>
          <t xml:space="preserve">Duplicitous</t>
        </is>
      </c>
      <c r="C311" t="inlineStr">
        <is>
          <t xml:space="preserve">attack</t>
        </is>
      </c>
      <c r="D311" t="inlineStr">
        <is>
          <t xml:space="preserve">ST57; ST58; ST59</t>
        </is>
      </c>
      <c r="E311" t="inlineStr">
        <is>
          <t xml:space="preserve">Your story on tradeable quotas has gaps.</t>
        </is>
      </c>
      <c r="F311" t="inlineStr">
        <is>
          <t xml:space="preserve">Convenient wording on tradeable quotas.</t>
        </is>
      </c>
      <c r="G311" t="inlineStr">
        <is>
          <t xml:space="preserve">What are you leaving out on tradeable quotas?</t>
        </is>
      </c>
      <c r="H311" t="inlineStr">
        <is>
          <t xml:space="preserve">Funny how tradeable quotas suits you so well.</t>
        </is>
      </c>
      <c r="I311" t="inlineStr">
        <is>
          <t xml:space="preserve">Who benefits from tradeable quotas, really?</t>
        </is>
      </c>
    </row>
    <row r="312">
      <c r="A312" t="inlineStr">
        <is>
          <t xml:space="preserve">PL311</t>
        </is>
      </c>
      <c r="B312" t="inlineStr">
        <is>
          <t xml:space="preserve">Duplicitous</t>
        </is>
      </c>
      <c r="C312" t="inlineStr">
        <is>
          <t xml:space="preserve">gain</t>
        </is>
      </c>
      <c r="D312" t="inlineStr">
        <is>
          <t xml:space="preserve">ST57; ST58; ST59</t>
        </is>
      </c>
      <c r="E312" t="inlineStr">
        <is>
          <t xml:space="preserve">Tradeable quotas is simpler than you think.</t>
        </is>
      </c>
      <c r="F312" t="inlineStr">
        <is>
          <t xml:space="preserve">I said what I said on tradeable quotas.</t>
        </is>
      </c>
      <c r="G312" t="inlineStr">
        <is>
          <t xml:space="preserve">Trust me on tradeable quotas.</t>
        </is>
      </c>
      <c r="H312" t="inlineStr">
        <is>
          <t xml:space="preserve">Let me reframe tradeable quotas slightly.</t>
        </is>
      </c>
      <c r="I312" t="inlineStr">
        <is>
          <t xml:space="preserve">Everyone agrees on tradeable quotas, broadly.</t>
        </is>
      </c>
    </row>
    <row r="313">
      <c r="A313" t="inlineStr">
        <is>
          <t xml:space="preserve">PL312</t>
        </is>
      </c>
      <c r="B313" t="inlineStr">
        <is>
          <t xml:space="preserve">Duplicitous</t>
        </is>
      </c>
      <c r="C313" t="inlineStr">
        <is>
          <t xml:space="preserve">block</t>
        </is>
      </c>
      <c r="D313" t="inlineStr">
        <is>
          <t xml:space="preserve">ST57; ST58; ST59</t>
        </is>
      </c>
      <c r="E313" t="inlineStr">
        <is>
          <t xml:space="preserve">I take that as praise on tradeable quotas.</t>
        </is>
      </c>
      <c r="F313" t="inlineStr">
        <is>
          <t xml:space="preserve">A fair question on tradeable quotas. Next.</t>
        </is>
      </c>
      <c r="G313" t="inlineStr">
        <is>
          <t xml:space="preserve">Let us move past tradeable quotas.</t>
        </is>
      </c>
      <c r="H313" t="inlineStr">
        <is>
          <t xml:space="preserve">That is not my line on tradeable quotas.</t>
        </is>
      </c>
      <c r="I313" t="inlineStr">
        <is>
          <t xml:space="preserve">You misheard me on tradeable quotas.</t>
        </is>
      </c>
    </row>
    <row r="314">
      <c r="A314" t="inlineStr">
        <is>
          <t xml:space="preserve">PL313</t>
        </is>
      </c>
      <c r="B314" t="inlineStr">
        <is>
          <t xml:space="preserve">Earnest</t>
        </is>
      </c>
      <c r="C314" t="inlineStr">
        <is>
          <t xml:space="preserve">attack</t>
        </is>
      </c>
      <c r="D314" t="inlineStr">
        <is>
          <t xml:space="preserve">ST60; ST61; ST62</t>
        </is>
      </c>
      <c r="E314" t="inlineStr">
        <is>
          <t xml:space="preserve">The shipyards is no place for games.</t>
        </is>
      </c>
      <c r="F314" t="inlineStr">
        <is>
          <t xml:space="preserve">People deserve a straight answer on the shipyards.</t>
        </is>
      </c>
      <c r="G314" t="inlineStr">
        <is>
          <t xml:space="preserve">The shipyards deserves honesty, not slogans.</t>
        </is>
      </c>
      <c r="H314" t="inlineStr">
        <is>
          <t xml:space="preserve">Say plainly what you mean about the shipyards.</t>
        </is>
      </c>
      <c r="I314" t="inlineStr">
        <is>
          <t xml:space="preserve">Be sincere with people about the shipyards.</t>
        </is>
      </c>
    </row>
    <row r="315">
      <c r="A315" t="inlineStr">
        <is>
          <t xml:space="preserve">PL314</t>
        </is>
      </c>
      <c r="B315" t="inlineStr">
        <is>
          <t xml:space="preserve">Earnest</t>
        </is>
      </c>
      <c r="C315" t="inlineStr">
        <is>
          <t xml:space="preserve">gain</t>
        </is>
      </c>
      <c r="D315" t="inlineStr">
        <is>
          <t xml:space="preserve">ST60; ST61; ST62</t>
        </is>
      </c>
      <c r="E315" t="inlineStr">
        <is>
          <t xml:space="preserve">I will be honest about the shipyards.</t>
        </is>
      </c>
      <c r="F315" t="inlineStr">
        <is>
          <t xml:space="preserve">Here is my honest view on the shipyards.</t>
        </is>
      </c>
      <c r="G315" t="inlineStr">
        <is>
          <t xml:space="preserve">I mean every word about the shipyards.</t>
        </is>
      </c>
      <c r="H315" t="inlineStr">
        <is>
          <t xml:space="preserve">People can trust me on the shipyards.</t>
        </is>
      </c>
      <c r="I315" t="inlineStr">
        <is>
          <t xml:space="preserve">The shipyards matters to me personally.</t>
        </is>
      </c>
    </row>
    <row r="316">
      <c r="A316" t="inlineStr">
        <is>
          <t xml:space="preserve">PL315</t>
        </is>
      </c>
      <c r="B316" t="inlineStr">
        <is>
          <t xml:space="preserve">Earnest</t>
        </is>
      </c>
      <c r="C316" t="inlineStr">
        <is>
          <t xml:space="preserve">block</t>
        </is>
      </c>
      <c r="D316" t="inlineStr">
        <is>
          <t xml:space="preserve">ST60; ST61; ST62</t>
        </is>
      </c>
      <c r="E316" t="inlineStr">
        <is>
          <t xml:space="preserve">Ask plainly. I will answer plainly.</t>
        </is>
      </c>
      <c r="F316" t="inlineStr">
        <is>
          <t xml:space="preserve">My view on the shipyards is sincere.</t>
        </is>
      </c>
      <c r="G316" t="inlineStr">
        <is>
          <t xml:space="preserve">I will not dodge the shipyards.</t>
        </is>
      </c>
      <c r="H316" t="inlineStr">
        <is>
          <t xml:space="preserve">You can ask me about the shipyards.</t>
        </is>
      </c>
      <c r="I316" t="inlineStr">
        <is>
          <t xml:space="preserve">I stand by what I said.</t>
        </is>
      </c>
    </row>
    <row r="317">
      <c r="A317" t="inlineStr">
        <is>
          <t xml:space="preserve">PL316</t>
        </is>
      </c>
      <c r="B317" t="inlineStr">
        <is>
          <t xml:space="preserve">Emotional</t>
        </is>
      </c>
      <c r="C317" t="inlineStr">
        <is>
          <t xml:space="preserve">attack</t>
        </is>
      </c>
      <c r="D317" t="inlineStr">
        <is>
          <t xml:space="preserve">ST60; ST61; ST62</t>
        </is>
      </c>
      <c r="E317" t="inlineStr">
        <is>
          <t xml:space="preserve">Do you feel nothing about the shipyards?</t>
        </is>
      </c>
      <c r="F317" t="inlineStr">
        <is>
          <t xml:space="preserve">Tell that to those hurt by the shipyards.</t>
        </is>
      </c>
      <c r="G317" t="inlineStr">
        <is>
          <t xml:space="preserve">Think of the families behind the shipyards.</t>
        </is>
      </c>
      <c r="H317" t="inlineStr">
        <is>
          <t xml:space="preserve">Look at the faces affected by the shipyards.</t>
        </is>
      </c>
      <c r="I317" t="inlineStr">
        <is>
          <t xml:space="preserve">The shipyards is about real people.</t>
        </is>
      </c>
    </row>
    <row r="318">
      <c r="A318" t="inlineStr">
        <is>
          <t xml:space="preserve">PL317</t>
        </is>
      </c>
      <c r="B318" t="inlineStr">
        <is>
          <t xml:space="preserve">Emotional</t>
        </is>
      </c>
      <c r="C318" t="inlineStr">
        <is>
          <t xml:space="preserve">gain</t>
        </is>
      </c>
      <c r="D318" t="inlineStr">
        <is>
          <t xml:space="preserve">ST60; ST61; ST62</t>
        </is>
      </c>
      <c r="E318" t="inlineStr">
        <is>
          <t xml:space="preserve">I carry those families with me.</t>
        </is>
      </c>
      <c r="F318" t="inlineStr">
        <is>
          <t xml:space="preserve">Every family I met raised the shipyards.</t>
        </is>
      </c>
      <c r="G318" t="inlineStr">
        <is>
          <t xml:space="preserve">I have met people touched by the shipyards.</t>
        </is>
      </c>
      <c r="H318" t="inlineStr">
        <is>
          <t xml:space="preserve">The shipyards weighs on me.</t>
        </is>
      </c>
      <c r="I318" t="inlineStr">
        <is>
          <t xml:space="preserve">Their stories made me care about the shipyards.</t>
        </is>
      </c>
    </row>
    <row r="319">
      <c r="A319" t="inlineStr">
        <is>
          <t xml:space="preserve">PL318</t>
        </is>
      </c>
      <c r="B319" t="inlineStr">
        <is>
          <t xml:space="preserve">Emotional</t>
        </is>
      </c>
      <c r="C319" t="inlineStr">
        <is>
          <t xml:space="preserve">block</t>
        </is>
      </c>
      <c r="D319" t="inlineStr">
        <is>
          <t xml:space="preserve">ST60; ST61; ST62</t>
        </is>
      </c>
      <c r="E319" t="inlineStr">
        <is>
          <t xml:space="preserve">These are people, not statistics.</t>
        </is>
      </c>
      <c r="F319" t="inlineStr">
        <is>
          <t xml:space="preserve">Speak gently about the shipyards.</t>
        </is>
      </c>
      <c r="G319" t="inlineStr">
        <is>
          <t xml:space="preserve">You cannot dismiss people over the shipyards.</t>
        </is>
      </c>
      <c r="H319" t="inlineStr">
        <is>
          <t xml:space="preserve">Do not turn the shipyards into a game.</t>
        </is>
      </c>
      <c r="I319" t="inlineStr">
        <is>
          <t xml:space="preserve">I will not shrink their stories.</t>
        </is>
      </c>
    </row>
    <row r="320">
      <c r="A320" t="inlineStr">
        <is>
          <t xml:space="preserve">PL319</t>
        </is>
      </c>
      <c r="B320" t="inlineStr">
        <is>
          <t xml:space="preserve">Appeal</t>
        </is>
      </c>
      <c r="C320" t="inlineStr">
        <is>
          <t xml:space="preserve">attack</t>
        </is>
      </c>
      <c r="D320" t="inlineStr">
        <is>
          <t xml:space="preserve">ST60; ST61; ST62</t>
        </is>
      </c>
      <c r="E320" t="inlineStr">
        <is>
          <t xml:space="preserve">Most people disagree with you on the shipyards.</t>
        </is>
      </c>
      <c r="F320" t="inlineStr">
        <is>
          <t xml:space="preserve">Voters have spoken on the shipyards.</t>
        </is>
      </c>
      <c r="G320" t="inlineStr">
        <is>
          <t xml:space="preserve">People want answers on the shipyards.</t>
        </is>
      </c>
      <c r="H320" t="inlineStr">
        <is>
          <t xml:space="preserve">Ask anyone in the street about the shipyards.</t>
        </is>
      </c>
      <c r="I320" t="inlineStr">
        <is>
          <t xml:space="preserve">The public wants less spin on the shipyards.</t>
        </is>
      </c>
    </row>
    <row r="321">
      <c r="A321" t="inlineStr">
        <is>
          <t xml:space="preserve">PL320</t>
        </is>
      </c>
      <c r="B321" t="inlineStr">
        <is>
          <t xml:space="preserve">Appeal</t>
        </is>
      </c>
      <c r="C321" t="inlineStr">
        <is>
          <t xml:space="preserve">gain</t>
        </is>
      </c>
      <c r="D321" t="inlineStr">
        <is>
          <t xml:space="preserve">ST60; ST61; ST62</t>
        </is>
      </c>
      <c r="E321" t="inlineStr">
        <is>
          <t xml:space="preserve">Ask around. People care about the shipyards.</t>
        </is>
      </c>
      <c r="F321" t="inlineStr">
        <is>
          <t xml:space="preserve">The public mood favours the shipyards.</t>
        </is>
      </c>
      <c r="G321" t="inlineStr">
        <is>
          <t xml:space="preserve">Most people I meet back the shipyards.</t>
        </is>
      </c>
      <c r="H321" t="inlineStr">
        <is>
          <t xml:space="preserve">Ordinary people want action on the shipyards.</t>
        </is>
      </c>
      <c r="I321" t="inlineStr">
        <is>
          <t xml:space="preserve">Voters keep raising the shipyards.</t>
        </is>
      </c>
    </row>
    <row r="322">
      <c r="A322" t="inlineStr">
        <is>
          <t xml:space="preserve">PL321</t>
        </is>
      </c>
      <c r="B322" t="inlineStr">
        <is>
          <t xml:space="preserve">Appeal</t>
        </is>
      </c>
      <c r="C322" t="inlineStr">
        <is>
          <t xml:space="preserve">block</t>
        </is>
      </c>
      <c r="D322" t="inlineStr">
        <is>
          <t xml:space="preserve">ST60; ST61; ST62</t>
        </is>
      </c>
      <c r="E322" t="inlineStr">
        <is>
          <t xml:space="preserve">Let the public decide the shipyards.</t>
        </is>
      </c>
      <c r="F322" t="inlineStr">
        <is>
          <t xml:space="preserve">I hear all sides on the shipyards.</t>
        </is>
      </c>
      <c r="G322" t="inlineStr">
        <is>
          <t xml:space="preserve">Do not speak for everyone on the shipyards.</t>
        </is>
      </c>
      <c r="H322" t="inlineStr">
        <is>
          <t xml:space="preserve">People are divided on the shipyards.</t>
        </is>
      </c>
      <c r="I322" t="inlineStr">
        <is>
          <t xml:space="preserve">Do not claim the crowd on the shipyards.</t>
        </is>
      </c>
    </row>
    <row r="323">
      <c r="A323" t="inlineStr">
        <is>
          <t xml:space="preserve">PL322</t>
        </is>
      </c>
      <c r="B323" t="inlineStr">
        <is>
          <t xml:space="preserve">Data Driven</t>
        </is>
      </c>
      <c r="C323" t="inlineStr">
        <is>
          <t xml:space="preserve">attack</t>
        </is>
      </c>
      <c r="D323" t="inlineStr">
        <is>
          <t xml:space="preserve">ST60; ST61; ST62</t>
        </is>
      </c>
      <c r="E323" t="inlineStr">
        <is>
          <t xml:space="preserve">What is the real cost of the shipyards?</t>
        </is>
      </c>
      <c r="F323" t="inlineStr">
        <is>
          <t xml:space="preserve">Those the shipyards statistics are selective.</t>
        </is>
      </c>
      <c r="G323" t="inlineStr">
        <is>
          <t xml:space="preserve">Where are the figures on the shipyards?</t>
        </is>
      </c>
      <c r="H323" t="inlineStr">
        <is>
          <t xml:space="preserve">Your numbers on the shipyards do not hold.</t>
        </is>
      </c>
      <c r="I323" t="inlineStr">
        <is>
          <t xml:space="preserve">Show the evidence for the shipyards.</t>
        </is>
      </c>
    </row>
    <row r="324">
      <c r="A324" t="inlineStr">
        <is>
          <t xml:space="preserve">PL323</t>
        </is>
      </c>
      <c r="B324" t="inlineStr">
        <is>
          <t xml:space="preserve">Data Driven</t>
        </is>
      </c>
      <c r="C324" t="inlineStr">
        <is>
          <t xml:space="preserve">gain</t>
        </is>
      </c>
      <c r="D324" t="inlineStr">
        <is>
          <t xml:space="preserve">ST60; ST61; ST62</t>
        </is>
      </c>
      <c r="E324" t="inlineStr">
        <is>
          <t xml:space="preserve">The cost of the shipyards adds up.</t>
        </is>
      </c>
      <c r="F324" t="inlineStr">
        <is>
          <t xml:space="preserve">The numbers on the shipyards hold.</t>
        </is>
      </c>
      <c r="G324" t="inlineStr">
        <is>
          <t xml:space="preserve">The evidence on the shipyards is clear.</t>
        </is>
      </c>
      <c r="H324" t="inlineStr">
        <is>
          <t xml:space="preserve">Here are the figures on the shipyards.</t>
        </is>
      </c>
      <c r="I324" t="inlineStr">
        <is>
          <t xml:space="preserve">Studies on the shipyards support this.</t>
        </is>
      </c>
    </row>
    <row r="325">
      <c r="A325" t="inlineStr">
        <is>
          <t xml:space="preserve">PL324</t>
        </is>
      </c>
      <c r="B325" t="inlineStr">
        <is>
          <t xml:space="preserve">Data Driven</t>
        </is>
      </c>
      <c r="C325" t="inlineStr">
        <is>
          <t xml:space="preserve">block</t>
        </is>
      </c>
      <c r="D325" t="inlineStr">
        <is>
          <t xml:space="preserve">ST60; ST61; ST62</t>
        </is>
      </c>
      <c r="E325" t="inlineStr">
        <is>
          <t xml:space="preserve">Read the full report on the shipyards.</t>
        </is>
      </c>
      <c r="F325" t="inlineStr">
        <is>
          <t xml:space="preserve">That is not what the data shows.</t>
        </is>
      </c>
      <c r="G325" t="inlineStr">
        <is>
          <t xml:space="preserve">Check the source on the shipyards.</t>
        </is>
      </c>
      <c r="H325" t="inlineStr">
        <is>
          <t xml:space="preserve">Those figures on the shipyards are misread.</t>
        </is>
      </c>
      <c r="I325" t="inlineStr">
        <is>
          <t xml:space="preserve">The data does not say that.</t>
        </is>
      </c>
    </row>
    <row r="326">
      <c r="A326" t="inlineStr">
        <is>
          <t xml:space="preserve">PL325</t>
        </is>
      </c>
      <c r="B326" t="inlineStr">
        <is>
          <t xml:space="preserve">Divisive</t>
        </is>
      </c>
      <c r="C326" t="inlineStr">
        <is>
          <t xml:space="preserve">attack</t>
        </is>
      </c>
      <c r="D326" t="inlineStr">
        <is>
          <t xml:space="preserve">ST60; ST61; ST62</t>
        </is>
      </c>
      <c r="E326" t="inlineStr">
        <is>
          <t xml:space="preserve">This is a fight over the shipyards.</t>
        </is>
      </c>
      <c r="F326" t="inlineStr">
        <is>
          <t xml:space="preserve">Wrong side of the shipyards. Own it.</t>
        </is>
      </c>
      <c r="G326" t="inlineStr">
        <is>
          <t xml:space="preserve">The shipyards serves insiders, not you.</t>
        </is>
      </c>
      <c r="H326" t="inlineStr">
        <is>
          <t xml:space="preserve">Whose side are you on over the shipyards?</t>
        </is>
      </c>
      <c r="I326" t="inlineStr">
        <is>
          <t xml:space="preserve">You work against the public on the shipyards.</t>
        </is>
      </c>
    </row>
    <row r="327">
      <c r="A327" t="inlineStr">
        <is>
          <t xml:space="preserve">PL326</t>
        </is>
      </c>
      <c r="B327" t="inlineStr">
        <is>
          <t xml:space="preserve">Divisive</t>
        </is>
      </c>
      <c r="C327" t="inlineStr">
        <is>
          <t xml:space="preserve">gain</t>
        </is>
      </c>
      <c r="D327" t="inlineStr">
        <is>
          <t xml:space="preserve">ST60; ST61; ST62</t>
        </is>
      </c>
      <c r="E327" t="inlineStr">
        <is>
          <t xml:space="preserve">There is no middle ground on the shipyards.</t>
        </is>
      </c>
      <c r="F327" t="inlineStr">
        <is>
          <t xml:space="preserve">I will not please everyone on the shipyards.</t>
        </is>
      </c>
      <c r="G327" t="inlineStr">
        <is>
          <t xml:space="preserve">We must choose a side on the shipyards.</t>
        </is>
      </c>
      <c r="H327" t="inlineStr">
        <is>
          <t xml:space="preserve">Some lose over the shipyards. So be it.</t>
        </is>
      </c>
      <c r="I327" t="inlineStr">
        <is>
          <t xml:space="preserve">The shipyards needs hard choices.</t>
        </is>
      </c>
    </row>
    <row r="328">
      <c r="A328" t="inlineStr">
        <is>
          <t xml:space="preserve">PL327</t>
        </is>
      </c>
      <c r="B328" t="inlineStr">
        <is>
          <t xml:space="preserve">Divisive</t>
        </is>
      </c>
      <c r="C328" t="inlineStr">
        <is>
          <t xml:space="preserve">block</t>
        </is>
      </c>
      <c r="D328" t="inlineStr">
        <is>
          <t xml:space="preserve">ST60; ST61; ST62</t>
        </is>
      </c>
      <c r="E328" t="inlineStr">
        <is>
          <t xml:space="preserve">That jab on the shipyards fails.</t>
        </is>
      </c>
      <c r="F328" t="inlineStr">
        <is>
          <t xml:space="preserve">Pick a side on the shipyards yourself.</t>
        </is>
      </c>
      <c r="G328" t="inlineStr">
        <is>
          <t xml:space="preserve">Your side caused this over the shipyards.</t>
        </is>
      </c>
      <c r="H328" t="inlineStr">
        <is>
          <t xml:space="preserve">Spare me the sermon on the shipyards.</t>
        </is>
      </c>
      <c r="I328" t="inlineStr">
        <is>
          <t xml:space="preserve">Do not hide behind the shipyards.</t>
        </is>
      </c>
    </row>
    <row r="329">
      <c r="A329" t="inlineStr">
        <is>
          <t xml:space="preserve">PL328</t>
        </is>
      </c>
      <c r="B329" t="inlineStr">
        <is>
          <t xml:space="preserve">Duplicitous</t>
        </is>
      </c>
      <c r="C329" t="inlineStr">
        <is>
          <t xml:space="preserve">attack</t>
        </is>
      </c>
      <c r="D329" t="inlineStr">
        <is>
          <t xml:space="preserve">ST60; ST61; ST62</t>
        </is>
      </c>
      <c r="E329" t="inlineStr">
        <is>
          <t xml:space="preserve">Convenient wording on the shipyards.</t>
        </is>
      </c>
      <c r="F329" t="inlineStr">
        <is>
          <t xml:space="preserve">What are you leaving out on the shipyards?</t>
        </is>
      </c>
      <c r="G329" t="inlineStr">
        <is>
          <t xml:space="preserve">Funny how the shipyards suits you so well.</t>
        </is>
      </c>
      <c r="H329" t="inlineStr">
        <is>
          <t xml:space="preserve">Who benefits from the shipyards, really?</t>
        </is>
      </c>
      <c r="I329" t="inlineStr">
        <is>
          <t xml:space="preserve">Your story on the shipyards has gaps.</t>
        </is>
      </c>
    </row>
    <row r="330">
      <c r="A330" t="inlineStr">
        <is>
          <t xml:space="preserve">PL329</t>
        </is>
      </c>
      <c r="B330" t="inlineStr">
        <is>
          <t xml:space="preserve">Duplicitous</t>
        </is>
      </c>
      <c r="C330" t="inlineStr">
        <is>
          <t xml:space="preserve">gain</t>
        </is>
      </c>
      <c r="D330" t="inlineStr">
        <is>
          <t xml:space="preserve">ST60; ST61; ST62</t>
        </is>
      </c>
      <c r="E330" t="inlineStr">
        <is>
          <t xml:space="preserve">I said what I said on the shipyards.</t>
        </is>
      </c>
      <c r="F330" t="inlineStr">
        <is>
          <t xml:space="preserve">Trust me on the shipyards.</t>
        </is>
      </c>
      <c r="G330" t="inlineStr">
        <is>
          <t xml:space="preserve">Let me reframe the shipyards slightly.</t>
        </is>
      </c>
      <c r="H330" t="inlineStr">
        <is>
          <t xml:space="preserve">Everyone agrees on the shipyards, broadly.</t>
        </is>
      </c>
      <c r="I330" t="inlineStr">
        <is>
          <t xml:space="preserve">The shipyards is simpler than you think.</t>
        </is>
      </c>
    </row>
    <row r="331">
      <c r="A331" t="inlineStr">
        <is>
          <t xml:space="preserve">PL330</t>
        </is>
      </c>
      <c r="B331" t="inlineStr">
        <is>
          <t xml:space="preserve">Duplicitous</t>
        </is>
      </c>
      <c r="C331" t="inlineStr">
        <is>
          <t xml:space="preserve">block</t>
        </is>
      </c>
      <c r="D331" t="inlineStr">
        <is>
          <t xml:space="preserve">ST60; ST61; ST62</t>
        </is>
      </c>
      <c r="E331" t="inlineStr">
        <is>
          <t xml:space="preserve">A fair question on the shipyards. Next.</t>
        </is>
      </c>
      <c r="F331" t="inlineStr">
        <is>
          <t xml:space="preserve">Let us move past the shipyards.</t>
        </is>
      </c>
      <c r="G331" t="inlineStr">
        <is>
          <t xml:space="preserve">That is not my line on the shipyards.</t>
        </is>
      </c>
      <c r="H331" t="inlineStr">
        <is>
          <t xml:space="preserve">You misheard me on the shipyards.</t>
        </is>
      </c>
      <c r="I331" t="inlineStr">
        <is>
          <t xml:space="preserve">I take that as praise on the shipyards.</t>
        </is>
      </c>
    </row>
    <row r="332">
      <c r="A332" t="inlineStr">
        <is>
          <t xml:space="preserve">PL331</t>
        </is>
      </c>
      <c r="B332" t="inlineStr">
        <is>
          <t xml:space="preserve">Earnest</t>
        </is>
      </c>
      <c r="C332" t="inlineStr">
        <is>
          <t xml:space="preserve">attack</t>
        </is>
      </c>
      <c r="D332" t="inlineStr">
        <is>
          <t xml:space="preserve">ST63; ST64; ST65</t>
        </is>
      </c>
      <c r="E332" t="inlineStr">
        <is>
          <t xml:space="preserve">People deserve a straight answer on the review.</t>
        </is>
      </c>
      <c r="F332" t="inlineStr">
        <is>
          <t xml:space="preserve">The review deserves honesty, not slogans.</t>
        </is>
      </c>
      <c r="G332" t="inlineStr">
        <is>
          <t xml:space="preserve">Say plainly what you mean about the review.</t>
        </is>
      </c>
      <c r="H332" t="inlineStr">
        <is>
          <t xml:space="preserve">Be sincere with people about the review.</t>
        </is>
      </c>
      <c r="I332" t="inlineStr">
        <is>
          <t xml:space="preserve">The review is no place for games.</t>
        </is>
      </c>
    </row>
    <row r="333">
      <c r="A333" t="inlineStr">
        <is>
          <t xml:space="preserve">PL332</t>
        </is>
      </c>
      <c r="B333" t="inlineStr">
        <is>
          <t xml:space="preserve">Earnest</t>
        </is>
      </c>
      <c r="C333" t="inlineStr">
        <is>
          <t xml:space="preserve">gain</t>
        </is>
      </c>
      <c r="D333" t="inlineStr">
        <is>
          <t xml:space="preserve">ST63; ST64; ST65</t>
        </is>
      </c>
      <c r="E333" t="inlineStr">
        <is>
          <t xml:space="preserve">Here is my honest view on the review.</t>
        </is>
      </c>
      <c r="F333" t="inlineStr">
        <is>
          <t xml:space="preserve">I mean every word about the review.</t>
        </is>
      </c>
      <c r="G333" t="inlineStr">
        <is>
          <t xml:space="preserve">People can trust me on the review.</t>
        </is>
      </c>
      <c r="H333" t="inlineStr">
        <is>
          <t xml:space="preserve">The review matters to me personally.</t>
        </is>
      </c>
      <c r="I333" t="inlineStr">
        <is>
          <t xml:space="preserve">I will be honest about the review.</t>
        </is>
      </c>
    </row>
    <row r="334">
      <c r="A334" t="inlineStr">
        <is>
          <t xml:space="preserve">PL333</t>
        </is>
      </c>
      <c r="B334" t="inlineStr">
        <is>
          <t xml:space="preserve">Earnest</t>
        </is>
      </c>
      <c r="C334" t="inlineStr">
        <is>
          <t xml:space="preserve">block</t>
        </is>
      </c>
      <c r="D334" t="inlineStr">
        <is>
          <t xml:space="preserve">ST63; ST64; ST65</t>
        </is>
      </c>
      <c r="E334" t="inlineStr">
        <is>
          <t xml:space="preserve">My view on the review is sincere.</t>
        </is>
      </c>
      <c r="F334" t="inlineStr">
        <is>
          <t xml:space="preserve">I will not dodge the review.</t>
        </is>
      </c>
      <c r="G334" t="inlineStr">
        <is>
          <t xml:space="preserve">You can ask me about the review.</t>
        </is>
      </c>
      <c r="H334" t="inlineStr">
        <is>
          <t xml:space="preserve">I stand by what I said.</t>
        </is>
      </c>
      <c r="I334" t="inlineStr">
        <is>
          <t xml:space="preserve">Ask plainly. I will answer plainly.</t>
        </is>
      </c>
    </row>
    <row r="335">
      <c r="A335" t="inlineStr">
        <is>
          <t xml:space="preserve">PL334</t>
        </is>
      </c>
      <c r="B335" t="inlineStr">
        <is>
          <t xml:space="preserve">Emotional</t>
        </is>
      </c>
      <c r="C335" t="inlineStr">
        <is>
          <t xml:space="preserve">attack</t>
        </is>
      </c>
      <c r="D335" t="inlineStr">
        <is>
          <t xml:space="preserve">ST63; ST64; ST65</t>
        </is>
      </c>
      <c r="E335" t="inlineStr">
        <is>
          <t xml:space="preserve">Tell that to those hurt by the review.</t>
        </is>
      </c>
      <c r="F335" t="inlineStr">
        <is>
          <t xml:space="preserve">Think of the families behind the review.</t>
        </is>
      </c>
      <c r="G335" t="inlineStr">
        <is>
          <t xml:space="preserve">Look at the faces affected by the review.</t>
        </is>
      </c>
      <c r="H335" t="inlineStr">
        <is>
          <t xml:space="preserve">The review is about real people.</t>
        </is>
      </c>
      <c r="I335" t="inlineStr">
        <is>
          <t xml:space="preserve">Do you feel nothing about the review?</t>
        </is>
      </c>
    </row>
    <row r="336">
      <c r="A336" t="inlineStr">
        <is>
          <t xml:space="preserve">PL335</t>
        </is>
      </c>
      <c r="B336" t="inlineStr">
        <is>
          <t xml:space="preserve">Emotional</t>
        </is>
      </c>
      <c r="C336" t="inlineStr">
        <is>
          <t xml:space="preserve">gain</t>
        </is>
      </c>
      <c r="D336" t="inlineStr">
        <is>
          <t xml:space="preserve">ST63; ST64; ST65</t>
        </is>
      </c>
      <c r="E336" t="inlineStr">
        <is>
          <t xml:space="preserve">Every family I met raised the review.</t>
        </is>
      </c>
      <c r="F336" t="inlineStr">
        <is>
          <t xml:space="preserve">I have met people touched by the review.</t>
        </is>
      </c>
      <c r="G336" t="inlineStr">
        <is>
          <t xml:space="preserve">The review weighs on me.</t>
        </is>
      </c>
      <c r="H336" t="inlineStr">
        <is>
          <t xml:space="preserve">Their stories made me care about the review.</t>
        </is>
      </c>
      <c r="I336" t="inlineStr">
        <is>
          <t xml:space="preserve">I carry those families with me.</t>
        </is>
      </c>
    </row>
    <row r="337">
      <c r="A337" t="inlineStr">
        <is>
          <t xml:space="preserve">PL336</t>
        </is>
      </c>
      <c r="B337" t="inlineStr">
        <is>
          <t xml:space="preserve">Emotional</t>
        </is>
      </c>
      <c r="C337" t="inlineStr">
        <is>
          <t xml:space="preserve">block</t>
        </is>
      </c>
      <c r="D337" t="inlineStr">
        <is>
          <t xml:space="preserve">ST63; ST64; ST65</t>
        </is>
      </c>
      <c r="E337" t="inlineStr">
        <is>
          <t xml:space="preserve">Speak gently about the review.</t>
        </is>
      </c>
      <c r="F337" t="inlineStr">
        <is>
          <t xml:space="preserve">You cannot dismiss people over the review.</t>
        </is>
      </c>
      <c r="G337" t="inlineStr">
        <is>
          <t xml:space="preserve">Do not turn the review into a game.</t>
        </is>
      </c>
      <c r="H337" t="inlineStr">
        <is>
          <t xml:space="preserve">I will not shrink their stories.</t>
        </is>
      </c>
      <c r="I337" t="inlineStr">
        <is>
          <t xml:space="preserve">These are people, not statistics.</t>
        </is>
      </c>
    </row>
    <row r="338">
      <c r="A338" t="inlineStr">
        <is>
          <t xml:space="preserve">PL337</t>
        </is>
      </c>
      <c r="B338" t="inlineStr">
        <is>
          <t xml:space="preserve">Appeal</t>
        </is>
      </c>
      <c r="C338" t="inlineStr">
        <is>
          <t xml:space="preserve">attack</t>
        </is>
      </c>
      <c r="D338" t="inlineStr">
        <is>
          <t xml:space="preserve">ST63; ST64; ST65</t>
        </is>
      </c>
      <c r="E338" t="inlineStr">
        <is>
          <t xml:space="preserve">Voters have spoken on the review.</t>
        </is>
      </c>
      <c r="F338" t="inlineStr">
        <is>
          <t xml:space="preserve">People want answers on the review.</t>
        </is>
      </c>
      <c r="G338" t="inlineStr">
        <is>
          <t xml:space="preserve">Ask anyone in the street about the review.</t>
        </is>
      </c>
      <c r="H338" t="inlineStr">
        <is>
          <t xml:space="preserve">The public wants less spin on the review.</t>
        </is>
      </c>
      <c r="I338" t="inlineStr">
        <is>
          <t xml:space="preserve">Most people disagree with you on the review.</t>
        </is>
      </c>
    </row>
    <row r="339">
      <c r="A339" t="inlineStr">
        <is>
          <t xml:space="preserve">PL338</t>
        </is>
      </c>
      <c r="B339" t="inlineStr">
        <is>
          <t xml:space="preserve">Appeal</t>
        </is>
      </c>
      <c r="C339" t="inlineStr">
        <is>
          <t xml:space="preserve">gain</t>
        </is>
      </c>
      <c r="D339" t="inlineStr">
        <is>
          <t xml:space="preserve">ST63; ST64; ST65</t>
        </is>
      </c>
      <c r="E339" t="inlineStr">
        <is>
          <t xml:space="preserve">The public mood favours the review.</t>
        </is>
      </c>
      <c r="F339" t="inlineStr">
        <is>
          <t xml:space="preserve">Most people I meet back the review.</t>
        </is>
      </c>
      <c r="G339" t="inlineStr">
        <is>
          <t xml:space="preserve">Ordinary people want action on the review.</t>
        </is>
      </c>
      <c r="H339" t="inlineStr">
        <is>
          <t xml:space="preserve">Voters keep raising the review.</t>
        </is>
      </c>
      <c r="I339" t="inlineStr">
        <is>
          <t xml:space="preserve">Ask around. People care about the review.</t>
        </is>
      </c>
    </row>
    <row r="340">
      <c r="A340" t="inlineStr">
        <is>
          <t xml:space="preserve">PL339</t>
        </is>
      </c>
      <c r="B340" t="inlineStr">
        <is>
          <t xml:space="preserve">Appeal</t>
        </is>
      </c>
      <c r="C340" t="inlineStr">
        <is>
          <t xml:space="preserve">block</t>
        </is>
      </c>
      <c r="D340" t="inlineStr">
        <is>
          <t xml:space="preserve">ST63; ST64; ST65</t>
        </is>
      </c>
      <c r="E340" t="inlineStr">
        <is>
          <t xml:space="preserve">I hear all sides on the review.</t>
        </is>
      </c>
      <c r="F340" t="inlineStr">
        <is>
          <t xml:space="preserve">Do not speak for everyone on the review.</t>
        </is>
      </c>
      <c r="G340" t="inlineStr">
        <is>
          <t xml:space="preserve">People are divided on the review.</t>
        </is>
      </c>
      <c r="H340" t="inlineStr">
        <is>
          <t xml:space="preserve">Do not claim the crowd on the review.</t>
        </is>
      </c>
      <c r="I340" t="inlineStr">
        <is>
          <t xml:space="preserve">Let the public decide the review.</t>
        </is>
      </c>
    </row>
    <row r="341">
      <c r="A341" t="inlineStr">
        <is>
          <t xml:space="preserve">PL340</t>
        </is>
      </c>
      <c r="B341" t="inlineStr">
        <is>
          <t xml:space="preserve">Data Driven</t>
        </is>
      </c>
      <c r="C341" t="inlineStr">
        <is>
          <t xml:space="preserve">attack</t>
        </is>
      </c>
      <c r="D341" t="inlineStr">
        <is>
          <t xml:space="preserve">ST63; ST64; ST65</t>
        </is>
      </c>
      <c r="E341" t="inlineStr">
        <is>
          <t xml:space="preserve">Those the review statistics are selective.</t>
        </is>
      </c>
      <c r="F341" t="inlineStr">
        <is>
          <t xml:space="preserve">Where are the figures on the review?</t>
        </is>
      </c>
      <c r="G341" t="inlineStr">
        <is>
          <t xml:space="preserve">Your numbers on the review do not hold.</t>
        </is>
      </c>
      <c r="H341" t="inlineStr">
        <is>
          <t xml:space="preserve">Show the evidence for the review.</t>
        </is>
      </c>
      <c r="I341" t="inlineStr">
        <is>
          <t xml:space="preserve">What is the real cost of the review?</t>
        </is>
      </c>
    </row>
    <row r="342">
      <c r="A342" t="inlineStr">
        <is>
          <t xml:space="preserve">PL341</t>
        </is>
      </c>
      <c r="B342" t="inlineStr">
        <is>
          <t xml:space="preserve">Data Driven</t>
        </is>
      </c>
      <c r="C342" t="inlineStr">
        <is>
          <t xml:space="preserve">gain</t>
        </is>
      </c>
      <c r="D342" t="inlineStr">
        <is>
          <t xml:space="preserve">ST63; ST64; ST65</t>
        </is>
      </c>
      <c r="E342" t="inlineStr">
        <is>
          <t xml:space="preserve">The numbers on the review hold.</t>
        </is>
      </c>
      <c r="F342" t="inlineStr">
        <is>
          <t xml:space="preserve">The evidence on the review is clear.</t>
        </is>
      </c>
      <c r="G342" t="inlineStr">
        <is>
          <t xml:space="preserve">Here are the figures on the review.</t>
        </is>
      </c>
      <c r="H342" t="inlineStr">
        <is>
          <t xml:space="preserve">Studies on the review support this.</t>
        </is>
      </c>
      <c r="I342" t="inlineStr">
        <is>
          <t xml:space="preserve">The cost of the review adds up.</t>
        </is>
      </c>
    </row>
    <row r="343">
      <c r="A343" t="inlineStr">
        <is>
          <t xml:space="preserve">PL342</t>
        </is>
      </c>
      <c r="B343" t="inlineStr">
        <is>
          <t xml:space="preserve">Data Driven</t>
        </is>
      </c>
      <c r="C343" t="inlineStr">
        <is>
          <t xml:space="preserve">block</t>
        </is>
      </c>
      <c r="D343" t="inlineStr">
        <is>
          <t xml:space="preserve">ST63; ST64; ST65</t>
        </is>
      </c>
      <c r="E343" t="inlineStr">
        <is>
          <t xml:space="preserve">That is not what the data shows.</t>
        </is>
      </c>
      <c r="F343" t="inlineStr">
        <is>
          <t xml:space="preserve">Check the source on the review.</t>
        </is>
      </c>
      <c r="G343" t="inlineStr">
        <is>
          <t xml:space="preserve">Those figures on the review are misread.</t>
        </is>
      </c>
      <c r="H343" t="inlineStr">
        <is>
          <t xml:space="preserve">The data does not say that.</t>
        </is>
      </c>
      <c r="I343" t="inlineStr">
        <is>
          <t xml:space="preserve">Read the full report on the review.</t>
        </is>
      </c>
    </row>
    <row r="344">
      <c r="A344" t="inlineStr">
        <is>
          <t xml:space="preserve">PL343</t>
        </is>
      </c>
      <c r="B344" t="inlineStr">
        <is>
          <t xml:space="preserve">Divisive</t>
        </is>
      </c>
      <c r="C344" t="inlineStr">
        <is>
          <t xml:space="preserve">attack</t>
        </is>
      </c>
      <c r="D344" t="inlineStr">
        <is>
          <t xml:space="preserve">ST63; ST64; ST65</t>
        </is>
      </c>
      <c r="E344" t="inlineStr">
        <is>
          <t xml:space="preserve">Wrong side of the review. Own it.</t>
        </is>
      </c>
      <c r="F344" t="inlineStr">
        <is>
          <t xml:space="preserve">The review serves insiders, not you.</t>
        </is>
      </c>
      <c r="G344" t="inlineStr">
        <is>
          <t xml:space="preserve">Whose side are you on over the review?</t>
        </is>
      </c>
      <c r="H344" t="inlineStr">
        <is>
          <t xml:space="preserve">You work against the public on the review.</t>
        </is>
      </c>
      <c r="I344" t="inlineStr">
        <is>
          <t xml:space="preserve">This is a fight over the review.</t>
        </is>
      </c>
    </row>
    <row r="345">
      <c r="A345" t="inlineStr">
        <is>
          <t xml:space="preserve">PL344</t>
        </is>
      </c>
      <c r="B345" t="inlineStr">
        <is>
          <t xml:space="preserve">Divisive</t>
        </is>
      </c>
      <c r="C345" t="inlineStr">
        <is>
          <t xml:space="preserve">gain</t>
        </is>
      </c>
      <c r="D345" t="inlineStr">
        <is>
          <t xml:space="preserve">ST63; ST64; ST65</t>
        </is>
      </c>
      <c r="E345" t="inlineStr">
        <is>
          <t xml:space="preserve">I will not please everyone on the review.</t>
        </is>
      </c>
      <c r="F345" t="inlineStr">
        <is>
          <t xml:space="preserve">We must choose a side on the review.</t>
        </is>
      </c>
      <c r="G345" t="inlineStr">
        <is>
          <t xml:space="preserve">Some lose over the review. So be it.</t>
        </is>
      </c>
      <c r="H345" t="inlineStr">
        <is>
          <t xml:space="preserve">The review needs hard choices.</t>
        </is>
      </c>
      <c r="I345" t="inlineStr">
        <is>
          <t xml:space="preserve">There is no middle ground on the review.</t>
        </is>
      </c>
    </row>
    <row r="346">
      <c r="A346" t="inlineStr">
        <is>
          <t xml:space="preserve">PL345</t>
        </is>
      </c>
      <c r="B346" t="inlineStr">
        <is>
          <t xml:space="preserve">Divisive</t>
        </is>
      </c>
      <c r="C346" t="inlineStr">
        <is>
          <t xml:space="preserve">block</t>
        </is>
      </c>
      <c r="D346" t="inlineStr">
        <is>
          <t xml:space="preserve">ST63; ST64; ST65</t>
        </is>
      </c>
      <c r="E346" t="inlineStr">
        <is>
          <t xml:space="preserve">Pick a side on the review yourself.</t>
        </is>
      </c>
      <c r="F346" t="inlineStr">
        <is>
          <t xml:space="preserve">Your side caused this over the review.</t>
        </is>
      </c>
      <c r="G346" t="inlineStr">
        <is>
          <t xml:space="preserve">Spare me the sermon on the review.</t>
        </is>
      </c>
      <c r="H346" t="inlineStr">
        <is>
          <t xml:space="preserve">Do not hide behind the review.</t>
        </is>
      </c>
      <c r="I346" t="inlineStr">
        <is>
          <t xml:space="preserve">That jab on the review fails.</t>
        </is>
      </c>
    </row>
    <row r="347">
      <c r="A347" t="inlineStr">
        <is>
          <t xml:space="preserve">PL346</t>
        </is>
      </c>
      <c r="B347" t="inlineStr">
        <is>
          <t xml:space="preserve">Duplicitous</t>
        </is>
      </c>
      <c r="C347" t="inlineStr">
        <is>
          <t xml:space="preserve">attack</t>
        </is>
      </c>
      <c r="D347" t="inlineStr">
        <is>
          <t xml:space="preserve">ST63; ST64; ST65</t>
        </is>
      </c>
      <c r="E347" t="inlineStr">
        <is>
          <t xml:space="preserve">What are you leaving out on the review?</t>
        </is>
      </c>
      <c r="F347" t="inlineStr">
        <is>
          <t xml:space="preserve">Funny how the review suits you so well.</t>
        </is>
      </c>
      <c r="G347" t="inlineStr">
        <is>
          <t xml:space="preserve">Who benefits from the review, really?</t>
        </is>
      </c>
      <c r="H347" t="inlineStr">
        <is>
          <t xml:space="preserve">Your story on the review has gaps.</t>
        </is>
      </c>
      <c r="I347" t="inlineStr">
        <is>
          <t xml:space="preserve">Convenient wording on the review.</t>
        </is>
      </c>
    </row>
    <row r="348">
      <c r="A348" t="inlineStr">
        <is>
          <t xml:space="preserve">PL347</t>
        </is>
      </c>
      <c r="B348" t="inlineStr">
        <is>
          <t xml:space="preserve">Duplicitous</t>
        </is>
      </c>
      <c r="C348" t="inlineStr">
        <is>
          <t xml:space="preserve">gain</t>
        </is>
      </c>
      <c r="D348" t="inlineStr">
        <is>
          <t xml:space="preserve">ST63; ST64; ST65</t>
        </is>
      </c>
      <c r="E348" t="inlineStr">
        <is>
          <t xml:space="preserve">Trust me on the review.</t>
        </is>
      </c>
      <c r="F348" t="inlineStr">
        <is>
          <t xml:space="preserve">Let me reframe the review slightly.</t>
        </is>
      </c>
      <c r="G348" t="inlineStr">
        <is>
          <t xml:space="preserve">Everyone agrees on the review, broadly.</t>
        </is>
      </c>
      <c r="H348" t="inlineStr">
        <is>
          <t xml:space="preserve">The review is simpler than you think.</t>
        </is>
      </c>
      <c r="I348" t="inlineStr">
        <is>
          <t xml:space="preserve">I said what I said on the review.</t>
        </is>
      </c>
    </row>
    <row r="349">
      <c r="A349" t="inlineStr">
        <is>
          <t xml:space="preserve">PL348</t>
        </is>
      </c>
      <c r="B349" t="inlineStr">
        <is>
          <t xml:space="preserve">Duplicitous</t>
        </is>
      </c>
      <c r="C349" t="inlineStr">
        <is>
          <t xml:space="preserve">block</t>
        </is>
      </c>
      <c r="D349" t="inlineStr">
        <is>
          <t xml:space="preserve">ST63; ST64; ST65</t>
        </is>
      </c>
      <c r="E349" t="inlineStr">
        <is>
          <t xml:space="preserve">Let us move past the review.</t>
        </is>
      </c>
      <c r="F349" t="inlineStr">
        <is>
          <t xml:space="preserve">That is not my line on the review.</t>
        </is>
      </c>
      <c r="G349" t="inlineStr">
        <is>
          <t xml:space="preserve">You misheard me on the review.</t>
        </is>
      </c>
      <c r="H349" t="inlineStr">
        <is>
          <t xml:space="preserve">I take that as praise on the review.</t>
        </is>
      </c>
      <c r="I349" t="inlineStr">
        <is>
          <t xml:space="preserve">A fair question on the review. Next.</t>
        </is>
      </c>
    </row>
    <row r="350">
      <c r="A350" t="inlineStr">
        <is>
          <t xml:space="preserve">PL349</t>
        </is>
      </c>
      <c r="B350" t="inlineStr">
        <is>
          <t xml:space="preserve">Earnest</t>
        </is>
      </c>
      <c r="C350" t="inlineStr">
        <is>
          <t xml:space="preserve">attack</t>
        </is>
      </c>
      <c r="D350" t="inlineStr">
        <is>
          <t xml:space="preserve">ST66; ST67; ST68</t>
        </is>
      </c>
      <c r="E350" t="inlineStr">
        <is>
          <t xml:space="preserve">Border sharing deserves honesty, not slogans.</t>
        </is>
      </c>
      <c r="F350" t="inlineStr">
        <is>
          <t xml:space="preserve">Say plainly what you mean about border sharing.</t>
        </is>
      </c>
      <c r="G350" t="inlineStr">
        <is>
          <t xml:space="preserve">Be sincere with people about border sharing.</t>
        </is>
      </c>
      <c r="H350" t="inlineStr">
        <is>
          <t xml:space="preserve">Border sharing is no place for games.</t>
        </is>
      </c>
      <c r="I350" t="inlineStr">
        <is>
          <t xml:space="preserve">People deserve a straight answer on border sharing.</t>
        </is>
      </c>
    </row>
    <row r="351">
      <c r="A351" t="inlineStr">
        <is>
          <t xml:space="preserve">PL350</t>
        </is>
      </c>
      <c r="B351" t="inlineStr">
        <is>
          <t xml:space="preserve">Earnest</t>
        </is>
      </c>
      <c r="C351" t="inlineStr">
        <is>
          <t xml:space="preserve">gain</t>
        </is>
      </c>
      <c r="D351" t="inlineStr">
        <is>
          <t xml:space="preserve">ST66; ST67; ST68</t>
        </is>
      </c>
      <c r="E351" t="inlineStr">
        <is>
          <t xml:space="preserve">I mean every word about border sharing.</t>
        </is>
      </c>
      <c r="F351" t="inlineStr">
        <is>
          <t xml:space="preserve">People can trust me on border sharing.</t>
        </is>
      </c>
      <c r="G351" t="inlineStr">
        <is>
          <t xml:space="preserve">Border sharing matters to me personally.</t>
        </is>
      </c>
      <c r="H351" t="inlineStr">
        <is>
          <t xml:space="preserve">I will be honest about border sharing.</t>
        </is>
      </c>
      <c r="I351" t="inlineStr">
        <is>
          <t xml:space="preserve">Here is my honest view on border sharing.</t>
        </is>
      </c>
    </row>
    <row r="352">
      <c r="A352" t="inlineStr">
        <is>
          <t xml:space="preserve">PL351</t>
        </is>
      </c>
      <c r="B352" t="inlineStr">
        <is>
          <t xml:space="preserve">Earnest</t>
        </is>
      </c>
      <c r="C352" t="inlineStr">
        <is>
          <t xml:space="preserve">block</t>
        </is>
      </c>
      <c r="D352" t="inlineStr">
        <is>
          <t xml:space="preserve">ST66; ST67; ST68</t>
        </is>
      </c>
      <c r="E352" t="inlineStr">
        <is>
          <t xml:space="preserve">I will not dodge border sharing.</t>
        </is>
      </c>
      <c r="F352" t="inlineStr">
        <is>
          <t xml:space="preserve">You can ask me about border sharing.</t>
        </is>
      </c>
      <c r="G352" t="inlineStr">
        <is>
          <t xml:space="preserve">I stand by what I said.</t>
        </is>
      </c>
      <c r="H352" t="inlineStr">
        <is>
          <t xml:space="preserve">Ask plainly. I will answer plainly.</t>
        </is>
      </c>
      <c r="I352" t="inlineStr">
        <is>
          <t xml:space="preserve">My view on border sharing is sincere.</t>
        </is>
      </c>
    </row>
    <row r="353">
      <c r="A353" t="inlineStr">
        <is>
          <t xml:space="preserve">PL352</t>
        </is>
      </c>
      <c r="B353" t="inlineStr">
        <is>
          <t xml:space="preserve">Emotional</t>
        </is>
      </c>
      <c r="C353" t="inlineStr">
        <is>
          <t xml:space="preserve">attack</t>
        </is>
      </c>
      <c r="D353" t="inlineStr">
        <is>
          <t xml:space="preserve">ST66; ST67; ST68</t>
        </is>
      </c>
      <c r="E353" t="inlineStr">
        <is>
          <t xml:space="preserve">Think of the families behind border sharing.</t>
        </is>
      </c>
      <c r="F353" t="inlineStr">
        <is>
          <t xml:space="preserve">Look at the faces affected by border sharing.</t>
        </is>
      </c>
      <c r="G353" t="inlineStr">
        <is>
          <t xml:space="preserve">Border sharing is about real people.</t>
        </is>
      </c>
      <c r="H353" t="inlineStr">
        <is>
          <t xml:space="preserve">Do you feel nothing about border sharing?</t>
        </is>
      </c>
      <c r="I353" t="inlineStr">
        <is>
          <t xml:space="preserve">Tell that to those hurt by border sharing.</t>
        </is>
      </c>
    </row>
    <row r="354">
      <c r="A354" t="inlineStr">
        <is>
          <t xml:space="preserve">PL353</t>
        </is>
      </c>
      <c r="B354" t="inlineStr">
        <is>
          <t xml:space="preserve">Emotional</t>
        </is>
      </c>
      <c r="C354" t="inlineStr">
        <is>
          <t xml:space="preserve">gain</t>
        </is>
      </c>
      <c r="D354" t="inlineStr">
        <is>
          <t xml:space="preserve">ST66; ST67; ST68</t>
        </is>
      </c>
      <c r="E354" t="inlineStr">
        <is>
          <t xml:space="preserve">I have met people touched by border sharing.</t>
        </is>
      </c>
      <c r="F354" t="inlineStr">
        <is>
          <t xml:space="preserve">Border sharing weighs on me.</t>
        </is>
      </c>
      <c r="G354" t="inlineStr">
        <is>
          <t xml:space="preserve">Their stories made me care about border sharing.</t>
        </is>
      </c>
      <c r="H354" t="inlineStr">
        <is>
          <t xml:space="preserve">I carry those families with me.</t>
        </is>
      </c>
      <c r="I354" t="inlineStr">
        <is>
          <t xml:space="preserve">Every family I met raised border sharing.</t>
        </is>
      </c>
    </row>
    <row r="355">
      <c r="A355" t="inlineStr">
        <is>
          <t xml:space="preserve">PL354</t>
        </is>
      </c>
      <c r="B355" t="inlineStr">
        <is>
          <t xml:space="preserve">Emotional</t>
        </is>
      </c>
      <c r="C355" t="inlineStr">
        <is>
          <t xml:space="preserve">block</t>
        </is>
      </c>
      <c r="D355" t="inlineStr">
        <is>
          <t xml:space="preserve">ST66; ST67; ST68</t>
        </is>
      </c>
      <c r="E355" t="inlineStr">
        <is>
          <t xml:space="preserve">You cannot dismiss people over border sharing.</t>
        </is>
      </c>
      <c r="F355" t="inlineStr">
        <is>
          <t xml:space="preserve">Do not turn border sharing into a game.</t>
        </is>
      </c>
      <c r="G355" t="inlineStr">
        <is>
          <t xml:space="preserve">I will not shrink their stories.</t>
        </is>
      </c>
      <c r="H355" t="inlineStr">
        <is>
          <t xml:space="preserve">These are people, not statistics.</t>
        </is>
      </c>
      <c r="I355" t="inlineStr">
        <is>
          <t xml:space="preserve">Speak gently about border sharing.</t>
        </is>
      </c>
    </row>
    <row r="356">
      <c r="A356" t="inlineStr">
        <is>
          <t xml:space="preserve">PL355</t>
        </is>
      </c>
      <c r="B356" t="inlineStr">
        <is>
          <t xml:space="preserve">Appeal</t>
        </is>
      </c>
      <c r="C356" t="inlineStr">
        <is>
          <t xml:space="preserve">attack</t>
        </is>
      </c>
      <c r="D356" t="inlineStr">
        <is>
          <t xml:space="preserve">ST66; ST67; ST68</t>
        </is>
      </c>
      <c r="E356" t="inlineStr">
        <is>
          <t xml:space="preserve">People want answers on border sharing.</t>
        </is>
      </c>
      <c r="F356" t="inlineStr">
        <is>
          <t xml:space="preserve">Ask anyone in the street about border sharing.</t>
        </is>
      </c>
      <c r="G356" t="inlineStr">
        <is>
          <t xml:space="preserve">The public wants less spin on border sharing.</t>
        </is>
      </c>
      <c r="H356" t="inlineStr">
        <is>
          <t xml:space="preserve">Most people disagree with you on border sharing.</t>
        </is>
      </c>
      <c r="I356" t="inlineStr">
        <is>
          <t xml:space="preserve">Voters have spoken on border sharing.</t>
        </is>
      </c>
    </row>
    <row r="357">
      <c r="A357" t="inlineStr">
        <is>
          <t xml:space="preserve">PL356</t>
        </is>
      </c>
      <c r="B357" t="inlineStr">
        <is>
          <t xml:space="preserve">Appeal</t>
        </is>
      </c>
      <c r="C357" t="inlineStr">
        <is>
          <t xml:space="preserve">gain</t>
        </is>
      </c>
      <c r="D357" t="inlineStr">
        <is>
          <t xml:space="preserve">ST66; ST67; ST68</t>
        </is>
      </c>
      <c r="E357" t="inlineStr">
        <is>
          <t xml:space="preserve">Most people I meet back border sharing.</t>
        </is>
      </c>
      <c r="F357" t="inlineStr">
        <is>
          <t xml:space="preserve">Ordinary people want action on border sharing.</t>
        </is>
      </c>
      <c r="G357" t="inlineStr">
        <is>
          <t xml:space="preserve">Voters keep raising border sharing.</t>
        </is>
      </c>
      <c r="H357" t="inlineStr">
        <is>
          <t xml:space="preserve">Ask around. People care about border sharing.</t>
        </is>
      </c>
      <c r="I357" t="inlineStr">
        <is>
          <t xml:space="preserve">The public mood favours border sharing.</t>
        </is>
      </c>
    </row>
    <row r="358">
      <c r="A358" t="inlineStr">
        <is>
          <t xml:space="preserve">PL357</t>
        </is>
      </c>
      <c r="B358" t="inlineStr">
        <is>
          <t xml:space="preserve">Appeal</t>
        </is>
      </c>
      <c r="C358" t="inlineStr">
        <is>
          <t xml:space="preserve">block</t>
        </is>
      </c>
      <c r="D358" t="inlineStr">
        <is>
          <t xml:space="preserve">ST66; ST67; ST68</t>
        </is>
      </c>
      <c r="E358" t="inlineStr">
        <is>
          <t xml:space="preserve">Do not speak for everyone on border sharing.</t>
        </is>
      </c>
      <c r="F358" t="inlineStr">
        <is>
          <t xml:space="preserve">People are divided on border sharing.</t>
        </is>
      </c>
      <c r="G358" t="inlineStr">
        <is>
          <t xml:space="preserve">Do not claim the crowd on border sharing.</t>
        </is>
      </c>
      <c r="H358" t="inlineStr">
        <is>
          <t xml:space="preserve">Let the public decide border sharing.</t>
        </is>
      </c>
      <c r="I358" t="inlineStr">
        <is>
          <t xml:space="preserve">I hear all sides on border sharing.</t>
        </is>
      </c>
    </row>
    <row r="359">
      <c r="A359" t="inlineStr">
        <is>
          <t xml:space="preserve">PL358</t>
        </is>
      </c>
      <c r="B359" t="inlineStr">
        <is>
          <t xml:space="preserve">Data Driven</t>
        </is>
      </c>
      <c r="C359" t="inlineStr">
        <is>
          <t xml:space="preserve">attack</t>
        </is>
      </c>
      <c r="D359" t="inlineStr">
        <is>
          <t xml:space="preserve">ST66; ST67; ST68</t>
        </is>
      </c>
      <c r="E359" t="inlineStr">
        <is>
          <t xml:space="preserve">Where are the figures on border sharing?</t>
        </is>
      </c>
      <c r="F359" t="inlineStr">
        <is>
          <t xml:space="preserve">Your numbers on border sharing do not hold.</t>
        </is>
      </c>
      <c r="G359" t="inlineStr">
        <is>
          <t xml:space="preserve">Show the evidence for border sharing.</t>
        </is>
      </c>
      <c r="H359" t="inlineStr">
        <is>
          <t xml:space="preserve">What is the real cost of border sharing?</t>
        </is>
      </c>
      <c r="I359" t="inlineStr">
        <is>
          <t xml:space="preserve">Those border sharing statistics are selective.</t>
        </is>
      </c>
    </row>
    <row r="360">
      <c r="A360" t="inlineStr">
        <is>
          <t xml:space="preserve">PL359</t>
        </is>
      </c>
      <c r="B360" t="inlineStr">
        <is>
          <t xml:space="preserve">Data Driven</t>
        </is>
      </c>
      <c r="C360" t="inlineStr">
        <is>
          <t xml:space="preserve">gain</t>
        </is>
      </c>
      <c r="D360" t="inlineStr">
        <is>
          <t xml:space="preserve">ST66; ST67; ST68</t>
        </is>
      </c>
      <c r="E360" t="inlineStr">
        <is>
          <t xml:space="preserve">The evidence on border sharing is clear.</t>
        </is>
      </c>
      <c r="F360" t="inlineStr">
        <is>
          <t xml:space="preserve">Here are the figures on border sharing.</t>
        </is>
      </c>
      <c r="G360" t="inlineStr">
        <is>
          <t xml:space="preserve">Studies on border sharing support this.</t>
        </is>
      </c>
      <c r="H360" t="inlineStr">
        <is>
          <t xml:space="preserve">The cost of border sharing adds up.</t>
        </is>
      </c>
      <c r="I360" t="inlineStr">
        <is>
          <t xml:space="preserve">The numbers on border sharing hold.</t>
        </is>
      </c>
    </row>
    <row r="361">
      <c r="A361" t="inlineStr">
        <is>
          <t xml:space="preserve">PL360</t>
        </is>
      </c>
      <c r="B361" t="inlineStr">
        <is>
          <t xml:space="preserve">Data Driven</t>
        </is>
      </c>
      <c r="C361" t="inlineStr">
        <is>
          <t xml:space="preserve">block</t>
        </is>
      </c>
      <c r="D361" t="inlineStr">
        <is>
          <t xml:space="preserve">ST66; ST67; ST68</t>
        </is>
      </c>
      <c r="E361" t="inlineStr">
        <is>
          <t xml:space="preserve">Check the source on border sharing.</t>
        </is>
      </c>
      <c r="F361" t="inlineStr">
        <is>
          <t xml:space="preserve">Those figures on border sharing are misread.</t>
        </is>
      </c>
      <c r="G361" t="inlineStr">
        <is>
          <t xml:space="preserve">The data does not say that.</t>
        </is>
      </c>
      <c r="H361" t="inlineStr">
        <is>
          <t xml:space="preserve">Read the full report on border sharing.</t>
        </is>
      </c>
      <c r="I361" t="inlineStr">
        <is>
          <t xml:space="preserve">That is not what the data shows.</t>
        </is>
      </c>
    </row>
    <row r="362">
      <c r="A362" t="inlineStr">
        <is>
          <t xml:space="preserve">PL361</t>
        </is>
      </c>
      <c r="B362" t="inlineStr">
        <is>
          <t xml:space="preserve">Divisive</t>
        </is>
      </c>
      <c r="C362" t="inlineStr">
        <is>
          <t xml:space="preserve">attack</t>
        </is>
      </c>
      <c r="D362" t="inlineStr">
        <is>
          <t xml:space="preserve">ST66; ST67; ST68</t>
        </is>
      </c>
      <c r="E362" t="inlineStr">
        <is>
          <t xml:space="preserve">Border sharing serves insiders, not you.</t>
        </is>
      </c>
      <c r="F362" t="inlineStr">
        <is>
          <t xml:space="preserve">Whose side are you on over border sharing?</t>
        </is>
      </c>
      <c r="G362" t="inlineStr">
        <is>
          <t xml:space="preserve">You work against the public on border sharing.</t>
        </is>
      </c>
      <c r="H362" t="inlineStr">
        <is>
          <t xml:space="preserve">This is a fight over border sharing.</t>
        </is>
      </c>
      <c r="I362" t="inlineStr">
        <is>
          <t xml:space="preserve">Wrong side of border sharing. Own it.</t>
        </is>
      </c>
    </row>
    <row r="363">
      <c r="A363" t="inlineStr">
        <is>
          <t xml:space="preserve">PL362</t>
        </is>
      </c>
      <c r="B363" t="inlineStr">
        <is>
          <t xml:space="preserve">Divisive</t>
        </is>
      </c>
      <c r="C363" t="inlineStr">
        <is>
          <t xml:space="preserve">gain</t>
        </is>
      </c>
      <c r="D363" t="inlineStr">
        <is>
          <t xml:space="preserve">ST66; ST67; ST68</t>
        </is>
      </c>
      <c r="E363" t="inlineStr">
        <is>
          <t xml:space="preserve">We must choose a side on border sharing.</t>
        </is>
      </c>
      <c r="F363" t="inlineStr">
        <is>
          <t xml:space="preserve">Some lose over border sharing. So be it.</t>
        </is>
      </c>
      <c r="G363" t="inlineStr">
        <is>
          <t xml:space="preserve">Border sharing needs hard choices.</t>
        </is>
      </c>
      <c r="H363" t="inlineStr">
        <is>
          <t xml:space="preserve">There is no middle ground on border sharing.</t>
        </is>
      </c>
      <c r="I363" t="inlineStr">
        <is>
          <t xml:space="preserve">I will not please everyone on border sharing.</t>
        </is>
      </c>
    </row>
    <row r="364">
      <c r="A364" t="inlineStr">
        <is>
          <t xml:space="preserve">PL363</t>
        </is>
      </c>
      <c r="B364" t="inlineStr">
        <is>
          <t xml:space="preserve">Divisive</t>
        </is>
      </c>
      <c r="C364" t="inlineStr">
        <is>
          <t xml:space="preserve">block</t>
        </is>
      </c>
      <c r="D364" t="inlineStr">
        <is>
          <t xml:space="preserve">ST66; ST67; ST68</t>
        </is>
      </c>
      <c r="E364" t="inlineStr">
        <is>
          <t xml:space="preserve">Your side caused this over border sharing.</t>
        </is>
      </c>
      <c r="F364" t="inlineStr">
        <is>
          <t xml:space="preserve">Spare me the sermon on border sharing.</t>
        </is>
      </c>
      <c r="G364" t="inlineStr">
        <is>
          <t xml:space="preserve">Do not hide behind border sharing.</t>
        </is>
      </c>
      <c r="H364" t="inlineStr">
        <is>
          <t xml:space="preserve">That jab on border sharing fails.</t>
        </is>
      </c>
      <c r="I364" t="inlineStr">
        <is>
          <t xml:space="preserve">Pick a side on border sharing yourself.</t>
        </is>
      </c>
    </row>
    <row r="365">
      <c r="A365" t="inlineStr">
        <is>
          <t xml:space="preserve">PL364</t>
        </is>
      </c>
      <c r="B365" t="inlineStr">
        <is>
          <t xml:space="preserve">Duplicitous</t>
        </is>
      </c>
      <c r="C365" t="inlineStr">
        <is>
          <t xml:space="preserve">attack</t>
        </is>
      </c>
      <c r="D365" t="inlineStr">
        <is>
          <t xml:space="preserve">ST66; ST67; ST68</t>
        </is>
      </c>
      <c r="E365" t="inlineStr">
        <is>
          <t xml:space="preserve">Funny how border sharing suits you so well.</t>
        </is>
      </c>
      <c r="F365" t="inlineStr">
        <is>
          <t xml:space="preserve">Who benefits from border sharing, really?</t>
        </is>
      </c>
      <c r="G365" t="inlineStr">
        <is>
          <t xml:space="preserve">Your story on border sharing has gaps.</t>
        </is>
      </c>
      <c r="H365" t="inlineStr">
        <is>
          <t xml:space="preserve">Convenient wording on border sharing.</t>
        </is>
      </c>
      <c r="I365" t="inlineStr">
        <is>
          <t xml:space="preserve">What are you leaving out on border sharing?</t>
        </is>
      </c>
    </row>
    <row r="366">
      <c r="A366" t="inlineStr">
        <is>
          <t xml:space="preserve">PL365</t>
        </is>
      </c>
      <c r="B366" t="inlineStr">
        <is>
          <t xml:space="preserve">Duplicitous</t>
        </is>
      </c>
      <c r="C366" t="inlineStr">
        <is>
          <t xml:space="preserve">gain</t>
        </is>
      </c>
      <c r="D366" t="inlineStr">
        <is>
          <t xml:space="preserve">ST66; ST67; ST68</t>
        </is>
      </c>
      <c r="E366" t="inlineStr">
        <is>
          <t xml:space="preserve">Let me reframe border sharing slightly.</t>
        </is>
      </c>
      <c r="F366" t="inlineStr">
        <is>
          <t xml:space="preserve">Everyone agrees on border sharing, broadly.</t>
        </is>
      </c>
      <c r="G366" t="inlineStr">
        <is>
          <t xml:space="preserve">Border sharing is simpler than you think.</t>
        </is>
      </c>
      <c r="H366" t="inlineStr">
        <is>
          <t xml:space="preserve">I said what I said on border sharing.</t>
        </is>
      </c>
      <c r="I366" t="inlineStr">
        <is>
          <t xml:space="preserve">Trust me on border sharing.</t>
        </is>
      </c>
    </row>
    <row r="367">
      <c r="A367" t="inlineStr">
        <is>
          <t xml:space="preserve">PL366</t>
        </is>
      </c>
      <c r="B367" t="inlineStr">
        <is>
          <t xml:space="preserve">Duplicitous</t>
        </is>
      </c>
      <c r="C367" t="inlineStr">
        <is>
          <t xml:space="preserve">block</t>
        </is>
      </c>
      <c r="D367" t="inlineStr">
        <is>
          <t xml:space="preserve">ST66; ST67; ST68</t>
        </is>
      </c>
      <c r="E367" t="inlineStr">
        <is>
          <t xml:space="preserve">That is not my line on border sharing.</t>
        </is>
      </c>
      <c r="F367" t="inlineStr">
        <is>
          <t xml:space="preserve">You misheard me on border sharing.</t>
        </is>
      </c>
      <c r="G367" t="inlineStr">
        <is>
          <t xml:space="preserve">I take that as praise on border sharing.</t>
        </is>
      </c>
      <c r="H367" t="inlineStr">
        <is>
          <t xml:space="preserve">A fair question on border sharing. Next.</t>
        </is>
      </c>
      <c r="I367" t="inlineStr">
        <is>
          <t xml:space="preserve">Let us move past border sharing.</t>
        </is>
      </c>
    </row>
    <row r="368">
      <c r="A368" t="inlineStr">
        <is>
          <t xml:space="preserve">PL367</t>
        </is>
      </c>
      <c r="B368" t="inlineStr">
        <is>
          <t xml:space="preserve">Earnest</t>
        </is>
      </c>
      <c r="C368" t="inlineStr">
        <is>
          <t xml:space="preserve">attack</t>
        </is>
      </c>
      <c r="D368" t="inlineStr">
        <is>
          <t xml:space="preserve">ST69; ST70; ST71; ST72</t>
        </is>
      </c>
      <c r="E368" t="inlineStr">
        <is>
          <t xml:space="preserve">Say plainly what you mean about the islands.</t>
        </is>
      </c>
      <c r="F368" t="inlineStr">
        <is>
          <t xml:space="preserve">Be sincere with people about the islands.</t>
        </is>
      </c>
      <c r="G368" t="inlineStr">
        <is>
          <t xml:space="preserve">The islands is no place for games.</t>
        </is>
      </c>
      <c r="H368" t="inlineStr">
        <is>
          <t xml:space="preserve">People deserve a straight answer on the islands.</t>
        </is>
      </c>
      <c r="I368" t="inlineStr">
        <is>
          <t xml:space="preserve">The islands deserves honesty, not slogans.</t>
        </is>
      </c>
    </row>
    <row r="369">
      <c r="A369" t="inlineStr">
        <is>
          <t xml:space="preserve">PL368</t>
        </is>
      </c>
      <c r="B369" t="inlineStr">
        <is>
          <t xml:space="preserve">Earnest</t>
        </is>
      </c>
      <c r="C369" t="inlineStr">
        <is>
          <t xml:space="preserve">gain</t>
        </is>
      </c>
      <c r="D369" t="inlineStr">
        <is>
          <t xml:space="preserve">ST69; ST70; ST71; ST72</t>
        </is>
      </c>
      <c r="E369" t="inlineStr">
        <is>
          <t xml:space="preserve">People can trust me on the islands.</t>
        </is>
      </c>
      <c r="F369" t="inlineStr">
        <is>
          <t xml:space="preserve">The islands matters to me personally.</t>
        </is>
      </c>
      <c r="G369" t="inlineStr">
        <is>
          <t xml:space="preserve">I will be honest about the islands.</t>
        </is>
      </c>
      <c r="H369" t="inlineStr">
        <is>
          <t xml:space="preserve">Here is my honest view on the islands.</t>
        </is>
      </c>
      <c r="I369" t="inlineStr">
        <is>
          <t xml:space="preserve">I mean every word about the islands.</t>
        </is>
      </c>
    </row>
    <row r="370">
      <c r="A370" t="inlineStr">
        <is>
          <t xml:space="preserve">PL369</t>
        </is>
      </c>
      <c r="B370" t="inlineStr">
        <is>
          <t xml:space="preserve">Earnest</t>
        </is>
      </c>
      <c r="C370" t="inlineStr">
        <is>
          <t xml:space="preserve">block</t>
        </is>
      </c>
      <c r="D370" t="inlineStr">
        <is>
          <t xml:space="preserve">ST69; ST70; ST71; ST72</t>
        </is>
      </c>
      <c r="E370" t="inlineStr">
        <is>
          <t xml:space="preserve">You can ask me about the islands.</t>
        </is>
      </c>
      <c r="F370" t="inlineStr">
        <is>
          <t xml:space="preserve">I stand by what I said.</t>
        </is>
      </c>
      <c r="G370" t="inlineStr">
        <is>
          <t xml:space="preserve">Ask plainly. I will answer plainly.</t>
        </is>
      </c>
      <c r="H370" t="inlineStr">
        <is>
          <t xml:space="preserve">My view on the islands is sincere.</t>
        </is>
      </c>
      <c r="I370" t="inlineStr">
        <is>
          <t xml:space="preserve">I will not dodge the islands.</t>
        </is>
      </c>
    </row>
    <row r="371">
      <c r="A371" t="inlineStr">
        <is>
          <t xml:space="preserve">PL370</t>
        </is>
      </c>
      <c r="B371" t="inlineStr">
        <is>
          <t xml:space="preserve">Emotional</t>
        </is>
      </c>
      <c r="C371" t="inlineStr">
        <is>
          <t xml:space="preserve">attack</t>
        </is>
      </c>
      <c r="D371" t="inlineStr">
        <is>
          <t xml:space="preserve">ST69; ST70; ST71; ST72</t>
        </is>
      </c>
      <c r="E371" t="inlineStr">
        <is>
          <t xml:space="preserve">Look at the faces affected by the islands.</t>
        </is>
      </c>
      <c r="F371" t="inlineStr">
        <is>
          <t xml:space="preserve">The islands is about real people.</t>
        </is>
      </c>
      <c r="G371" t="inlineStr">
        <is>
          <t xml:space="preserve">Do you feel nothing about the islands?</t>
        </is>
      </c>
      <c r="H371" t="inlineStr">
        <is>
          <t xml:space="preserve">Tell that to those hurt by the islands.</t>
        </is>
      </c>
      <c r="I371" t="inlineStr">
        <is>
          <t xml:space="preserve">Think of the families behind the islands.</t>
        </is>
      </c>
    </row>
    <row r="372">
      <c r="A372" t="inlineStr">
        <is>
          <t xml:space="preserve">PL371</t>
        </is>
      </c>
      <c r="B372" t="inlineStr">
        <is>
          <t xml:space="preserve">Emotional</t>
        </is>
      </c>
      <c r="C372" t="inlineStr">
        <is>
          <t xml:space="preserve">gain</t>
        </is>
      </c>
      <c r="D372" t="inlineStr">
        <is>
          <t xml:space="preserve">ST69; ST70; ST71; ST72</t>
        </is>
      </c>
      <c r="E372" t="inlineStr">
        <is>
          <t xml:space="preserve">The islands weighs on me.</t>
        </is>
      </c>
      <c r="F372" t="inlineStr">
        <is>
          <t xml:space="preserve">Their stories made me care about the islands.</t>
        </is>
      </c>
      <c r="G372" t="inlineStr">
        <is>
          <t xml:space="preserve">I carry those families with me.</t>
        </is>
      </c>
      <c r="H372" t="inlineStr">
        <is>
          <t xml:space="preserve">Every family I met raised the islands.</t>
        </is>
      </c>
      <c r="I372" t="inlineStr">
        <is>
          <t xml:space="preserve">I have met people touched by the islands.</t>
        </is>
      </c>
    </row>
    <row r="373">
      <c r="A373" t="inlineStr">
        <is>
          <t xml:space="preserve">PL372</t>
        </is>
      </c>
      <c r="B373" t="inlineStr">
        <is>
          <t xml:space="preserve">Emotional</t>
        </is>
      </c>
      <c r="C373" t="inlineStr">
        <is>
          <t xml:space="preserve">block</t>
        </is>
      </c>
      <c r="D373" t="inlineStr">
        <is>
          <t xml:space="preserve">ST69; ST70; ST71; ST72</t>
        </is>
      </c>
      <c r="E373" t="inlineStr">
        <is>
          <t xml:space="preserve">Do not turn the islands into a game.</t>
        </is>
      </c>
      <c r="F373" t="inlineStr">
        <is>
          <t xml:space="preserve">I will not shrink their stories.</t>
        </is>
      </c>
      <c r="G373" t="inlineStr">
        <is>
          <t xml:space="preserve">These are people, not statistics.</t>
        </is>
      </c>
      <c r="H373" t="inlineStr">
        <is>
          <t xml:space="preserve">Speak gently about the islands.</t>
        </is>
      </c>
      <c r="I373" t="inlineStr">
        <is>
          <t xml:space="preserve">You cannot dismiss people over the islands.</t>
        </is>
      </c>
    </row>
    <row r="374">
      <c r="A374" t="inlineStr">
        <is>
          <t xml:space="preserve">PL373</t>
        </is>
      </c>
      <c r="B374" t="inlineStr">
        <is>
          <t xml:space="preserve">Appeal</t>
        </is>
      </c>
      <c r="C374" t="inlineStr">
        <is>
          <t xml:space="preserve">attack</t>
        </is>
      </c>
      <c r="D374" t="inlineStr">
        <is>
          <t xml:space="preserve">ST69; ST70; ST71; ST72</t>
        </is>
      </c>
      <c r="E374" t="inlineStr">
        <is>
          <t xml:space="preserve">Ask anyone in the street about the islands.</t>
        </is>
      </c>
      <c r="F374" t="inlineStr">
        <is>
          <t xml:space="preserve">The public wants less spin on the islands.</t>
        </is>
      </c>
      <c r="G374" t="inlineStr">
        <is>
          <t xml:space="preserve">Most people disagree with you on the islands.</t>
        </is>
      </c>
      <c r="H374" t="inlineStr">
        <is>
          <t xml:space="preserve">Voters have spoken on the islands.</t>
        </is>
      </c>
      <c r="I374" t="inlineStr">
        <is>
          <t xml:space="preserve">People want answers on the islands.</t>
        </is>
      </c>
    </row>
    <row r="375">
      <c r="A375" t="inlineStr">
        <is>
          <t xml:space="preserve">PL374</t>
        </is>
      </c>
      <c r="B375" t="inlineStr">
        <is>
          <t xml:space="preserve">Appeal</t>
        </is>
      </c>
      <c r="C375" t="inlineStr">
        <is>
          <t xml:space="preserve">gain</t>
        </is>
      </c>
      <c r="D375" t="inlineStr">
        <is>
          <t xml:space="preserve">ST69; ST70; ST71; ST72</t>
        </is>
      </c>
      <c r="E375" t="inlineStr">
        <is>
          <t xml:space="preserve">Ordinary people want action on the islands.</t>
        </is>
      </c>
      <c r="F375" t="inlineStr">
        <is>
          <t xml:space="preserve">Voters keep raising the islands.</t>
        </is>
      </c>
      <c r="G375" t="inlineStr">
        <is>
          <t xml:space="preserve">Ask around. People care about the islands.</t>
        </is>
      </c>
      <c r="H375" t="inlineStr">
        <is>
          <t xml:space="preserve">The public mood favours the islands.</t>
        </is>
      </c>
      <c r="I375" t="inlineStr">
        <is>
          <t xml:space="preserve">Most people I meet back the islands.</t>
        </is>
      </c>
    </row>
    <row r="376">
      <c r="A376" t="inlineStr">
        <is>
          <t xml:space="preserve">PL375</t>
        </is>
      </c>
      <c r="B376" t="inlineStr">
        <is>
          <t xml:space="preserve">Appeal</t>
        </is>
      </c>
      <c r="C376" t="inlineStr">
        <is>
          <t xml:space="preserve">block</t>
        </is>
      </c>
      <c r="D376" t="inlineStr">
        <is>
          <t xml:space="preserve">ST69; ST70; ST71; ST72</t>
        </is>
      </c>
      <c r="E376" t="inlineStr">
        <is>
          <t xml:space="preserve">People are divided on the islands.</t>
        </is>
      </c>
      <c r="F376" t="inlineStr">
        <is>
          <t xml:space="preserve">Do not claim the crowd on the islands.</t>
        </is>
      </c>
      <c r="G376" t="inlineStr">
        <is>
          <t xml:space="preserve">Let the public decide the islands.</t>
        </is>
      </c>
      <c r="H376" t="inlineStr">
        <is>
          <t xml:space="preserve">I hear all sides on the islands.</t>
        </is>
      </c>
      <c r="I376" t="inlineStr">
        <is>
          <t xml:space="preserve">Do not speak for everyone on the islands.</t>
        </is>
      </c>
    </row>
    <row r="377">
      <c r="A377" t="inlineStr">
        <is>
          <t xml:space="preserve">PL376</t>
        </is>
      </c>
      <c r="B377" t="inlineStr">
        <is>
          <t xml:space="preserve">Data Driven</t>
        </is>
      </c>
      <c r="C377" t="inlineStr">
        <is>
          <t xml:space="preserve">attack</t>
        </is>
      </c>
      <c r="D377" t="inlineStr">
        <is>
          <t xml:space="preserve">ST69; ST70; ST71; ST72</t>
        </is>
      </c>
      <c r="E377" t="inlineStr">
        <is>
          <t xml:space="preserve">Your numbers on the islands do not hold.</t>
        </is>
      </c>
      <c r="F377" t="inlineStr">
        <is>
          <t xml:space="preserve">Show the evidence for the islands.</t>
        </is>
      </c>
      <c r="G377" t="inlineStr">
        <is>
          <t xml:space="preserve">What is the real cost of the islands?</t>
        </is>
      </c>
      <c r="H377" t="inlineStr">
        <is>
          <t xml:space="preserve">Those the islands statistics are selective.</t>
        </is>
      </c>
      <c r="I377" t="inlineStr">
        <is>
          <t xml:space="preserve">Where are the figures on the islands?</t>
        </is>
      </c>
    </row>
    <row r="378">
      <c r="A378" t="inlineStr">
        <is>
          <t xml:space="preserve">PL377</t>
        </is>
      </c>
      <c r="B378" t="inlineStr">
        <is>
          <t xml:space="preserve">Data Driven</t>
        </is>
      </c>
      <c r="C378" t="inlineStr">
        <is>
          <t xml:space="preserve">gain</t>
        </is>
      </c>
      <c r="D378" t="inlineStr">
        <is>
          <t xml:space="preserve">ST69; ST70; ST71; ST72</t>
        </is>
      </c>
      <c r="E378" t="inlineStr">
        <is>
          <t xml:space="preserve">Here are the figures on the islands.</t>
        </is>
      </c>
      <c r="F378" t="inlineStr">
        <is>
          <t xml:space="preserve">Studies on the islands support this.</t>
        </is>
      </c>
      <c r="G378" t="inlineStr">
        <is>
          <t xml:space="preserve">The cost of the islands adds up.</t>
        </is>
      </c>
      <c r="H378" t="inlineStr">
        <is>
          <t xml:space="preserve">The numbers on the islands hold.</t>
        </is>
      </c>
      <c r="I378" t="inlineStr">
        <is>
          <t xml:space="preserve">The evidence on the islands is clear.</t>
        </is>
      </c>
    </row>
    <row r="379">
      <c r="A379" t="inlineStr">
        <is>
          <t xml:space="preserve">PL378</t>
        </is>
      </c>
      <c r="B379" t="inlineStr">
        <is>
          <t xml:space="preserve">Data Driven</t>
        </is>
      </c>
      <c r="C379" t="inlineStr">
        <is>
          <t xml:space="preserve">block</t>
        </is>
      </c>
      <c r="D379" t="inlineStr">
        <is>
          <t xml:space="preserve">ST69; ST70; ST71; ST72</t>
        </is>
      </c>
      <c r="E379" t="inlineStr">
        <is>
          <t xml:space="preserve">Those figures on the islands are misread.</t>
        </is>
      </c>
      <c r="F379" t="inlineStr">
        <is>
          <t xml:space="preserve">The data does not say that.</t>
        </is>
      </c>
      <c r="G379" t="inlineStr">
        <is>
          <t xml:space="preserve">Read the full report on the islands.</t>
        </is>
      </c>
      <c r="H379" t="inlineStr">
        <is>
          <t xml:space="preserve">That is not what the data shows.</t>
        </is>
      </c>
      <c r="I379" t="inlineStr">
        <is>
          <t xml:space="preserve">Check the source on the islands.</t>
        </is>
      </c>
    </row>
    <row r="380">
      <c r="A380" t="inlineStr">
        <is>
          <t xml:space="preserve">PL379</t>
        </is>
      </c>
      <c r="B380" t="inlineStr">
        <is>
          <t xml:space="preserve">Divisive</t>
        </is>
      </c>
      <c r="C380" t="inlineStr">
        <is>
          <t xml:space="preserve">attack</t>
        </is>
      </c>
      <c r="D380" t="inlineStr">
        <is>
          <t xml:space="preserve">ST69; ST70; ST71; ST72</t>
        </is>
      </c>
      <c r="E380" t="inlineStr">
        <is>
          <t xml:space="preserve">Whose side are you on over the islands?</t>
        </is>
      </c>
      <c r="F380" t="inlineStr">
        <is>
          <t xml:space="preserve">You work against the public on the islands.</t>
        </is>
      </c>
      <c r="G380" t="inlineStr">
        <is>
          <t xml:space="preserve">This is a fight over the islands.</t>
        </is>
      </c>
      <c r="H380" t="inlineStr">
        <is>
          <t xml:space="preserve">Wrong side of the islands. Own it.</t>
        </is>
      </c>
      <c r="I380" t="inlineStr">
        <is>
          <t xml:space="preserve">The islands serves insiders, not you.</t>
        </is>
      </c>
    </row>
    <row r="381">
      <c r="A381" t="inlineStr">
        <is>
          <t xml:space="preserve">PL380</t>
        </is>
      </c>
      <c r="B381" t="inlineStr">
        <is>
          <t xml:space="preserve">Divisive</t>
        </is>
      </c>
      <c r="C381" t="inlineStr">
        <is>
          <t xml:space="preserve">gain</t>
        </is>
      </c>
      <c r="D381" t="inlineStr">
        <is>
          <t xml:space="preserve">ST69; ST70; ST71; ST72</t>
        </is>
      </c>
      <c r="E381" t="inlineStr">
        <is>
          <t xml:space="preserve">Some lose over the islands. So be it.</t>
        </is>
      </c>
      <c r="F381" t="inlineStr">
        <is>
          <t xml:space="preserve">The islands needs hard choices.</t>
        </is>
      </c>
      <c r="G381" t="inlineStr">
        <is>
          <t xml:space="preserve">There is no middle ground on the islands.</t>
        </is>
      </c>
      <c r="H381" t="inlineStr">
        <is>
          <t xml:space="preserve">I will not please everyone on the islands.</t>
        </is>
      </c>
      <c r="I381" t="inlineStr">
        <is>
          <t xml:space="preserve">We must choose a side on the islands.</t>
        </is>
      </c>
    </row>
    <row r="382">
      <c r="A382" t="inlineStr">
        <is>
          <t xml:space="preserve">PL381</t>
        </is>
      </c>
      <c r="B382" t="inlineStr">
        <is>
          <t xml:space="preserve">Divisive</t>
        </is>
      </c>
      <c r="C382" t="inlineStr">
        <is>
          <t xml:space="preserve">block</t>
        </is>
      </c>
      <c r="D382" t="inlineStr">
        <is>
          <t xml:space="preserve">ST69; ST70; ST71; ST72</t>
        </is>
      </c>
      <c r="E382" t="inlineStr">
        <is>
          <t xml:space="preserve">Spare me the sermon on the islands.</t>
        </is>
      </c>
      <c r="F382" t="inlineStr">
        <is>
          <t xml:space="preserve">Do not hide behind the islands.</t>
        </is>
      </c>
      <c r="G382" t="inlineStr">
        <is>
          <t xml:space="preserve">That jab on the islands fails.</t>
        </is>
      </c>
      <c r="H382" t="inlineStr">
        <is>
          <t xml:space="preserve">Pick a side on the islands yourself.</t>
        </is>
      </c>
      <c r="I382" t="inlineStr">
        <is>
          <t xml:space="preserve">Your side caused this over the islands.</t>
        </is>
      </c>
    </row>
    <row r="383">
      <c r="A383" t="inlineStr">
        <is>
          <t xml:space="preserve">PL382</t>
        </is>
      </c>
      <c r="B383" t="inlineStr">
        <is>
          <t xml:space="preserve">Duplicitous</t>
        </is>
      </c>
      <c r="C383" t="inlineStr">
        <is>
          <t xml:space="preserve">attack</t>
        </is>
      </c>
      <c r="D383" t="inlineStr">
        <is>
          <t xml:space="preserve">ST69; ST70; ST71; ST72</t>
        </is>
      </c>
      <c r="E383" t="inlineStr">
        <is>
          <t xml:space="preserve">Who benefits from the islands, really?</t>
        </is>
      </c>
      <c r="F383" t="inlineStr">
        <is>
          <t xml:space="preserve">Your story on the islands has gaps.</t>
        </is>
      </c>
      <c r="G383" t="inlineStr">
        <is>
          <t xml:space="preserve">Convenient wording on the islands.</t>
        </is>
      </c>
      <c r="H383" t="inlineStr">
        <is>
          <t xml:space="preserve">What are you leaving out on the islands?</t>
        </is>
      </c>
      <c r="I383" t="inlineStr">
        <is>
          <t xml:space="preserve">Funny how the islands suits you so well.</t>
        </is>
      </c>
    </row>
    <row r="384">
      <c r="A384" t="inlineStr">
        <is>
          <t xml:space="preserve">PL383</t>
        </is>
      </c>
      <c r="B384" t="inlineStr">
        <is>
          <t xml:space="preserve">Duplicitous</t>
        </is>
      </c>
      <c r="C384" t="inlineStr">
        <is>
          <t xml:space="preserve">gain</t>
        </is>
      </c>
      <c r="D384" t="inlineStr">
        <is>
          <t xml:space="preserve">ST69; ST70; ST71; ST72</t>
        </is>
      </c>
      <c r="E384" t="inlineStr">
        <is>
          <t xml:space="preserve">Everyone agrees on the islands, broadly.</t>
        </is>
      </c>
      <c r="F384" t="inlineStr">
        <is>
          <t xml:space="preserve">The islands is simpler than you think.</t>
        </is>
      </c>
      <c r="G384" t="inlineStr">
        <is>
          <t xml:space="preserve">I said what I said on the islands.</t>
        </is>
      </c>
      <c r="H384" t="inlineStr">
        <is>
          <t xml:space="preserve">Trust me on the islands.</t>
        </is>
      </c>
      <c r="I384" t="inlineStr">
        <is>
          <t xml:space="preserve">Let me reframe the islands slightly.</t>
        </is>
      </c>
    </row>
    <row r="385">
      <c r="A385" t="inlineStr">
        <is>
          <t xml:space="preserve">PL384</t>
        </is>
      </c>
      <c r="B385" t="inlineStr">
        <is>
          <t xml:space="preserve">Duplicitous</t>
        </is>
      </c>
      <c r="C385" t="inlineStr">
        <is>
          <t xml:space="preserve">block</t>
        </is>
      </c>
      <c r="D385" t="inlineStr">
        <is>
          <t xml:space="preserve">ST69; ST70; ST71; ST72</t>
        </is>
      </c>
      <c r="E385" t="inlineStr">
        <is>
          <t xml:space="preserve">You misheard me on the islands.</t>
        </is>
      </c>
      <c r="F385" t="inlineStr">
        <is>
          <t xml:space="preserve">I take that as praise on the islands.</t>
        </is>
      </c>
      <c r="G385" t="inlineStr">
        <is>
          <t xml:space="preserve">A fair question on the islands. Next.</t>
        </is>
      </c>
      <c r="H385" t="inlineStr">
        <is>
          <t xml:space="preserve">Let us move past the islands.</t>
        </is>
      </c>
      <c r="I385" t="inlineStr">
        <is>
          <t xml:space="preserve">That is not my line on the islands.</t>
        </is>
      </c>
    </row>
    <row r="386">
      <c r="A386" t="inlineStr">
        <is>
          <t xml:space="preserve">PL385</t>
        </is>
      </c>
      <c r="B386" t="inlineStr">
        <is>
          <t xml:space="preserve">Earnest</t>
        </is>
      </c>
      <c r="C386" t="inlineStr">
        <is>
          <t xml:space="preserve">attack</t>
        </is>
      </c>
      <c r="D386" t="inlineStr">
        <is>
          <t xml:space="preserve">ST73; ST74; ST75</t>
        </is>
      </c>
      <c r="E386" t="inlineStr">
        <is>
          <t xml:space="preserve">Be sincere with people about open trade.</t>
        </is>
      </c>
      <c r="F386" t="inlineStr">
        <is>
          <t xml:space="preserve">Open trade is no place for games.</t>
        </is>
      </c>
      <c r="G386" t="inlineStr">
        <is>
          <t xml:space="preserve">People deserve a straight answer on open trade.</t>
        </is>
      </c>
      <c r="H386" t="inlineStr">
        <is>
          <t xml:space="preserve">Open trade deserves honesty, not slogans.</t>
        </is>
      </c>
      <c r="I386" t="inlineStr">
        <is>
          <t xml:space="preserve">Say plainly what you mean about open trade.</t>
        </is>
      </c>
    </row>
    <row r="387">
      <c r="A387" t="inlineStr">
        <is>
          <t xml:space="preserve">PL386</t>
        </is>
      </c>
      <c r="B387" t="inlineStr">
        <is>
          <t xml:space="preserve">Earnest</t>
        </is>
      </c>
      <c r="C387" t="inlineStr">
        <is>
          <t xml:space="preserve">gain</t>
        </is>
      </c>
      <c r="D387" t="inlineStr">
        <is>
          <t xml:space="preserve">ST73; ST74; ST75</t>
        </is>
      </c>
      <c r="E387" t="inlineStr">
        <is>
          <t xml:space="preserve">Open trade matters to me personally.</t>
        </is>
      </c>
      <c r="F387" t="inlineStr">
        <is>
          <t xml:space="preserve">I will be honest about open trade.</t>
        </is>
      </c>
      <c r="G387" t="inlineStr">
        <is>
          <t xml:space="preserve">Here is my honest view on open trade.</t>
        </is>
      </c>
      <c r="H387" t="inlineStr">
        <is>
          <t xml:space="preserve">I mean every word about open trade.</t>
        </is>
      </c>
      <c r="I387" t="inlineStr">
        <is>
          <t xml:space="preserve">People can trust me on open trade.</t>
        </is>
      </c>
    </row>
    <row r="388">
      <c r="A388" t="inlineStr">
        <is>
          <t xml:space="preserve">PL387</t>
        </is>
      </c>
      <c r="B388" t="inlineStr">
        <is>
          <t xml:space="preserve">Earnest</t>
        </is>
      </c>
      <c r="C388" t="inlineStr">
        <is>
          <t xml:space="preserve">block</t>
        </is>
      </c>
      <c r="D388" t="inlineStr">
        <is>
          <t xml:space="preserve">ST73; ST74; ST75</t>
        </is>
      </c>
      <c r="E388" t="inlineStr">
        <is>
          <t xml:space="preserve">I stand by what I said.</t>
        </is>
      </c>
      <c r="F388" t="inlineStr">
        <is>
          <t xml:space="preserve">Ask plainly. I will answer plainly.</t>
        </is>
      </c>
      <c r="G388" t="inlineStr">
        <is>
          <t xml:space="preserve">My view on open trade is sincere.</t>
        </is>
      </c>
      <c r="H388" t="inlineStr">
        <is>
          <t xml:space="preserve">I will not dodge open trade.</t>
        </is>
      </c>
      <c r="I388" t="inlineStr">
        <is>
          <t xml:space="preserve">You can ask me about open trade.</t>
        </is>
      </c>
    </row>
    <row r="389">
      <c r="A389" t="inlineStr">
        <is>
          <t xml:space="preserve">PL388</t>
        </is>
      </c>
      <c r="B389" t="inlineStr">
        <is>
          <t xml:space="preserve">Emotional</t>
        </is>
      </c>
      <c r="C389" t="inlineStr">
        <is>
          <t xml:space="preserve">attack</t>
        </is>
      </c>
      <c r="D389" t="inlineStr">
        <is>
          <t xml:space="preserve">ST73; ST74; ST75</t>
        </is>
      </c>
      <c r="E389" t="inlineStr">
        <is>
          <t xml:space="preserve">Open trade is about real people.</t>
        </is>
      </c>
      <c r="F389" t="inlineStr">
        <is>
          <t xml:space="preserve">Do you feel nothing about open trade?</t>
        </is>
      </c>
      <c r="G389" t="inlineStr">
        <is>
          <t xml:space="preserve">Tell that to those hurt by open trade.</t>
        </is>
      </c>
      <c r="H389" t="inlineStr">
        <is>
          <t xml:space="preserve">Think of the families behind open trade.</t>
        </is>
      </c>
      <c r="I389" t="inlineStr">
        <is>
          <t xml:space="preserve">Look at the faces affected by open trade.</t>
        </is>
      </c>
    </row>
    <row r="390">
      <c r="A390" t="inlineStr">
        <is>
          <t xml:space="preserve">PL389</t>
        </is>
      </c>
      <c r="B390" t="inlineStr">
        <is>
          <t xml:space="preserve">Emotional</t>
        </is>
      </c>
      <c r="C390" t="inlineStr">
        <is>
          <t xml:space="preserve">gain</t>
        </is>
      </c>
      <c r="D390" t="inlineStr">
        <is>
          <t xml:space="preserve">ST73; ST74; ST75</t>
        </is>
      </c>
      <c r="E390" t="inlineStr">
        <is>
          <t xml:space="preserve">Their stories made me care about open trade.</t>
        </is>
      </c>
      <c r="F390" t="inlineStr">
        <is>
          <t xml:space="preserve">I carry those families with me.</t>
        </is>
      </c>
      <c r="G390" t="inlineStr">
        <is>
          <t xml:space="preserve">Every family I met raised open trade.</t>
        </is>
      </c>
      <c r="H390" t="inlineStr">
        <is>
          <t xml:space="preserve">I have met people touched by open trade.</t>
        </is>
      </c>
      <c r="I390" t="inlineStr">
        <is>
          <t xml:space="preserve">Open trade weighs on me.</t>
        </is>
      </c>
    </row>
    <row r="391">
      <c r="A391" t="inlineStr">
        <is>
          <t xml:space="preserve">PL390</t>
        </is>
      </c>
      <c r="B391" t="inlineStr">
        <is>
          <t xml:space="preserve">Emotional</t>
        </is>
      </c>
      <c r="C391" t="inlineStr">
        <is>
          <t xml:space="preserve">block</t>
        </is>
      </c>
      <c r="D391" t="inlineStr">
        <is>
          <t xml:space="preserve">ST73; ST74; ST75</t>
        </is>
      </c>
      <c r="E391" t="inlineStr">
        <is>
          <t xml:space="preserve">I will not shrink their stories.</t>
        </is>
      </c>
      <c r="F391" t="inlineStr">
        <is>
          <t xml:space="preserve">These are people, not statistics.</t>
        </is>
      </c>
      <c r="G391" t="inlineStr">
        <is>
          <t xml:space="preserve">Speak gently about open trade.</t>
        </is>
      </c>
      <c r="H391" t="inlineStr">
        <is>
          <t xml:space="preserve">You cannot dismiss people over open trade.</t>
        </is>
      </c>
      <c r="I391" t="inlineStr">
        <is>
          <t xml:space="preserve">Do not turn open trade into a game.</t>
        </is>
      </c>
    </row>
    <row r="392">
      <c r="A392" t="inlineStr">
        <is>
          <t xml:space="preserve">PL391</t>
        </is>
      </c>
      <c r="B392" t="inlineStr">
        <is>
          <t xml:space="preserve">Appeal</t>
        </is>
      </c>
      <c r="C392" t="inlineStr">
        <is>
          <t xml:space="preserve">attack</t>
        </is>
      </c>
      <c r="D392" t="inlineStr">
        <is>
          <t xml:space="preserve">ST73; ST74; ST75</t>
        </is>
      </c>
      <c r="E392" t="inlineStr">
        <is>
          <t xml:space="preserve">The public wants less spin on open trade.</t>
        </is>
      </c>
      <c r="F392" t="inlineStr">
        <is>
          <t xml:space="preserve">Most people disagree with you on open trade.</t>
        </is>
      </c>
      <c r="G392" t="inlineStr">
        <is>
          <t xml:space="preserve">Voters have spoken on open trade.</t>
        </is>
      </c>
      <c r="H392" t="inlineStr">
        <is>
          <t xml:space="preserve">People want answers on open trade.</t>
        </is>
      </c>
      <c r="I392" t="inlineStr">
        <is>
          <t xml:space="preserve">Ask anyone in the street about open trade.</t>
        </is>
      </c>
    </row>
    <row r="393">
      <c r="A393" t="inlineStr">
        <is>
          <t xml:space="preserve">PL392</t>
        </is>
      </c>
      <c r="B393" t="inlineStr">
        <is>
          <t xml:space="preserve">Appeal</t>
        </is>
      </c>
      <c r="C393" t="inlineStr">
        <is>
          <t xml:space="preserve">gain</t>
        </is>
      </c>
      <c r="D393" t="inlineStr">
        <is>
          <t xml:space="preserve">ST73; ST74; ST75</t>
        </is>
      </c>
      <c r="E393" t="inlineStr">
        <is>
          <t xml:space="preserve">Voters keep raising open trade.</t>
        </is>
      </c>
      <c r="F393" t="inlineStr">
        <is>
          <t xml:space="preserve">Ask around. People care about open trade.</t>
        </is>
      </c>
      <c r="G393" t="inlineStr">
        <is>
          <t xml:space="preserve">The public mood favours open trade.</t>
        </is>
      </c>
      <c r="H393" t="inlineStr">
        <is>
          <t xml:space="preserve">Most people I meet back open trade.</t>
        </is>
      </c>
      <c r="I393" t="inlineStr">
        <is>
          <t xml:space="preserve">Ordinary people want action on open trade.</t>
        </is>
      </c>
    </row>
    <row r="394">
      <c r="A394" t="inlineStr">
        <is>
          <t xml:space="preserve">PL393</t>
        </is>
      </c>
      <c r="B394" t="inlineStr">
        <is>
          <t xml:space="preserve">Appeal</t>
        </is>
      </c>
      <c r="C394" t="inlineStr">
        <is>
          <t xml:space="preserve">block</t>
        </is>
      </c>
      <c r="D394" t="inlineStr">
        <is>
          <t xml:space="preserve">ST73; ST74; ST75</t>
        </is>
      </c>
      <c r="E394" t="inlineStr">
        <is>
          <t xml:space="preserve">Do not claim the crowd on open trade.</t>
        </is>
      </c>
      <c r="F394" t="inlineStr">
        <is>
          <t xml:space="preserve">Let the public decide open trade.</t>
        </is>
      </c>
      <c r="G394" t="inlineStr">
        <is>
          <t xml:space="preserve">I hear all sides on open trade.</t>
        </is>
      </c>
      <c r="H394" t="inlineStr">
        <is>
          <t xml:space="preserve">Do not speak for everyone on open trade.</t>
        </is>
      </c>
      <c r="I394" t="inlineStr">
        <is>
          <t xml:space="preserve">People are divided on open trade.</t>
        </is>
      </c>
    </row>
    <row r="395">
      <c r="A395" t="inlineStr">
        <is>
          <t xml:space="preserve">PL394</t>
        </is>
      </c>
      <c r="B395" t="inlineStr">
        <is>
          <t xml:space="preserve">Data Driven</t>
        </is>
      </c>
      <c r="C395" t="inlineStr">
        <is>
          <t xml:space="preserve">attack</t>
        </is>
      </c>
      <c r="D395" t="inlineStr">
        <is>
          <t xml:space="preserve">ST73; ST74; ST75</t>
        </is>
      </c>
      <c r="E395" t="inlineStr">
        <is>
          <t xml:space="preserve">Show the evidence for open trade.</t>
        </is>
      </c>
      <c r="F395" t="inlineStr">
        <is>
          <t xml:space="preserve">What is the real cost of open trade?</t>
        </is>
      </c>
      <c r="G395" t="inlineStr">
        <is>
          <t xml:space="preserve">Those open trade statistics are selective.</t>
        </is>
      </c>
      <c r="H395" t="inlineStr">
        <is>
          <t xml:space="preserve">Where are the figures on open trade?</t>
        </is>
      </c>
      <c r="I395" t="inlineStr">
        <is>
          <t xml:space="preserve">Your numbers on open trade do not hold.</t>
        </is>
      </c>
    </row>
    <row r="396">
      <c r="A396" t="inlineStr">
        <is>
          <t xml:space="preserve">PL395</t>
        </is>
      </c>
      <c r="B396" t="inlineStr">
        <is>
          <t xml:space="preserve">Data Driven</t>
        </is>
      </c>
      <c r="C396" t="inlineStr">
        <is>
          <t xml:space="preserve">gain</t>
        </is>
      </c>
      <c r="D396" t="inlineStr">
        <is>
          <t xml:space="preserve">ST73; ST74; ST75</t>
        </is>
      </c>
      <c r="E396" t="inlineStr">
        <is>
          <t xml:space="preserve">Studies on open trade support this.</t>
        </is>
      </c>
      <c r="F396" t="inlineStr">
        <is>
          <t xml:space="preserve">The cost of open trade adds up.</t>
        </is>
      </c>
      <c r="G396" t="inlineStr">
        <is>
          <t xml:space="preserve">The numbers on open trade hold.</t>
        </is>
      </c>
      <c r="H396" t="inlineStr">
        <is>
          <t xml:space="preserve">The evidence on open trade is clear.</t>
        </is>
      </c>
      <c r="I396" t="inlineStr">
        <is>
          <t xml:space="preserve">Here are the figures on open trade.</t>
        </is>
      </c>
    </row>
    <row r="397">
      <c r="A397" t="inlineStr">
        <is>
          <t xml:space="preserve">PL396</t>
        </is>
      </c>
      <c r="B397" t="inlineStr">
        <is>
          <t xml:space="preserve">Data Driven</t>
        </is>
      </c>
      <c r="C397" t="inlineStr">
        <is>
          <t xml:space="preserve">block</t>
        </is>
      </c>
      <c r="D397" t="inlineStr">
        <is>
          <t xml:space="preserve">ST73; ST74; ST75</t>
        </is>
      </c>
      <c r="E397" t="inlineStr">
        <is>
          <t xml:space="preserve">The data does not say that.</t>
        </is>
      </c>
      <c r="F397" t="inlineStr">
        <is>
          <t xml:space="preserve">Read the full report on open trade.</t>
        </is>
      </c>
      <c r="G397" t="inlineStr">
        <is>
          <t xml:space="preserve">That is not what the data shows.</t>
        </is>
      </c>
      <c r="H397" t="inlineStr">
        <is>
          <t xml:space="preserve">Check the source on open trade.</t>
        </is>
      </c>
      <c r="I397" t="inlineStr">
        <is>
          <t xml:space="preserve">Those figures on open trade are misread.</t>
        </is>
      </c>
    </row>
    <row r="398">
      <c r="A398" t="inlineStr">
        <is>
          <t xml:space="preserve">PL397</t>
        </is>
      </c>
      <c r="B398" t="inlineStr">
        <is>
          <t xml:space="preserve">Divisive</t>
        </is>
      </c>
      <c r="C398" t="inlineStr">
        <is>
          <t xml:space="preserve">attack</t>
        </is>
      </c>
      <c r="D398" t="inlineStr">
        <is>
          <t xml:space="preserve">ST73; ST74; ST75</t>
        </is>
      </c>
      <c r="E398" t="inlineStr">
        <is>
          <t xml:space="preserve">You work against the public on open trade.</t>
        </is>
      </c>
      <c r="F398" t="inlineStr">
        <is>
          <t xml:space="preserve">This is a fight over open trade.</t>
        </is>
      </c>
      <c r="G398" t="inlineStr">
        <is>
          <t xml:space="preserve">Wrong side of open trade. Own it.</t>
        </is>
      </c>
      <c r="H398" t="inlineStr">
        <is>
          <t xml:space="preserve">Open trade serves insiders, not you.</t>
        </is>
      </c>
      <c r="I398" t="inlineStr">
        <is>
          <t xml:space="preserve">Whose side are you on over open trade?</t>
        </is>
      </c>
    </row>
    <row r="399">
      <c r="A399" t="inlineStr">
        <is>
          <t xml:space="preserve">PL398</t>
        </is>
      </c>
      <c r="B399" t="inlineStr">
        <is>
          <t xml:space="preserve">Divisive</t>
        </is>
      </c>
      <c r="C399" t="inlineStr">
        <is>
          <t xml:space="preserve">gain</t>
        </is>
      </c>
      <c r="D399" t="inlineStr">
        <is>
          <t xml:space="preserve">ST73; ST74; ST75</t>
        </is>
      </c>
      <c r="E399" t="inlineStr">
        <is>
          <t xml:space="preserve">Open trade needs hard choices.</t>
        </is>
      </c>
      <c r="F399" t="inlineStr">
        <is>
          <t xml:space="preserve">There is no middle ground on open trade.</t>
        </is>
      </c>
      <c r="G399" t="inlineStr">
        <is>
          <t xml:space="preserve">I will not please everyone on open trade.</t>
        </is>
      </c>
      <c r="H399" t="inlineStr">
        <is>
          <t xml:space="preserve">We must choose a side on open trade.</t>
        </is>
      </c>
      <c r="I399" t="inlineStr">
        <is>
          <t xml:space="preserve">Some lose over open trade. So be it.</t>
        </is>
      </c>
    </row>
    <row r="400">
      <c r="A400" t="inlineStr">
        <is>
          <t xml:space="preserve">PL399</t>
        </is>
      </c>
      <c r="B400" t="inlineStr">
        <is>
          <t xml:space="preserve">Divisive</t>
        </is>
      </c>
      <c r="C400" t="inlineStr">
        <is>
          <t xml:space="preserve">block</t>
        </is>
      </c>
      <c r="D400" t="inlineStr">
        <is>
          <t xml:space="preserve">ST73; ST74; ST75</t>
        </is>
      </c>
      <c r="E400" t="inlineStr">
        <is>
          <t xml:space="preserve">Do not hide behind open trade.</t>
        </is>
      </c>
      <c r="F400" t="inlineStr">
        <is>
          <t xml:space="preserve">That jab on open trade fails.</t>
        </is>
      </c>
      <c r="G400" t="inlineStr">
        <is>
          <t xml:space="preserve">Pick a side on open trade yourself.</t>
        </is>
      </c>
      <c r="H400" t="inlineStr">
        <is>
          <t xml:space="preserve">Your side caused this over open trade.</t>
        </is>
      </c>
      <c r="I400" t="inlineStr">
        <is>
          <t xml:space="preserve">Spare me the sermon on open trade.</t>
        </is>
      </c>
    </row>
    <row r="401">
      <c r="A401" t="inlineStr">
        <is>
          <t xml:space="preserve">PL400</t>
        </is>
      </c>
      <c r="B401" t="inlineStr">
        <is>
          <t xml:space="preserve">Duplicitous</t>
        </is>
      </c>
      <c r="C401" t="inlineStr">
        <is>
          <t xml:space="preserve">attack</t>
        </is>
      </c>
      <c r="D401" t="inlineStr">
        <is>
          <t xml:space="preserve">ST73; ST74; ST75</t>
        </is>
      </c>
      <c r="E401" t="inlineStr">
        <is>
          <t xml:space="preserve">Your story on open trade has gaps.</t>
        </is>
      </c>
      <c r="F401" t="inlineStr">
        <is>
          <t xml:space="preserve">Convenient wording on open trade.</t>
        </is>
      </c>
      <c r="G401" t="inlineStr">
        <is>
          <t xml:space="preserve">What are you leaving out on open trade?</t>
        </is>
      </c>
      <c r="H401" t="inlineStr">
        <is>
          <t xml:space="preserve">Funny how open trade suits you so well.</t>
        </is>
      </c>
      <c r="I401" t="inlineStr">
        <is>
          <t xml:space="preserve">Who benefits from open trade, really?</t>
        </is>
      </c>
    </row>
    <row r="402">
      <c r="A402" t="inlineStr">
        <is>
          <t xml:space="preserve">PL401</t>
        </is>
      </c>
      <c r="B402" t="inlineStr">
        <is>
          <t xml:space="preserve">Duplicitous</t>
        </is>
      </c>
      <c r="C402" t="inlineStr">
        <is>
          <t xml:space="preserve">gain</t>
        </is>
      </c>
      <c r="D402" t="inlineStr">
        <is>
          <t xml:space="preserve">ST73; ST74; ST75</t>
        </is>
      </c>
      <c r="E402" t="inlineStr">
        <is>
          <t xml:space="preserve">Open trade is simpler than you think.</t>
        </is>
      </c>
      <c r="F402" t="inlineStr">
        <is>
          <t xml:space="preserve">I said what I said on open trade.</t>
        </is>
      </c>
      <c r="G402" t="inlineStr">
        <is>
          <t xml:space="preserve">Trust me on open trade.</t>
        </is>
      </c>
      <c r="H402" t="inlineStr">
        <is>
          <t xml:space="preserve">Let me reframe open trade slightly.</t>
        </is>
      </c>
      <c r="I402" t="inlineStr">
        <is>
          <t xml:space="preserve">Everyone agrees on open trade, broadly.</t>
        </is>
      </c>
    </row>
    <row r="403">
      <c r="A403" t="inlineStr">
        <is>
          <t xml:space="preserve">PL402</t>
        </is>
      </c>
      <c r="B403" t="inlineStr">
        <is>
          <t xml:space="preserve">Duplicitous</t>
        </is>
      </c>
      <c r="C403" t="inlineStr">
        <is>
          <t xml:space="preserve">block</t>
        </is>
      </c>
      <c r="D403" t="inlineStr">
        <is>
          <t xml:space="preserve">ST73; ST74; ST75</t>
        </is>
      </c>
      <c r="E403" t="inlineStr">
        <is>
          <t xml:space="preserve">I take that as praise on open trade.</t>
        </is>
      </c>
      <c r="F403" t="inlineStr">
        <is>
          <t xml:space="preserve">A fair question on open trade. Next.</t>
        </is>
      </c>
      <c r="G403" t="inlineStr">
        <is>
          <t xml:space="preserve">Let us move past open trade.</t>
        </is>
      </c>
      <c r="H403" t="inlineStr">
        <is>
          <t xml:space="preserve">That is not my line on open trade.</t>
        </is>
      </c>
      <c r="I403" t="inlineStr">
        <is>
          <t xml:space="preserve">You misheard me on open trade.</t>
        </is>
      </c>
    </row>
    <row r="404">
      <c r="A404" t="inlineStr">
        <is>
          <t xml:space="preserve">PL403</t>
        </is>
      </c>
      <c r="B404" t="inlineStr">
        <is>
          <t xml:space="preserve">Earnest</t>
        </is>
      </c>
      <c r="C404" t="inlineStr">
        <is>
          <t xml:space="preserve">attack</t>
        </is>
      </c>
      <c r="D404" t="inlineStr">
        <is>
          <t xml:space="preserve">ST76; ST77; ST78</t>
        </is>
      </c>
      <c r="E404" t="inlineStr">
        <is>
          <t xml:space="preserve">Family farms is no place for games.</t>
        </is>
      </c>
      <c r="F404" t="inlineStr">
        <is>
          <t xml:space="preserve">People deserve a straight answer on family farms.</t>
        </is>
      </c>
      <c r="G404" t="inlineStr">
        <is>
          <t xml:space="preserve">Family farms deserves honesty, not slogans.</t>
        </is>
      </c>
      <c r="H404" t="inlineStr">
        <is>
          <t xml:space="preserve">Say plainly what you mean about family farms.</t>
        </is>
      </c>
      <c r="I404" t="inlineStr">
        <is>
          <t xml:space="preserve">Be sincere with people about family farms.</t>
        </is>
      </c>
    </row>
    <row r="405">
      <c r="A405" t="inlineStr">
        <is>
          <t xml:space="preserve">PL404</t>
        </is>
      </c>
      <c r="B405" t="inlineStr">
        <is>
          <t xml:space="preserve">Earnest</t>
        </is>
      </c>
      <c r="C405" t="inlineStr">
        <is>
          <t xml:space="preserve">gain</t>
        </is>
      </c>
      <c r="D405" t="inlineStr">
        <is>
          <t xml:space="preserve">ST76; ST77; ST78</t>
        </is>
      </c>
      <c r="E405" t="inlineStr">
        <is>
          <t xml:space="preserve">I will be honest about family farms.</t>
        </is>
      </c>
      <c r="F405" t="inlineStr">
        <is>
          <t xml:space="preserve">Here is my honest view on family farms.</t>
        </is>
      </c>
      <c r="G405" t="inlineStr">
        <is>
          <t xml:space="preserve">I mean every word about family farms.</t>
        </is>
      </c>
      <c r="H405" t="inlineStr">
        <is>
          <t xml:space="preserve">People can trust me on family farms.</t>
        </is>
      </c>
      <c r="I405" t="inlineStr">
        <is>
          <t xml:space="preserve">Family farms matters to me personally.</t>
        </is>
      </c>
    </row>
    <row r="406">
      <c r="A406" t="inlineStr">
        <is>
          <t xml:space="preserve">PL405</t>
        </is>
      </c>
      <c r="B406" t="inlineStr">
        <is>
          <t xml:space="preserve">Earnest</t>
        </is>
      </c>
      <c r="C406" t="inlineStr">
        <is>
          <t xml:space="preserve">block</t>
        </is>
      </c>
      <c r="D406" t="inlineStr">
        <is>
          <t xml:space="preserve">ST76; ST77; ST78</t>
        </is>
      </c>
      <c r="E406" t="inlineStr">
        <is>
          <t xml:space="preserve">Ask plainly. I will answer plainly.</t>
        </is>
      </c>
      <c r="F406" t="inlineStr">
        <is>
          <t xml:space="preserve">My view on family farms is sincere.</t>
        </is>
      </c>
      <c r="G406" t="inlineStr">
        <is>
          <t xml:space="preserve">I will not dodge family farms.</t>
        </is>
      </c>
      <c r="H406" t="inlineStr">
        <is>
          <t xml:space="preserve">You can ask me about family farms.</t>
        </is>
      </c>
      <c r="I406" t="inlineStr">
        <is>
          <t xml:space="preserve">I stand by what I said.</t>
        </is>
      </c>
    </row>
    <row r="407">
      <c r="A407" t="inlineStr">
        <is>
          <t xml:space="preserve">PL406</t>
        </is>
      </c>
      <c r="B407" t="inlineStr">
        <is>
          <t xml:space="preserve">Emotional</t>
        </is>
      </c>
      <c r="C407" t="inlineStr">
        <is>
          <t xml:space="preserve">attack</t>
        </is>
      </c>
      <c r="D407" t="inlineStr">
        <is>
          <t xml:space="preserve">ST76; ST77; ST78</t>
        </is>
      </c>
      <c r="E407" t="inlineStr">
        <is>
          <t xml:space="preserve">Do you feel nothing about family farms?</t>
        </is>
      </c>
      <c r="F407" t="inlineStr">
        <is>
          <t xml:space="preserve">Tell that to those hurt by family farms.</t>
        </is>
      </c>
      <c r="G407" t="inlineStr">
        <is>
          <t xml:space="preserve">Think of the families behind family farms.</t>
        </is>
      </c>
      <c r="H407" t="inlineStr">
        <is>
          <t xml:space="preserve">Look at the faces affected by family farms.</t>
        </is>
      </c>
      <c r="I407" t="inlineStr">
        <is>
          <t xml:space="preserve">Family farms is about real people.</t>
        </is>
      </c>
    </row>
    <row r="408">
      <c r="A408" t="inlineStr">
        <is>
          <t xml:space="preserve">PL407</t>
        </is>
      </c>
      <c r="B408" t="inlineStr">
        <is>
          <t xml:space="preserve">Emotional</t>
        </is>
      </c>
      <c r="C408" t="inlineStr">
        <is>
          <t xml:space="preserve">gain</t>
        </is>
      </c>
      <c r="D408" t="inlineStr">
        <is>
          <t xml:space="preserve">ST76; ST77; ST78</t>
        </is>
      </c>
      <c r="E408" t="inlineStr">
        <is>
          <t xml:space="preserve">I carry those families with me.</t>
        </is>
      </c>
      <c r="F408" t="inlineStr">
        <is>
          <t xml:space="preserve">Every family I met raised family farms.</t>
        </is>
      </c>
      <c r="G408" t="inlineStr">
        <is>
          <t xml:space="preserve">I have met people touched by family farms.</t>
        </is>
      </c>
      <c r="H408" t="inlineStr">
        <is>
          <t xml:space="preserve">Family farms weighs on me.</t>
        </is>
      </c>
      <c r="I408" t="inlineStr">
        <is>
          <t xml:space="preserve">Their stories made me care about family farms.</t>
        </is>
      </c>
    </row>
    <row r="409">
      <c r="A409" t="inlineStr">
        <is>
          <t xml:space="preserve">PL408</t>
        </is>
      </c>
      <c r="B409" t="inlineStr">
        <is>
          <t xml:space="preserve">Emotional</t>
        </is>
      </c>
      <c r="C409" t="inlineStr">
        <is>
          <t xml:space="preserve">block</t>
        </is>
      </c>
      <c r="D409" t="inlineStr">
        <is>
          <t xml:space="preserve">ST76; ST77; ST78</t>
        </is>
      </c>
      <c r="E409" t="inlineStr">
        <is>
          <t xml:space="preserve">These are people, not statistics.</t>
        </is>
      </c>
      <c r="F409" t="inlineStr">
        <is>
          <t xml:space="preserve">Speak gently about family farms.</t>
        </is>
      </c>
      <c r="G409" t="inlineStr">
        <is>
          <t xml:space="preserve">You cannot dismiss people over family farms.</t>
        </is>
      </c>
      <c r="H409" t="inlineStr">
        <is>
          <t xml:space="preserve">Do not turn family farms into a game.</t>
        </is>
      </c>
      <c r="I409" t="inlineStr">
        <is>
          <t xml:space="preserve">I will not shrink their stories.</t>
        </is>
      </c>
    </row>
    <row r="410">
      <c r="A410" t="inlineStr">
        <is>
          <t xml:space="preserve">PL409</t>
        </is>
      </c>
      <c r="B410" t="inlineStr">
        <is>
          <t xml:space="preserve">Appeal</t>
        </is>
      </c>
      <c r="C410" t="inlineStr">
        <is>
          <t xml:space="preserve">attack</t>
        </is>
      </c>
      <c r="D410" t="inlineStr">
        <is>
          <t xml:space="preserve">ST76; ST77; ST78</t>
        </is>
      </c>
      <c r="E410" t="inlineStr">
        <is>
          <t xml:space="preserve">Most people disagree with you on family farms.</t>
        </is>
      </c>
      <c r="F410" t="inlineStr">
        <is>
          <t xml:space="preserve">Voters have spoken on family farms.</t>
        </is>
      </c>
      <c r="G410" t="inlineStr">
        <is>
          <t xml:space="preserve">People want answers on family farms.</t>
        </is>
      </c>
      <c r="H410" t="inlineStr">
        <is>
          <t xml:space="preserve">Ask anyone in the street about family farms.</t>
        </is>
      </c>
      <c r="I410" t="inlineStr">
        <is>
          <t xml:space="preserve">The public wants less spin on family farms.</t>
        </is>
      </c>
    </row>
    <row r="411">
      <c r="A411" t="inlineStr">
        <is>
          <t xml:space="preserve">PL410</t>
        </is>
      </c>
      <c r="B411" t="inlineStr">
        <is>
          <t xml:space="preserve">Appeal</t>
        </is>
      </c>
      <c r="C411" t="inlineStr">
        <is>
          <t xml:space="preserve">gain</t>
        </is>
      </c>
      <c r="D411" t="inlineStr">
        <is>
          <t xml:space="preserve">ST76; ST77; ST78</t>
        </is>
      </c>
      <c r="E411" t="inlineStr">
        <is>
          <t xml:space="preserve">Ask around. People care about family farms.</t>
        </is>
      </c>
      <c r="F411" t="inlineStr">
        <is>
          <t xml:space="preserve">The public mood favours family farms.</t>
        </is>
      </c>
      <c r="G411" t="inlineStr">
        <is>
          <t xml:space="preserve">Most people I meet back family farms.</t>
        </is>
      </c>
      <c r="H411" t="inlineStr">
        <is>
          <t xml:space="preserve">Ordinary people want action on family farms.</t>
        </is>
      </c>
      <c r="I411" t="inlineStr">
        <is>
          <t xml:space="preserve">Voters keep raising family farms.</t>
        </is>
      </c>
    </row>
    <row r="412">
      <c r="A412" t="inlineStr">
        <is>
          <t xml:space="preserve">PL411</t>
        </is>
      </c>
      <c r="B412" t="inlineStr">
        <is>
          <t xml:space="preserve">Appeal</t>
        </is>
      </c>
      <c r="C412" t="inlineStr">
        <is>
          <t xml:space="preserve">block</t>
        </is>
      </c>
      <c r="D412" t="inlineStr">
        <is>
          <t xml:space="preserve">ST76; ST77; ST78</t>
        </is>
      </c>
      <c r="E412" t="inlineStr">
        <is>
          <t xml:space="preserve">Let the public decide family farms.</t>
        </is>
      </c>
      <c r="F412" t="inlineStr">
        <is>
          <t xml:space="preserve">I hear all sides on family farms.</t>
        </is>
      </c>
      <c r="G412" t="inlineStr">
        <is>
          <t xml:space="preserve">Do not speak for everyone on family farms.</t>
        </is>
      </c>
      <c r="H412" t="inlineStr">
        <is>
          <t xml:space="preserve">People are divided on family farms.</t>
        </is>
      </c>
      <c r="I412" t="inlineStr">
        <is>
          <t xml:space="preserve">Do not claim the crowd on family farms.</t>
        </is>
      </c>
    </row>
    <row r="413">
      <c r="A413" t="inlineStr">
        <is>
          <t xml:space="preserve">PL412</t>
        </is>
      </c>
      <c r="B413" t="inlineStr">
        <is>
          <t xml:space="preserve">Data Driven</t>
        </is>
      </c>
      <c r="C413" t="inlineStr">
        <is>
          <t xml:space="preserve">attack</t>
        </is>
      </c>
      <c r="D413" t="inlineStr">
        <is>
          <t xml:space="preserve">ST76; ST77; ST78</t>
        </is>
      </c>
      <c r="E413" t="inlineStr">
        <is>
          <t xml:space="preserve">What is the real cost of family farms?</t>
        </is>
      </c>
      <c r="F413" t="inlineStr">
        <is>
          <t xml:space="preserve">Those family farms statistics are selective.</t>
        </is>
      </c>
      <c r="G413" t="inlineStr">
        <is>
          <t xml:space="preserve">Where are the figures on family farms?</t>
        </is>
      </c>
      <c r="H413" t="inlineStr">
        <is>
          <t xml:space="preserve">Your numbers on family farms do not hold.</t>
        </is>
      </c>
      <c r="I413" t="inlineStr">
        <is>
          <t xml:space="preserve">Show the evidence for family farms.</t>
        </is>
      </c>
    </row>
    <row r="414">
      <c r="A414" t="inlineStr">
        <is>
          <t xml:space="preserve">PL413</t>
        </is>
      </c>
      <c r="B414" t="inlineStr">
        <is>
          <t xml:space="preserve">Data Driven</t>
        </is>
      </c>
      <c r="C414" t="inlineStr">
        <is>
          <t xml:space="preserve">gain</t>
        </is>
      </c>
      <c r="D414" t="inlineStr">
        <is>
          <t xml:space="preserve">ST76; ST77; ST78</t>
        </is>
      </c>
      <c r="E414" t="inlineStr">
        <is>
          <t xml:space="preserve">The cost of family farms adds up.</t>
        </is>
      </c>
      <c r="F414" t="inlineStr">
        <is>
          <t xml:space="preserve">The numbers on family farms hold.</t>
        </is>
      </c>
      <c r="G414" t="inlineStr">
        <is>
          <t xml:space="preserve">The evidence on family farms is clear.</t>
        </is>
      </c>
      <c r="H414" t="inlineStr">
        <is>
          <t xml:space="preserve">Here are the figures on family farms.</t>
        </is>
      </c>
      <c r="I414" t="inlineStr">
        <is>
          <t xml:space="preserve">Studies on family farms support this.</t>
        </is>
      </c>
    </row>
    <row r="415">
      <c r="A415" t="inlineStr">
        <is>
          <t xml:space="preserve">PL414</t>
        </is>
      </c>
      <c r="B415" t="inlineStr">
        <is>
          <t xml:space="preserve">Data Driven</t>
        </is>
      </c>
      <c r="C415" t="inlineStr">
        <is>
          <t xml:space="preserve">block</t>
        </is>
      </c>
      <c r="D415" t="inlineStr">
        <is>
          <t xml:space="preserve">ST76; ST77; ST78</t>
        </is>
      </c>
      <c r="E415" t="inlineStr">
        <is>
          <t xml:space="preserve">Read the full report on family farms.</t>
        </is>
      </c>
      <c r="F415" t="inlineStr">
        <is>
          <t xml:space="preserve">That is not what the data shows.</t>
        </is>
      </c>
      <c r="G415" t="inlineStr">
        <is>
          <t xml:space="preserve">Check the source on family farms.</t>
        </is>
      </c>
      <c r="H415" t="inlineStr">
        <is>
          <t xml:space="preserve">Those figures on family farms are misread.</t>
        </is>
      </c>
      <c r="I415" t="inlineStr">
        <is>
          <t xml:space="preserve">The data does not say that.</t>
        </is>
      </c>
    </row>
    <row r="416">
      <c r="A416" t="inlineStr">
        <is>
          <t xml:space="preserve">PL415</t>
        </is>
      </c>
      <c r="B416" t="inlineStr">
        <is>
          <t xml:space="preserve">Divisive</t>
        </is>
      </c>
      <c r="C416" t="inlineStr">
        <is>
          <t xml:space="preserve">attack</t>
        </is>
      </c>
      <c r="D416" t="inlineStr">
        <is>
          <t xml:space="preserve">ST76; ST77; ST78</t>
        </is>
      </c>
      <c r="E416" t="inlineStr">
        <is>
          <t xml:space="preserve">This is a fight over family farms.</t>
        </is>
      </c>
      <c r="F416" t="inlineStr">
        <is>
          <t xml:space="preserve">Wrong side of family farms. Own it.</t>
        </is>
      </c>
      <c r="G416" t="inlineStr">
        <is>
          <t xml:space="preserve">Family farms serves insiders, not you.</t>
        </is>
      </c>
      <c r="H416" t="inlineStr">
        <is>
          <t xml:space="preserve">Whose side are you on over family farms?</t>
        </is>
      </c>
      <c r="I416" t="inlineStr">
        <is>
          <t xml:space="preserve">You work against the public on family farms.</t>
        </is>
      </c>
    </row>
    <row r="417">
      <c r="A417" t="inlineStr">
        <is>
          <t xml:space="preserve">PL416</t>
        </is>
      </c>
      <c r="B417" t="inlineStr">
        <is>
          <t xml:space="preserve">Divisive</t>
        </is>
      </c>
      <c r="C417" t="inlineStr">
        <is>
          <t xml:space="preserve">gain</t>
        </is>
      </c>
      <c r="D417" t="inlineStr">
        <is>
          <t xml:space="preserve">ST76; ST77; ST78</t>
        </is>
      </c>
      <c r="E417" t="inlineStr">
        <is>
          <t xml:space="preserve">There is no middle ground on family farms.</t>
        </is>
      </c>
      <c r="F417" t="inlineStr">
        <is>
          <t xml:space="preserve">I will not please everyone on family farms.</t>
        </is>
      </c>
      <c r="G417" t="inlineStr">
        <is>
          <t xml:space="preserve">We must choose a side on family farms.</t>
        </is>
      </c>
      <c r="H417" t="inlineStr">
        <is>
          <t xml:space="preserve">Some lose over family farms. So be it.</t>
        </is>
      </c>
      <c r="I417" t="inlineStr">
        <is>
          <t xml:space="preserve">Family farms needs hard choices.</t>
        </is>
      </c>
    </row>
    <row r="418">
      <c r="A418" t="inlineStr">
        <is>
          <t xml:space="preserve">PL417</t>
        </is>
      </c>
      <c r="B418" t="inlineStr">
        <is>
          <t xml:space="preserve">Divisive</t>
        </is>
      </c>
      <c r="C418" t="inlineStr">
        <is>
          <t xml:space="preserve">block</t>
        </is>
      </c>
      <c r="D418" t="inlineStr">
        <is>
          <t xml:space="preserve">ST76; ST77; ST78</t>
        </is>
      </c>
      <c r="E418" t="inlineStr">
        <is>
          <t xml:space="preserve">That jab on family farms fails.</t>
        </is>
      </c>
      <c r="F418" t="inlineStr">
        <is>
          <t xml:space="preserve">Pick a side on family farms yourself.</t>
        </is>
      </c>
      <c r="G418" t="inlineStr">
        <is>
          <t xml:space="preserve">Your side caused this over family farms.</t>
        </is>
      </c>
      <c r="H418" t="inlineStr">
        <is>
          <t xml:space="preserve">Spare me the sermon on family farms.</t>
        </is>
      </c>
      <c r="I418" t="inlineStr">
        <is>
          <t xml:space="preserve">Do not hide behind family farms.</t>
        </is>
      </c>
    </row>
    <row r="419">
      <c r="A419" t="inlineStr">
        <is>
          <t xml:space="preserve">PL418</t>
        </is>
      </c>
      <c r="B419" t="inlineStr">
        <is>
          <t xml:space="preserve">Duplicitous</t>
        </is>
      </c>
      <c r="C419" t="inlineStr">
        <is>
          <t xml:space="preserve">attack</t>
        </is>
      </c>
      <c r="D419" t="inlineStr">
        <is>
          <t xml:space="preserve">ST76; ST77; ST78</t>
        </is>
      </c>
      <c r="E419" t="inlineStr">
        <is>
          <t xml:space="preserve">Convenient wording on family farms.</t>
        </is>
      </c>
      <c r="F419" t="inlineStr">
        <is>
          <t xml:space="preserve">What are you leaving out on family farms?</t>
        </is>
      </c>
      <c r="G419" t="inlineStr">
        <is>
          <t xml:space="preserve">Funny how family farms suits you so well.</t>
        </is>
      </c>
      <c r="H419" t="inlineStr">
        <is>
          <t xml:space="preserve">Who benefits from family farms, really?</t>
        </is>
      </c>
      <c r="I419" t="inlineStr">
        <is>
          <t xml:space="preserve">Your story on family farms has gaps.</t>
        </is>
      </c>
    </row>
    <row r="420">
      <c r="A420" t="inlineStr">
        <is>
          <t xml:space="preserve">PL419</t>
        </is>
      </c>
      <c r="B420" t="inlineStr">
        <is>
          <t xml:space="preserve">Duplicitous</t>
        </is>
      </c>
      <c r="C420" t="inlineStr">
        <is>
          <t xml:space="preserve">gain</t>
        </is>
      </c>
      <c r="D420" t="inlineStr">
        <is>
          <t xml:space="preserve">ST76; ST77; ST78</t>
        </is>
      </c>
      <c r="E420" t="inlineStr">
        <is>
          <t xml:space="preserve">I said what I said on family farms.</t>
        </is>
      </c>
      <c r="F420" t="inlineStr">
        <is>
          <t xml:space="preserve">Trust me on family farms.</t>
        </is>
      </c>
      <c r="G420" t="inlineStr">
        <is>
          <t xml:space="preserve">Let me reframe family farms slightly.</t>
        </is>
      </c>
      <c r="H420" t="inlineStr">
        <is>
          <t xml:space="preserve">Everyone agrees on family farms, broadly.</t>
        </is>
      </c>
      <c r="I420" t="inlineStr">
        <is>
          <t xml:space="preserve">Family farms is simpler than you think.</t>
        </is>
      </c>
    </row>
    <row r="421">
      <c r="A421" t="inlineStr">
        <is>
          <t xml:space="preserve">PL420</t>
        </is>
      </c>
      <c r="B421" t="inlineStr">
        <is>
          <t xml:space="preserve">Duplicitous</t>
        </is>
      </c>
      <c r="C421" t="inlineStr">
        <is>
          <t xml:space="preserve">block</t>
        </is>
      </c>
      <c r="D421" t="inlineStr">
        <is>
          <t xml:space="preserve">ST76; ST77; ST78</t>
        </is>
      </c>
      <c r="E421" t="inlineStr">
        <is>
          <t xml:space="preserve">A fair question on family farms. Next.</t>
        </is>
      </c>
      <c r="F421" t="inlineStr">
        <is>
          <t xml:space="preserve">Let us move past family farms.</t>
        </is>
      </c>
      <c r="G421" t="inlineStr">
        <is>
          <t xml:space="preserve">That is not my line on family farms.</t>
        </is>
      </c>
      <c r="H421" t="inlineStr">
        <is>
          <t xml:space="preserve">You misheard me on family farms.</t>
        </is>
      </c>
      <c r="I421" t="inlineStr">
        <is>
          <t xml:space="preserve">I take that as praise on family farms.</t>
        </is>
      </c>
    </row>
    <row r="422">
      <c r="A422" t="inlineStr">
        <is>
          <t xml:space="preserve">PL421</t>
        </is>
      </c>
      <c r="B422" t="inlineStr">
        <is>
          <t xml:space="preserve">Earnest</t>
        </is>
      </c>
      <c r="C422" t="inlineStr">
        <is>
          <t xml:space="preserve">attack</t>
        </is>
      </c>
      <c r="D422" t="inlineStr">
        <is>
          <t xml:space="preserve">ST79; ST80; ST81</t>
        </is>
      </c>
      <c r="E422" t="inlineStr">
        <is>
          <t xml:space="preserve">People deserve a straight answer on research funding.</t>
        </is>
      </c>
      <c r="F422" t="inlineStr">
        <is>
          <t xml:space="preserve">Research funding deserves honesty, not slogans.</t>
        </is>
      </c>
      <c r="G422" t="inlineStr">
        <is>
          <t xml:space="preserve">Say plainly what you mean about research funding.</t>
        </is>
      </c>
      <c r="H422" t="inlineStr">
        <is>
          <t xml:space="preserve">Be sincere with people about research funding.</t>
        </is>
      </c>
      <c r="I422" t="inlineStr">
        <is>
          <t xml:space="preserve">Research funding is no place for games.</t>
        </is>
      </c>
    </row>
    <row r="423">
      <c r="A423" t="inlineStr">
        <is>
          <t xml:space="preserve">PL422</t>
        </is>
      </c>
      <c r="B423" t="inlineStr">
        <is>
          <t xml:space="preserve">Earnest</t>
        </is>
      </c>
      <c r="C423" t="inlineStr">
        <is>
          <t xml:space="preserve">gain</t>
        </is>
      </c>
      <c r="D423" t="inlineStr">
        <is>
          <t xml:space="preserve">ST79; ST80; ST81</t>
        </is>
      </c>
      <c r="E423" t="inlineStr">
        <is>
          <t xml:space="preserve">Here is my honest view on research funding.</t>
        </is>
      </c>
      <c r="F423" t="inlineStr">
        <is>
          <t xml:space="preserve">I mean every word about research funding.</t>
        </is>
      </c>
      <c r="G423" t="inlineStr">
        <is>
          <t xml:space="preserve">People can trust me on research funding.</t>
        </is>
      </c>
      <c r="H423" t="inlineStr">
        <is>
          <t xml:space="preserve">Research funding matters to me personally.</t>
        </is>
      </c>
      <c r="I423" t="inlineStr">
        <is>
          <t xml:space="preserve">I will be honest about research funding.</t>
        </is>
      </c>
    </row>
    <row r="424">
      <c r="A424" t="inlineStr">
        <is>
          <t xml:space="preserve">PL423</t>
        </is>
      </c>
      <c r="B424" t="inlineStr">
        <is>
          <t xml:space="preserve">Earnest</t>
        </is>
      </c>
      <c r="C424" t="inlineStr">
        <is>
          <t xml:space="preserve">block</t>
        </is>
      </c>
      <c r="D424" t="inlineStr">
        <is>
          <t xml:space="preserve">ST79; ST80; ST81</t>
        </is>
      </c>
      <c r="E424" t="inlineStr">
        <is>
          <t xml:space="preserve">My view on research funding is sincere.</t>
        </is>
      </c>
      <c r="F424" t="inlineStr">
        <is>
          <t xml:space="preserve">I will not dodge research funding.</t>
        </is>
      </c>
      <c r="G424" t="inlineStr">
        <is>
          <t xml:space="preserve">You can ask me about research funding.</t>
        </is>
      </c>
      <c r="H424" t="inlineStr">
        <is>
          <t xml:space="preserve">I stand by what I said.</t>
        </is>
      </c>
      <c r="I424" t="inlineStr">
        <is>
          <t xml:space="preserve">Ask plainly. I will answer plainly.</t>
        </is>
      </c>
    </row>
    <row r="425">
      <c r="A425" t="inlineStr">
        <is>
          <t xml:space="preserve">PL424</t>
        </is>
      </c>
      <c r="B425" t="inlineStr">
        <is>
          <t xml:space="preserve">Emotional</t>
        </is>
      </c>
      <c r="C425" t="inlineStr">
        <is>
          <t xml:space="preserve">attack</t>
        </is>
      </c>
      <c r="D425" t="inlineStr">
        <is>
          <t xml:space="preserve">ST79; ST80; ST81</t>
        </is>
      </c>
      <c r="E425" t="inlineStr">
        <is>
          <t xml:space="preserve">Tell that to those hurt by research funding.</t>
        </is>
      </c>
      <c r="F425" t="inlineStr">
        <is>
          <t xml:space="preserve">Think of the families behind research funding.</t>
        </is>
      </c>
      <c r="G425" t="inlineStr">
        <is>
          <t xml:space="preserve">Look at the faces affected by research funding.</t>
        </is>
      </c>
      <c r="H425" t="inlineStr">
        <is>
          <t xml:space="preserve">Research funding is about real people.</t>
        </is>
      </c>
      <c r="I425" t="inlineStr">
        <is>
          <t xml:space="preserve">Do you feel nothing about research funding?</t>
        </is>
      </c>
    </row>
    <row r="426">
      <c r="A426" t="inlineStr">
        <is>
          <t xml:space="preserve">PL425</t>
        </is>
      </c>
      <c r="B426" t="inlineStr">
        <is>
          <t xml:space="preserve">Emotional</t>
        </is>
      </c>
      <c r="C426" t="inlineStr">
        <is>
          <t xml:space="preserve">gain</t>
        </is>
      </c>
      <c r="D426" t="inlineStr">
        <is>
          <t xml:space="preserve">ST79; ST80; ST81</t>
        </is>
      </c>
      <c r="E426" t="inlineStr">
        <is>
          <t xml:space="preserve">Every family I met raised research funding.</t>
        </is>
      </c>
      <c r="F426" t="inlineStr">
        <is>
          <t xml:space="preserve">I have met people touched by research funding.</t>
        </is>
      </c>
      <c r="G426" t="inlineStr">
        <is>
          <t xml:space="preserve">Research funding weighs on me.</t>
        </is>
      </c>
      <c r="H426" t="inlineStr">
        <is>
          <t xml:space="preserve">Their stories made me care about research funding.</t>
        </is>
      </c>
      <c r="I426" t="inlineStr">
        <is>
          <t xml:space="preserve">I carry those families with me.</t>
        </is>
      </c>
    </row>
    <row r="427">
      <c r="A427" t="inlineStr">
        <is>
          <t xml:space="preserve">PL426</t>
        </is>
      </c>
      <c r="B427" t="inlineStr">
        <is>
          <t xml:space="preserve">Emotional</t>
        </is>
      </c>
      <c r="C427" t="inlineStr">
        <is>
          <t xml:space="preserve">block</t>
        </is>
      </c>
      <c r="D427" t="inlineStr">
        <is>
          <t xml:space="preserve">ST79; ST80; ST81</t>
        </is>
      </c>
      <c r="E427" t="inlineStr">
        <is>
          <t xml:space="preserve">Speak gently about research funding.</t>
        </is>
      </c>
      <c r="F427" t="inlineStr">
        <is>
          <t xml:space="preserve">You cannot dismiss people over research funding.</t>
        </is>
      </c>
      <c r="G427" t="inlineStr">
        <is>
          <t xml:space="preserve">Do not turn research funding into a game.</t>
        </is>
      </c>
      <c r="H427" t="inlineStr">
        <is>
          <t xml:space="preserve">I will not shrink their stories.</t>
        </is>
      </c>
      <c r="I427" t="inlineStr">
        <is>
          <t xml:space="preserve">These are people, not statistics.</t>
        </is>
      </c>
    </row>
    <row r="428">
      <c r="A428" t="inlineStr">
        <is>
          <t xml:space="preserve">PL427</t>
        </is>
      </c>
      <c r="B428" t="inlineStr">
        <is>
          <t xml:space="preserve">Appeal</t>
        </is>
      </c>
      <c r="C428" t="inlineStr">
        <is>
          <t xml:space="preserve">attack</t>
        </is>
      </c>
      <c r="D428" t="inlineStr">
        <is>
          <t xml:space="preserve">ST79; ST80; ST81</t>
        </is>
      </c>
      <c r="E428" t="inlineStr">
        <is>
          <t xml:space="preserve">Voters have spoken on research funding.</t>
        </is>
      </c>
      <c r="F428" t="inlineStr">
        <is>
          <t xml:space="preserve">People want answers on research funding.</t>
        </is>
      </c>
      <c r="G428" t="inlineStr">
        <is>
          <t xml:space="preserve">Ask anyone in the street about research funding.</t>
        </is>
      </c>
      <c r="H428" t="inlineStr">
        <is>
          <t xml:space="preserve">The public wants less spin on research funding.</t>
        </is>
      </c>
      <c r="I428" t="inlineStr">
        <is>
          <t xml:space="preserve">Most people disagree with you on research funding.</t>
        </is>
      </c>
    </row>
    <row r="429">
      <c r="A429" t="inlineStr">
        <is>
          <t xml:space="preserve">PL428</t>
        </is>
      </c>
      <c r="B429" t="inlineStr">
        <is>
          <t xml:space="preserve">Appeal</t>
        </is>
      </c>
      <c r="C429" t="inlineStr">
        <is>
          <t xml:space="preserve">gain</t>
        </is>
      </c>
      <c r="D429" t="inlineStr">
        <is>
          <t xml:space="preserve">ST79; ST80; ST81</t>
        </is>
      </c>
      <c r="E429" t="inlineStr">
        <is>
          <t xml:space="preserve">The public mood favours research funding.</t>
        </is>
      </c>
      <c r="F429" t="inlineStr">
        <is>
          <t xml:space="preserve">Most people I meet back research funding.</t>
        </is>
      </c>
      <c r="G429" t="inlineStr">
        <is>
          <t xml:space="preserve">Ordinary people want action on research funding.</t>
        </is>
      </c>
      <c r="H429" t="inlineStr">
        <is>
          <t xml:space="preserve">Voters keep raising research funding.</t>
        </is>
      </c>
      <c r="I429" t="inlineStr">
        <is>
          <t xml:space="preserve">Ask around. People care about research funding.</t>
        </is>
      </c>
    </row>
    <row r="430">
      <c r="A430" t="inlineStr">
        <is>
          <t xml:space="preserve">PL429</t>
        </is>
      </c>
      <c r="B430" t="inlineStr">
        <is>
          <t xml:space="preserve">Appeal</t>
        </is>
      </c>
      <c r="C430" t="inlineStr">
        <is>
          <t xml:space="preserve">block</t>
        </is>
      </c>
      <c r="D430" t="inlineStr">
        <is>
          <t xml:space="preserve">ST79; ST80; ST81</t>
        </is>
      </c>
      <c r="E430" t="inlineStr">
        <is>
          <t xml:space="preserve">I hear all sides on research funding.</t>
        </is>
      </c>
      <c r="F430" t="inlineStr">
        <is>
          <t xml:space="preserve">Do not speak for everyone on research funding.</t>
        </is>
      </c>
      <c r="G430" t="inlineStr">
        <is>
          <t xml:space="preserve">People are divided on research funding.</t>
        </is>
      </c>
      <c r="H430" t="inlineStr">
        <is>
          <t xml:space="preserve">Do not claim the crowd on research funding.</t>
        </is>
      </c>
      <c r="I430" t="inlineStr">
        <is>
          <t xml:space="preserve">Let the public decide research funding.</t>
        </is>
      </c>
    </row>
    <row r="431">
      <c r="A431" t="inlineStr">
        <is>
          <t xml:space="preserve">PL430</t>
        </is>
      </c>
      <c r="B431" t="inlineStr">
        <is>
          <t xml:space="preserve">Data Driven</t>
        </is>
      </c>
      <c r="C431" t="inlineStr">
        <is>
          <t xml:space="preserve">attack</t>
        </is>
      </c>
      <c r="D431" t="inlineStr">
        <is>
          <t xml:space="preserve">ST79; ST80; ST81</t>
        </is>
      </c>
      <c r="E431" t="inlineStr">
        <is>
          <t xml:space="preserve">Those research funding statistics are selective.</t>
        </is>
      </c>
      <c r="F431" t="inlineStr">
        <is>
          <t xml:space="preserve">Where are the figures on research funding?</t>
        </is>
      </c>
      <c r="G431" t="inlineStr">
        <is>
          <t xml:space="preserve">Your numbers on research funding do not hold.</t>
        </is>
      </c>
      <c r="H431" t="inlineStr">
        <is>
          <t xml:space="preserve">Show the evidence for research funding.</t>
        </is>
      </c>
      <c r="I431" t="inlineStr">
        <is>
          <t xml:space="preserve">What is the real cost of research funding?</t>
        </is>
      </c>
    </row>
    <row r="432">
      <c r="A432" t="inlineStr">
        <is>
          <t xml:space="preserve">PL431</t>
        </is>
      </c>
      <c r="B432" t="inlineStr">
        <is>
          <t xml:space="preserve">Data Driven</t>
        </is>
      </c>
      <c r="C432" t="inlineStr">
        <is>
          <t xml:space="preserve">gain</t>
        </is>
      </c>
      <c r="D432" t="inlineStr">
        <is>
          <t xml:space="preserve">ST79; ST80; ST81</t>
        </is>
      </c>
      <c r="E432" t="inlineStr">
        <is>
          <t xml:space="preserve">The numbers on research funding hold.</t>
        </is>
      </c>
      <c r="F432" t="inlineStr">
        <is>
          <t xml:space="preserve">The evidence on research funding is clear.</t>
        </is>
      </c>
      <c r="G432" t="inlineStr">
        <is>
          <t xml:space="preserve">Here are the figures on research funding.</t>
        </is>
      </c>
      <c r="H432" t="inlineStr">
        <is>
          <t xml:space="preserve">Studies on research funding support this.</t>
        </is>
      </c>
      <c r="I432" t="inlineStr">
        <is>
          <t xml:space="preserve">The cost of research funding adds up.</t>
        </is>
      </c>
    </row>
    <row r="433">
      <c r="A433" t="inlineStr">
        <is>
          <t xml:space="preserve">PL432</t>
        </is>
      </c>
      <c r="B433" t="inlineStr">
        <is>
          <t xml:space="preserve">Data Driven</t>
        </is>
      </c>
      <c r="C433" t="inlineStr">
        <is>
          <t xml:space="preserve">block</t>
        </is>
      </c>
      <c r="D433" t="inlineStr">
        <is>
          <t xml:space="preserve">ST79; ST80; ST81</t>
        </is>
      </c>
      <c r="E433" t="inlineStr">
        <is>
          <t xml:space="preserve">That is not what the data shows.</t>
        </is>
      </c>
      <c r="F433" t="inlineStr">
        <is>
          <t xml:space="preserve">Check the source on research funding.</t>
        </is>
      </c>
      <c r="G433" t="inlineStr">
        <is>
          <t xml:space="preserve">Those figures on research funding are misread.</t>
        </is>
      </c>
      <c r="H433" t="inlineStr">
        <is>
          <t xml:space="preserve">The data does not say that.</t>
        </is>
      </c>
      <c r="I433" t="inlineStr">
        <is>
          <t xml:space="preserve">Read the full report on research funding.</t>
        </is>
      </c>
    </row>
    <row r="434">
      <c r="A434" t="inlineStr">
        <is>
          <t xml:space="preserve">PL433</t>
        </is>
      </c>
      <c r="B434" t="inlineStr">
        <is>
          <t xml:space="preserve">Divisive</t>
        </is>
      </c>
      <c r="C434" t="inlineStr">
        <is>
          <t xml:space="preserve">attack</t>
        </is>
      </c>
      <c r="D434" t="inlineStr">
        <is>
          <t xml:space="preserve">ST79; ST80; ST81</t>
        </is>
      </c>
      <c r="E434" t="inlineStr">
        <is>
          <t xml:space="preserve">Wrong side of research funding. Own it.</t>
        </is>
      </c>
      <c r="F434" t="inlineStr">
        <is>
          <t xml:space="preserve">Research funding serves insiders, not you.</t>
        </is>
      </c>
      <c r="G434" t="inlineStr">
        <is>
          <t xml:space="preserve">Whose side are you on over research funding?</t>
        </is>
      </c>
      <c r="H434" t="inlineStr">
        <is>
          <t xml:space="preserve">You work against the public on research funding.</t>
        </is>
      </c>
      <c r="I434" t="inlineStr">
        <is>
          <t xml:space="preserve">This is a fight over research funding.</t>
        </is>
      </c>
    </row>
    <row r="435">
      <c r="A435" t="inlineStr">
        <is>
          <t xml:space="preserve">PL434</t>
        </is>
      </c>
      <c r="B435" t="inlineStr">
        <is>
          <t xml:space="preserve">Divisive</t>
        </is>
      </c>
      <c r="C435" t="inlineStr">
        <is>
          <t xml:space="preserve">gain</t>
        </is>
      </c>
      <c r="D435" t="inlineStr">
        <is>
          <t xml:space="preserve">ST79; ST80; ST81</t>
        </is>
      </c>
      <c r="E435" t="inlineStr">
        <is>
          <t xml:space="preserve">I will not please everyone on research funding.</t>
        </is>
      </c>
      <c r="F435" t="inlineStr">
        <is>
          <t xml:space="preserve">We must choose a side on research funding.</t>
        </is>
      </c>
      <c r="G435" t="inlineStr">
        <is>
          <t xml:space="preserve">Some lose over research funding. So be it.</t>
        </is>
      </c>
      <c r="H435" t="inlineStr">
        <is>
          <t xml:space="preserve">Research funding needs hard choices.</t>
        </is>
      </c>
      <c r="I435" t="inlineStr">
        <is>
          <t xml:space="preserve">There is no middle ground on research funding.</t>
        </is>
      </c>
    </row>
    <row r="436">
      <c r="A436" t="inlineStr">
        <is>
          <t xml:space="preserve">PL435</t>
        </is>
      </c>
      <c r="B436" t="inlineStr">
        <is>
          <t xml:space="preserve">Divisive</t>
        </is>
      </c>
      <c r="C436" t="inlineStr">
        <is>
          <t xml:space="preserve">block</t>
        </is>
      </c>
      <c r="D436" t="inlineStr">
        <is>
          <t xml:space="preserve">ST79; ST80; ST81</t>
        </is>
      </c>
      <c r="E436" t="inlineStr">
        <is>
          <t xml:space="preserve">Pick a side on research funding yourself.</t>
        </is>
      </c>
      <c r="F436" t="inlineStr">
        <is>
          <t xml:space="preserve">Your side caused this over research funding.</t>
        </is>
      </c>
      <c r="G436" t="inlineStr">
        <is>
          <t xml:space="preserve">Spare me the sermon on research funding.</t>
        </is>
      </c>
      <c r="H436" t="inlineStr">
        <is>
          <t xml:space="preserve">Do not hide behind research funding.</t>
        </is>
      </c>
      <c r="I436" t="inlineStr">
        <is>
          <t xml:space="preserve">That jab on research funding fails.</t>
        </is>
      </c>
    </row>
    <row r="437">
      <c r="A437" t="inlineStr">
        <is>
          <t xml:space="preserve">PL436</t>
        </is>
      </c>
      <c r="B437" t="inlineStr">
        <is>
          <t xml:space="preserve">Duplicitous</t>
        </is>
      </c>
      <c r="C437" t="inlineStr">
        <is>
          <t xml:space="preserve">attack</t>
        </is>
      </c>
      <c r="D437" t="inlineStr">
        <is>
          <t xml:space="preserve">ST79; ST80; ST81</t>
        </is>
      </c>
      <c r="E437" t="inlineStr">
        <is>
          <t xml:space="preserve">What are you leaving out on research funding?</t>
        </is>
      </c>
      <c r="F437" t="inlineStr">
        <is>
          <t xml:space="preserve">Funny how research funding suits you so well.</t>
        </is>
      </c>
      <c r="G437" t="inlineStr">
        <is>
          <t xml:space="preserve">Who benefits from research funding, really?</t>
        </is>
      </c>
      <c r="H437" t="inlineStr">
        <is>
          <t xml:space="preserve">Your story on research funding has gaps.</t>
        </is>
      </c>
      <c r="I437" t="inlineStr">
        <is>
          <t xml:space="preserve">Convenient wording on research funding.</t>
        </is>
      </c>
    </row>
    <row r="438">
      <c r="A438" t="inlineStr">
        <is>
          <t xml:space="preserve">PL437</t>
        </is>
      </c>
      <c r="B438" t="inlineStr">
        <is>
          <t xml:space="preserve">Duplicitous</t>
        </is>
      </c>
      <c r="C438" t="inlineStr">
        <is>
          <t xml:space="preserve">gain</t>
        </is>
      </c>
      <c r="D438" t="inlineStr">
        <is>
          <t xml:space="preserve">ST79; ST80; ST81</t>
        </is>
      </c>
      <c r="E438" t="inlineStr">
        <is>
          <t xml:space="preserve">Trust me on research funding.</t>
        </is>
      </c>
      <c r="F438" t="inlineStr">
        <is>
          <t xml:space="preserve">Let me reframe research funding slightly.</t>
        </is>
      </c>
      <c r="G438" t="inlineStr">
        <is>
          <t xml:space="preserve">Everyone agrees on research funding, broadly.</t>
        </is>
      </c>
      <c r="H438" t="inlineStr">
        <is>
          <t xml:space="preserve">Research funding is simpler than you think.</t>
        </is>
      </c>
      <c r="I438" t="inlineStr">
        <is>
          <t xml:space="preserve">I said what I said on research funding.</t>
        </is>
      </c>
    </row>
    <row r="439">
      <c r="A439" t="inlineStr">
        <is>
          <t xml:space="preserve">PL438</t>
        </is>
      </c>
      <c r="B439" t="inlineStr">
        <is>
          <t xml:space="preserve">Duplicitous</t>
        </is>
      </c>
      <c r="C439" t="inlineStr">
        <is>
          <t xml:space="preserve">block</t>
        </is>
      </c>
      <c r="D439" t="inlineStr">
        <is>
          <t xml:space="preserve">ST79; ST80; ST81</t>
        </is>
      </c>
      <c r="E439" t="inlineStr">
        <is>
          <t xml:space="preserve">Let us move past research funding.</t>
        </is>
      </c>
      <c r="F439" t="inlineStr">
        <is>
          <t xml:space="preserve">That is not my line on research funding.</t>
        </is>
      </c>
      <c r="G439" t="inlineStr">
        <is>
          <t xml:space="preserve">You misheard me on research funding.</t>
        </is>
      </c>
      <c r="H439" t="inlineStr">
        <is>
          <t xml:space="preserve">I take that as praise on research funding.</t>
        </is>
      </c>
      <c r="I439" t="inlineStr">
        <is>
          <t xml:space="preserve">A fair question on research funding. Next.</t>
        </is>
      </c>
    </row>
    <row r="440">
      <c r="A440" t="inlineStr">
        <is>
          <t xml:space="preserve">PL439</t>
        </is>
      </c>
      <c r="B440" t="inlineStr">
        <is>
          <t xml:space="preserve">Earnest</t>
        </is>
      </c>
      <c r="C440" t="inlineStr">
        <is>
          <t xml:space="preserve">attack</t>
        </is>
      </c>
      <c r="D440" t="inlineStr">
        <is>
          <t xml:space="preserve">ST82; ST83; ST84; ST85</t>
        </is>
      </c>
      <c r="E440" t="inlineStr">
        <is>
          <t xml:space="preserve">Equal treatment deserves honesty, not slogans.</t>
        </is>
      </c>
      <c r="F440" t="inlineStr">
        <is>
          <t xml:space="preserve">Say plainly what you mean about equal treatment.</t>
        </is>
      </c>
      <c r="G440" t="inlineStr">
        <is>
          <t xml:space="preserve">Be sincere with people about equal treatment.</t>
        </is>
      </c>
      <c r="H440" t="inlineStr">
        <is>
          <t xml:space="preserve">Equal treatment is no place for games.</t>
        </is>
      </c>
      <c r="I440" t="inlineStr">
        <is>
          <t xml:space="preserve">People deserve a straight answer on equal treatment.</t>
        </is>
      </c>
    </row>
    <row r="441">
      <c r="A441" t="inlineStr">
        <is>
          <t xml:space="preserve">PL440</t>
        </is>
      </c>
      <c r="B441" t="inlineStr">
        <is>
          <t xml:space="preserve">Earnest</t>
        </is>
      </c>
      <c r="C441" t="inlineStr">
        <is>
          <t xml:space="preserve">gain</t>
        </is>
      </c>
      <c r="D441" t="inlineStr">
        <is>
          <t xml:space="preserve">ST82; ST83; ST84; ST85</t>
        </is>
      </c>
      <c r="E441" t="inlineStr">
        <is>
          <t xml:space="preserve">I mean every word about equal treatment.</t>
        </is>
      </c>
      <c r="F441" t="inlineStr">
        <is>
          <t xml:space="preserve">People can trust me on equal treatment.</t>
        </is>
      </c>
      <c r="G441" t="inlineStr">
        <is>
          <t xml:space="preserve">Equal treatment matters to me personally.</t>
        </is>
      </c>
      <c r="H441" t="inlineStr">
        <is>
          <t xml:space="preserve">I will be honest about equal treatment.</t>
        </is>
      </c>
      <c r="I441" t="inlineStr">
        <is>
          <t xml:space="preserve">Here is my honest view on equal treatment.</t>
        </is>
      </c>
    </row>
    <row r="442">
      <c r="A442" t="inlineStr">
        <is>
          <t xml:space="preserve">PL441</t>
        </is>
      </c>
      <c r="B442" t="inlineStr">
        <is>
          <t xml:space="preserve">Earnest</t>
        </is>
      </c>
      <c r="C442" t="inlineStr">
        <is>
          <t xml:space="preserve">block</t>
        </is>
      </c>
      <c r="D442" t="inlineStr">
        <is>
          <t xml:space="preserve">ST82; ST83; ST84; ST85</t>
        </is>
      </c>
      <c r="E442" t="inlineStr">
        <is>
          <t xml:space="preserve">I will not dodge equal treatment.</t>
        </is>
      </c>
      <c r="F442" t="inlineStr">
        <is>
          <t xml:space="preserve">You can ask me about equal treatment.</t>
        </is>
      </c>
      <c r="G442" t="inlineStr">
        <is>
          <t xml:space="preserve">I stand by what I said.</t>
        </is>
      </c>
      <c r="H442" t="inlineStr">
        <is>
          <t xml:space="preserve">Ask plainly. I will answer plainly.</t>
        </is>
      </c>
      <c r="I442" t="inlineStr">
        <is>
          <t xml:space="preserve">My view on equal treatment is sincere.</t>
        </is>
      </c>
    </row>
    <row r="443">
      <c r="A443" t="inlineStr">
        <is>
          <t xml:space="preserve">PL442</t>
        </is>
      </c>
      <c r="B443" t="inlineStr">
        <is>
          <t xml:space="preserve">Emotional</t>
        </is>
      </c>
      <c r="C443" t="inlineStr">
        <is>
          <t xml:space="preserve">attack</t>
        </is>
      </c>
      <c r="D443" t="inlineStr">
        <is>
          <t xml:space="preserve">ST82; ST83; ST84; ST85</t>
        </is>
      </c>
      <c r="E443" t="inlineStr">
        <is>
          <t xml:space="preserve">Think of the families behind equal treatment.</t>
        </is>
      </c>
      <c r="F443" t="inlineStr">
        <is>
          <t xml:space="preserve">Look at the faces affected by equal treatment.</t>
        </is>
      </c>
      <c r="G443" t="inlineStr">
        <is>
          <t xml:space="preserve">Equal treatment is about real people.</t>
        </is>
      </c>
      <c r="H443" t="inlineStr">
        <is>
          <t xml:space="preserve">Do you feel nothing about equal treatment?</t>
        </is>
      </c>
      <c r="I443" t="inlineStr">
        <is>
          <t xml:space="preserve">Tell that to those hurt by equal treatment.</t>
        </is>
      </c>
    </row>
    <row r="444">
      <c r="A444" t="inlineStr">
        <is>
          <t xml:space="preserve">PL443</t>
        </is>
      </c>
      <c r="B444" t="inlineStr">
        <is>
          <t xml:space="preserve">Emotional</t>
        </is>
      </c>
      <c r="C444" t="inlineStr">
        <is>
          <t xml:space="preserve">gain</t>
        </is>
      </c>
      <c r="D444" t="inlineStr">
        <is>
          <t xml:space="preserve">ST82; ST83; ST84; ST85</t>
        </is>
      </c>
      <c r="E444" t="inlineStr">
        <is>
          <t xml:space="preserve">I have met people touched by equal treatment.</t>
        </is>
      </c>
      <c r="F444" t="inlineStr">
        <is>
          <t xml:space="preserve">Equal treatment weighs on me.</t>
        </is>
      </c>
      <c r="G444" t="inlineStr">
        <is>
          <t xml:space="preserve">Their stories made me care about equal treatment.</t>
        </is>
      </c>
      <c r="H444" t="inlineStr">
        <is>
          <t xml:space="preserve">I carry those families with me.</t>
        </is>
      </c>
      <c r="I444" t="inlineStr">
        <is>
          <t xml:space="preserve">Every family I met raised equal treatment.</t>
        </is>
      </c>
    </row>
    <row r="445">
      <c r="A445" t="inlineStr">
        <is>
          <t xml:space="preserve">PL444</t>
        </is>
      </c>
      <c r="B445" t="inlineStr">
        <is>
          <t xml:space="preserve">Emotional</t>
        </is>
      </c>
      <c r="C445" t="inlineStr">
        <is>
          <t xml:space="preserve">block</t>
        </is>
      </c>
      <c r="D445" t="inlineStr">
        <is>
          <t xml:space="preserve">ST82; ST83; ST84; ST85</t>
        </is>
      </c>
      <c r="E445" t="inlineStr">
        <is>
          <t xml:space="preserve">You cannot dismiss people over equal treatment.</t>
        </is>
      </c>
      <c r="F445" t="inlineStr">
        <is>
          <t xml:space="preserve">Do not turn equal treatment into a game.</t>
        </is>
      </c>
      <c r="G445" t="inlineStr">
        <is>
          <t xml:space="preserve">I will not shrink their stories.</t>
        </is>
      </c>
      <c r="H445" t="inlineStr">
        <is>
          <t xml:space="preserve">These are people, not statistics.</t>
        </is>
      </c>
      <c r="I445" t="inlineStr">
        <is>
          <t xml:space="preserve">Speak gently about equal treatment.</t>
        </is>
      </c>
    </row>
    <row r="446">
      <c r="A446" t="inlineStr">
        <is>
          <t xml:space="preserve">PL445</t>
        </is>
      </c>
      <c r="B446" t="inlineStr">
        <is>
          <t xml:space="preserve">Appeal</t>
        </is>
      </c>
      <c r="C446" t="inlineStr">
        <is>
          <t xml:space="preserve">attack</t>
        </is>
      </c>
      <c r="D446" t="inlineStr">
        <is>
          <t xml:space="preserve">ST82; ST83; ST84; ST85</t>
        </is>
      </c>
      <c r="E446" t="inlineStr">
        <is>
          <t xml:space="preserve">People want answers on equal treatment.</t>
        </is>
      </c>
      <c r="F446" t="inlineStr">
        <is>
          <t xml:space="preserve">Ask anyone in the street about equal treatment.</t>
        </is>
      </c>
      <c r="G446" t="inlineStr">
        <is>
          <t xml:space="preserve">The public wants less spin on equal treatment.</t>
        </is>
      </c>
      <c r="H446" t="inlineStr">
        <is>
          <t xml:space="preserve">Most people disagree with you on equal treatment.</t>
        </is>
      </c>
      <c r="I446" t="inlineStr">
        <is>
          <t xml:space="preserve">Voters have spoken on equal treatment.</t>
        </is>
      </c>
    </row>
    <row r="447">
      <c r="A447" t="inlineStr">
        <is>
          <t xml:space="preserve">PL446</t>
        </is>
      </c>
      <c r="B447" t="inlineStr">
        <is>
          <t xml:space="preserve">Appeal</t>
        </is>
      </c>
      <c r="C447" t="inlineStr">
        <is>
          <t xml:space="preserve">gain</t>
        </is>
      </c>
      <c r="D447" t="inlineStr">
        <is>
          <t xml:space="preserve">ST82; ST83; ST84; ST85</t>
        </is>
      </c>
      <c r="E447" t="inlineStr">
        <is>
          <t xml:space="preserve">Most people I meet back equal treatment.</t>
        </is>
      </c>
      <c r="F447" t="inlineStr">
        <is>
          <t xml:space="preserve">Ordinary people want action on equal treatment.</t>
        </is>
      </c>
      <c r="G447" t="inlineStr">
        <is>
          <t xml:space="preserve">Voters keep raising equal treatment.</t>
        </is>
      </c>
      <c r="H447" t="inlineStr">
        <is>
          <t xml:space="preserve">Ask around. People care about equal treatment.</t>
        </is>
      </c>
      <c r="I447" t="inlineStr">
        <is>
          <t xml:space="preserve">The public mood favours equal treatment.</t>
        </is>
      </c>
    </row>
    <row r="448">
      <c r="A448" t="inlineStr">
        <is>
          <t xml:space="preserve">PL447</t>
        </is>
      </c>
      <c r="B448" t="inlineStr">
        <is>
          <t xml:space="preserve">Appeal</t>
        </is>
      </c>
      <c r="C448" t="inlineStr">
        <is>
          <t xml:space="preserve">block</t>
        </is>
      </c>
      <c r="D448" t="inlineStr">
        <is>
          <t xml:space="preserve">ST82; ST83; ST84; ST85</t>
        </is>
      </c>
      <c r="E448" t="inlineStr">
        <is>
          <t xml:space="preserve">Do not speak for everyone on equal treatment.</t>
        </is>
      </c>
      <c r="F448" t="inlineStr">
        <is>
          <t xml:space="preserve">People are divided on equal treatment.</t>
        </is>
      </c>
      <c r="G448" t="inlineStr">
        <is>
          <t xml:space="preserve">Do not claim the crowd on equal treatment.</t>
        </is>
      </c>
      <c r="H448" t="inlineStr">
        <is>
          <t xml:space="preserve">Let the public decide equal treatment.</t>
        </is>
      </c>
      <c r="I448" t="inlineStr">
        <is>
          <t xml:space="preserve">I hear all sides on equal treatment.</t>
        </is>
      </c>
    </row>
    <row r="449">
      <c r="A449" t="inlineStr">
        <is>
          <t xml:space="preserve">PL448</t>
        </is>
      </c>
      <c r="B449" t="inlineStr">
        <is>
          <t xml:space="preserve">Data Driven</t>
        </is>
      </c>
      <c r="C449" t="inlineStr">
        <is>
          <t xml:space="preserve">attack</t>
        </is>
      </c>
      <c r="D449" t="inlineStr">
        <is>
          <t xml:space="preserve">ST82; ST83; ST84; ST85</t>
        </is>
      </c>
      <c r="E449" t="inlineStr">
        <is>
          <t xml:space="preserve">Where are the figures on equal treatment?</t>
        </is>
      </c>
      <c r="F449" t="inlineStr">
        <is>
          <t xml:space="preserve">Your numbers on equal treatment do not hold.</t>
        </is>
      </c>
      <c r="G449" t="inlineStr">
        <is>
          <t xml:space="preserve">Show the evidence for equal treatment.</t>
        </is>
      </c>
      <c r="H449" t="inlineStr">
        <is>
          <t xml:space="preserve">What is the real cost of equal treatment?</t>
        </is>
      </c>
      <c r="I449" t="inlineStr">
        <is>
          <t xml:space="preserve">Those equal treatment statistics are selective.</t>
        </is>
      </c>
    </row>
    <row r="450">
      <c r="A450" t="inlineStr">
        <is>
          <t xml:space="preserve">PL449</t>
        </is>
      </c>
      <c r="B450" t="inlineStr">
        <is>
          <t xml:space="preserve">Data Driven</t>
        </is>
      </c>
      <c r="C450" t="inlineStr">
        <is>
          <t xml:space="preserve">gain</t>
        </is>
      </c>
      <c r="D450" t="inlineStr">
        <is>
          <t xml:space="preserve">ST82; ST83; ST84; ST85</t>
        </is>
      </c>
      <c r="E450" t="inlineStr">
        <is>
          <t xml:space="preserve">The evidence on equal treatment is clear.</t>
        </is>
      </c>
      <c r="F450" t="inlineStr">
        <is>
          <t xml:space="preserve">Here are the figures on equal treatment.</t>
        </is>
      </c>
      <c r="G450" t="inlineStr">
        <is>
          <t xml:space="preserve">Studies on equal treatment support this.</t>
        </is>
      </c>
      <c r="H450" t="inlineStr">
        <is>
          <t xml:space="preserve">The cost of equal treatment adds up.</t>
        </is>
      </c>
      <c r="I450" t="inlineStr">
        <is>
          <t xml:space="preserve">The numbers on equal treatment hold.</t>
        </is>
      </c>
    </row>
    <row r="451">
      <c r="A451" t="inlineStr">
        <is>
          <t xml:space="preserve">PL450</t>
        </is>
      </c>
      <c r="B451" t="inlineStr">
        <is>
          <t xml:space="preserve">Data Driven</t>
        </is>
      </c>
      <c r="C451" t="inlineStr">
        <is>
          <t xml:space="preserve">block</t>
        </is>
      </c>
      <c r="D451" t="inlineStr">
        <is>
          <t xml:space="preserve">ST82; ST83; ST84; ST85</t>
        </is>
      </c>
      <c r="E451" t="inlineStr">
        <is>
          <t xml:space="preserve">Check the source on equal treatment.</t>
        </is>
      </c>
      <c r="F451" t="inlineStr">
        <is>
          <t xml:space="preserve">Those figures on equal treatment are misread.</t>
        </is>
      </c>
      <c r="G451" t="inlineStr">
        <is>
          <t xml:space="preserve">The data does not say that.</t>
        </is>
      </c>
      <c r="H451" t="inlineStr">
        <is>
          <t xml:space="preserve">Read the full report on equal treatment.</t>
        </is>
      </c>
      <c r="I451" t="inlineStr">
        <is>
          <t xml:space="preserve">That is not what the data shows.</t>
        </is>
      </c>
    </row>
    <row r="452">
      <c r="A452" t="inlineStr">
        <is>
          <t xml:space="preserve">PL451</t>
        </is>
      </c>
      <c r="B452" t="inlineStr">
        <is>
          <t xml:space="preserve">Divisive</t>
        </is>
      </c>
      <c r="C452" t="inlineStr">
        <is>
          <t xml:space="preserve">attack</t>
        </is>
      </c>
      <c r="D452" t="inlineStr">
        <is>
          <t xml:space="preserve">ST82; ST83; ST84; ST85</t>
        </is>
      </c>
      <c r="E452" t="inlineStr">
        <is>
          <t xml:space="preserve">Equal treatment serves insiders, not you.</t>
        </is>
      </c>
      <c r="F452" t="inlineStr">
        <is>
          <t xml:space="preserve">Whose side are you on over equal treatment?</t>
        </is>
      </c>
      <c r="G452" t="inlineStr">
        <is>
          <t xml:space="preserve">You work against the public on equal treatment.</t>
        </is>
      </c>
      <c r="H452" t="inlineStr">
        <is>
          <t xml:space="preserve">This is a fight over equal treatment.</t>
        </is>
      </c>
      <c r="I452" t="inlineStr">
        <is>
          <t xml:space="preserve">Wrong side of equal treatment. Own it.</t>
        </is>
      </c>
    </row>
    <row r="453">
      <c r="A453" t="inlineStr">
        <is>
          <t xml:space="preserve">PL452</t>
        </is>
      </c>
      <c r="B453" t="inlineStr">
        <is>
          <t xml:space="preserve">Divisive</t>
        </is>
      </c>
      <c r="C453" t="inlineStr">
        <is>
          <t xml:space="preserve">gain</t>
        </is>
      </c>
      <c r="D453" t="inlineStr">
        <is>
          <t xml:space="preserve">ST82; ST83; ST84; ST85</t>
        </is>
      </c>
      <c r="E453" t="inlineStr">
        <is>
          <t xml:space="preserve">We must choose a side on equal treatment.</t>
        </is>
      </c>
      <c r="F453" t="inlineStr">
        <is>
          <t xml:space="preserve">Some lose over equal treatment. So be it.</t>
        </is>
      </c>
      <c r="G453" t="inlineStr">
        <is>
          <t xml:space="preserve">Equal treatment needs hard choices.</t>
        </is>
      </c>
      <c r="H453" t="inlineStr">
        <is>
          <t xml:space="preserve">There is no middle ground on equal treatment.</t>
        </is>
      </c>
      <c r="I453" t="inlineStr">
        <is>
          <t xml:space="preserve">I will not please everyone on equal treatment.</t>
        </is>
      </c>
    </row>
    <row r="454">
      <c r="A454" t="inlineStr">
        <is>
          <t xml:space="preserve">PL453</t>
        </is>
      </c>
      <c r="B454" t="inlineStr">
        <is>
          <t xml:space="preserve">Divisive</t>
        </is>
      </c>
      <c r="C454" t="inlineStr">
        <is>
          <t xml:space="preserve">block</t>
        </is>
      </c>
      <c r="D454" t="inlineStr">
        <is>
          <t xml:space="preserve">ST82; ST83; ST84; ST85</t>
        </is>
      </c>
      <c r="E454" t="inlineStr">
        <is>
          <t xml:space="preserve">Your side caused this over equal treatment.</t>
        </is>
      </c>
      <c r="F454" t="inlineStr">
        <is>
          <t xml:space="preserve">Spare me the sermon on equal treatment.</t>
        </is>
      </c>
      <c r="G454" t="inlineStr">
        <is>
          <t xml:space="preserve">Do not hide behind equal treatment.</t>
        </is>
      </c>
      <c r="H454" t="inlineStr">
        <is>
          <t xml:space="preserve">That jab on equal treatment fails.</t>
        </is>
      </c>
      <c r="I454" t="inlineStr">
        <is>
          <t xml:space="preserve">Pick a side on equal treatment yourself.</t>
        </is>
      </c>
    </row>
    <row r="455">
      <c r="A455" t="inlineStr">
        <is>
          <t xml:space="preserve">PL454</t>
        </is>
      </c>
      <c r="B455" t="inlineStr">
        <is>
          <t xml:space="preserve">Duplicitous</t>
        </is>
      </c>
      <c r="C455" t="inlineStr">
        <is>
          <t xml:space="preserve">attack</t>
        </is>
      </c>
      <c r="D455" t="inlineStr">
        <is>
          <t xml:space="preserve">ST82; ST83; ST84; ST85</t>
        </is>
      </c>
      <c r="E455" t="inlineStr">
        <is>
          <t xml:space="preserve">Funny how equal treatment suits you so well.</t>
        </is>
      </c>
      <c r="F455" t="inlineStr">
        <is>
          <t xml:space="preserve">Who benefits from equal treatment, really?</t>
        </is>
      </c>
      <c r="G455" t="inlineStr">
        <is>
          <t xml:space="preserve">Your story on equal treatment has gaps.</t>
        </is>
      </c>
      <c r="H455" t="inlineStr">
        <is>
          <t xml:space="preserve">Convenient wording on equal treatment.</t>
        </is>
      </c>
      <c r="I455" t="inlineStr">
        <is>
          <t xml:space="preserve">What are you leaving out on equal treatment?</t>
        </is>
      </c>
    </row>
    <row r="456">
      <c r="A456" t="inlineStr">
        <is>
          <t xml:space="preserve">PL455</t>
        </is>
      </c>
      <c r="B456" t="inlineStr">
        <is>
          <t xml:space="preserve">Duplicitous</t>
        </is>
      </c>
      <c r="C456" t="inlineStr">
        <is>
          <t xml:space="preserve">gain</t>
        </is>
      </c>
      <c r="D456" t="inlineStr">
        <is>
          <t xml:space="preserve">ST82; ST83; ST84; ST85</t>
        </is>
      </c>
      <c r="E456" t="inlineStr">
        <is>
          <t xml:space="preserve">Let me reframe equal treatment slightly.</t>
        </is>
      </c>
      <c r="F456" t="inlineStr">
        <is>
          <t xml:space="preserve">Everyone agrees on equal treatment, broadly.</t>
        </is>
      </c>
      <c r="G456" t="inlineStr">
        <is>
          <t xml:space="preserve">Equal treatment is simpler than you think.</t>
        </is>
      </c>
      <c r="H456" t="inlineStr">
        <is>
          <t xml:space="preserve">I said what I said on equal treatment.</t>
        </is>
      </c>
      <c r="I456" t="inlineStr">
        <is>
          <t xml:space="preserve">Trust me on equal treatment.</t>
        </is>
      </c>
    </row>
    <row r="457">
      <c r="A457" t="inlineStr">
        <is>
          <t xml:space="preserve">PL456</t>
        </is>
      </c>
      <c r="B457" t="inlineStr">
        <is>
          <t xml:space="preserve">Duplicitous</t>
        </is>
      </c>
      <c r="C457" t="inlineStr">
        <is>
          <t xml:space="preserve">block</t>
        </is>
      </c>
      <c r="D457" t="inlineStr">
        <is>
          <t xml:space="preserve">ST82; ST83; ST84; ST85</t>
        </is>
      </c>
      <c r="E457" t="inlineStr">
        <is>
          <t xml:space="preserve">That is not my line on equal treatment.</t>
        </is>
      </c>
      <c r="F457" t="inlineStr">
        <is>
          <t xml:space="preserve">You misheard me on equal treatment.</t>
        </is>
      </c>
      <c r="G457" t="inlineStr">
        <is>
          <t xml:space="preserve">I take that as praise on equal treatment.</t>
        </is>
      </c>
      <c r="H457" t="inlineStr">
        <is>
          <t xml:space="preserve">A fair question on equal treatment. Next.</t>
        </is>
      </c>
      <c r="I457" t="inlineStr">
        <is>
          <t xml:space="preserve">Let us move past equal treatment.</t>
        </is>
      </c>
    </row>
    <row r="458">
      <c r="A458" t="inlineStr">
        <is>
          <t xml:space="preserve">PL457</t>
        </is>
      </c>
      <c r="B458" t="inlineStr">
        <is>
          <t xml:space="preserve">Earnest</t>
        </is>
      </c>
      <c r="C458" t="inlineStr">
        <is>
          <t xml:space="preserve">attack</t>
        </is>
      </c>
      <c r="D458" t="inlineStr">
        <is>
          <t xml:space="preserve">ST86; ST87; ST88; ST89</t>
        </is>
      </c>
      <c r="E458" t="inlineStr">
        <is>
          <t xml:space="preserve">Say plainly what you mean about parental leave.</t>
        </is>
      </c>
      <c r="F458" t="inlineStr">
        <is>
          <t xml:space="preserve">Be sincere with people about parental leave.</t>
        </is>
      </c>
      <c r="G458" t="inlineStr">
        <is>
          <t xml:space="preserve">Parental leave is no place for games.</t>
        </is>
      </c>
      <c r="H458" t="inlineStr">
        <is>
          <t xml:space="preserve">People deserve a straight answer on parental leave.</t>
        </is>
      </c>
      <c r="I458" t="inlineStr">
        <is>
          <t xml:space="preserve">Parental leave deserves honesty, not slogans.</t>
        </is>
      </c>
    </row>
    <row r="459">
      <c r="A459" t="inlineStr">
        <is>
          <t xml:space="preserve">PL458</t>
        </is>
      </c>
      <c r="B459" t="inlineStr">
        <is>
          <t xml:space="preserve">Earnest</t>
        </is>
      </c>
      <c r="C459" t="inlineStr">
        <is>
          <t xml:space="preserve">gain</t>
        </is>
      </c>
      <c r="D459" t="inlineStr">
        <is>
          <t xml:space="preserve">ST86; ST87; ST88; ST89</t>
        </is>
      </c>
      <c r="E459" t="inlineStr">
        <is>
          <t xml:space="preserve">People can trust me on parental leave.</t>
        </is>
      </c>
      <c r="F459" t="inlineStr">
        <is>
          <t xml:space="preserve">Parental leave matters to me personally.</t>
        </is>
      </c>
      <c r="G459" t="inlineStr">
        <is>
          <t xml:space="preserve">I will be honest about parental leave.</t>
        </is>
      </c>
      <c r="H459" t="inlineStr">
        <is>
          <t xml:space="preserve">Here is my honest view on parental leave.</t>
        </is>
      </c>
      <c r="I459" t="inlineStr">
        <is>
          <t xml:space="preserve">I mean every word about parental leave.</t>
        </is>
      </c>
    </row>
    <row r="460">
      <c r="A460" t="inlineStr">
        <is>
          <t xml:space="preserve">PL459</t>
        </is>
      </c>
      <c r="B460" t="inlineStr">
        <is>
          <t xml:space="preserve">Earnest</t>
        </is>
      </c>
      <c r="C460" t="inlineStr">
        <is>
          <t xml:space="preserve">block</t>
        </is>
      </c>
      <c r="D460" t="inlineStr">
        <is>
          <t xml:space="preserve">ST86; ST87; ST88; ST89</t>
        </is>
      </c>
      <c r="E460" t="inlineStr">
        <is>
          <t xml:space="preserve">You can ask me about parental leave.</t>
        </is>
      </c>
      <c r="F460" t="inlineStr">
        <is>
          <t xml:space="preserve">I stand by what I said.</t>
        </is>
      </c>
      <c r="G460" t="inlineStr">
        <is>
          <t xml:space="preserve">Ask plainly. I will answer plainly.</t>
        </is>
      </c>
      <c r="H460" t="inlineStr">
        <is>
          <t xml:space="preserve">My view on parental leave is sincere.</t>
        </is>
      </c>
      <c r="I460" t="inlineStr">
        <is>
          <t xml:space="preserve">I will not dodge parental leave.</t>
        </is>
      </c>
    </row>
    <row r="461">
      <c r="A461" t="inlineStr">
        <is>
          <t xml:space="preserve">PL460</t>
        </is>
      </c>
      <c r="B461" t="inlineStr">
        <is>
          <t xml:space="preserve">Emotional</t>
        </is>
      </c>
      <c r="C461" t="inlineStr">
        <is>
          <t xml:space="preserve">attack</t>
        </is>
      </c>
      <c r="D461" t="inlineStr">
        <is>
          <t xml:space="preserve">ST86; ST87; ST88; ST89</t>
        </is>
      </c>
      <c r="E461" t="inlineStr">
        <is>
          <t xml:space="preserve">Look at the faces affected by parental leave.</t>
        </is>
      </c>
      <c r="F461" t="inlineStr">
        <is>
          <t xml:space="preserve">Parental leave is about real people.</t>
        </is>
      </c>
      <c r="G461" t="inlineStr">
        <is>
          <t xml:space="preserve">Do you feel nothing about parental leave?</t>
        </is>
      </c>
      <c r="H461" t="inlineStr">
        <is>
          <t xml:space="preserve">Tell that to those hurt by parental leave.</t>
        </is>
      </c>
      <c r="I461" t="inlineStr">
        <is>
          <t xml:space="preserve">Think of the families behind parental leave.</t>
        </is>
      </c>
    </row>
    <row r="462">
      <c r="A462" t="inlineStr">
        <is>
          <t xml:space="preserve">PL461</t>
        </is>
      </c>
      <c r="B462" t="inlineStr">
        <is>
          <t xml:space="preserve">Emotional</t>
        </is>
      </c>
      <c r="C462" t="inlineStr">
        <is>
          <t xml:space="preserve">gain</t>
        </is>
      </c>
      <c r="D462" t="inlineStr">
        <is>
          <t xml:space="preserve">ST86; ST87; ST88; ST89</t>
        </is>
      </c>
      <c r="E462" t="inlineStr">
        <is>
          <t xml:space="preserve">Parental leave weighs on me.</t>
        </is>
      </c>
      <c r="F462" t="inlineStr">
        <is>
          <t xml:space="preserve">Their stories made me care about parental leave.</t>
        </is>
      </c>
      <c r="G462" t="inlineStr">
        <is>
          <t xml:space="preserve">I carry those families with me.</t>
        </is>
      </c>
      <c r="H462" t="inlineStr">
        <is>
          <t xml:space="preserve">Every family I met raised parental leave.</t>
        </is>
      </c>
      <c r="I462" t="inlineStr">
        <is>
          <t xml:space="preserve">I have met people touched by parental leave.</t>
        </is>
      </c>
    </row>
    <row r="463">
      <c r="A463" t="inlineStr">
        <is>
          <t xml:space="preserve">PL462</t>
        </is>
      </c>
      <c r="B463" t="inlineStr">
        <is>
          <t xml:space="preserve">Emotional</t>
        </is>
      </c>
      <c r="C463" t="inlineStr">
        <is>
          <t xml:space="preserve">block</t>
        </is>
      </c>
      <c r="D463" t="inlineStr">
        <is>
          <t xml:space="preserve">ST86; ST87; ST88; ST89</t>
        </is>
      </c>
      <c r="E463" t="inlineStr">
        <is>
          <t xml:space="preserve">Do not turn parental leave into a game.</t>
        </is>
      </c>
      <c r="F463" t="inlineStr">
        <is>
          <t xml:space="preserve">I will not shrink their stories.</t>
        </is>
      </c>
      <c r="G463" t="inlineStr">
        <is>
          <t xml:space="preserve">These are people, not statistics.</t>
        </is>
      </c>
      <c r="H463" t="inlineStr">
        <is>
          <t xml:space="preserve">Speak gently about parental leave.</t>
        </is>
      </c>
      <c r="I463" t="inlineStr">
        <is>
          <t xml:space="preserve">You cannot dismiss people over parental leave.</t>
        </is>
      </c>
    </row>
    <row r="464">
      <c r="A464" t="inlineStr">
        <is>
          <t xml:space="preserve">PL463</t>
        </is>
      </c>
      <c r="B464" t="inlineStr">
        <is>
          <t xml:space="preserve">Appeal</t>
        </is>
      </c>
      <c r="C464" t="inlineStr">
        <is>
          <t xml:space="preserve">attack</t>
        </is>
      </c>
      <c r="D464" t="inlineStr">
        <is>
          <t xml:space="preserve">ST86; ST87; ST88; ST89</t>
        </is>
      </c>
      <c r="E464" t="inlineStr">
        <is>
          <t xml:space="preserve">Ask anyone in the street about parental leave.</t>
        </is>
      </c>
      <c r="F464" t="inlineStr">
        <is>
          <t xml:space="preserve">The public wants less spin on parental leave.</t>
        </is>
      </c>
      <c r="G464" t="inlineStr">
        <is>
          <t xml:space="preserve">Most people disagree with you on parental leave.</t>
        </is>
      </c>
      <c r="H464" t="inlineStr">
        <is>
          <t xml:space="preserve">Voters have spoken on parental leave.</t>
        </is>
      </c>
      <c r="I464" t="inlineStr">
        <is>
          <t xml:space="preserve">People want answers on parental leave.</t>
        </is>
      </c>
    </row>
    <row r="465">
      <c r="A465" t="inlineStr">
        <is>
          <t xml:space="preserve">PL464</t>
        </is>
      </c>
      <c r="B465" t="inlineStr">
        <is>
          <t xml:space="preserve">Appeal</t>
        </is>
      </c>
      <c r="C465" t="inlineStr">
        <is>
          <t xml:space="preserve">gain</t>
        </is>
      </c>
      <c r="D465" t="inlineStr">
        <is>
          <t xml:space="preserve">ST86; ST87; ST88; ST89</t>
        </is>
      </c>
      <c r="E465" t="inlineStr">
        <is>
          <t xml:space="preserve">Ordinary people want action on parental leave.</t>
        </is>
      </c>
      <c r="F465" t="inlineStr">
        <is>
          <t xml:space="preserve">Voters keep raising parental leave.</t>
        </is>
      </c>
      <c r="G465" t="inlineStr">
        <is>
          <t xml:space="preserve">Ask around. People care about parental leave.</t>
        </is>
      </c>
      <c r="H465" t="inlineStr">
        <is>
          <t xml:space="preserve">The public mood favours parental leave.</t>
        </is>
      </c>
      <c r="I465" t="inlineStr">
        <is>
          <t xml:space="preserve">Most people I meet back parental leave.</t>
        </is>
      </c>
    </row>
    <row r="466">
      <c r="A466" t="inlineStr">
        <is>
          <t xml:space="preserve">PL465</t>
        </is>
      </c>
      <c r="B466" t="inlineStr">
        <is>
          <t xml:space="preserve">Appeal</t>
        </is>
      </c>
      <c r="C466" t="inlineStr">
        <is>
          <t xml:space="preserve">block</t>
        </is>
      </c>
      <c r="D466" t="inlineStr">
        <is>
          <t xml:space="preserve">ST86; ST87; ST88; ST89</t>
        </is>
      </c>
      <c r="E466" t="inlineStr">
        <is>
          <t xml:space="preserve">People are divided on parental leave.</t>
        </is>
      </c>
      <c r="F466" t="inlineStr">
        <is>
          <t xml:space="preserve">Do not claim the crowd on parental leave.</t>
        </is>
      </c>
      <c r="G466" t="inlineStr">
        <is>
          <t xml:space="preserve">Let the public decide parental leave.</t>
        </is>
      </c>
      <c r="H466" t="inlineStr">
        <is>
          <t xml:space="preserve">I hear all sides on parental leave.</t>
        </is>
      </c>
      <c r="I466" t="inlineStr">
        <is>
          <t xml:space="preserve">Do not speak for everyone on parental leave.</t>
        </is>
      </c>
    </row>
    <row r="467">
      <c r="A467" t="inlineStr">
        <is>
          <t xml:space="preserve">PL466</t>
        </is>
      </c>
      <c r="B467" t="inlineStr">
        <is>
          <t xml:space="preserve">Data Driven</t>
        </is>
      </c>
      <c r="C467" t="inlineStr">
        <is>
          <t xml:space="preserve">attack</t>
        </is>
      </c>
      <c r="D467" t="inlineStr">
        <is>
          <t xml:space="preserve">ST86; ST87; ST88; ST89</t>
        </is>
      </c>
      <c r="E467" t="inlineStr">
        <is>
          <t xml:space="preserve">Your numbers on parental leave do not hold.</t>
        </is>
      </c>
      <c r="F467" t="inlineStr">
        <is>
          <t xml:space="preserve">Show the evidence for parental leave.</t>
        </is>
      </c>
      <c r="G467" t="inlineStr">
        <is>
          <t xml:space="preserve">What is the real cost of parental leave?</t>
        </is>
      </c>
      <c r="H467" t="inlineStr">
        <is>
          <t xml:space="preserve">Those parental leave statistics are selective.</t>
        </is>
      </c>
      <c r="I467" t="inlineStr">
        <is>
          <t xml:space="preserve">Where are the figures on parental leave?</t>
        </is>
      </c>
    </row>
    <row r="468">
      <c r="A468" t="inlineStr">
        <is>
          <t xml:space="preserve">PL467</t>
        </is>
      </c>
      <c r="B468" t="inlineStr">
        <is>
          <t xml:space="preserve">Data Driven</t>
        </is>
      </c>
      <c r="C468" t="inlineStr">
        <is>
          <t xml:space="preserve">gain</t>
        </is>
      </c>
      <c r="D468" t="inlineStr">
        <is>
          <t xml:space="preserve">ST86; ST87; ST88; ST89</t>
        </is>
      </c>
      <c r="E468" t="inlineStr">
        <is>
          <t xml:space="preserve">Here are the figures on parental leave.</t>
        </is>
      </c>
      <c r="F468" t="inlineStr">
        <is>
          <t xml:space="preserve">Studies on parental leave support this.</t>
        </is>
      </c>
      <c r="G468" t="inlineStr">
        <is>
          <t xml:space="preserve">The cost of parental leave adds up.</t>
        </is>
      </c>
      <c r="H468" t="inlineStr">
        <is>
          <t xml:space="preserve">The numbers on parental leave hold.</t>
        </is>
      </c>
      <c r="I468" t="inlineStr">
        <is>
          <t xml:space="preserve">The evidence on parental leave is clear.</t>
        </is>
      </c>
    </row>
    <row r="469">
      <c r="A469" t="inlineStr">
        <is>
          <t xml:space="preserve">PL468</t>
        </is>
      </c>
      <c r="B469" t="inlineStr">
        <is>
          <t xml:space="preserve">Data Driven</t>
        </is>
      </c>
      <c r="C469" t="inlineStr">
        <is>
          <t xml:space="preserve">block</t>
        </is>
      </c>
      <c r="D469" t="inlineStr">
        <is>
          <t xml:space="preserve">ST86; ST87; ST88; ST89</t>
        </is>
      </c>
      <c r="E469" t="inlineStr">
        <is>
          <t xml:space="preserve">Those figures on parental leave are misread.</t>
        </is>
      </c>
      <c r="F469" t="inlineStr">
        <is>
          <t xml:space="preserve">The data does not say that.</t>
        </is>
      </c>
      <c r="G469" t="inlineStr">
        <is>
          <t xml:space="preserve">Read the full report on parental leave.</t>
        </is>
      </c>
      <c r="H469" t="inlineStr">
        <is>
          <t xml:space="preserve">That is not what the data shows.</t>
        </is>
      </c>
      <c r="I469" t="inlineStr">
        <is>
          <t xml:space="preserve">Check the source on parental leave.</t>
        </is>
      </c>
    </row>
    <row r="470">
      <c r="A470" t="inlineStr">
        <is>
          <t xml:space="preserve">PL469</t>
        </is>
      </c>
      <c r="B470" t="inlineStr">
        <is>
          <t xml:space="preserve">Divisive</t>
        </is>
      </c>
      <c r="C470" t="inlineStr">
        <is>
          <t xml:space="preserve">attack</t>
        </is>
      </c>
      <c r="D470" t="inlineStr">
        <is>
          <t xml:space="preserve">ST86; ST87; ST88; ST89</t>
        </is>
      </c>
      <c r="E470" t="inlineStr">
        <is>
          <t xml:space="preserve">Whose side are you on over parental leave?</t>
        </is>
      </c>
      <c r="F470" t="inlineStr">
        <is>
          <t xml:space="preserve">You work against the public on parental leave.</t>
        </is>
      </c>
      <c r="G470" t="inlineStr">
        <is>
          <t xml:space="preserve">This is a fight over parental leave.</t>
        </is>
      </c>
      <c r="H470" t="inlineStr">
        <is>
          <t xml:space="preserve">Wrong side of parental leave. Own it.</t>
        </is>
      </c>
      <c r="I470" t="inlineStr">
        <is>
          <t xml:space="preserve">Parental leave serves insiders, not you.</t>
        </is>
      </c>
    </row>
    <row r="471">
      <c r="A471" t="inlineStr">
        <is>
          <t xml:space="preserve">PL470</t>
        </is>
      </c>
      <c r="B471" t="inlineStr">
        <is>
          <t xml:space="preserve">Divisive</t>
        </is>
      </c>
      <c r="C471" t="inlineStr">
        <is>
          <t xml:space="preserve">gain</t>
        </is>
      </c>
      <c r="D471" t="inlineStr">
        <is>
          <t xml:space="preserve">ST86; ST87; ST88; ST89</t>
        </is>
      </c>
      <c r="E471" t="inlineStr">
        <is>
          <t xml:space="preserve">Some lose over parental leave. So be it.</t>
        </is>
      </c>
      <c r="F471" t="inlineStr">
        <is>
          <t xml:space="preserve">Parental leave needs hard choices.</t>
        </is>
      </c>
      <c r="G471" t="inlineStr">
        <is>
          <t xml:space="preserve">There is no middle ground on parental leave.</t>
        </is>
      </c>
      <c r="H471" t="inlineStr">
        <is>
          <t xml:space="preserve">I will not please everyone on parental leave.</t>
        </is>
      </c>
      <c r="I471" t="inlineStr">
        <is>
          <t xml:space="preserve">We must choose a side on parental leave.</t>
        </is>
      </c>
    </row>
    <row r="472">
      <c r="A472" t="inlineStr">
        <is>
          <t xml:space="preserve">PL471</t>
        </is>
      </c>
      <c r="B472" t="inlineStr">
        <is>
          <t xml:space="preserve">Divisive</t>
        </is>
      </c>
      <c r="C472" t="inlineStr">
        <is>
          <t xml:space="preserve">block</t>
        </is>
      </c>
      <c r="D472" t="inlineStr">
        <is>
          <t xml:space="preserve">ST86; ST87; ST88; ST89</t>
        </is>
      </c>
      <c r="E472" t="inlineStr">
        <is>
          <t xml:space="preserve">Spare me the sermon on parental leave.</t>
        </is>
      </c>
      <c r="F472" t="inlineStr">
        <is>
          <t xml:space="preserve">Do not hide behind parental leave.</t>
        </is>
      </c>
      <c r="G472" t="inlineStr">
        <is>
          <t xml:space="preserve">That jab on parental leave fails.</t>
        </is>
      </c>
      <c r="H472" t="inlineStr">
        <is>
          <t xml:space="preserve">Pick a side on parental leave yourself.</t>
        </is>
      </c>
      <c r="I472" t="inlineStr">
        <is>
          <t xml:space="preserve">Your side caused this over parental leave.</t>
        </is>
      </c>
    </row>
    <row r="473">
      <c r="A473" t="inlineStr">
        <is>
          <t xml:space="preserve">PL472</t>
        </is>
      </c>
      <c r="B473" t="inlineStr">
        <is>
          <t xml:space="preserve">Duplicitous</t>
        </is>
      </c>
      <c r="C473" t="inlineStr">
        <is>
          <t xml:space="preserve">attack</t>
        </is>
      </c>
      <c r="D473" t="inlineStr">
        <is>
          <t xml:space="preserve">ST86; ST87; ST88; ST89</t>
        </is>
      </c>
      <c r="E473" t="inlineStr">
        <is>
          <t xml:space="preserve">Who benefits from parental leave, really?</t>
        </is>
      </c>
      <c r="F473" t="inlineStr">
        <is>
          <t xml:space="preserve">Your story on parental leave has gaps.</t>
        </is>
      </c>
      <c r="G473" t="inlineStr">
        <is>
          <t xml:space="preserve">Convenient wording on parental leave.</t>
        </is>
      </c>
      <c r="H473" t="inlineStr">
        <is>
          <t xml:space="preserve">What are you leaving out on parental leave?</t>
        </is>
      </c>
      <c r="I473" t="inlineStr">
        <is>
          <t xml:space="preserve">Funny how parental leave suits you so well.</t>
        </is>
      </c>
    </row>
    <row r="474">
      <c r="A474" t="inlineStr">
        <is>
          <t xml:space="preserve">PL473</t>
        </is>
      </c>
      <c r="B474" t="inlineStr">
        <is>
          <t xml:space="preserve">Duplicitous</t>
        </is>
      </c>
      <c r="C474" t="inlineStr">
        <is>
          <t xml:space="preserve">gain</t>
        </is>
      </c>
      <c r="D474" t="inlineStr">
        <is>
          <t xml:space="preserve">ST86; ST87; ST88; ST89</t>
        </is>
      </c>
      <c r="E474" t="inlineStr">
        <is>
          <t xml:space="preserve">Everyone agrees on parental leave, broadly.</t>
        </is>
      </c>
      <c r="F474" t="inlineStr">
        <is>
          <t xml:space="preserve">Parental leave is simpler than you think.</t>
        </is>
      </c>
      <c r="G474" t="inlineStr">
        <is>
          <t xml:space="preserve">I said what I said on parental leave.</t>
        </is>
      </c>
      <c r="H474" t="inlineStr">
        <is>
          <t xml:space="preserve">Trust me on parental leave.</t>
        </is>
      </c>
      <c r="I474" t="inlineStr">
        <is>
          <t xml:space="preserve">Let me reframe parental leave slightly.</t>
        </is>
      </c>
    </row>
    <row r="475">
      <c r="A475" t="inlineStr">
        <is>
          <t xml:space="preserve">PL474</t>
        </is>
      </c>
      <c r="B475" t="inlineStr">
        <is>
          <t xml:space="preserve">Duplicitous</t>
        </is>
      </c>
      <c r="C475" t="inlineStr">
        <is>
          <t xml:space="preserve">block</t>
        </is>
      </c>
      <c r="D475" t="inlineStr">
        <is>
          <t xml:space="preserve">ST86; ST87; ST88; ST89</t>
        </is>
      </c>
      <c r="E475" t="inlineStr">
        <is>
          <t xml:space="preserve">You misheard me on parental leave.</t>
        </is>
      </c>
      <c r="F475" t="inlineStr">
        <is>
          <t xml:space="preserve">I take that as praise on parental leave.</t>
        </is>
      </c>
      <c r="G475" t="inlineStr">
        <is>
          <t xml:space="preserve">A fair question on parental leave. Next.</t>
        </is>
      </c>
      <c r="H475" t="inlineStr">
        <is>
          <t xml:space="preserve">Let us move past parental leave.</t>
        </is>
      </c>
      <c r="I475" t="inlineStr">
        <is>
          <t xml:space="preserve">That is not my line on parental leave.</t>
        </is>
      </c>
    </row>
    <row r="476">
      <c r="A476" t="inlineStr">
        <is>
          <t xml:space="preserve">PL475</t>
        </is>
      </c>
      <c r="B476" t="inlineStr">
        <is>
          <t xml:space="preserve">Earnest</t>
        </is>
      </c>
      <c r="C476" t="inlineStr">
        <is>
          <t xml:space="preserve">attack</t>
        </is>
      </c>
      <c r="D476" t="inlineStr">
        <is>
          <t xml:space="preserve">ST90; ST91; ST92; ST93</t>
        </is>
      </c>
      <c r="E476" t="inlineStr">
        <is>
          <t xml:space="preserve">Be sincere with people about the cameras.</t>
        </is>
      </c>
      <c r="F476" t="inlineStr">
        <is>
          <t xml:space="preserve">The cameras is no place for games.</t>
        </is>
      </c>
      <c r="G476" t="inlineStr">
        <is>
          <t xml:space="preserve">People deserve a straight answer on the cameras.</t>
        </is>
      </c>
      <c r="H476" t="inlineStr">
        <is>
          <t xml:space="preserve">The cameras deserves honesty, not slogans.</t>
        </is>
      </c>
      <c r="I476" t="inlineStr">
        <is>
          <t xml:space="preserve">Say plainly what you mean about the cameras.</t>
        </is>
      </c>
    </row>
    <row r="477">
      <c r="A477" t="inlineStr">
        <is>
          <t xml:space="preserve">PL476</t>
        </is>
      </c>
      <c r="B477" t="inlineStr">
        <is>
          <t xml:space="preserve">Earnest</t>
        </is>
      </c>
      <c r="C477" t="inlineStr">
        <is>
          <t xml:space="preserve">gain</t>
        </is>
      </c>
      <c r="D477" t="inlineStr">
        <is>
          <t xml:space="preserve">ST90; ST91; ST92; ST93</t>
        </is>
      </c>
      <c r="E477" t="inlineStr">
        <is>
          <t xml:space="preserve">The cameras matters to me personally.</t>
        </is>
      </c>
      <c r="F477" t="inlineStr">
        <is>
          <t xml:space="preserve">I will be honest about the cameras.</t>
        </is>
      </c>
      <c r="G477" t="inlineStr">
        <is>
          <t xml:space="preserve">Here is my honest view on the cameras.</t>
        </is>
      </c>
      <c r="H477" t="inlineStr">
        <is>
          <t xml:space="preserve">I mean every word about the cameras.</t>
        </is>
      </c>
      <c r="I477" t="inlineStr">
        <is>
          <t xml:space="preserve">People can trust me on the cameras.</t>
        </is>
      </c>
    </row>
    <row r="478">
      <c r="A478" t="inlineStr">
        <is>
          <t xml:space="preserve">PL477</t>
        </is>
      </c>
      <c r="B478" t="inlineStr">
        <is>
          <t xml:space="preserve">Earnest</t>
        </is>
      </c>
      <c r="C478" t="inlineStr">
        <is>
          <t xml:space="preserve">block</t>
        </is>
      </c>
      <c r="D478" t="inlineStr">
        <is>
          <t xml:space="preserve">ST90; ST91; ST92; ST93</t>
        </is>
      </c>
      <c r="E478" t="inlineStr">
        <is>
          <t xml:space="preserve">I stand by what I said.</t>
        </is>
      </c>
      <c r="F478" t="inlineStr">
        <is>
          <t xml:space="preserve">Ask plainly. I will answer plainly.</t>
        </is>
      </c>
      <c r="G478" t="inlineStr">
        <is>
          <t xml:space="preserve">My view on the cameras is sincere.</t>
        </is>
      </c>
      <c r="H478" t="inlineStr">
        <is>
          <t xml:space="preserve">I will not dodge the cameras.</t>
        </is>
      </c>
      <c r="I478" t="inlineStr">
        <is>
          <t xml:space="preserve">You can ask me about the cameras.</t>
        </is>
      </c>
    </row>
    <row r="479">
      <c r="A479" t="inlineStr">
        <is>
          <t xml:space="preserve">PL478</t>
        </is>
      </c>
      <c r="B479" t="inlineStr">
        <is>
          <t xml:space="preserve">Emotional</t>
        </is>
      </c>
      <c r="C479" t="inlineStr">
        <is>
          <t xml:space="preserve">attack</t>
        </is>
      </c>
      <c r="D479" t="inlineStr">
        <is>
          <t xml:space="preserve">ST90; ST91; ST92; ST93</t>
        </is>
      </c>
      <c r="E479" t="inlineStr">
        <is>
          <t xml:space="preserve">The cameras is about real people.</t>
        </is>
      </c>
      <c r="F479" t="inlineStr">
        <is>
          <t xml:space="preserve">Do you feel nothing about the cameras?</t>
        </is>
      </c>
      <c r="G479" t="inlineStr">
        <is>
          <t xml:space="preserve">Tell that to those hurt by the cameras.</t>
        </is>
      </c>
      <c r="H479" t="inlineStr">
        <is>
          <t xml:space="preserve">Think of the families behind the cameras.</t>
        </is>
      </c>
      <c r="I479" t="inlineStr">
        <is>
          <t xml:space="preserve">Look at the faces affected by the cameras.</t>
        </is>
      </c>
    </row>
    <row r="480">
      <c r="A480" t="inlineStr">
        <is>
          <t xml:space="preserve">PL479</t>
        </is>
      </c>
      <c r="B480" t="inlineStr">
        <is>
          <t xml:space="preserve">Emotional</t>
        </is>
      </c>
      <c r="C480" t="inlineStr">
        <is>
          <t xml:space="preserve">gain</t>
        </is>
      </c>
      <c r="D480" t="inlineStr">
        <is>
          <t xml:space="preserve">ST90; ST91; ST92; ST93</t>
        </is>
      </c>
      <c r="E480" t="inlineStr">
        <is>
          <t xml:space="preserve">Their stories made me care about the cameras.</t>
        </is>
      </c>
      <c r="F480" t="inlineStr">
        <is>
          <t xml:space="preserve">I carry those families with me.</t>
        </is>
      </c>
      <c r="G480" t="inlineStr">
        <is>
          <t xml:space="preserve">Every family I met raised the cameras.</t>
        </is>
      </c>
      <c r="H480" t="inlineStr">
        <is>
          <t xml:space="preserve">I have met people touched by the cameras.</t>
        </is>
      </c>
      <c r="I480" t="inlineStr">
        <is>
          <t xml:space="preserve">The cameras weighs on me.</t>
        </is>
      </c>
    </row>
    <row r="481">
      <c r="A481" t="inlineStr">
        <is>
          <t xml:space="preserve">PL480</t>
        </is>
      </c>
      <c r="B481" t="inlineStr">
        <is>
          <t xml:space="preserve">Emotional</t>
        </is>
      </c>
      <c r="C481" t="inlineStr">
        <is>
          <t xml:space="preserve">block</t>
        </is>
      </c>
      <c r="D481" t="inlineStr">
        <is>
          <t xml:space="preserve">ST90; ST91; ST92; ST93</t>
        </is>
      </c>
      <c r="E481" t="inlineStr">
        <is>
          <t xml:space="preserve">I will not shrink their stories.</t>
        </is>
      </c>
      <c r="F481" t="inlineStr">
        <is>
          <t xml:space="preserve">These are people, not statistics.</t>
        </is>
      </c>
      <c r="G481" t="inlineStr">
        <is>
          <t xml:space="preserve">Speak gently about the cameras.</t>
        </is>
      </c>
      <c r="H481" t="inlineStr">
        <is>
          <t xml:space="preserve">You cannot dismiss people over the cameras.</t>
        </is>
      </c>
      <c r="I481" t="inlineStr">
        <is>
          <t xml:space="preserve">Do not turn the cameras into a game.</t>
        </is>
      </c>
    </row>
    <row r="482">
      <c r="A482" t="inlineStr">
        <is>
          <t xml:space="preserve">PL481</t>
        </is>
      </c>
      <c r="B482" t="inlineStr">
        <is>
          <t xml:space="preserve">Appeal</t>
        </is>
      </c>
      <c r="C482" t="inlineStr">
        <is>
          <t xml:space="preserve">attack</t>
        </is>
      </c>
      <c r="D482" t="inlineStr">
        <is>
          <t xml:space="preserve">ST90; ST91; ST92; ST93</t>
        </is>
      </c>
      <c r="E482" t="inlineStr">
        <is>
          <t xml:space="preserve">The public wants less spin on the cameras.</t>
        </is>
      </c>
      <c r="F482" t="inlineStr">
        <is>
          <t xml:space="preserve">Most people disagree with you on the cameras.</t>
        </is>
      </c>
      <c r="G482" t="inlineStr">
        <is>
          <t xml:space="preserve">Voters have spoken on the cameras.</t>
        </is>
      </c>
      <c r="H482" t="inlineStr">
        <is>
          <t xml:space="preserve">People want answers on the cameras.</t>
        </is>
      </c>
      <c r="I482" t="inlineStr">
        <is>
          <t xml:space="preserve">Ask anyone in the street about the cameras.</t>
        </is>
      </c>
    </row>
    <row r="483">
      <c r="A483" t="inlineStr">
        <is>
          <t xml:space="preserve">PL482</t>
        </is>
      </c>
      <c r="B483" t="inlineStr">
        <is>
          <t xml:space="preserve">Appeal</t>
        </is>
      </c>
      <c r="C483" t="inlineStr">
        <is>
          <t xml:space="preserve">gain</t>
        </is>
      </c>
      <c r="D483" t="inlineStr">
        <is>
          <t xml:space="preserve">ST90; ST91; ST92; ST93</t>
        </is>
      </c>
      <c r="E483" t="inlineStr">
        <is>
          <t xml:space="preserve">Voters keep raising the cameras.</t>
        </is>
      </c>
      <c r="F483" t="inlineStr">
        <is>
          <t xml:space="preserve">Ask around. People care about the cameras.</t>
        </is>
      </c>
      <c r="G483" t="inlineStr">
        <is>
          <t xml:space="preserve">The public mood favours the cameras.</t>
        </is>
      </c>
      <c r="H483" t="inlineStr">
        <is>
          <t xml:space="preserve">Most people I meet back the cameras.</t>
        </is>
      </c>
      <c r="I483" t="inlineStr">
        <is>
          <t xml:space="preserve">Ordinary people want action on the cameras.</t>
        </is>
      </c>
    </row>
    <row r="484">
      <c r="A484" t="inlineStr">
        <is>
          <t xml:space="preserve">PL483</t>
        </is>
      </c>
      <c r="B484" t="inlineStr">
        <is>
          <t xml:space="preserve">Appeal</t>
        </is>
      </c>
      <c r="C484" t="inlineStr">
        <is>
          <t xml:space="preserve">block</t>
        </is>
      </c>
      <c r="D484" t="inlineStr">
        <is>
          <t xml:space="preserve">ST90; ST91; ST92; ST93</t>
        </is>
      </c>
      <c r="E484" t="inlineStr">
        <is>
          <t xml:space="preserve">Do not claim the crowd on the cameras.</t>
        </is>
      </c>
      <c r="F484" t="inlineStr">
        <is>
          <t xml:space="preserve">Let the public decide the cameras.</t>
        </is>
      </c>
      <c r="G484" t="inlineStr">
        <is>
          <t xml:space="preserve">I hear all sides on the cameras.</t>
        </is>
      </c>
      <c r="H484" t="inlineStr">
        <is>
          <t xml:space="preserve">Do not speak for everyone on the cameras.</t>
        </is>
      </c>
      <c r="I484" t="inlineStr">
        <is>
          <t xml:space="preserve">People are divided on the cameras.</t>
        </is>
      </c>
    </row>
    <row r="485">
      <c r="A485" t="inlineStr">
        <is>
          <t xml:space="preserve">PL484</t>
        </is>
      </c>
      <c r="B485" t="inlineStr">
        <is>
          <t xml:space="preserve">Data Driven</t>
        </is>
      </c>
      <c r="C485" t="inlineStr">
        <is>
          <t xml:space="preserve">attack</t>
        </is>
      </c>
      <c r="D485" t="inlineStr">
        <is>
          <t xml:space="preserve">ST90; ST91; ST92; ST93</t>
        </is>
      </c>
      <c r="E485" t="inlineStr">
        <is>
          <t xml:space="preserve">Show the evidence for the cameras.</t>
        </is>
      </c>
      <c r="F485" t="inlineStr">
        <is>
          <t xml:space="preserve">What is the real cost of the cameras?</t>
        </is>
      </c>
      <c r="G485" t="inlineStr">
        <is>
          <t xml:space="preserve">Those the cameras statistics are selective.</t>
        </is>
      </c>
      <c r="H485" t="inlineStr">
        <is>
          <t xml:space="preserve">Where are the figures on the cameras?</t>
        </is>
      </c>
      <c r="I485" t="inlineStr">
        <is>
          <t xml:space="preserve">Your numbers on the cameras do not hold.</t>
        </is>
      </c>
    </row>
    <row r="486">
      <c r="A486" t="inlineStr">
        <is>
          <t xml:space="preserve">PL485</t>
        </is>
      </c>
      <c r="B486" t="inlineStr">
        <is>
          <t xml:space="preserve">Data Driven</t>
        </is>
      </c>
      <c r="C486" t="inlineStr">
        <is>
          <t xml:space="preserve">gain</t>
        </is>
      </c>
      <c r="D486" t="inlineStr">
        <is>
          <t xml:space="preserve">ST90; ST91; ST92; ST93</t>
        </is>
      </c>
      <c r="E486" t="inlineStr">
        <is>
          <t xml:space="preserve">Studies on the cameras support this.</t>
        </is>
      </c>
      <c r="F486" t="inlineStr">
        <is>
          <t xml:space="preserve">The cost of the cameras adds up.</t>
        </is>
      </c>
      <c r="G486" t="inlineStr">
        <is>
          <t xml:space="preserve">The numbers on the cameras hold.</t>
        </is>
      </c>
      <c r="H486" t="inlineStr">
        <is>
          <t xml:space="preserve">The evidence on the cameras is clear.</t>
        </is>
      </c>
      <c r="I486" t="inlineStr">
        <is>
          <t xml:space="preserve">Here are the figures on the cameras.</t>
        </is>
      </c>
    </row>
    <row r="487">
      <c r="A487" t="inlineStr">
        <is>
          <t xml:space="preserve">PL486</t>
        </is>
      </c>
      <c r="B487" t="inlineStr">
        <is>
          <t xml:space="preserve">Data Driven</t>
        </is>
      </c>
      <c r="C487" t="inlineStr">
        <is>
          <t xml:space="preserve">block</t>
        </is>
      </c>
      <c r="D487" t="inlineStr">
        <is>
          <t xml:space="preserve">ST90; ST91; ST92; ST93</t>
        </is>
      </c>
      <c r="E487" t="inlineStr">
        <is>
          <t xml:space="preserve">The data does not say that.</t>
        </is>
      </c>
      <c r="F487" t="inlineStr">
        <is>
          <t xml:space="preserve">Read the full report on the cameras.</t>
        </is>
      </c>
      <c r="G487" t="inlineStr">
        <is>
          <t xml:space="preserve">That is not what the data shows.</t>
        </is>
      </c>
      <c r="H487" t="inlineStr">
        <is>
          <t xml:space="preserve">Check the source on the cameras.</t>
        </is>
      </c>
      <c r="I487" t="inlineStr">
        <is>
          <t xml:space="preserve">Those figures on the cameras are misread.</t>
        </is>
      </c>
    </row>
    <row r="488">
      <c r="A488" t="inlineStr">
        <is>
          <t xml:space="preserve">PL487</t>
        </is>
      </c>
      <c r="B488" t="inlineStr">
        <is>
          <t xml:space="preserve">Divisive</t>
        </is>
      </c>
      <c r="C488" t="inlineStr">
        <is>
          <t xml:space="preserve">attack</t>
        </is>
      </c>
      <c r="D488" t="inlineStr">
        <is>
          <t xml:space="preserve">ST90; ST91; ST92; ST93</t>
        </is>
      </c>
      <c r="E488" t="inlineStr">
        <is>
          <t xml:space="preserve">You work against the public on the cameras.</t>
        </is>
      </c>
      <c r="F488" t="inlineStr">
        <is>
          <t xml:space="preserve">This is a fight over the cameras.</t>
        </is>
      </c>
      <c r="G488" t="inlineStr">
        <is>
          <t xml:space="preserve">Wrong side of the cameras. Own it.</t>
        </is>
      </c>
      <c r="H488" t="inlineStr">
        <is>
          <t xml:space="preserve">The cameras serves insiders, not you.</t>
        </is>
      </c>
      <c r="I488" t="inlineStr">
        <is>
          <t xml:space="preserve">Whose side are you on over the cameras?</t>
        </is>
      </c>
    </row>
    <row r="489">
      <c r="A489" t="inlineStr">
        <is>
          <t xml:space="preserve">PL488</t>
        </is>
      </c>
      <c r="B489" t="inlineStr">
        <is>
          <t xml:space="preserve">Divisive</t>
        </is>
      </c>
      <c r="C489" t="inlineStr">
        <is>
          <t xml:space="preserve">gain</t>
        </is>
      </c>
      <c r="D489" t="inlineStr">
        <is>
          <t xml:space="preserve">ST90; ST91; ST92; ST93</t>
        </is>
      </c>
      <c r="E489" t="inlineStr">
        <is>
          <t xml:space="preserve">The cameras needs hard choices.</t>
        </is>
      </c>
      <c r="F489" t="inlineStr">
        <is>
          <t xml:space="preserve">There is no middle ground on the cameras.</t>
        </is>
      </c>
      <c r="G489" t="inlineStr">
        <is>
          <t xml:space="preserve">I will not please everyone on the cameras.</t>
        </is>
      </c>
      <c r="H489" t="inlineStr">
        <is>
          <t xml:space="preserve">We must choose a side on the cameras.</t>
        </is>
      </c>
      <c r="I489" t="inlineStr">
        <is>
          <t xml:space="preserve">Some lose over the cameras. So be it.</t>
        </is>
      </c>
    </row>
    <row r="490">
      <c r="A490" t="inlineStr">
        <is>
          <t xml:space="preserve">PL489</t>
        </is>
      </c>
      <c r="B490" t="inlineStr">
        <is>
          <t xml:space="preserve">Divisive</t>
        </is>
      </c>
      <c r="C490" t="inlineStr">
        <is>
          <t xml:space="preserve">block</t>
        </is>
      </c>
      <c r="D490" t="inlineStr">
        <is>
          <t xml:space="preserve">ST90; ST91; ST92; ST93</t>
        </is>
      </c>
      <c r="E490" t="inlineStr">
        <is>
          <t xml:space="preserve">Do not hide behind the cameras.</t>
        </is>
      </c>
      <c r="F490" t="inlineStr">
        <is>
          <t xml:space="preserve">That jab on the cameras fails.</t>
        </is>
      </c>
      <c r="G490" t="inlineStr">
        <is>
          <t xml:space="preserve">Pick a side on the cameras yourself.</t>
        </is>
      </c>
      <c r="H490" t="inlineStr">
        <is>
          <t xml:space="preserve">Your side caused this over the cameras.</t>
        </is>
      </c>
      <c r="I490" t="inlineStr">
        <is>
          <t xml:space="preserve">Spare me the sermon on the cameras.</t>
        </is>
      </c>
    </row>
    <row r="491">
      <c r="A491" t="inlineStr">
        <is>
          <t xml:space="preserve">PL490</t>
        </is>
      </c>
      <c r="B491" t="inlineStr">
        <is>
          <t xml:space="preserve">Duplicitous</t>
        </is>
      </c>
      <c r="C491" t="inlineStr">
        <is>
          <t xml:space="preserve">attack</t>
        </is>
      </c>
      <c r="D491" t="inlineStr">
        <is>
          <t xml:space="preserve">ST90; ST91; ST92; ST93</t>
        </is>
      </c>
      <c r="E491" t="inlineStr">
        <is>
          <t xml:space="preserve">Your story on the cameras has gaps.</t>
        </is>
      </c>
      <c r="F491" t="inlineStr">
        <is>
          <t xml:space="preserve">Convenient wording on the cameras.</t>
        </is>
      </c>
      <c r="G491" t="inlineStr">
        <is>
          <t xml:space="preserve">What are you leaving out on the cameras?</t>
        </is>
      </c>
      <c r="H491" t="inlineStr">
        <is>
          <t xml:space="preserve">Funny how the cameras suits you so well.</t>
        </is>
      </c>
      <c r="I491" t="inlineStr">
        <is>
          <t xml:space="preserve">Who benefits from the cameras, really?</t>
        </is>
      </c>
    </row>
    <row r="492">
      <c r="A492" t="inlineStr">
        <is>
          <t xml:space="preserve">PL491</t>
        </is>
      </c>
      <c r="B492" t="inlineStr">
        <is>
          <t xml:space="preserve">Duplicitous</t>
        </is>
      </c>
      <c r="C492" t="inlineStr">
        <is>
          <t xml:space="preserve">gain</t>
        </is>
      </c>
      <c r="D492" t="inlineStr">
        <is>
          <t xml:space="preserve">ST90; ST91; ST92; ST93</t>
        </is>
      </c>
      <c r="E492" t="inlineStr">
        <is>
          <t xml:space="preserve">The cameras is simpler than you think.</t>
        </is>
      </c>
      <c r="F492" t="inlineStr">
        <is>
          <t xml:space="preserve">I said what I said on the cameras.</t>
        </is>
      </c>
      <c r="G492" t="inlineStr">
        <is>
          <t xml:space="preserve">Trust me on the cameras.</t>
        </is>
      </c>
      <c r="H492" t="inlineStr">
        <is>
          <t xml:space="preserve">Let me reframe the cameras slightly.</t>
        </is>
      </c>
      <c r="I492" t="inlineStr">
        <is>
          <t xml:space="preserve">Everyone agrees on the cameras, broadly.</t>
        </is>
      </c>
    </row>
    <row r="493">
      <c r="A493" t="inlineStr">
        <is>
          <t xml:space="preserve">PL492</t>
        </is>
      </c>
      <c r="B493" t="inlineStr">
        <is>
          <t xml:space="preserve">Duplicitous</t>
        </is>
      </c>
      <c r="C493" t="inlineStr">
        <is>
          <t xml:space="preserve">block</t>
        </is>
      </c>
      <c r="D493" t="inlineStr">
        <is>
          <t xml:space="preserve">ST90; ST91; ST92; ST93</t>
        </is>
      </c>
      <c r="E493" t="inlineStr">
        <is>
          <t xml:space="preserve">I take that as praise on the cameras.</t>
        </is>
      </c>
      <c r="F493" t="inlineStr">
        <is>
          <t xml:space="preserve">A fair question on the cameras. Next.</t>
        </is>
      </c>
      <c r="G493" t="inlineStr">
        <is>
          <t xml:space="preserve">Let us move past the cameras.</t>
        </is>
      </c>
      <c r="H493" t="inlineStr">
        <is>
          <t xml:space="preserve">That is not my line on the cameras.</t>
        </is>
      </c>
      <c r="I493" t="inlineStr">
        <is>
          <t xml:space="preserve">You misheard me on the cameras.</t>
        </is>
      </c>
    </row>
    <row r="494">
      <c r="A494" t="inlineStr">
        <is>
          <t xml:space="preserve">PL493</t>
        </is>
      </c>
      <c r="B494" t="inlineStr">
        <is>
          <t xml:space="preserve">Earnest</t>
        </is>
      </c>
      <c r="C494" t="inlineStr">
        <is>
          <t xml:space="preserve">attack</t>
        </is>
      </c>
      <c r="D494" t="inlineStr">
        <is>
          <t xml:space="preserve">ST94; ST95; ST96; ST97</t>
        </is>
      </c>
      <c r="E494" t="inlineStr">
        <is>
          <t xml:space="preserve">Town mergers is no place for games.</t>
        </is>
      </c>
      <c r="F494" t="inlineStr">
        <is>
          <t xml:space="preserve">People deserve a straight answer on town mergers.</t>
        </is>
      </c>
      <c r="G494" t="inlineStr">
        <is>
          <t xml:space="preserve">Town mergers deserves honesty, not slogans.</t>
        </is>
      </c>
      <c r="H494" t="inlineStr">
        <is>
          <t xml:space="preserve">Say plainly what you mean about town mergers.</t>
        </is>
      </c>
      <c r="I494" t="inlineStr">
        <is>
          <t xml:space="preserve">Be sincere with people about town mergers.</t>
        </is>
      </c>
    </row>
    <row r="495">
      <c r="A495" t="inlineStr">
        <is>
          <t xml:space="preserve">PL494</t>
        </is>
      </c>
      <c r="B495" t="inlineStr">
        <is>
          <t xml:space="preserve">Earnest</t>
        </is>
      </c>
      <c r="C495" t="inlineStr">
        <is>
          <t xml:space="preserve">gain</t>
        </is>
      </c>
      <c r="D495" t="inlineStr">
        <is>
          <t xml:space="preserve">ST94; ST95; ST96; ST97</t>
        </is>
      </c>
      <c r="E495" t="inlineStr">
        <is>
          <t xml:space="preserve">I will be honest about town mergers.</t>
        </is>
      </c>
      <c r="F495" t="inlineStr">
        <is>
          <t xml:space="preserve">Here is my honest view on town mergers.</t>
        </is>
      </c>
      <c r="G495" t="inlineStr">
        <is>
          <t xml:space="preserve">I mean every word about town mergers.</t>
        </is>
      </c>
      <c r="H495" t="inlineStr">
        <is>
          <t xml:space="preserve">People can trust me on town mergers.</t>
        </is>
      </c>
      <c r="I495" t="inlineStr">
        <is>
          <t xml:space="preserve">Town mergers matters to me personally.</t>
        </is>
      </c>
    </row>
    <row r="496">
      <c r="A496" t="inlineStr">
        <is>
          <t xml:space="preserve">PL495</t>
        </is>
      </c>
      <c r="B496" t="inlineStr">
        <is>
          <t xml:space="preserve">Earnest</t>
        </is>
      </c>
      <c r="C496" t="inlineStr">
        <is>
          <t xml:space="preserve">block</t>
        </is>
      </c>
      <c r="D496" t="inlineStr">
        <is>
          <t xml:space="preserve">ST94; ST95; ST96; ST97</t>
        </is>
      </c>
      <c r="E496" t="inlineStr">
        <is>
          <t xml:space="preserve">Ask plainly. I will answer plainly.</t>
        </is>
      </c>
      <c r="F496" t="inlineStr">
        <is>
          <t xml:space="preserve">My view on town mergers is sincere.</t>
        </is>
      </c>
      <c r="G496" t="inlineStr">
        <is>
          <t xml:space="preserve">I will not dodge town mergers.</t>
        </is>
      </c>
      <c r="H496" t="inlineStr">
        <is>
          <t xml:space="preserve">You can ask me about town mergers.</t>
        </is>
      </c>
      <c r="I496" t="inlineStr">
        <is>
          <t xml:space="preserve">I stand by what I said.</t>
        </is>
      </c>
    </row>
    <row r="497">
      <c r="A497" t="inlineStr">
        <is>
          <t xml:space="preserve">PL496</t>
        </is>
      </c>
      <c r="B497" t="inlineStr">
        <is>
          <t xml:space="preserve">Emotional</t>
        </is>
      </c>
      <c r="C497" t="inlineStr">
        <is>
          <t xml:space="preserve">attack</t>
        </is>
      </c>
      <c r="D497" t="inlineStr">
        <is>
          <t xml:space="preserve">ST94; ST95; ST96; ST97</t>
        </is>
      </c>
      <c r="E497" t="inlineStr">
        <is>
          <t xml:space="preserve">Do you feel nothing about town mergers?</t>
        </is>
      </c>
      <c r="F497" t="inlineStr">
        <is>
          <t xml:space="preserve">Tell that to those hurt by town mergers.</t>
        </is>
      </c>
      <c r="G497" t="inlineStr">
        <is>
          <t xml:space="preserve">Think of the families behind town mergers.</t>
        </is>
      </c>
      <c r="H497" t="inlineStr">
        <is>
          <t xml:space="preserve">Look at the faces affected by town mergers.</t>
        </is>
      </c>
      <c r="I497" t="inlineStr">
        <is>
          <t xml:space="preserve">Town mergers is about real people.</t>
        </is>
      </c>
    </row>
    <row r="498">
      <c r="A498" t="inlineStr">
        <is>
          <t xml:space="preserve">PL497</t>
        </is>
      </c>
      <c r="B498" t="inlineStr">
        <is>
          <t xml:space="preserve">Emotional</t>
        </is>
      </c>
      <c r="C498" t="inlineStr">
        <is>
          <t xml:space="preserve">gain</t>
        </is>
      </c>
      <c r="D498" t="inlineStr">
        <is>
          <t xml:space="preserve">ST94; ST95; ST96; ST97</t>
        </is>
      </c>
      <c r="E498" t="inlineStr">
        <is>
          <t xml:space="preserve">I carry those families with me.</t>
        </is>
      </c>
      <c r="F498" t="inlineStr">
        <is>
          <t xml:space="preserve">Every family I met raised town mergers.</t>
        </is>
      </c>
      <c r="G498" t="inlineStr">
        <is>
          <t xml:space="preserve">I have met people touched by town mergers.</t>
        </is>
      </c>
      <c r="H498" t="inlineStr">
        <is>
          <t xml:space="preserve">Town mergers weighs on me.</t>
        </is>
      </c>
      <c r="I498" t="inlineStr">
        <is>
          <t xml:space="preserve">Their stories made me care about town mergers.</t>
        </is>
      </c>
    </row>
    <row r="499">
      <c r="A499" t="inlineStr">
        <is>
          <t xml:space="preserve">PL498</t>
        </is>
      </c>
      <c r="B499" t="inlineStr">
        <is>
          <t xml:space="preserve">Emotional</t>
        </is>
      </c>
      <c r="C499" t="inlineStr">
        <is>
          <t xml:space="preserve">block</t>
        </is>
      </c>
      <c r="D499" t="inlineStr">
        <is>
          <t xml:space="preserve">ST94; ST95; ST96; ST97</t>
        </is>
      </c>
      <c r="E499" t="inlineStr">
        <is>
          <t xml:space="preserve">These are people, not statistics.</t>
        </is>
      </c>
      <c r="F499" t="inlineStr">
        <is>
          <t xml:space="preserve">Speak gently about town mergers.</t>
        </is>
      </c>
      <c r="G499" t="inlineStr">
        <is>
          <t xml:space="preserve">You cannot dismiss people over town mergers.</t>
        </is>
      </c>
      <c r="H499" t="inlineStr">
        <is>
          <t xml:space="preserve">Do not turn town mergers into a game.</t>
        </is>
      </c>
      <c r="I499" t="inlineStr">
        <is>
          <t xml:space="preserve">I will not shrink their stories.</t>
        </is>
      </c>
    </row>
    <row r="500">
      <c r="A500" t="inlineStr">
        <is>
          <t xml:space="preserve">PL499</t>
        </is>
      </c>
      <c r="B500" t="inlineStr">
        <is>
          <t xml:space="preserve">Appeal</t>
        </is>
      </c>
      <c r="C500" t="inlineStr">
        <is>
          <t xml:space="preserve">attack</t>
        </is>
      </c>
      <c r="D500" t="inlineStr">
        <is>
          <t xml:space="preserve">ST94; ST95; ST96; ST97</t>
        </is>
      </c>
      <c r="E500" t="inlineStr">
        <is>
          <t xml:space="preserve">Most people disagree with you on town mergers.</t>
        </is>
      </c>
      <c r="F500" t="inlineStr">
        <is>
          <t xml:space="preserve">Voters have spoken on town mergers.</t>
        </is>
      </c>
      <c r="G500" t="inlineStr">
        <is>
          <t xml:space="preserve">People want answers on town mergers.</t>
        </is>
      </c>
      <c r="H500" t="inlineStr">
        <is>
          <t xml:space="preserve">Ask anyone in the street about town mergers.</t>
        </is>
      </c>
      <c r="I500" t="inlineStr">
        <is>
          <t xml:space="preserve">The public wants less spin on town mergers.</t>
        </is>
      </c>
    </row>
    <row r="501">
      <c r="A501" t="inlineStr">
        <is>
          <t xml:space="preserve">PL500</t>
        </is>
      </c>
      <c r="B501" t="inlineStr">
        <is>
          <t xml:space="preserve">Appeal</t>
        </is>
      </c>
      <c r="C501" t="inlineStr">
        <is>
          <t xml:space="preserve">gain</t>
        </is>
      </c>
      <c r="D501" t="inlineStr">
        <is>
          <t xml:space="preserve">ST94; ST95; ST96; ST97</t>
        </is>
      </c>
      <c r="E501" t="inlineStr">
        <is>
          <t xml:space="preserve">Ask around. People care about town mergers.</t>
        </is>
      </c>
      <c r="F501" t="inlineStr">
        <is>
          <t xml:space="preserve">The public mood favours town mergers.</t>
        </is>
      </c>
      <c r="G501" t="inlineStr">
        <is>
          <t xml:space="preserve">Most people I meet back town mergers.</t>
        </is>
      </c>
      <c r="H501" t="inlineStr">
        <is>
          <t xml:space="preserve">Ordinary people want action on town mergers.</t>
        </is>
      </c>
      <c r="I501" t="inlineStr">
        <is>
          <t xml:space="preserve">Voters keep raising town mergers.</t>
        </is>
      </c>
    </row>
    <row r="502">
      <c r="A502" t="inlineStr">
        <is>
          <t xml:space="preserve">PL501</t>
        </is>
      </c>
      <c r="B502" t="inlineStr">
        <is>
          <t xml:space="preserve">Appeal</t>
        </is>
      </c>
      <c r="C502" t="inlineStr">
        <is>
          <t xml:space="preserve">block</t>
        </is>
      </c>
      <c r="D502" t="inlineStr">
        <is>
          <t xml:space="preserve">ST94; ST95; ST96; ST97</t>
        </is>
      </c>
      <c r="E502" t="inlineStr">
        <is>
          <t xml:space="preserve">Let the public decide town mergers.</t>
        </is>
      </c>
      <c r="F502" t="inlineStr">
        <is>
          <t xml:space="preserve">I hear all sides on town mergers.</t>
        </is>
      </c>
      <c r="G502" t="inlineStr">
        <is>
          <t xml:space="preserve">Do not speak for everyone on town mergers.</t>
        </is>
      </c>
      <c r="H502" t="inlineStr">
        <is>
          <t xml:space="preserve">People are divided on town mergers.</t>
        </is>
      </c>
      <c r="I502" t="inlineStr">
        <is>
          <t xml:space="preserve">Do not claim the crowd on town mergers.</t>
        </is>
      </c>
    </row>
    <row r="503">
      <c r="A503" t="inlineStr">
        <is>
          <t xml:space="preserve">PL502</t>
        </is>
      </c>
      <c r="B503" t="inlineStr">
        <is>
          <t xml:space="preserve">Data Driven</t>
        </is>
      </c>
      <c r="C503" t="inlineStr">
        <is>
          <t xml:space="preserve">attack</t>
        </is>
      </c>
      <c r="D503" t="inlineStr">
        <is>
          <t xml:space="preserve">ST94; ST95; ST96; ST97</t>
        </is>
      </c>
      <c r="E503" t="inlineStr">
        <is>
          <t xml:space="preserve">What is the real cost of town mergers?</t>
        </is>
      </c>
      <c r="F503" t="inlineStr">
        <is>
          <t xml:space="preserve">Those town mergers statistics are selective.</t>
        </is>
      </c>
      <c r="G503" t="inlineStr">
        <is>
          <t xml:space="preserve">Where are the figures on town mergers?</t>
        </is>
      </c>
      <c r="H503" t="inlineStr">
        <is>
          <t xml:space="preserve">Your numbers on town mergers do not hold.</t>
        </is>
      </c>
      <c r="I503" t="inlineStr">
        <is>
          <t xml:space="preserve">Show the evidence for town mergers.</t>
        </is>
      </c>
    </row>
    <row r="504">
      <c r="A504" t="inlineStr">
        <is>
          <t xml:space="preserve">PL503</t>
        </is>
      </c>
      <c r="B504" t="inlineStr">
        <is>
          <t xml:space="preserve">Data Driven</t>
        </is>
      </c>
      <c r="C504" t="inlineStr">
        <is>
          <t xml:space="preserve">gain</t>
        </is>
      </c>
      <c r="D504" t="inlineStr">
        <is>
          <t xml:space="preserve">ST94; ST95; ST96; ST97</t>
        </is>
      </c>
      <c r="E504" t="inlineStr">
        <is>
          <t xml:space="preserve">The cost of town mergers adds up.</t>
        </is>
      </c>
      <c r="F504" t="inlineStr">
        <is>
          <t xml:space="preserve">The numbers on town mergers hold.</t>
        </is>
      </c>
      <c r="G504" t="inlineStr">
        <is>
          <t xml:space="preserve">The evidence on town mergers is clear.</t>
        </is>
      </c>
      <c r="H504" t="inlineStr">
        <is>
          <t xml:space="preserve">Here are the figures on town mergers.</t>
        </is>
      </c>
      <c r="I504" t="inlineStr">
        <is>
          <t xml:space="preserve">Studies on town mergers support this.</t>
        </is>
      </c>
    </row>
    <row r="505">
      <c r="A505" t="inlineStr">
        <is>
          <t xml:space="preserve">PL504</t>
        </is>
      </c>
      <c r="B505" t="inlineStr">
        <is>
          <t xml:space="preserve">Data Driven</t>
        </is>
      </c>
      <c r="C505" t="inlineStr">
        <is>
          <t xml:space="preserve">block</t>
        </is>
      </c>
      <c r="D505" t="inlineStr">
        <is>
          <t xml:space="preserve">ST94; ST95; ST96; ST97</t>
        </is>
      </c>
      <c r="E505" t="inlineStr">
        <is>
          <t xml:space="preserve">Read the full report on town mergers.</t>
        </is>
      </c>
      <c r="F505" t="inlineStr">
        <is>
          <t xml:space="preserve">That is not what the data shows.</t>
        </is>
      </c>
      <c r="G505" t="inlineStr">
        <is>
          <t xml:space="preserve">Check the source on town mergers.</t>
        </is>
      </c>
      <c r="H505" t="inlineStr">
        <is>
          <t xml:space="preserve">Those figures on town mergers are misread.</t>
        </is>
      </c>
      <c r="I505" t="inlineStr">
        <is>
          <t xml:space="preserve">The data does not say that.</t>
        </is>
      </c>
    </row>
    <row r="506">
      <c r="A506" t="inlineStr">
        <is>
          <t xml:space="preserve">PL505</t>
        </is>
      </c>
      <c r="B506" t="inlineStr">
        <is>
          <t xml:space="preserve">Divisive</t>
        </is>
      </c>
      <c r="C506" t="inlineStr">
        <is>
          <t xml:space="preserve">attack</t>
        </is>
      </c>
      <c r="D506" t="inlineStr">
        <is>
          <t xml:space="preserve">ST94; ST95; ST96; ST97</t>
        </is>
      </c>
      <c r="E506" t="inlineStr">
        <is>
          <t xml:space="preserve">This is a fight over town mergers.</t>
        </is>
      </c>
      <c r="F506" t="inlineStr">
        <is>
          <t xml:space="preserve">Wrong side of town mergers. Own it.</t>
        </is>
      </c>
      <c r="G506" t="inlineStr">
        <is>
          <t xml:space="preserve">Town mergers serves insiders, not you.</t>
        </is>
      </c>
      <c r="H506" t="inlineStr">
        <is>
          <t xml:space="preserve">Whose side are you on over town mergers?</t>
        </is>
      </c>
      <c r="I506" t="inlineStr">
        <is>
          <t xml:space="preserve">You work against the public on town mergers.</t>
        </is>
      </c>
    </row>
    <row r="507">
      <c r="A507" t="inlineStr">
        <is>
          <t xml:space="preserve">PL506</t>
        </is>
      </c>
      <c r="B507" t="inlineStr">
        <is>
          <t xml:space="preserve">Divisive</t>
        </is>
      </c>
      <c r="C507" t="inlineStr">
        <is>
          <t xml:space="preserve">gain</t>
        </is>
      </c>
      <c r="D507" t="inlineStr">
        <is>
          <t xml:space="preserve">ST94; ST95; ST96; ST97</t>
        </is>
      </c>
      <c r="E507" t="inlineStr">
        <is>
          <t xml:space="preserve">There is no middle ground on town mergers.</t>
        </is>
      </c>
      <c r="F507" t="inlineStr">
        <is>
          <t xml:space="preserve">I will not please everyone on town mergers.</t>
        </is>
      </c>
      <c r="G507" t="inlineStr">
        <is>
          <t xml:space="preserve">We must choose a side on town mergers.</t>
        </is>
      </c>
      <c r="H507" t="inlineStr">
        <is>
          <t xml:space="preserve">Some lose over town mergers. So be it.</t>
        </is>
      </c>
      <c r="I507" t="inlineStr">
        <is>
          <t xml:space="preserve">Town mergers needs hard choices.</t>
        </is>
      </c>
    </row>
    <row r="508">
      <c r="A508" t="inlineStr">
        <is>
          <t xml:space="preserve">PL507</t>
        </is>
      </c>
      <c r="B508" t="inlineStr">
        <is>
          <t xml:space="preserve">Divisive</t>
        </is>
      </c>
      <c r="C508" t="inlineStr">
        <is>
          <t xml:space="preserve">block</t>
        </is>
      </c>
      <c r="D508" t="inlineStr">
        <is>
          <t xml:space="preserve">ST94; ST95; ST96; ST97</t>
        </is>
      </c>
      <c r="E508" t="inlineStr">
        <is>
          <t xml:space="preserve">That jab on town mergers fails.</t>
        </is>
      </c>
      <c r="F508" t="inlineStr">
        <is>
          <t xml:space="preserve">Pick a side on town mergers yourself.</t>
        </is>
      </c>
      <c r="G508" t="inlineStr">
        <is>
          <t xml:space="preserve">Your side caused this over town mergers.</t>
        </is>
      </c>
      <c r="H508" t="inlineStr">
        <is>
          <t xml:space="preserve">Spare me the sermon on town mergers.</t>
        </is>
      </c>
      <c r="I508" t="inlineStr">
        <is>
          <t xml:space="preserve">Do not hide behind town mergers.</t>
        </is>
      </c>
    </row>
    <row r="509">
      <c r="A509" t="inlineStr">
        <is>
          <t xml:space="preserve">PL508</t>
        </is>
      </c>
      <c r="B509" t="inlineStr">
        <is>
          <t xml:space="preserve">Duplicitous</t>
        </is>
      </c>
      <c r="C509" t="inlineStr">
        <is>
          <t xml:space="preserve">attack</t>
        </is>
      </c>
      <c r="D509" t="inlineStr">
        <is>
          <t xml:space="preserve">ST94; ST95; ST96; ST97</t>
        </is>
      </c>
      <c r="E509" t="inlineStr">
        <is>
          <t xml:space="preserve">Convenient wording on town mergers.</t>
        </is>
      </c>
      <c r="F509" t="inlineStr">
        <is>
          <t xml:space="preserve">What are you leaving out on town mergers?</t>
        </is>
      </c>
      <c r="G509" t="inlineStr">
        <is>
          <t xml:space="preserve">Funny how town mergers suits you so well.</t>
        </is>
      </c>
      <c r="H509" t="inlineStr">
        <is>
          <t xml:space="preserve">Who benefits from town mergers, really?</t>
        </is>
      </c>
      <c r="I509" t="inlineStr">
        <is>
          <t xml:space="preserve">Your story on town mergers has gaps.</t>
        </is>
      </c>
    </row>
    <row r="510">
      <c r="A510" t="inlineStr">
        <is>
          <t xml:space="preserve">PL509</t>
        </is>
      </c>
      <c r="B510" t="inlineStr">
        <is>
          <t xml:space="preserve">Duplicitous</t>
        </is>
      </c>
      <c r="C510" t="inlineStr">
        <is>
          <t xml:space="preserve">gain</t>
        </is>
      </c>
      <c r="D510" t="inlineStr">
        <is>
          <t xml:space="preserve">ST94; ST95; ST96; ST97</t>
        </is>
      </c>
      <c r="E510" t="inlineStr">
        <is>
          <t xml:space="preserve">I said what I said on town mergers.</t>
        </is>
      </c>
      <c r="F510" t="inlineStr">
        <is>
          <t xml:space="preserve">Trust me on town mergers.</t>
        </is>
      </c>
      <c r="G510" t="inlineStr">
        <is>
          <t xml:space="preserve">Let me reframe town mergers slightly.</t>
        </is>
      </c>
      <c r="H510" t="inlineStr">
        <is>
          <t xml:space="preserve">Everyone agrees on town mergers, broadly.</t>
        </is>
      </c>
      <c r="I510" t="inlineStr">
        <is>
          <t xml:space="preserve">Town mergers is simpler than you think.</t>
        </is>
      </c>
    </row>
    <row r="511">
      <c r="A511" t="inlineStr">
        <is>
          <t xml:space="preserve">PL510</t>
        </is>
      </c>
      <c r="B511" t="inlineStr">
        <is>
          <t xml:space="preserve">Duplicitous</t>
        </is>
      </c>
      <c r="C511" t="inlineStr">
        <is>
          <t xml:space="preserve">block</t>
        </is>
      </c>
      <c r="D511" t="inlineStr">
        <is>
          <t xml:space="preserve">ST94; ST95; ST96; ST97</t>
        </is>
      </c>
      <c r="E511" t="inlineStr">
        <is>
          <t xml:space="preserve">A fair question on town mergers. Next.</t>
        </is>
      </c>
      <c r="F511" t="inlineStr">
        <is>
          <t xml:space="preserve">Let us move past town mergers.</t>
        </is>
      </c>
      <c r="G511" t="inlineStr">
        <is>
          <t xml:space="preserve">That is not my line on town mergers.</t>
        </is>
      </c>
      <c r="H511" t="inlineStr">
        <is>
          <t xml:space="preserve">You misheard me on town mergers.</t>
        </is>
      </c>
      <c r="I511" t="inlineStr">
        <is>
          <t xml:space="preserve">I take that as praise on town mergers.</t>
        </is>
      </c>
    </row>
    <row r="512">
      <c r="A512" t="inlineStr">
        <is>
          <t xml:space="preserve">PL511</t>
        </is>
      </c>
      <c r="B512" t="inlineStr">
        <is>
          <t xml:space="preserve">Earnest</t>
        </is>
      </c>
      <c r="C512" t="inlineStr">
        <is>
          <t xml:space="preserve">attack</t>
        </is>
      </c>
      <c r="D512" t="inlineStr">
        <is>
          <t xml:space="preserve">ST98; ST99; ST100</t>
        </is>
      </c>
      <c r="E512" t="inlineStr">
        <is>
          <t xml:space="preserve">People deserve a straight answer on open ballots.</t>
        </is>
      </c>
      <c r="F512" t="inlineStr">
        <is>
          <t xml:space="preserve">Open ballots deserves honesty, not slogans.</t>
        </is>
      </c>
      <c r="G512" t="inlineStr">
        <is>
          <t xml:space="preserve">Say plainly what you mean about open ballots.</t>
        </is>
      </c>
      <c r="H512" t="inlineStr">
        <is>
          <t xml:space="preserve">Be sincere with people about open ballots.</t>
        </is>
      </c>
      <c r="I512" t="inlineStr">
        <is>
          <t xml:space="preserve">Open ballots is no place for games.</t>
        </is>
      </c>
    </row>
    <row r="513">
      <c r="A513" t="inlineStr">
        <is>
          <t xml:space="preserve">PL512</t>
        </is>
      </c>
      <c r="B513" t="inlineStr">
        <is>
          <t xml:space="preserve">Earnest</t>
        </is>
      </c>
      <c r="C513" t="inlineStr">
        <is>
          <t xml:space="preserve">gain</t>
        </is>
      </c>
      <c r="D513" t="inlineStr">
        <is>
          <t xml:space="preserve">ST98; ST99; ST100</t>
        </is>
      </c>
      <c r="E513" t="inlineStr">
        <is>
          <t xml:space="preserve">Here is my honest view on open ballots.</t>
        </is>
      </c>
      <c r="F513" t="inlineStr">
        <is>
          <t xml:space="preserve">I mean every word about open ballots.</t>
        </is>
      </c>
      <c r="G513" t="inlineStr">
        <is>
          <t xml:space="preserve">People can trust me on open ballots.</t>
        </is>
      </c>
      <c r="H513" t="inlineStr">
        <is>
          <t xml:space="preserve">Open ballots matters to me personally.</t>
        </is>
      </c>
      <c r="I513" t="inlineStr">
        <is>
          <t xml:space="preserve">I will be honest about open ballots.</t>
        </is>
      </c>
    </row>
    <row r="514">
      <c r="A514" t="inlineStr">
        <is>
          <t xml:space="preserve">PL513</t>
        </is>
      </c>
      <c r="B514" t="inlineStr">
        <is>
          <t xml:space="preserve">Earnest</t>
        </is>
      </c>
      <c r="C514" t="inlineStr">
        <is>
          <t xml:space="preserve">block</t>
        </is>
      </c>
      <c r="D514" t="inlineStr">
        <is>
          <t xml:space="preserve">ST98; ST99; ST100</t>
        </is>
      </c>
      <c r="E514" t="inlineStr">
        <is>
          <t xml:space="preserve">My view on open ballots is sincere.</t>
        </is>
      </c>
      <c r="F514" t="inlineStr">
        <is>
          <t xml:space="preserve">I will not dodge open ballots.</t>
        </is>
      </c>
      <c r="G514" t="inlineStr">
        <is>
          <t xml:space="preserve">You can ask me about open ballots.</t>
        </is>
      </c>
      <c r="H514" t="inlineStr">
        <is>
          <t xml:space="preserve">I stand by what I said.</t>
        </is>
      </c>
      <c r="I514" t="inlineStr">
        <is>
          <t xml:space="preserve">Ask plainly. I will answer plainly.</t>
        </is>
      </c>
    </row>
    <row r="515">
      <c r="A515" t="inlineStr">
        <is>
          <t xml:space="preserve">PL514</t>
        </is>
      </c>
      <c r="B515" t="inlineStr">
        <is>
          <t xml:space="preserve">Emotional</t>
        </is>
      </c>
      <c r="C515" t="inlineStr">
        <is>
          <t xml:space="preserve">attack</t>
        </is>
      </c>
      <c r="D515" t="inlineStr">
        <is>
          <t xml:space="preserve">ST98; ST99; ST100</t>
        </is>
      </c>
      <c r="E515" t="inlineStr">
        <is>
          <t xml:space="preserve">Tell that to those hurt by open ballots.</t>
        </is>
      </c>
      <c r="F515" t="inlineStr">
        <is>
          <t xml:space="preserve">Think of the families behind open ballots.</t>
        </is>
      </c>
      <c r="G515" t="inlineStr">
        <is>
          <t xml:space="preserve">Look at the faces affected by open ballots.</t>
        </is>
      </c>
      <c r="H515" t="inlineStr">
        <is>
          <t xml:space="preserve">Open ballots is about real people.</t>
        </is>
      </c>
      <c r="I515" t="inlineStr">
        <is>
          <t xml:space="preserve">Do you feel nothing about open ballots?</t>
        </is>
      </c>
    </row>
    <row r="516">
      <c r="A516" t="inlineStr">
        <is>
          <t xml:space="preserve">PL515</t>
        </is>
      </c>
      <c r="B516" t="inlineStr">
        <is>
          <t xml:space="preserve">Emotional</t>
        </is>
      </c>
      <c r="C516" t="inlineStr">
        <is>
          <t xml:space="preserve">gain</t>
        </is>
      </c>
      <c r="D516" t="inlineStr">
        <is>
          <t xml:space="preserve">ST98; ST99; ST100</t>
        </is>
      </c>
      <c r="E516" t="inlineStr">
        <is>
          <t xml:space="preserve">Every family I met raised open ballots.</t>
        </is>
      </c>
      <c r="F516" t="inlineStr">
        <is>
          <t xml:space="preserve">I have met people touched by open ballots.</t>
        </is>
      </c>
      <c r="G516" t="inlineStr">
        <is>
          <t xml:space="preserve">Open ballots weighs on me.</t>
        </is>
      </c>
      <c r="H516" t="inlineStr">
        <is>
          <t xml:space="preserve">Their stories made me care about open ballots.</t>
        </is>
      </c>
      <c r="I516" t="inlineStr">
        <is>
          <t xml:space="preserve">I carry those families with me.</t>
        </is>
      </c>
    </row>
    <row r="517">
      <c r="A517" t="inlineStr">
        <is>
          <t xml:space="preserve">PL516</t>
        </is>
      </c>
      <c r="B517" t="inlineStr">
        <is>
          <t xml:space="preserve">Emotional</t>
        </is>
      </c>
      <c r="C517" t="inlineStr">
        <is>
          <t xml:space="preserve">block</t>
        </is>
      </c>
      <c r="D517" t="inlineStr">
        <is>
          <t xml:space="preserve">ST98; ST99; ST100</t>
        </is>
      </c>
      <c r="E517" t="inlineStr">
        <is>
          <t xml:space="preserve">Speak gently about open ballots.</t>
        </is>
      </c>
      <c r="F517" t="inlineStr">
        <is>
          <t xml:space="preserve">You cannot dismiss people over open ballots.</t>
        </is>
      </c>
      <c r="G517" t="inlineStr">
        <is>
          <t xml:space="preserve">Do not turn open ballots into a game.</t>
        </is>
      </c>
      <c r="H517" t="inlineStr">
        <is>
          <t xml:space="preserve">I will not shrink their stories.</t>
        </is>
      </c>
      <c r="I517" t="inlineStr">
        <is>
          <t xml:space="preserve">These are people, not statistics.</t>
        </is>
      </c>
    </row>
    <row r="518">
      <c r="A518" t="inlineStr">
        <is>
          <t xml:space="preserve">PL517</t>
        </is>
      </c>
      <c r="B518" t="inlineStr">
        <is>
          <t xml:space="preserve">Appeal</t>
        </is>
      </c>
      <c r="C518" t="inlineStr">
        <is>
          <t xml:space="preserve">attack</t>
        </is>
      </c>
      <c r="D518" t="inlineStr">
        <is>
          <t xml:space="preserve">ST98; ST99; ST100</t>
        </is>
      </c>
      <c r="E518" t="inlineStr">
        <is>
          <t xml:space="preserve">Voters have spoken on open ballots.</t>
        </is>
      </c>
      <c r="F518" t="inlineStr">
        <is>
          <t xml:space="preserve">People want answers on open ballots.</t>
        </is>
      </c>
      <c r="G518" t="inlineStr">
        <is>
          <t xml:space="preserve">Ask anyone in the street about open ballots.</t>
        </is>
      </c>
      <c r="H518" t="inlineStr">
        <is>
          <t xml:space="preserve">The public wants less spin on open ballots.</t>
        </is>
      </c>
      <c r="I518" t="inlineStr">
        <is>
          <t xml:space="preserve">Most people disagree with you on open ballots.</t>
        </is>
      </c>
    </row>
    <row r="519">
      <c r="A519" t="inlineStr">
        <is>
          <t xml:space="preserve">PL518</t>
        </is>
      </c>
      <c r="B519" t="inlineStr">
        <is>
          <t xml:space="preserve">Appeal</t>
        </is>
      </c>
      <c r="C519" t="inlineStr">
        <is>
          <t xml:space="preserve">gain</t>
        </is>
      </c>
      <c r="D519" t="inlineStr">
        <is>
          <t xml:space="preserve">ST98; ST99; ST100</t>
        </is>
      </c>
      <c r="E519" t="inlineStr">
        <is>
          <t xml:space="preserve">The public mood favours open ballots.</t>
        </is>
      </c>
      <c r="F519" t="inlineStr">
        <is>
          <t xml:space="preserve">Most people I meet back open ballots.</t>
        </is>
      </c>
      <c r="G519" t="inlineStr">
        <is>
          <t xml:space="preserve">Ordinary people want action on open ballots.</t>
        </is>
      </c>
      <c r="H519" t="inlineStr">
        <is>
          <t xml:space="preserve">Voters keep raising open ballots.</t>
        </is>
      </c>
      <c r="I519" t="inlineStr">
        <is>
          <t xml:space="preserve">Ask around. People care about open ballots.</t>
        </is>
      </c>
    </row>
    <row r="520">
      <c r="A520" t="inlineStr">
        <is>
          <t xml:space="preserve">PL519</t>
        </is>
      </c>
      <c r="B520" t="inlineStr">
        <is>
          <t xml:space="preserve">Appeal</t>
        </is>
      </c>
      <c r="C520" t="inlineStr">
        <is>
          <t xml:space="preserve">block</t>
        </is>
      </c>
      <c r="D520" t="inlineStr">
        <is>
          <t xml:space="preserve">ST98; ST99; ST100</t>
        </is>
      </c>
      <c r="E520" t="inlineStr">
        <is>
          <t xml:space="preserve">I hear all sides on open ballots.</t>
        </is>
      </c>
      <c r="F520" t="inlineStr">
        <is>
          <t xml:space="preserve">Do not speak for everyone on open ballots.</t>
        </is>
      </c>
      <c r="G520" t="inlineStr">
        <is>
          <t xml:space="preserve">People are divided on open ballots.</t>
        </is>
      </c>
      <c r="H520" t="inlineStr">
        <is>
          <t xml:space="preserve">Do not claim the crowd on open ballots.</t>
        </is>
      </c>
      <c r="I520" t="inlineStr">
        <is>
          <t xml:space="preserve">Let the public decide open ballots.</t>
        </is>
      </c>
    </row>
    <row r="521">
      <c r="A521" t="inlineStr">
        <is>
          <t xml:space="preserve">PL520</t>
        </is>
      </c>
      <c r="B521" t="inlineStr">
        <is>
          <t xml:space="preserve">Data Driven</t>
        </is>
      </c>
      <c r="C521" t="inlineStr">
        <is>
          <t xml:space="preserve">attack</t>
        </is>
      </c>
      <c r="D521" t="inlineStr">
        <is>
          <t xml:space="preserve">ST98; ST99; ST100</t>
        </is>
      </c>
      <c r="E521" t="inlineStr">
        <is>
          <t xml:space="preserve">Those open ballots statistics are selective.</t>
        </is>
      </c>
      <c r="F521" t="inlineStr">
        <is>
          <t xml:space="preserve">Where are the figures on open ballots?</t>
        </is>
      </c>
      <c r="G521" t="inlineStr">
        <is>
          <t xml:space="preserve">Your numbers on open ballots do not hold.</t>
        </is>
      </c>
      <c r="H521" t="inlineStr">
        <is>
          <t xml:space="preserve">Show the evidence for open ballots.</t>
        </is>
      </c>
      <c r="I521" t="inlineStr">
        <is>
          <t xml:space="preserve">What is the real cost of open ballots?</t>
        </is>
      </c>
    </row>
    <row r="522">
      <c r="A522" t="inlineStr">
        <is>
          <t xml:space="preserve">PL521</t>
        </is>
      </c>
      <c r="B522" t="inlineStr">
        <is>
          <t xml:space="preserve">Data Driven</t>
        </is>
      </c>
      <c r="C522" t="inlineStr">
        <is>
          <t xml:space="preserve">gain</t>
        </is>
      </c>
      <c r="D522" t="inlineStr">
        <is>
          <t xml:space="preserve">ST98; ST99; ST100</t>
        </is>
      </c>
      <c r="E522" t="inlineStr">
        <is>
          <t xml:space="preserve">The numbers on open ballots hold.</t>
        </is>
      </c>
      <c r="F522" t="inlineStr">
        <is>
          <t xml:space="preserve">The evidence on open ballots is clear.</t>
        </is>
      </c>
      <c r="G522" t="inlineStr">
        <is>
          <t xml:space="preserve">Here are the figures on open ballots.</t>
        </is>
      </c>
      <c r="H522" t="inlineStr">
        <is>
          <t xml:space="preserve">Studies on open ballots support this.</t>
        </is>
      </c>
      <c r="I522" t="inlineStr">
        <is>
          <t xml:space="preserve">The cost of open ballots adds up.</t>
        </is>
      </c>
    </row>
    <row r="523">
      <c r="A523" t="inlineStr">
        <is>
          <t xml:space="preserve">PL522</t>
        </is>
      </c>
      <c r="B523" t="inlineStr">
        <is>
          <t xml:space="preserve">Data Driven</t>
        </is>
      </c>
      <c r="C523" t="inlineStr">
        <is>
          <t xml:space="preserve">block</t>
        </is>
      </c>
      <c r="D523" t="inlineStr">
        <is>
          <t xml:space="preserve">ST98; ST99; ST100</t>
        </is>
      </c>
      <c r="E523" t="inlineStr">
        <is>
          <t xml:space="preserve">That is not what the data shows.</t>
        </is>
      </c>
      <c r="F523" t="inlineStr">
        <is>
          <t xml:space="preserve">Check the source on open ballots.</t>
        </is>
      </c>
      <c r="G523" t="inlineStr">
        <is>
          <t xml:space="preserve">Those figures on open ballots are misread.</t>
        </is>
      </c>
      <c r="H523" t="inlineStr">
        <is>
          <t xml:space="preserve">The data does not say that.</t>
        </is>
      </c>
      <c r="I523" t="inlineStr">
        <is>
          <t xml:space="preserve">Read the full report on open ballots.</t>
        </is>
      </c>
    </row>
    <row r="524">
      <c r="A524" t="inlineStr">
        <is>
          <t xml:space="preserve">PL523</t>
        </is>
      </c>
      <c r="B524" t="inlineStr">
        <is>
          <t xml:space="preserve">Divisive</t>
        </is>
      </c>
      <c r="C524" t="inlineStr">
        <is>
          <t xml:space="preserve">attack</t>
        </is>
      </c>
      <c r="D524" t="inlineStr">
        <is>
          <t xml:space="preserve">ST98; ST99; ST100</t>
        </is>
      </c>
      <c r="E524" t="inlineStr">
        <is>
          <t xml:space="preserve">Wrong side of open ballots. Own it.</t>
        </is>
      </c>
      <c r="F524" t="inlineStr">
        <is>
          <t xml:space="preserve">Open ballots serves insiders, not you.</t>
        </is>
      </c>
      <c r="G524" t="inlineStr">
        <is>
          <t xml:space="preserve">Whose side are you on over open ballots?</t>
        </is>
      </c>
      <c r="H524" t="inlineStr">
        <is>
          <t xml:space="preserve">You work against the public on open ballots.</t>
        </is>
      </c>
      <c r="I524" t="inlineStr">
        <is>
          <t xml:space="preserve">This is a fight over open ballots.</t>
        </is>
      </c>
    </row>
    <row r="525">
      <c r="A525" t="inlineStr">
        <is>
          <t xml:space="preserve">PL524</t>
        </is>
      </c>
      <c r="B525" t="inlineStr">
        <is>
          <t xml:space="preserve">Divisive</t>
        </is>
      </c>
      <c r="C525" t="inlineStr">
        <is>
          <t xml:space="preserve">gain</t>
        </is>
      </c>
      <c r="D525" t="inlineStr">
        <is>
          <t xml:space="preserve">ST98; ST99; ST100</t>
        </is>
      </c>
      <c r="E525" t="inlineStr">
        <is>
          <t xml:space="preserve">I will not please everyone on open ballots.</t>
        </is>
      </c>
      <c r="F525" t="inlineStr">
        <is>
          <t xml:space="preserve">We must choose a side on open ballots.</t>
        </is>
      </c>
      <c r="G525" t="inlineStr">
        <is>
          <t xml:space="preserve">Some lose over open ballots. So be it.</t>
        </is>
      </c>
      <c r="H525" t="inlineStr">
        <is>
          <t xml:space="preserve">Open ballots needs hard choices.</t>
        </is>
      </c>
      <c r="I525" t="inlineStr">
        <is>
          <t xml:space="preserve">There is no middle ground on open ballots.</t>
        </is>
      </c>
    </row>
    <row r="526">
      <c r="A526" t="inlineStr">
        <is>
          <t xml:space="preserve">PL525</t>
        </is>
      </c>
      <c r="B526" t="inlineStr">
        <is>
          <t xml:space="preserve">Divisive</t>
        </is>
      </c>
      <c r="C526" t="inlineStr">
        <is>
          <t xml:space="preserve">block</t>
        </is>
      </c>
      <c r="D526" t="inlineStr">
        <is>
          <t xml:space="preserve">ST98; ST99; ST100</t>
        </is>
      </c>
      <c r="E526" t="inlineStr">
        <is>
          <t xml:space="preserve">Pick a side on open ballots yourself.</t>
        </is>
      </c>
      <c r="F526" t="inlineStr">
        <is>
          <t xml:space="preserve">Your side caused this over open ballots.</t>
        </is>
      </c>
      <c r="G526" t="inlineStr">
        <is>
          <t xml:space="preserve">Spare me the sermon on open ballots.</t>
        </is>
      </c>
      <c r="H526" t="inlineStr">
        <is>
          <t xml:space="preserve">Do not hide behind open ballots.</t>
        </is>
      </c>
      <c r="I526" t="inlineStr">
        <is>
          <t xml:space="preserve">That jab on open ballots fails.</t>
        </is>
      </c>
    </row>
    <row r="527">
      <c r="A527" t="inlineStr">
        <is>
          <t xml:space="preserve">PL526</t>
        </is>
      </c>
      <c r="B527" t="inlineStr">
        <is>
          <t xml:space="preserve">Duplicitous</t>
        </is>
      </c>
      <c r="C527" t="inlineStr">
        <is>
          <t xml:space="preserve">attack</t>
        </is>
      </c>
      <c r="D527" t="inlineStr">
        <is>
          <t xml:space="preserve">ST98; ST99; ST100</t>
        </is>
      </c>
      <c r="E527" t="inlineStr">
        <is>
          <t xml:space="preserve">What are you leaving out on open ballots?</t>
        </is>
      </c>
      <c r="F527" t="inlineStr">
        <is>
          <t xml:space="preserve">Funny how open ballots suits you so well.</t>
        </is>
      </c>
      <c r="G527" t="inlineStr">
        <is>
          <t xml:space="preserve">Who benefits from open ballots, really?</t>
        </is>
      </c>
      <c r="H527" t="inlineStr">
        <is>
          <t xml:space="preserve">Your story on open ballots has gaps.</t>
        </is>
      </c>
      <c r="I527" t="inlineStr">
        <is>
          <t xml:space="preserve">Convenient wording on open ballots.</t>
        </is>
      </c>
    </row>
    <row r="528">
      <c r="A528" t="inlineStr">
        <is>
          <t xml:space="preserve">PL527</t>
        </is>
      </c>
      <c r="B528" t="inlineStr">
        <is>
          <t xml:space="preserve">Duplicitous</t>
        </is>
      </c>
      <c r="C528" t="inlineStr">
        <is>
          <t xml:space="preserve">gain</t>
        </is>
      </c>
      <c r="D528" t="inlineStr">
        <is>
          <t xml:space="preserve">ST98; ST99; ST100</t>
        </is>
      </c>
      <c r="E528" t="inlineStr">
        <is>
          <t xml:space="preserve">Trust me on open ballots.</t>
        </is>
      </c>
      <c r="F528" t="inlineStr">
        <is>
          <t xml:space="preserve">Let me reframe open ballots slightly.</t>
        </is>
      </c>
      <c r="G528" t="inlineStr">
        <is>
          <t xml:space="preserve">Everyone agrees on open ballots, broadly.</t>
        </is>
      </c>
      <c r="H528" t="inlineStr">
        <is>
          <t xml:space="preserve">Open ballots is simpler than you think.</t>
        </is>
      </c>
      <c r="I528" t="inlineStr">
        <is>
          <t xml:space="preserve">I said what I said on open ballots.</t>
        </is>
      </c>
    </row>
    <row r="529">
      <c r="A529" t="inlineStr">
        <is>
          <t xml:space="preserve">PL528</t>
        </is>
      </c>
      <c r="B529" t="inlineStr">
        <is>
          <t xml:space="preserve">Duplicitous</t>
        </is>
      </c>
      <c r="C529" t="inlineStr">
        <is>
          <t xml:space="preserve">block</t>
        </is>
      </c>
      <c r="D529" t="inlineStr">
        <is>
          <t xml:space="preserve">ST98; ST99; ST100</t>
        </is>
      </c>
      <c r="E529" t="inlineStr">
        <is>
          <t xml:space="preserve">Let us move past open ballots.</t>
        </is>
      </c>
      <c r="F529" t="inlineStr">
        <is>
          <t xml:space="preserve">That is not my line on open ballots.</t>
        </is>
      </c>
      <c r="G529" t="inlineStr">
        <is>
          <t xml:space="preserve">You misheard me on open ballots.</t>
        </is>
      </c>
      <c r="H529" t="inlineStr">
        <is>
          <t xml:space="preserve">I take that as praise on open ballots.</t>
        </is>
      </c>
      <c r="I529" t="inlineStr">
        <is>
          <t xml:space="preserve">A fair question on open ballots. Next.</t>
        </is>
      </c>
    </row>
  </sheetData>
  <legacyDrawing r:id="rId1"/>
</worksheet>
</file>

<file path=xl/worksheets/sheet46.xml><?xml version="1.0" encoding="utf-8"?>
<worksheet xmlns="http://schemas.openxmlformats.org/spreadsheetml/2006/main" xmlns:r="http://schemas.openxmlformats.org/officeDocument/2006/relationships">
  <dimension ref="A1:K223"/>
  <sheetViews>
    <sheetView workbookViewId="0">
      <pane ySplit="1" topLeftCell="A2" activePane="bottomLeft" state="frozen"/>
    </sheetView>
  </sheetViews>
  <sheetFormatPr defaultRowHeight="15"/>
  <cols>
    <col min="1" max="1" width="8" customWidth="1"/>
    <col min="2" max="2" width="16" customWidth="1"/>
    <col min="3" max="3" width="70" customWidth="1"/>
    <col min="4" max="4" width="24" customWidth="1"/>
    <col min="5" max="5" width="9" customWidth="1"/>
    <col min="6" max="6" width="10" customWidth="1"/>
    <col min="7" max="7" width="9" customWidth="1"/>
    <col min="8" max="8" width="11" customWidth="1"/>
    <col min="9" max="9" width="9" customWidth="1"/>
    <col min="10" max="10" width="11" customWidth="1"/>
  </cols>
  <sheetData>
    <row r="1">
      <c r="A1" t="inlineStr">
        <is>
          <t xml:space="preserve">Q ID</t>
        </is>
      </c>
      <c r="B1" t="inlineStr">
        <is>
          <t xml:space="preserve">Stage ID</t>
        </is>
      </c>
      <c r="C1" t="inlineStr">
        <is>
          <t xml:space="preserve">Question</t>
        </is>
      </c>
      <c r="D1" t="inlineStr">
        <is>
          <t xml:space="preserve">Theme</t>
        </is>
      </c>
      <c r="E1" t="inlineStr">
        <is>
          <t xml:space="preserve">Earnest</t>
        </is>
      </c>
      <c r="F1" t="inlineStr">
        <is>
          <t xml:space="preserve">Emotional</t>
        </is>
      </c>
      <c r="G1" t="inlineStr">
        <is>
          <t xml:space="preserve">Appeal</t>
        </is>
      </c>
      <c r="H1" t="inlineStr">
        <is>
          <t xml:space="preserve">Data Driven</t>
        </is>
      </c>
      <c r="I1" t="inlineStr">
        <is>
          <t xml:space="preserve">Divisive</t>
        </is>
      </c>
      <c r="J1" t="inlineStr">
        <is>
          <t xml:space="preserve">Duplicitous</t>
        </is>
      </c>
      <c r="K1" t="inlineStr">
        <is>
          <t xml:space="preserve">Asked By Party</t>
        </is>
      </c>
    </row>
    <row r="2">
      <c r="A2" t="inlineStr">
        <is>
          <t xml:space="preserve">S01</t>
        </is>
      </c>
      <c r="B2" t="inlineStr">
        <is>
          <t xml:space="preserve">ST01</t>
        </is>
      </c>
      <c r="C2" t="inlineStr">
        <is>
          <t xml:space="preserve">When the next disaster strikes, who is in charge on day one?</t>
        </is>
      </c>
      <c r="D2" t="inlineStr">
        <is>
          <t xml:space="preserve">Disaster readiness</t>
        </is>
      </c>
      <c r="E2" t="inlineStr">
        <is>
          <t xml:space="preserve">S</t>
        </is>
      </c>
      <c r="F2" t="inlineStr">
        <is>
          <t xml:space="preserve">M</t>
        </is>
      </c>
      <c r="G2" t="inlineStr">
        <is>
          <t xml:space="preserve">M</t>
        </is>
      </c>
      <c r="H2" t="inlineStr">
        <is>
          <t xml:space="preserve">S</t>
        </is>
      </c>
      <c r="I2" t="inlineStr">
        <is>
          <t xml:space="preserve">W</t>
        </is>
      </c>
      <c r="J2" t="inlineStr">
        <is>
          <t xml:space="preserve">W</t>
        </is>
      </c>
    </row>
    <row r="3">
      <c r="A3" t="inlineStr">
        <is>
          <t xml:space="preserve">S02</t>
        </is>
      </c>
      <c r="B3" t="inlineStr">
        <is>
          <t xml:space="preserve">ST01</t>
        </is>
      </c>
      <c r="C3" t="inlineStr">
        <is>
          <t xml:space="preserve">Reconstruction money keeps arriving late. Whose fault is that?</t>
        </is>
      </c>
      <c r="D3" t="inlineStr">
        <is>
          <t xml:space="preserve">Reconstruction</t>
        </is>
      </c>
      <c r="E3" t="inlineStr">
        <is>
          <t xml:space="preserve">S</t>
        </is>
      </c>
      <c r="F3" t="inlineStr">
        <is>
          <t xml:space="preserve">S</t>
        </is>
      </c>
      <c r="G3" t="inlineStr">
        <is>
          <t xml:space="preserve">M</t>
        </is>
      </c>
      <c r="H3" t="inlineStr">
        <is>
          <t xml:space="preserve">M</t>
        </is>
      </c>
      <c r="I3" t="inlineStr">
        <is>
          <t xml:space="preserve">W</t>
        </is>
      </c>
      <c r="J3" t="inlineStr">
        <is>
          <t xml:space="preserve">M</t>
        </is>
      </c>
    </row>
    <row r="4">
      <c r="A4" t="inlineStr">
        <is>
          <t xml:space="preserve">S03</t>
        </is>
      </c>
      <c r="B4" t="inlineStr">
        <is>
          <t xml:space="preserve">ST01</t>
        </is>
      </c>
      <c r="C4" t="inlineStr">
        <is>
          <t xml:space="preserve">Should this committee be given powers it was never meant to have?</t>
        </is>
      </c>
      <c r="D4" t="inlineStr">
        <is>
          <t xml:space="preserve">Emergency powers</t>
        </is>
      </c>
      <c r="E4" t="inlineStr">
        <is>
          <t xml:space="preserve">S</t>
        </is>
      </c>
      <c r="F4" t="inlineStr">
        <is>
          <t xml:space="preserve">M</t>
        </is>
      </c>
      <c r="G4" t="inlineStr">
        <is>
          <t xml:space="preserve">M</t>
        </is>
      </c>
      <c r="H4" t="inlineStr">
        <is>
          <t xml:space="preserve">M</t>
        </is>
      </c>
      <c r="I4" t="inlineStr">
        <is>
          <t xml:space="preserve">S</t>
        </is>
      </c>
      <c r="J4" t="inlineStr">
        <is>
          <t xml:space="preserve">W</t>
        </is>
      </c>
    </row>
    <row r="5">
      <c r="A5" t="inlineStr">
        <is>
          <t xml:space="preserve">S04</t>
        </is>
      </c>
      <c r="B5" t="inlineStr">
        <is>
          <t xml:space="preserve">ST09</t>
        </is>
      </c>
      <c r="C5" t="inlineStr">
        <is>
          <t xml:space="preserve">A member took gifts and kept quiet. What should follow?</t>
        </is>
      </c>
      <c r="D5" t="inlineStr">
        <is>
          <t xml:space="preserve">Ethics rules</t>
        </is>
      </c>
      <c r="E5" t="inlineStr">
        <is>
          <t xml:space="preserve">S</t>
        </is>
      </c>
      <c r="F5" t="inlineStr">
        <is>
          <t xml:space="preserve">M</t>
        </is>
      </c>
      <c r="G5" t="inlineStr">
        <is>
          <t xml:space="preserve">M</t>
        </is>
      </c>
      <c r="H5" t="inlineStr">
        <is>
          <t xml:space="preserve">M</t>
        </is>
      </c>
      <c r="I5" t="inlineStr">
        <is>
          <t xml:space="preserve">S</t>
        </is>
      </c>
      <c r="J5" t="inlineStr">
        <is>
          <t xml:space="preserve">W</t>
        </is>
      </c>
    </row>
    <row r="6">
      <c r="A6" t="inlineStr">
        <is>
          <t xml:space="preserve">S05</t>
        </is>
      </c>
      <c r="B6" t="inlineStr">
        <is>
          <t xml:space="preserve">ST09</t>
        </is>
      </c>
      <c r="C6" t="inlineStr">
        <is>
          <t xml:space="preserve">Should prosecutors be free to investigate sitting members?</t>
        </is>
      </c>
      <c r="D6" t="inlineStr">
        <is>
          <t xml:space="preserve">Accountability</t>
        </is>
      </c>
      <c r="E6" t="inlineStr">
        <is>
          <t xml:space="preserve">S</t>
        </is>
      </c>
      <c r="F6" t="inlineStr">
        <is>
          <t xml:space="preserve">M</t>
        </is>
      </c>
      <c r="G6" t="inlineStr">
        <is>
          <t xml:space="preserve">M</t>
        </is>
      </c>
      <c r="H6" t="inlineStr">
        <is>
          <t xml:space="preserve">S</t>
        </is>
      </c>
      <c r="I6" t="inlineStr">
        <is>
          <t xml:space="preserve">W</t>
        </is>
      </c>
      <c r="J6" t="inlineStr">
        <is>
          <t xml:space="preserve">W</t>
        </is>
      </c>
    </row>
    <row r="7">
      <c r="A7" t="inlineStr">
        <is>
          <t xml:space="preserve">S06</t>
        </is>
      </c>
      <c r="B7" t="inlineStr">
        <is>
          <t xml:space="preserve">ST09</t>
        </is>
      </c>
      <c r="C7" t="inlineStr">
        <is>
          <t xml:space="preserve">How do we know your own funding is clean?</t>
        </is>
      </c>
      <c r="D7" t="inlineStr">
        <is>
          <t xml:space="preserve">Transparency</t>
        </is>
      </c>
      <c r="E7" t="inlineStr">
        <is>
          <t xml:space="preserve">S</t>
        </is>
      </c>
      <c r="F7" t="inlineStr">
        <is>
          <t xml:space="preserve">W</t>
        </is>
      </c>
      <c r="G7" t="inlineStr">
        <is>
          <t xml:space="preserve">M</t>
        </is>
      </c>
      <c r="H7" t="inlineStr">
        <is>
          <t xml:space="preserve">S</t>
        </is>
      </c>
      <c r="I7" t="inlineStr">
        <is>
          <t xml:space="preserve">W</t>
        </is>
      </c>
      <c r="J7" t="inlineStr">
        <is>
          <t xml:space="preserve">M</t>
        </is>
      </c>
    </row>
    <row r="8">
      <c r="A8" t="inlineStr">
        <is>
          <t xml:space="preserve">S07</t>
        </is>
      </c>
      <c r="B8" t="inlineStr">
        <is>
          <t xml:space="preserve">ST10; ST33; ST54</t>
        </is>
      </c>
      <c r="C8" t="inlineStr">
        <is>
          <t xml:space="preserve">Who pays when a factory poisons a river?</t>
        </is>
      </c>
      <c r="D8" t="inlineStr">
        <is>
          <t xml:space="preserve">Conservation</t>
        </is>
      </c>
      <c r="E8" t="inlineStr">
        <is>
          <t xml:space="preserve">S</t>
        </is>
      </c>
      <c r="F8" t="inlineStr">
        <is>
          <t xml:space="preserve">S</t>
        </is>
      </c>
      <c r="G8" t="inlineStr">
        <is>
          <t xml:space="preserve">M</t>
        </is>
      </c>
      <c r="H8" t="inlineStr">
        <is>
          <t xml:space="preserve">S</t>
        </is>
      </c>
      <c r="I8" t="inlineStr">
        <is>
          <t xml:space="preserve">W</t>
        </is>
      </c>
      <c r="J8" t="inlineStr">
        <is>
          <t xml:space="preserve">W</t>
        </is>
      </c>
    </row>
    <row r="9">
      <c r="A9" t="inlineStr">
        <is>
          <t xml:space="preserve">S08</t>
        </is>
      </c>
      <c r="B9" t="inlineStr">
        <is>
          <t xml:space="preserve">ST10; ST33; ST54</t>
        </is>
      </c>
      <c r="C9" t="inlineStr">
        <is>
          <t xml:space="preserve">Is the energy transition moving too fast for rural towns?</t>
        </is>
      </c>
      <c r="D9" t="inlineStr">
        <is>
          <t xml:space="preserve">Energy transition</t>
        </is>
      </c>
      <c r="E9" t="inlineStr">
        <is>
          <t xml:space="preserve">S</t>
        </is>
      </c>
      <c r="F9" t="inlineStr">
        <is>
          <t xml:space="preserve">S</t>
        </is>
      </c>
      <c r="G9" t="inlineStr">
        <is>
          <t xml:space="preserve">M</t>
        </is>
      </c>
      <c r="H9" t="inlineStr">
        <is>
          <t xml:space="preserve">S</t>
        </is>
      </c>
      <c r="I9" t="inlineStr">
        <is>
          <t xml:space="preserve">M</t>
        </is>
      </c>
      <c r="J9" t="inlineStr">
        <is>
          <t xml:space="preserve">W</t>
        </is>
      </c>
    </row>
    <row r="10">
      <c r="A10" t="inlineStr">
        <is>
          <t xml:space="preserve">S09</t>
        </is>
      </c>
      <c r="B10" t="inlineStr">
        <is>
          <t xml:space="preserve">ST10; ST33; ST54</t>
        </is>
      </c>
      <c r="C10" t="inlineStr">
        <is>
          <t xml:space="preserve">Fishers say the coast is dying. What does the data show?</t>
        </is>
      </c>
      <c r="D10" t="inlineStr">
        <is>
          <t xml:space="preserve">Marine pollution</t>
        </is>
      </c>
      <c r="E10" t="inlineStr">
        <is>
          <t xml:space="preserve">M</t>
        </is>
      </c>
      <c r="F10" t="inlineStr">
        <is>
          <t xml:space="preserve">S</t>
        </is>
      </c>
      <c r="G10" t="inlineStr">
        <is>
          <t xml:space="preserve">M</t>
        </is>
      </c>
      <c r="H10" t="inlineStr">
        <is>
          <t xml:space="preserve">S</t>
        </is>
      </c>
      <c r="I10" t="inlineStr">
        <is>
          <t xml:space="preserve">W</t>
        </is>
      </c>
      <c r="J10" t="inlineStr">
        <is>
          <t xml:space="preserve">W</t>
        </is>
      </c>
    </row>
    <row r="11">
      <c r="A11" t="inlineStr">
        <is>
          <t xml:space="preserve">S10</t>
        </is>
      </c>
      <c r="B11" t="inlineStr">
        <is>
          <t xml:space="preserve">ST11; ST60</t>
        </is>
      </c>
      <c r="C11" t="inlineStr">
        <is>
          <t xml:space="preserve">Can we afford the defence budget this committee is asked to approve?</t>
        </is>
      </c>
      <c r="D11" t="inlineStr">
        <is>
          <t xml:space="preserve">Defense spending</t>
        </is>
      </c>
      <c r="E11" t="inlineStr">
        <is>
          <t xml:space="preserve">S</t>
        </is>
      </c>
      <c r="F11" t="inlineStr">
        <is>
          <t xml:space="preserve">W</t>
        </is>
      </c>
      <c r="G11" t="inlineStr">
        <is>
          <t xml:space="preserve">M</t>
        </is>
      </c>
      <c r="H11" t="inlineStr">
        <is>
          <t xml:space="preserve">S</t>
        </is>
      </c>
      <c r="I11" t="inlineStr">
        <is>
          <t xml:space="preserve">M</t>
        </is>
      </c>
      <c r="J11" t="inlineStr">
        <is>
          <t xml:space="preserve">W</t>
        </is>
      </c>
    </row>
    <row r="12">
      <c r="A12" t="inlineStr">
        <is>
          <t xml:space="preserve">S11</t>
        </is>
      </c>
      <c r="B12" t="inlineStr">
        <is>
          <t xml:space="preserve">ST11; ST60</t>
        </is>
      </c>
      <c r="C12" t="inlineStr">
        <is>
          <t xml:space="preserve">Bases bring jobs and noise. Which matters more to you?</t>
        </is>
      </c>
      <c r="D12" t="inlineStr">
        <is>
          <t xml:space="preserve">Base burden</t>
        </is>
      </c>
      <c r="E12" t="inlineStr">
        <is>
          <t xml:space="preserve">S</t>
        </is>
      </c>
      <c r="F12" t="inlineStr">
        <is>
          <t xml:space="preserve">S</t>
        </is>
      </c>
      <c r="G12" t="inlineStr">
        <is>
          <t xml:space="preserve">M</t>
        </is>
      </c>
      <c r="H12" t="inlineStr">
        <is>
          <t xml:space="preserve">M</t>
        </is>
      </c>
      <c r="I12" t="inlineStr">
        <is>
          <t xml:space="preserve">S</t>
        </is>
      </c>
      <c r="J12" t="inlineStr">
        <is>
          <t xml:space="preserve">W</t>
        </is>
      </c>
    </row>
    <row r="13">
      <c r="A13" t="inlineStr">
        <is>
          <t xml:space="preserve">S12</t>
        </is>
      </c>
      <c r="B13" t="inlineStr">
        <is>
          <t xml:space="preserve">ST11; ST60</t>
        </is>
      </c>
      <c r="C13" t="inlineStr">
        <is>
          <t xml:space="preserve">Does deterrence keep the peace or invite a fight?</t>
        </is>
      </c>
      <c r="D13" t="inlineStr">
        <is>
          <t xml:space="preserve">Deterrence</t>
        </is>
      </c>
      <c r="E13" t="inlineStr">
        <is>
          <t xml:space="preserve">S</t>
        </is>
      </c>
      <c r="F13" t="inlineStr">
        <is>
          <t xml:space="preserve">M</t>
        </is>
      </c>
      <c r="G13" t="inlineStr">
        <is>
          <t xml:space="preserve">M</t>
        </is>
      </c>
      <c r="H13" t="inlineStr">
        <is>
          <t xml:space="preserve">S</t>
        </is>
      </c>
      <c r="I13" t="inlineStr">
        <is>
          <t xml:space="preserve">S</t>
        </is>
      </c>
      <c r="J13" t="inlineStr">
        <is>
          <t xml:space="preserve">W</t>
        </is>
      </c>
    </row>
    <row r="14">
      <c r="A14" t="inlineStr">
        <is>
          <t xml:space="preserve">S13</t>
        </is>
      </c>
      <c r="B14" t="inlineStr">
        <is>
          <t xml:space="preserve">ST12; ST63</t>
        </is>
      </c>
      <c r="C14" t="inlineStr">
        <is>
          <t xml:space="preserve">Why should members set their own pay?</t>
        </is>
      </c>
      <c r="D14" t="inlineStr">
        <is>
          <t xml:space="preserve">Member pay</t>
        </is>
      </c>
      <c r="E14" t="inlineStr">
        <is>
          <t xml:space="preserve">S</t>
        </is>
      </c>
      <c r="F14" t="inlineStr">
        <is>
          <t xml:space="preserve">M</t>
        </is>
      </c>
      <c r="G14" t="inlineStr">
        <is>
          <t xml:space="preserve">W</t>
        </is>
      </c>
      <c r="H14" t="inlineStr">
        <is>
          <t xml:space="preserve">S</t>
        </is>
      </c>
      <c r="I14" t="inlineStr">
        <is>
          <t xml:space="preserve">M</t>
        </is>
      </c>
      <c r="J14" t="inlineStr">
        <is>
          <t xml:space="preserve">W</t>
        </is>
      </c>
    </row>
    <row r="15">
      <c r="A15" t="inlineStr">
        <is>
          <t xml:space="preserve">S14</t>
        </is>
      </c>
      <c r="B15" t="inlineStr">
        <is>
          <t xml:space="preserve">ST12; ST63</t>
        </is>
      </c>
      <c r="C15" t="inlineStr">
        <is>
          <t xml:space="preserve">Is this committee's workload an excuse to skip hearings?</t>
        </is>
      </c>
      <c r="D15" t="inlineStr">
        <is>
          <t xml:space="preserve">Committee workload</t>
        </is>
      </c>
      <c r="E15" t="inlineStr">
        <is>
          <t xml:space="preserve">S</t>
        </is>
      </c>
      <c r="F15" t="inlineStr">
        <is>
          <t xml:space="preserve">M</t>
        </is>
      </c>
      <c r="G15" t="inlineStr">
        <is>
          <t xml:space="preserve">M</t>
        </is>
      </c>
      <c r="H15" t="inlineStr">
        <is>
          <t xml:space="preserve">S</t>
        </is>
      </c>
      <c r="I15" t="inlineStr">
        <is>
          <t xml:space="preserve">W</t>
        </is>
      </c>
      <c r="J15" t="inlineStr">
        <is>
          <t xml:space="preserve">W</t>
        </is>
      </c>
    </row>
    <row r="16">
      <c r="A16" t="inlineStr">
        <is>
          <t xml:space="preserve">S15</t>
        </is>
      </c>
      <c r="B16" t="inlineStr">
        <is>
          <t xml:space="preserve">ST12; ST63</t>
        </is>
      </c>
      <c r="C16" t="inlineStr">
        <is>
          <t xml:space="preserve">Should the rules of debate favour the majority?</t>
        </is>
      </c>
      <c r="D16" t="inlineStr">
        <is>
          <t xml:space="preserve">Parliamentary procedure</t>
        </is>
      </c>
      <c r="E16" t="inlineStr">
        <is>
          <t xml:space="preserve">S</t>
        </is>
      </c>
      <c r="F16" t="inlineStr">
        <is>
          <t xml:space="preserve">M</t>
        </is>
      </c>
      <c r="G16" t="inlineStr">
        <is>
          <t xml:space="preserve">M</t>
        </is>
      </c>
      <c r="H16" t="inlineStr">
        <is>
          <t xml:space="preserve">S</t>
        </is>
      </c>
      <c r="I16" t="inlineStr">
        <is>
          <t xml:space="preserve">S</t>
        </is>
      </c>
      <c r="J16" t="inlineStr">
        <is>
          <t xml:space="preserve">W</t>
        </is>
      </c>
    </row>
    <row r="17">
      <c r="A17" t="inlineStr">
        <is>
          <t xml:space="preserve">S16</t>
        </is>
      </c>
      <c r="B17" t="inlineStr">
        <is>
          <t xml:space="preserve">ST13; ST57; ST77</t>
        </is>
      </c>
      <c r="C17" t="inlineStr">
        <is>
          <t xml:space="preserve">Rice farmers are leaving the land. What will keep them?</t>
        </is>
      </c>
      <c r="D17" t="inlineStr">
        <is>
          <t xml:space="preserve">Rice policy</t>
        </is>
      </c>
      <c r="E17" t="inlineStr">
        <is>
          <t xml:space="preserve">S</t>
        </is>
      </c>
      <c r="F17" t="inlineStr">
        <is>
          <t xml:space="preserve">S</t>
        </is>
      </c>
      <c r="G17" t="inlineStr">
        <is>
          <t xml:space="preserve">M</t>
        </is>
      </c>
      <c r="H17" t="inlineStr">
        <is>
          <t xml:space="preserve">M</t>
        </is>
      </c>
      <c r="I17" t="inlineStr">
        <is>
          <t xml:space="preserve">W</t>
        </is>
      </c>
      <c r="J17" t="inlineStr">
        <is>
          <t xml:space="preserve">M</t>
        </is>
      </c>
    </row>
    <row r="18">
      <c r="A18" t="inlineStr">
        <is>
          <t xml:space="preserve">S17</t>
        </is>
      </c>
      <c r="B18" t="inlineStr">
        <is>
          <t xml:space="preserve">ST13; ST57; ST77</t>
        </is>
      </c>
      <c r="C18" t="inlineStr">
        <is>
          <t xml:space="preserve">Should the state insure every harvest?</t>
        </is>
      </c>
      <c r="D18" t="inlineStr">
        <is>
          <t xml:space="preserve">Crop insurance</t>
        </is>
      </c>
      <c r="E18" t="inlineStr">
        <is>
          <t xml:space="preserve">M</t>
        </is>
      </c>
      <c r="F18" t="inlineStr">
        <is>
          <t xml:space="preserve">S</t>
        </is>
      </c>
      <c r="G18" t="inlineStr">
        <is>
          <t xml:space="preserve">M</t>
        </is>
      </c>
      <c r="H18" t="inlineStr">
        <is>
          <t xml:space="preserve">S</t>
        </is>
      </c>
      <c r="I18" t="inlineStr">
        <is>
          <t xml:space="preserve">W</t>
        </is>
      </c>
      <c r="J18" t="inlineStr">
        <is>
          <t xml:space="preserve">W</t>
        </is>
      </c>
    </row>
    <row r="19">
      <c r="A19" t="inlineStr">
        <is>
          <t xml:space="preserve">S18</t>
        </is>
      </c>
      <c r="B19" t="inlineStr">
        <is>
          <t xml:space="preserve">ST13; ST57; ST77</t>
        </is>
      </c>
      <c r="C19" t="inlineStr">
        <is>
          <t xml:space="preserve">Who inherits a farm nobody wants?</t>
        </is>
      </c>
      <c r="D19" t="inlineStr">
        <is>
          <t xml:space="preserve">Farm succession</t>
        </is>
      </c>
      <c r="E19" t="inlineStr">
        <is>
          <t xml:space="preserve">S</t>
        </is>
      </c>
      <c r="F19" t="inlineStr">
        <is>
          <t xml:space="preserve">S</t>
        </is>
      </c>
      <c r="G19" t="inlineStr">
        <is>
          <t xml:space="preserve">M</t>
        </is>
      </c>
      <c r="H19" t="inlineStr">
        <is>
          <t xml:space="preserve">M</t>
        </is>
      </c>
      <c r="I19" t="inlineStr">
        <is>
          <t xml:space="preserve">W</t>
        </is>
      </c>
      <c r="J19" t="inlineStr">
        <is>
          <t xml:space="preserve">W</t>
        </is>
      </c>
    </row>
    <row r="20">
      <c r="A20" t="inlineStr">
        <is>
          <t xml:space="preserve">S19</t>
        </is>
      </c>
      <c r="B20" t="inlineStr">
        <is>
          <t xml:space="preserve">ST14; ST66; ST69; ST74</t>
        </is>
      </c>
      <c r="C20" t="inlineStr">
        <is>
          <t xml:space="preserve">Does our alliance serve Yezo or someone else?</t>
        </is>
      </c>
      <c r="D20" t="inlineStr">
        <is>
          <t xml:space="preserve">Alliance</t>
        </is>
      </c>
      <c r="E20" t="inlineStr">
        <is>
          <t xml:space="preserve">S</t>
        </is>
      </c>
      <c r="F20" t="inlineStr">
        <is>
          <t xml:space="preserve">M</t>
        </is>
      </c>
      <c r="G20" t="inlineStr">
        <is>
          <t xml:space="preserve">M</t>
        </is>
      </c>
      <c r="H20" t="inlineStr">
        <is>
          <t xml:space="preserve">M</t>
        </is>
      </c>
      <c r="I20" t="inlineStr">
        <is>
          <t xml:space="preserve">S</t>
        </is>
      </c>
      <c r="J20" t="inlineStr">
        <is>
          <t xml:space="preserve">W</t>
        </is>
      </c>
    </row>
    <row r="21">
      <c r="A21" t="inlineStr">
        <is>
          <t xml:space="preserve">S20</t>
        </is>
      </c>
      <c r="B21" t="inlineStr">
        <is>
          <t xml:space="preserve">ST14; ST66; ST69; ST74</t>
        </is>
      </c>
      <c r="C21" t="inlineStr">
        <is>
          <t xml:space="preserve">How exposed are our supply chains to a single neighbour?</t>
        </is>
      </c>
      <c r="D21" t="inlineStr">
        <is>
          <t xml:space="preserve">Supply chains</t>
        </is>
      </c>
      <c r="E21" t="inlineStr">
        <is>
          <t xml:space="preserve">S</t>
        </is>
      </c>
      <c r="F21" t="inlineStr">
        <is>
          <t xml:space="preserve">W</t>
        </is>
      </c>
      <c r="G21" t="inlineStr">
        <is>
          <t xml:space="preserve">M</t>
        </is>
      </c>
      <c r="H21" t="inlineStr">
        <is>
          <t xml:space="preserve">S</t>
        </is>
      </c>
      <c r="I21" t="inlineStr">
        <is>
          <t xml:space="preserve">W</t>
        </is>
      </c>
      <c r="J21" t="inlineStr">
        <is>
          <t xml:space="preserve">M</t>
        </is>
      </c>
    </row>
    <row r="22">
      <c r="A22" t="inlineStr">
        <is>
          <t xml:space="preserve">S21</t>
        </is>
      </c>
      <c r="B22" t="inlineStr">
        <is>
          <t xml:space="preserve">ST14; ST66; ST69; ST74</t>
        </is>
      </c>
      <c r="C22" t="inlineStr">
        <is>
          <t xml:space="preserve">Should the region trust our security plans?</t>
        </is>
      </c>
      <c r="D22" t="inlineStr">
        <is>
          <t xml:space="preserve">Regional security</t>
        </is>
      </c>
      <c r="E22" t="inlineStr">
        <is>
          <t xml:space="preserve">S</t>
        </is>
      </c>
      <c r="F22" t="inlineStr">
        <is>
          <t xml:space="preserve">M</t>
        </is>
      </c>
      <c r="G22" t="inlineStr">
        <is>
          <t xml:space="preserve">S</t>
        </is>
      </c>
      <c r="H22" t="inlineStr">
        <is>
          <t xml:space="preserve">M</t>
        </is>
      </c>
      <c r="I22" t="inlineStr">
        <is>
          <t xml:space="preserve">W</t>
        </is>
      </c>
      <c r="J22" t="inlineStr">
        <is>
          <t xml:space="preserve">M</t>
        </is>
      </c>
    </row>
    <row r="23">
      <c r="A23" t="inlineStr">
        <is>
          <t xml:space="preserve">S22</t>
        </is>
      </c>
      <c r="B23" t="inlineStr">
        <is>
          <t xml:space="preserve">ST15</t>
        </is>
      </c>
      <c r="C23" t="inlineStr">
        <is>
          <t xml:space="preserve">Roads to nowhere, or roads to survival?</t>
        </is>
      </c>
      <c r="D23" t="inlineStr">
        <is>
          <t xml:space="preserve">Infrastructure</t>
        </is>
      </c>
      <c r="E23" t="inlineStr">
        <is>
          <t xml:space="preserve">S</t>
        </is>
      </c>
      <c r="F23" t="inlineStr">
        <is>
          <t xml:space="preserve">S</t>
        </is>
      </c>
      <c r="G23" t="inlineStr">
        <is>
          <t xml:space="preserve">M</t>
        </is>
      </c>
      <c r="H23" t="inlineStr">
        <is>
          <t xml:space="preserve">S</t>
        </is>
      </c>
      <c r="I23" t="inlineStr">
        <is>
          <t xml:space="preserve">M</t>
        </is>
      </c>
      <c r="J23" t="inlineStr">
        <is>
          <t xml:space="preserve">W</t>
        </is>
      </c>
    </row>
    <row r="24">
      <c r="A24" t="inlineStr">
        <is>
          <t xml:space="preserve">S23</t>
        </is>
      </c>
      <c r="B24" t="inlineStr">
        <is>
          <t xml:space="preserve">ST15</t>
        </is>
      </c>
      <c r="C24" t="inlineStr">
        <is>
          <t xml:space="preserve">Who decides which neighbourhood gets redeveloped first?</t>
        </is>
      </c>
      <c r="D24" t="inlineStr">
        <is>
          <t xml:space="preserve">Redevelopment</t>
        </is>
      </c>
      <c r="E24" t="inlineStr">
        <is>
          <t xml:space="preserve">S</t>
        </is>
      </c>
      <c r="F24" t="inlineStr">
        <is>
          <t xml:space="preserve">M</t>
        </is>
      </c>
      <c r="G24" t="inlineStr">
        <is>
          <t xml:space="preserve">M</t>
        </is>
      </c>
      <c r="H24" t="inlineStr">
        <is>
          <t xml:space="preserve">S</t>
        </is>
      </c>
      <c r="I24" t="inlineStr">
        <is>
          <t xml:space="preserve">W</t>
        </is>
      </c>
      <c r="J24" t="inlineStr">
        <is>
          <t xml:space="preserve">W</t>
        </is>
      </c>
    </row>
    <row r="25">
      <c r="A25" t="inlineStr">
        <is>
          <t xml:space="preserve">S24</t>
        </is>
      </c>
      <c r="B25" t="inlineStr">
        <is>
          <t xml:space="preserve">ST15</t>
        </is>
      </c>
      <c r="C25" t="inlineStr">
        <is>
          <t xml:space="preserve">Are we building for disasters or for ribbon cuttings?</t>
        </is>
      </c>
      <c r="D25" t="inlineStr">
        <is>
          <t xml:space="preserve">Disaster readiness</t>
        </is>
      </c>
      <c r="E25" t="inlineStr">
        <is>
          <t xml:space="preserve">S</t>
        </is>
      </c>
      <c r="F25" t="inlineStr">
        <is>
          <t xml:space="preserve">M</t>
        </is>
      </c>
      <c r="G25" t="inlineStr">
        <is>
          <t xml:space="preserve">M</t>
        </is>
      </c>
      <c r="H25" t="inlineStr">
        <is>
          <t xml:space="preserve">S</t>
        </is>
      </c>
      <c r="I25" t="inlineStr">
        <is>
          <t xml:space="preserve">W</t>
        </is>
      </c>
      <c r="J25" t="inlineStr">
        <is>
          <t xml:space="preserve">W</t>
        </is>
      </c>
    </row>
    <row r="26">
      <c r="A26" t="inlineStr">
        <is>
          <t xml:space="preserve">S25</t>
        </is>
      </c>
      <c r="B26" t="inlineStr">
        <is>
          <t xml:space="preserve">ST16; ST51</t>
        </is>
      </c>
      <c r="C26" t="inlineStr">
        <is>
          <t xml:space="preserve">How much more debt can Yezo carry?</t>
        </is>
      </c>
      <c r="D26" t="inlineStr">
        <is>
          <t xml:space="preserve">Public debt</t>
        </is>
      </c>
      <c r="E26" t="inlineStr">
        <is>
          <t xml:space="preserve">S</t>
        </is>
      </c>
      <c r="F26" t="inlineStr">
        <is>
          <t xml:space="preserve">W</t>
        </is>
      </c>
      <c r="G26" t="inlineStr">
        <is>
          <t xml:space="preserve">M</t>
        </is>
      </c>
      <c r="H26" t="inlineStr">
        <is>
          <t xml:space="preserve">S</t>
        </is>
      </c>
      <c r="I26" t="inlineStr">
        <is>
          <t xml:space="preserve">W</t>
        </is>
      </c>
      <c r="J26" t="inlineStr">
        <is>
          <t xml:space="preserve">M</t>
        </is>
      </c>
    </row>
    <row r="27">
      <c r="A27" t="inlineStr">
        <is>
          <t xml:space="preserve">S26</t>
        </is>
      </c>
      <c r="B27" t="inlineStr">
        <is>
          <t xml:space="preserve">ST16; ST51</t>
        </is>
      </c>
      <c r="C27" t="inlineStr">
        <is>
          <t xml:space="preserve">Tax relief sounds kind. Who pays for it?</t>
        </is>
      </c>
      <c r="D27" t="inlineStr">
        <is>
          <t xml:space="preserve">Tax relief</t>
        </is>
      </c>
      <c r="E27" t="inlineStr">
        <is>
          <t xml:space="preserve">S</t>
        </is>
      </c>
      <c r="F27" t="inlineStr">
        <is>
          <t xml:space="preserve">M</t>
        </is>
      </c>
      <c r="G27" t="inlineStr">
        <is>
          <t xml:space="preserve">S</t>
        </is>
      </c>
      <c r="H27" t="inlineStr">
        <is>
          <t xml:space="preserve">S</t>
        </is>
      </c>
      <c r="I27" t="inlineStr">
        <is>
          <t xml:space="preserve">W</t>
        </is>
      </c>
      <c r="J27" t="inlineStr">
        <is>
          <t xml:space="preserve">M</t>
        </is>
      </c>
    </row>
    <row r="28">
      <c r="A28" t="inlineStr">
        <is>
          <t xml:space="preserve">S27</t>
        </is>
      </c>
      <c r="B28" t="inlineStr">
        <is>
          <t xml:space="preserve">ST16; ST51</t>
        </is>
      </c>
      <c r="C28" t="inlineStr">
        <is>
          <t xml:space="preserve">Should the budget balance even in a downturn?</t>
        </is>
      </c>
      <c r="D28" t="inlineStr">
        <is>
          <t xml:space="preserve">Fiscal discipline</t>
        </is>
      </c>
      <c r="E28" t="inlineStr">
        <is>
          <t xml:space="preserve">M</t>
        </is>
      </c>
      <c r="F28" t="inlineStr">
        <is>
          <t xml:space="preserve">W</t>
        </is>
      </c>
      <c r="G28" t="inlineStr">
        <is>
          <t xml:space="preserve">M</t>
        </is>
      </c>
      <c r="H28" t="inlineStr">
        <is>
          <t xml:space="preserve">S</t>
        </is>
      </c>
      <c r="I28" t="inlineStr">
        <is>
          <t xml:space="preserve">S</t>
        </is>
      </c>
      <c r="J28" t="inlineStr">
        <is>
          <t xml:space="preserve">W</t>
        </is>
      </c>
    </row>
    <row r="29">
      <c r="A29" t="inlineStr">
        <is>
          <t xml:space="preserve">S28</t>
        </is>
      </c>
      <c r="B29" t="inlineStr">
        <is>
          <t xml:space="preserve">ST17; ST37; ST47; ST80; ST90; ST95</t>
        </is>
      </c>
      <c r="C29" t="inlineStr">
        <is>
          <t xml:space="preserve">Why do citizens still queue for paper forms?</t>
        </is>
      </c>
      <c r="D29" t="inlineStr">
        <is>
          <t xml:space="preserve">Digital government</t>
        </is>
      </c>
      <c r="E29" t="inlineStr">
        <is>
          <t xml:space="preserve">S</t>
        </is>
      </c>
      <c r="F29" t="inlineStr">
        <is>
          <t xml:space="preserve">M</t>
        </is>
      </c>
      <c r="G29" t="inlineStr">
        <is>
          <t xml:space="preserve">M</t>
        </is>
      </c>
      <c r="H29" t="inlineStr">
        <is>
          <t xml:space="preserve">S</t>
        </is>
      </c>
      <c r="I29" t="inlineStr">
        <is>
          <t xml:space="preserve">W</t>
        </is>
      </c>
      <c r="J29" t="inlineStr">
        <is>
          <t xml:space="preserve">M</t>
        </is>
      </c>
    </row>
    <row r="30">
      <c r="A30" t="inlineStr">
        <is>
          <t xml:space="preserve">S29</t>
        </is>
      </c>
      <c r="B30" t="inlineStr">
        <is>
          <t xml:space="preserve">ST17; ST37; ST47; ST80; ST90; ST95</t>
        </is>
      </c>
      <c r="C30" t="inlineStr">
        <is>
          <t xml:space="preserve">Should towns run more of their own affairs?</t>
        </is>
      </c>
      <c r="D30" t="inlineStr">
        <is>
          <t xml:space="preserve">Local autonomy</t>
        </is>
      </c>
      <c r="E30" t="inlineStr">
        <is>
          <t xml:space="preserve">S</t>
        </is>
      </c>
      <c r="F30" t="inlineStr">
        <is>
          <t xml:space="preserve">S</t>
        </is>
      </c>
      <c r="G30" t="inlineStr">
        <is>
          <t xml:space="preserve">M</t>
        </is>
      </c>
      <c r="H30" t="inlineStr">
        <is>
          <t xml:space="preserve">M</t>
        </is>
      </c>
      <c r="I30" t="inlineStr">
        <is>
          <t xml:space="preserve">W</t>
        </is>
      </c>
      <c r="J30" t="inlineStr">
        <is>
          <t xml:space="preserve">M</t>
        </is>
      </c>
    </row>
    <row r="31">
      <c r="A31" t="inlineStr">
        <is>
          <t xml:space="preserve">S30</t>
        </is>
      </c>
      <c r="B31" t="inlineStr">
        <is>
          <t xml:space="preserve">ST17; ST37; ST47; ST80; ST90; ST95</t>
        </is>
      </c>
      <c r="C31" t="inlineStr">
        <is>
          <t xml:space="preserve">Who checks that ministries do what they promise?</t>
        </is>
      </c>
      <c r="D31" t="inlineStr">
        <is>
          <t xml:space="preserve">Oversight</t>
        </is>
      </c>
      <c r="E31" t="inlineStr">
        <is>
          <t xml:space="preserve">S</t>
        </is>
      </c>
      <c r="F31" t="inlineStr">
        <is>
          <t xml:space="preserve">M</t>
        </is>
      </c>
      <c r="G31" t="inlineStr">
        <is>
          <t xml:space="preserve">M</t>
        </is>
      </c>
      <c r="H31" t="inlineStr">
        <is>
          <t xml:space="preserve">S</t>
        </is>
      </c>
      <c r="I31" t="inlineStr">
        <is>
          <t xml:space="preserve">W</t>
        </is>
      </c>
      <c r="J31" t="inlineStr">
        <is>
          <t xml:space="preserve">W</t>
        </is>
      </c>
    </row>
    <row r="32">
      <c r="A32" t="inlineStr">
        <is>
          <t xml:space="preserve">S31</t>
        </is>
      </c>
      <c r="B32" t="inlineStr">
        <is>
          <t xml:space="preserve">ST18</t>
        </is>
      </c>
      <c r="C32" t="inlineStr">
        <is>
          <t xml:space="preserve">Should the Cabinet act first and ask the Assembly later?</t>
        </is>
      </c>
      <c r="D32" t="inlineStr">
        <is>
          <t xml:space="preserve">Emergency powers</t>
        </is>
      </c>
      <c r="E32" t="inlineStr">
        <is>
          <t xml:space="preserve">S</t>
        </is>
      </c>
      <c r="F32" t="inlineStr">
        <is>
          <t xml:space="preserve">M</t>
        </is>
      </c>
      <c r="G32" t="inlineStr">
        <is>
          <t xml:space="preserve">M</t>
        </is>
      </c>
      <c r="H32" t="inlineStr">
        <is>
          <t xml:space="preserve">M</t>
        </is>
      </c>
      <c r="I32" t="inlineStr">
        <is>
          <t xml:space="preserve">S</t>
        </is>
      </c>
      <c r="J32" t="inlineStr">
        <is>
          <t xml:space="preserve">W</t>
        </is>
      </c>
    </row>
    <row r="33">
      <c r="A33" t="inlineStr">
        <is>
          <t xml:space="preserve">S32</t>
        </is>
      </c>
      <c r="B33" t="inlineStr">
        <is>
          <t xml:space="preserve">ST18</t>
        </is>
      </c>
      <c r="C33" t="inlineStr">
        <is>
          <t xml:space="preserve">Does the Constitution allow what the Cabinet proposes?</t>
        </is>
      </c>
      <c r="D33" t="inlineStr">
        <is>
          <t xml:space="preserve">Constitution</t>
        </is>
      </c>
      <c r="E33" t="inlineStr">
        <is>
          <t xml:space="preserve">S</t>
        </is>
      </c>
      <c r="F33" t="inlineStr">
        <is>
          <t xml:space="preserve">M</t>
        </is>
      </c>
      <c r="G33" t="inlineStr">
        <is>
          <t xml:space="preserve">M</t>
        </is>
      </c>
      <c r="H33" t="inlineStr">
        <is>
          <t xml:space="preserve">S</t>
        </is>
      </c>
      <c r="I33" t="inlineStr">
        <is>
          <t xml:space="preserve">W</t>
        </is>
      </c>
      <c r="J33" t="inlineStr">
        <is>
          <t xml:space="preserve">W</t>
        </is>
      </c>
    </row>
    <row r="34">
      <c r="A34" t="inlineStr">
        <is>
          <t xml:space="preserve">S33</t>
        </is>
      </c>
      <c r="B34" t="inlineStr">
        <is>
          <t xml:space="preserve">ST18</t>
        </is>
      </c>
      <c r="C34" t="inlineStr">
        <is>
          <t xml:space="preserve">Ministries pull in different directions. Who coordinates them?</t>
        </is>
      </c>
      <c r="D34" t="inlineStr">
        <is>
          <t xml:space="preserve">Coordination</t>
        </is>
      </c>
      <c r="E34" t="inlineStr">
        <is>
          <t xml:space="preserve">S</t>
        </is>
      </c>
      <c r="F34" t="inlineStr">
        <is>
          <t xml:space="preserve">M</t>
        </is>
      </c>
      <c r="G34" t="inlineStr">
        <is>
          <t xml:space="preserve">S</t>
        </is>
      </c>
      <c r="H34" t="inlineStr">
        <is>
          <t xml:space="preserve">S</t>
        </is>
      </c>
      <c r="I34" t="inlineStr">
        <is>
          <t xml:space="preserve">W</t>
        </is>
      </c>
      <c r="J34" t="inlineStr">
        <is>
          <t xml:space="preserve">M</t>
        </is>
      </c>
    </row>
    <row r="35">
      <c r="A35" t="inlineStr">
        <is>
          <t xml:space="preserve">S34</t>
        </is>
      </c>
      <c r="B35" t="inlineStr">
        <is>
          <t xml:space="preserve">ST24</t>
        </is>
      </c>
      <c r="C35" t="inlineStr">
        <is>
          <t xml:space="preserve">My monthly pass costs more every year. What am I paying for?</t>
        </is>
      </c>
      <c r="D35" t="inlineStr">
        <is>
          <t xml:space="preserve">Commuter fares</t>
        </is>
      </c>
      <c r="E35" t="inlineStr">
        <is>
          <t xml:space="preserve">S</t>
        </is>
      </c>
      <c r="F35" t="inlineStr">
        <is>
          <t xml:space="preserve">S</t>
        </is>
      </c>
      <c r="G35" t="inlineStr">
        <is>
          <t xml:space="preserve">M</t>
        </is>
      </c>
      <c r="H35" t="inlineStr">
        <is>
          <t xml:space="preserve">S</t>
        </is>
      </c>
      <c r="I35" t="inlineStr">
        <is>
          <t xml:space="preserve">W</t>
        </is>
      </c>
      <c r="J35" t="inlineStr">
        <is>
          <t xml:space="preserve">W</t>
        </is>
      </c>
    </row>
    <row r="36">
      <c r="A36" t="inlineStr">
        <is>
          <t xml:space="preserve">S35</t>
        </is>
      </c>
      <c r="B36" t="inlineStr">
        <is>
          <t xml:space="preserve">ST24</t>
        </is>
      </c>
      <c r="C36" t="inlineStr">
        <is>
          <t xml:space="preserve">The last train leaves too early for shift workers. Will you change that?</t>
        </is>
      </c>
      <c r="D36" t="inlineStr">
        <is>
          <t xml:space="preserve">Rail timetables</t>
        </is>
      </c>
      <c r="E36" t="inlineStr">
        <is>
          <t xml:space="preserve">M</t>
        </is>
      </c>
      <c r="F36" t="inlineStr">
        <is>
          <t xml:space="preserve">S</t>
        </is>
      </c>
      <c r="G36" t="inlineStr">
        <is>
          <t xml:space="preserve">S</t>
        </is>
      </c>
      <c r="H36" t="inlineStr">
        <is>
          <t xml:space="preserve">M</t>
        </is>
      </c>
      <c r="I36" t="inlineStr">
        <is>
          <t xml:space="preserve">M</t>
        </is>
      </c>
      <c r="J36" t="inlineStr">
        <is>
          <t xml:space="preserve">W</t>
        </is>
      </c>
    </row>
    <row r="37">
      <c r="A37" t="inlineStr">
        <is>
          <t xml:space="preserve">S36</t>
        </is>
      </c>
      <c r="B37" t="inlineStr">
        <is>
          <t xml:space="preserve">ST24</t>
        </is>
      </c>
      <c r="C37" t="inlineStr">
        <is>
          <t xml:space="preserve">My mother cannot climb the station stairs. Who fixes this?</t>
        </is>
      </c>
      <c r="D37" t="inlineStr">
        <is>
          <t xml:space="preserve">Station access</t>
        </is>
      </c>
      <c r="E37" t="inlineStr">
        <is>
          <t xml:space="preserve">S</t>
        </is>
      </c>
      <c r="F37" t="inlineStr">
        <is>
          <t xml:space="preserve">S</t>
        </is>
      </c>
      <c r="G37" t="inlineStr">
        <is>
          <t xml:space="preserve">M</t>
        </is>
      </c>
      <c r="H37" t="inlineStr">
        <is>
          <t xml:space="preserve">W</t>
        </is>
      </c>
      <c r="I37" t="inlineStr">
        <is>
          <t xml:space="preserve">W</t>
        </is>
      </c>
      <c r="J37" t="inlineStr">
        <is>
          <t xml:space="preserve">M</t>
        </is>
      </c>
    </row>
    <row r="38">
      <c r="A38" t="inlineStr">
        <is>
          <t xml:space="preserve">S37</t>
        </is>
      </c>
      <c r="B38" t="inlineStr">
        <is>
          <t xml:space="preserve">ST24</t>
        </is>
      </c>
      <c r="C38" t="inlineStr">
        <is>
          <t xml:space="preserve">Why do commuters pay for trains while highways are free?</t>
        </is>
      </c>
      <c r="D38" t="inlineStr">
        <is>
          <t xml:space="preserve">Transit</t>
        </is>
      </c>
      <c r="E38" t="inlineStr">
        <is>
          <t xml:space="preserve">W</t>
        </is>
      </c>
      <c r="F38" t="inlineStr">
        <is>
          <t xml:space="preserve">M</t>
        </is>
      </c>
      <c r="G38" t="inlineStr">
        <is>
          <t xml:space="preserve">W</t>
        </is>
      </c>
      <c r="H38" t="inlineStr">
        <is>
          <t xml:space="preserve">S</t>
        </is>
      </c>
      <c r="I38" t="inlineStr">
        <is>
          <t xml:space="preserve">S</t>
        </is>
      </c>
      <c r="J38" t="inlineStr">
        <is>
          <t xml:space="preserve">M</t>
        </is>
      </c>
    </row>
    <row r="39">
      <c r="A39" t="inlineStr">
        <is>
          <t xml:space="preserve">S38</t>
        </is>
      </c>
      <c r="B39" t="inlineStr">
        <is>
          <t xml:space="preserve">ST24</t>
        </is>
      </c>
      <c r="C39" t="inlineStr">
        <is>
          <t xml:space="preserve">Will you promise no fare increases in your term?</t>
        </is>
      </c>
      <c r="D39" t="inlineStr">
        <is>
          <t xml:space="preserve">Commuter fares</t>
        </is>
      </c>
      <c r="E39" t="inlineStr">
        <is>
          <t xml:space="preserve">W</t>
        </is>
      </c>
      <c r="F39" t="inlineStr">
        <is>
          <t xml:space="preserve">M</t>
        </is>
      </c>
      <c r="G39" t="inlineStr">
        <is>
          <t xml:space="preserve">S</t>
        </is>
      </c>
      <c r="H39" t="inlineStr">
        <is>
          <t xml:space="preserve">W</t>
        </is>
      </c>
      <c r="I39" t="inlineStr">
        <is>
          <t xml:space="preserve">M</t>
        </is>
      </c>
      <c r="J39" t="inlineStr">
        <is>
          <t xml:space="preserve">S</t>
        </is>
      </c>
    </row>
    <row r="40">
      <c r="A40" t="inlineStr">
        <is>
          <t xml:space="preserve">S39</t>
        </is>
      </c>
      <c r="B40" t="inlineStr">
        <is>
          <t xml:space="preserve">ST25</t>
        </is>
      </c>
      <c r="C40" t="inlineStr">
        <is>
          <t xml:space="preserve">Which lines carry the most riders, and which run mostly empty?</t>
        </is>
      </c>
      <c r="D40" t="inlineStr">
        <is>
          <t xml:space="preserve">Rail timetables</t>
        </is>
      </c>
      <c r="E40" t="inlineStr">
        <is>
          <t xml:space="preserve">M</t>
        </is>
      </c>
      <c r="F40" t="inlineStr">
        <is>
          <t xml:space="preserve">W</t>
        </is>
      </c>
      <c r="G40" t="inlineStr">
        <is>
          <t xml:space="preserve">M</t>
        </is>
      </c>
      <c r="H40" t="inlineStr">
        <is>
          <t xml:space="preserve">S</t>
        </is>
      </c>
      <c r="I40" t="inlineStr">
        <is>
          <t xml:space="preserve">S</t>
        </is>
      </c>
      <c r="J40" t="inlineStr">
        <is>
          <t xml:space="preserve">S</t>
        </is>
      </c>
    </row>
    <row r="41">
      <c r="A41" t="inlineStr">
        <is>
          <t xml:space="preserve">S40</t>
        </is>
      </c>
      <c r="B41" t="inlineStr">
        <is>
          <t xml:space="preserve">ST25</t>
        </is>
      </c>
      <c r="C41" t="inlineStr">
        <is>
          <t xml:space="preserve">How long should a connection between two lines take?</t>
        </is>
      </c>
      <c r="D41" t="inlineStr">
        <is>
          <t xml:space="preserve">Transit</t>
        </is>
      </c>
      <c r="E41" t="inlineStr">
        <is>
          <t xml:space="preserve">S</t>
        </is>
      </c>
      <c r="F41" t="inlineStr">
        <is>
          <t xml:space="preserve">W</t>
        </is>
      </c>
      <c r="G41" t="inlineStr">
        <is>
          <t xml:space="preserve">M</t>
        </is>
      </c>
      <c r="H41" t="inlineStr">
        <is>
          <t xml:space="preserve">S</t>
        </is>
      </c>
      <c r="I41" t="inlineStr">
        <is>
          <t xml:space="preserve">W</t>
        </is>
      </c>
      <c r="J41" t="inlineStr">
        <is>
          <t xml:space="preserve">M</t>
        </is>
      </c>
    </row>
    <row r="42">
      <c r="A42" t="inlineStr">
        <is>
          <t xml:space="preserve">S41</t>
        </is>
      </c>
      <c r="B42" t="inlineStr">
        <is>
          <t xml:space="preserve">ST25</t>
        </is>
      </c>
      <c r="C42" t="inlineStr">
        <is>
          <t xml:space="preserve">Should timetables follow demand or serve every town equally?</t>
        </is>
      </c>
      <c r="D42" t="inlineStr">
        <is>
          <t xml:space="preserve">Rural rail service</t>
        </is>
      </c>
      <c r="E42" t="inlineStr">
        <is>
          <t xml:space="preserve">S</t>
        </is>
      </c>
      <c r="F42" t="inlineStr">
        <is>
          <t xml:space="preserve">M</t>
        </is>
      </c>
      <c r="G42" t="inlineStr">
        <is>
          <t xml:space="preserve">S</t>
        </is>
      </c>
      <c r="H42" t="inlineStr">
        <is>
          <t xml:space="preserve">W</t>
        </is>
      </c>
      <c r="I42" t="inlineStr">
        <is>
          <t xml:space="preserve">S</t>
        </is>
      </c>
      <c r="J42" t="inlineStr">
        <is>
          <t xml:space="preserve">M</t>
        </is>
      </c>
    </row>
    <row r="43">
      <c r="A43" t="inlineStr">
        <is>
          <t xml:space="preserve">S42</t>
        </is>
      </c>
      <c r="B43" t="inlineStr">
        <is>
          <t xml:space="preserve">ST26</t>
        </is>
      </c>
      <c r="C43" t="inlineStr">
        <is>
          <t xml:space="preserve">Will you support raising train fares, yes or no?</t>
        </is>
      </c>
      <c r="D43" t="inlineStr">
        <is>
          <t xml:space="preserve">Commuter fares</t>
        </is>
      </c>
      <c r="E43" t="inlineStr">
        <is>
          <t xml:space="preserve">S</t>
        </is>
      </c>
      <c r="F43" t="inlineStr">
        <is>
          <t xml:space="preserve">W</t>
        </is>
      </c>
      <c r="G43" t="inlineStr">
        <is>
          <t xml:space="preserve">M</t>
        </is>
      </c>
      <c r="H43" t="inlineStr">
        <is>
          <t xml:space="preserve">S</t>
        </is>
      </c>
      <c r="I43" t="inlineStr">
        <is>
          <t xml:space="preserve">S</t>
        </is>
      </c>
      <c r="J43" t="inlineStr">
        <is>
          <t xml:space="preserve">W</t>
        </is>
      </c>
    </row>
    <row r="44">
      <c r="A44" t="inlineStr">
        <is>
          <t xml:space="preserve">S43</t>
        </is>
      </c>
      <c r="B44" t="inlineStr">
        <is>
          <t xml:space="preserve">ST26</t>
        </is>
      </c>
      <c r="C44" t="inlineStr">
        <is>
          <t xml:space="preserve">The operator says fares must rise to cover costs. Do you accept that?</t>
        </is>
      </c>
      <c r="D44" t="inlineStr">
        <is>
          <t xml:space="preserve">Rail operator costs</t>
        </is>
      </c>
      <c r="E44" t="inlineStr">
        <is>
          <t xml:space="preserve">M</t>
        </is>
      </c>
      <c r="F44" t="inlineStr">
        <is>
          <t xml:space="preserve">W</t>
        </is>
      </c>
      <c r="G44" t="inlineStr">
        <is>
          <t xml:space="preserve">M</t>
        </is>
      </c>
      <c r="H44" t="inlineStr">
        <is>
          <t xml:space="preserve">S</t>
        </is>
      </c>
      <c r="I44" t="inlineStr">
        <is>
          <t xml:space="preserve">W</t>
        </is>
      </c>
      <c r="J44" t="inlineStr">
        <is>
          <t xml:space="preserve">S</t>
        </is>
      </c>
    </row>
    <row r="45">
      <c r="A45" t="inlineStr">
        <is>
          <t xml:space="preserve">S44</t>
        </is>
      </c>
      <c r="B45" t="inlineStr">
        <is>
          <t xml:space="preserve">ST26</t>
        </is>
      </c>
      <c r="C45" t="inlineStr">
        <is>
          <t xml:space="preserve">Who should pay for station upgrades: riders or taxpayers?</t>
        </is>
      </c>
      <c r="D45" t="inlineStr">
        <is>
          <t xml:space="preserve">Rail funding</t>
        </is>
      </c>
      <c r="E45" t="inlineStr">
        <is>
          <t xml:space="preserve">M</t>
        </is>
      </c>
      <c r="F45" t="inlineStr">
        <is>
          <t xml:space="preserve">M</t>
        </is>
      </c>
      <c r="G45" t="inlineStr">
        <is>
          <t xml:space="preserve">W</t>
        </is>
      </c>
      <c r="H45" t="inlineStr">
        <is>
          <t xml:space="preserve">S</t>
        </is>
      </c>
      <c r="I45" t="inlineStr">
        <is>
          <t xml:space="preserve">S</t>
        </is>
      </c>
      <c r="J45" t="inlineStr">
        <is>
          <t xml:space="preserve">M</t>
        </is>
      </c>
    </row>
    <row r="46">
      <c r="A46" t="inlineStr">
        <is>
          <t xml:space="preserve">S45</t>
        </is>
      </c>
      <c r="B46" t="inlineStr">
        <is>
          <t xml:space="preserve">ST26</t>
        </is>
      </c>
      <c r="C46" t="inlineStr">
        <is>
          <t xml:space="preserve">Commuters call a fare rise a betrayal. How do you answer them?</t>
        </is>
      </c>
      <c r="D46" t="inlineStr">
        <is>
          <t xml:space="preserve">Commuter fares</t>
        </is>
      </c>
      <c r="E46" t="inlineStr">
        <is>
          <t xml:space="preserve">S</t>
        </is>
      </c>
      <c r="F46" t="inlineStr">
        <is>
          <t xml:space="preserve">S</t>
        </is>
      </c>
      <c r="G46" t="inlineStr">
        <is>
          <t xml:space="preserve">S</t>
        </is>
      </c>
      <c r="H46" t="inlineStr">
        <is>
          <t xml:space="preserve">W</t>
        </is>
      </c>
      <c r="I46" t="inlineStr">
        <is>
          <t xml:space="preserve">W</t>
        </is>
      </c>
      <c r="J46" t="inlineStr">
        <is>
          <t xml:space="preserve">M</t>
        </is>
      </c>
    </row>
    <row r="47">
      <c r="A47" t="inlineStr">
        <is>
          <t xml:space="preserve">S46</t>
        </is>
      </c>
      <c r="B47" t="inlineStr">
        <is>
          <t xml:space="preserve">ST26</t>
        </is>
      </c>
      <c r="C47" t="inlineStr">
        <is>
          <t xml:space="preserve">Would you cap fares for students and seniors?</t>
        </is>
      </c>
      <c r="D47" t="inlineStr">
        <is>
          <t xml:space="preserve">Fare relief</t>
        </is>
      </c>
      <c r="E47" t="inlineStr">
        <is>
          <t xml:space="preserve">M</t>
        </is>
      </c>
      <c r="F47" t="inlineStr">
        <is>
          <t xml:space="preserve">S</t>
        </is>
      </c>
      <c r="G47" t="inlineStr">
        <is>
          <t xml:space="preserve">S</t>
        </is>
      </c>
      <c r="H47" t="inlineStr">
        <is>
          <t xml:space="preserve">W</t>
        </is>
      </c>
      <c r="I47" t="inlineStr">
        <is>
          <t xml:space="preserve">W</t>
        </is>
      </c>
      <c r="J47" t="inlineStr">
        <is>
          <t xml:space="preserve">S</t>
        </is>
      </c>
    </row>
    <row r="48">
      <c r="A48" t="inlineStr">
        <is>
          <t xml:space="preserve">S47</t>
        </is>
      </c>
      <c r="B48" t="inlineStr">
        <is>
          <t xml:space="preserve">ST26</t>
        </is>
      </c>
      <c r="C48" t="inlineStr">
        <is>
          <t xml:space="preserve">If fares rise, will service improve? Can you guarantee it?</t>
        </is>
      </c>
      <c r="D48" t="inlineStr">
        <is>
          <t xml:space="preserve">Transit</t>
        </is>
      </c>
      <c r="E48" t="inlineStr">
        <is>
          <t xml:space="preserve">M</t>
        </is>
      </c>
      <c r="F48" t="inlineStr">
        <is>
          <t xml:space="preserve">W</t>
        </is>
      </c>
      <c r="G48" t="inlineStr">
        <is>
          <t xml:space="preserve">M</t>
        </is>
      </c>
      <c r="H48" t="inlineStr">
        <is>
          <t xml:space="preserve">S</t>
        </is>
      </c>
      <c r="I48" t="inlineStr">
        <is>
          <t xml:space="preserve">M</t>
        </is>
      </c>
      <c r="J48" t="inlineStr">
        <is>
          <t xml:space="preserve">S</t>
        </is>
      </c>
    </row>
    <row r="49">
      <c r="A49" t="inlineStr">
        <is>
          <t xml:space="preserve">S48</t>
        </is>
      </c>
      <c r="B49" t="inlineStr">
        <is>
          <t xml:space="preserve">ST27</t>
        </is>
      </c>
      <c r="C49" t="inlineStr">
        <is>
          <t xml:space="preserve">How many safety inspections does each line receive each year?</t>
        </is>
      </c>
      <c r="D49" t="inlineStr">
        <is>
          <t xml:space="preserve">Rail safety</t>
        </is>
      </c>
      <c r="E49" t="inlineStr">
        <is>
          <t xml:space="preserve">S</t>
        </is>
      </c>
      <c r="F49" t="inlineStr">
        <is>
          <t xml:space="preserve">W</t>
        </is>
      </c>
      <c r="G49" t="inlineStr">
        <is>
          <t xml:space="preserve">M</t>
        </is>
      </c>
      <c r="H49" t="inlineStr">
        <is>
          <t xml:space="preserve">S</t>
        </is>
      </c>
      <c r="I49" t="inlineStr">
        <is>
          <t xml:space="preserve">M</t>
        </is>
      </c>
      <c r="J49" t="inlineStr">
        <is>
          <t xml:space="preserve">W</t>
        </is>
      </c>
    </row>
    <row r="50">
      <c r="A50" t="inlineStr">
        <is>
          <t xml:space="preserve">S49</t>
        </is>
      </c>
      <c r="B50" t="inlineStr">
        <is>
          <t xml:space="preserve">ST27</t>
        </is>
      </c>
      <c r="C50" t="inlineStr">
        <is>
          <t xml:space="preserve">Platform doors cost money. How many lives justify the cost?</t>
        </is>
      </c>
      <c r="D50" t="inlineStr">
        <is>
          <t xml:space="preserve">Rail safety</t>
        </is>
      </c>
      <c r="E50" t="inlineStr">
        <is>
          <t xml:space="preserve">W</t>
        </is>
      </c>
      <c r="F50" t="inlineStr">
        <is>
          <t xml:space="preserve">S</t>
        </is>
      </c>
      <c r="G50" t="inlineStr">
        <is>
          <t xml:space="preserve">M</t>
        </is>
      </c>
      <c r="H50" t="inlineStr">
        <is>
          <t xml:space="preserve">S</t>
        </is>
      </c>
      <c r="I50" t="inlineStr">
        <is>
          <t xml:space="preserve">W</t>
        </is>
      </c>
      <c r="J50" t="inlineStr">
        <is>
          <t xml:space="preserve">M</t>
        </is>
      </c>
    </row>
    <row r="51">
      <c r="A51" t="inlineStr">
        <is>
          <t xml:space="preserve">S50</t>
        </is>
      </c>
      <c r="B51" t="inlineStr">
        <is>
          <t xml:space="preserve">ST27</t>
        </is>
      </c>
      <c r="C51" t="inlineStr">
        <is>
          <t xml:space="preserve">Who is accountable when an operator ignores a safety warning?</t>
        </is>
      </c>
      <c r="D51" t="inlineStr">
        <is>
          <t xml:space="preserve">Rail safety</t>
        </is>
      </c>
      <c r="E51" t="inlineStr">
        <is>
          <t xml:space="preserve">S</t>
        </is>
      </c>
      <c r="F51" t="inlineStr">
        <is>
          <t xml:space="preserve">M</t>
        </is>
      </c>
      <c r="G51" t="inlineStr">
        <is>
          <t xml:space="preserve">W</t>
        </is>
      </c>
      <c r="H51" t="inlineStr">
        <is>
          <t xml:space="preserve">M</t>
        </is>
      </c>
      <c r="I51" t="inlineStr">
        <is>
          <t xml:space="preserve">S</t>
        </is>
      </c>
      <c r="J51" t="inlineStr">
        <is>
          <t xml:space="preserve">W</t>
        </is>
      </c>
    </row>
    <row r="52">
      <c r="A52" t="inlineStr">
        <is>
          <t xml:space="preserve">S51</t>
        </is>
      </c>
      <c r="B52" t="inlineStr">
        <is>
          <t xml:space="preserve">ST27</t>
        </is>
      </c>
      <c r="C52" t="inlineStr">
        <is>
          <t xml:space="preserve">Ageing track on rural lines worries residents. What is the plan?</t>
        </is>
      </c>
      <c r="D52" t="inlineStr">
        <is>
          <t xml:space="preserve">Rural rail service</t>
        </is>
      </c>
      <c r="E52" t="inlineStr">
        <is>
          <t xml:space="preserve">S</t>
        </is>
      </c>
      <c r="F52" t="inlineStr">
        <is>
          <t xml:space="preserve">S</t>
        </is>
      </c>
      <c r="G52" t="inlineStr">
        <is>
          <t xml:space="preserve">M</t>
        </is>
      </c>
      <c r="H52" t="inlineStr">
        <is>
          <t xml:space="preserve">M</t>
        </is>
      </c>
      <c r="I52" t="inlineStr">
        <is>
          <t xml:space="preserve">W</t>
        </is>
      </c>
      <c r="J52" t="inlineStr">
        <is>
          <t xml:space="preserve">S</t>
        </is>
      </c>
    </row>
    <row r="53">
      <c r="A53" t="inlineStr">
        <is>
          <t xml:space="preserve">S52</t>
        </is>
      </c>
      <c r="B53" t="inlineStr">
        <is>
          <t xml:space="preserve">ST27</t>
        </is>
      </c>
      <c r="C53" t="inlineStr">
        <is>
          <t xml:space="preserve">Are staff cuts at stations putting passengers at risk?</t>
        </is>
      </c>
      <c r="D53" t="inlineStr">
        <is>
          <t xml:space="preserve">Station staffing</t>
        </is>
      </c>
      <c r="E53" t="inlineStr">
        <is>
          <t xml:space="preserve">M</t>
        </is>
      </c>
      <c r="F53" t="inlineStr">
        <is>
          <t xml:space="preserve">S</t>
        </is>
      </c>
      <c r="G53" t="inlineStr">
        <is>
          <t xml:space="preserve">M</t>
        </is>
      </c>
      <c r="H53" t="inlineStr">
        <is>
          <t xml:space="preserve">S</t>
        </is>
      </c>
      <c r="I53" t="inlineStr">
        <is>
          <t xml:space="preserve">S</t>
        </is>
      </c>
      <c r="J53" t="inlineStr">
        <is>
          <t xml:space="preserve">W</t>
        </is>
      </c>
    </row>
    <row r="54">
      <c r="A54" t="inlineStr">
        <is>
          <t xml:space="preserve">S53</t>
        </is>
      </c>
      <c r="B54" t="inlineStr">
        <is>
          <t xml:space="preserve">ST27</t>
        </is>
      </c>
      <c r="C54" t="inlineStr">
        <is>
          <t xml:space="preserve">Should the state take over lines the operator cannot keep safe?</t>
        </is>
      </c>
      <c r="D54" t="inlineStr">
        <is>
          <t xml:space="preserve">Rail funding</t>
        </is>
      </c>
      <c r="E54" t="inlineStr">
        <is>
          <t xml:space="preserve">W</t>
        </is>
      </c>
      <c r="F54" t="inlineStr">
        <is>
          <t xml:space="preserve">M</t>
        </is>
      </c>
      <c r="G54" t="inlineStr">
        <is>
          <t xml:space="preserve">M</t>
        </is>
      </c>
      <c r="H54" t="inlineStr">
        <is>
          <t xml:space="preserve">M</t>
        </is>
      </c>
      <c r="I54" t="inlineStr">
        <is>
          <t xml:space="preserve">S</t>
        </is>
      </c>
      <c r="J54" t="inlineStr">
        <is>
          <t xml:space="preserve">S</t>
        </is>
      </c>
    </row>
    <row r="55">
      <c r="A55" t="inlineStr">
        <is>
          <t xml:space="preserve">S54</t>
        </is>
      </c>
      <c r="B55" t="inlineStr">
        <is>
          <t xml:space="preserve">ST28</t>
        </is>
      </c>
      <c r="C55" t="inlineStr">
        <is>
          <t xml:space="preserve">Our fleet needs bigger quotas. What can you deliver?</t>
        </is>
      </c>
      <c r="D55" t="inlineStr">
        <is>
          <t xml:space="preserve">Fishing quotas</t>
        </is>
      </c>
      <c r="E55" t="inlineStr">
        <is>
          <t xml:space="preserve">M</t>
        </is>
      </c>
      <c r="F55" t="inlineStr">
        <is>
          <t xml:space="preserve">M</t>
        </is>
      </c>
      <c r="G55" t="inlineStr">
        <is>
          <t xml:space="preserve">S</t>
        </is>
      </c>
      <c r="H55" t="inlineStr">
        <is>
          <t xml:space="preserve">W</t>
        </is>
      </c>
      <c r="I55" t="inlineStr">
        <is>
          <t xml:space="preserve">W</t>
        </is>
      </c>
      <c r="J55" t="inlineStr">
        <is>
          <t xml:space="preserve">S</t>
        </is>
      </c>
    </row>
    <row r="56">
      <c r="A56" t="inlineStr">
        <is>
          <t xml:space="preserve">S55</t>
        </is>
      </c>
      <c r="B56" t="inlineStr">
        <is>
          <t xml:space="preserve">ST28</t>
        </is>
      </c>
      <c r="C56" t="inlineStr">
        <is>
          <t xml:space="preserve">Imported fish undercuts our catch. Will you act on labelling?</t>
        </is>
      </c>
      <c r="D56" t="inlineStr">
        <is>
          <t xml:space="preserve">Seafood labelling</t>
        </is>
      </c>
      <c r="E56" t="inlineStr">
        <is>
          <t xml:space="preserve">S</t>
        </is>
      </c>
      <c r="F56" t="inlineStr">
        <is>
          <t xml:space="preserve">S</t>
        </is>
      </c>
      <c r="G56" t="inlineStr">
        <is>
          <t xml:space="preserve">M</t>
        </is>
      </c>
      <c r="H56" t="inlineStr">
        <is>
          <t xml:space="preserve">M</t>
        </is>
      </c>
      <c r="I56" t="inlineStr">
        <is>
          <t xml:space="preserve">M</t>
        </is>
      </c>
      <c r="J56" t="inlineStr">
        <is>
          <t xml:space="preserve">W</t>
        </is>
      </c>
    </row>
    <row r="57">
      <c r="A57" t="inlineStr">
        <is>
          <t xml:space="preserve">S56</t>
        </is>
      </c>
      <c r="B57" t="inlineStr">
        <is>
          <t xml:space="preserve">ST29</t>
        </is>
      </c>
      <c r="C57" t="inlineStr">
        <is>
          <t xml:space="preserve">The harbour wall is cracked. Who will pay to fix it?</t>
        </is>
      </c>
      <c r="D57" t="inlineStr">
        <is>
          <t xml:space="preserve">Harbour upkeep</t>
        </is>
      </c>
      <c r="E57" t="inlineStr">
        <is>
          <t xml:space="preserve">S</t>
        </is>
      </c>
      <c r="F57" t="inlineStr">
        <is>
          <t xml:space="preserve">M</t>
        </is>
      </c>
      <c r="G57" t="inlineStr">
        <is>
          <t xml:space="preserve">S</t>
        </is>
      </c>
      <c r="H57" t="inlineStr">
        <is>
          <t xml:space="preserve">M</t>
        </is>
      </c>
      <c r="I57" t="inlineStr">
        <is>
          <t xml:space="preserve">W</t>
        </is>
      </c>
      <c r="J57" t="inlineStr">
        <is>
          <t xml:space="preserve">W</t>
        </is>
      </c>
    </row>
    <row r="58">
      <c r="A58" t="inlineStr">
        <is>
          <t xml:space="preserve">S57</t>
        </is>
      </c>
      <c r="B58" t="inlineStr">
        <is>
          <t xml:space="preserve">ST29</t>
        </is>
      </c>
      <c r="C58" t="inlineStr">
        <is>
          <t xml:space="preserve">Young people leave because fishing no longer pays. How do you keep them?</t>
        </is>
      </c>
      <c r="D58" t="inlineStr">
        <is>
          <t xml:space="preserve">Fishing livelihoods</t>
        </is>
      </c>
      <c r="E58" t="inlineStr">
        <is>
          <t xml:space="preserve">S</t>
        </is>
      </c>
      <c r="F58" t="inlineStr">
        <is>
          <t xml:space="preserve">S</t>
        </is>
      </c>
      <c r="G58" t="inlineStr">
        <is>
          <t xml:space="preserve">M</t>
        </is>
      </c>
      <c r="H58" t="inlineStr">
        <is>
          <t xml:space="preserve">W</t>
        </is>
      </c>
      <c r="I58" t="inlineStr">
        <is>
          <t xml:space="preserve">W</t>
        </is>
      </c>
      <c r="J58" t="inlineStr">
        <is>
          <t xml:space="preserve">M</t>
        </is>
      </c>
    </row>
    <row r="59">
      <c r="A59" t="inlineStr">
        <is>
          <t xml:space="preserve">S58</t>
        </is>
      </c>
      <c r="B59" t="inlineStr">
        <is>
          <t xml:space="preserve">ST29</t>
        </is>
      </c>
      <c r="C59" t="inlineStr">
        <is>
          <t xml:space="preserve">Quotas are set far away by people who never fish. Why?</t>
        </is>
      </c>
      <c r="D59" t="inlineStr">
        <is>
          <t xml:space="preserve">Fishing quotas</t>
        </is>
      </c>
      <c r="E59" t="inlineStr">
        <is>
          <t xml:space="preserve">M</t>
        </is>
      </c>
      <c r="F59" t="inlineStr">
        <is>
          <t xml:space="preserve">M</t>
        </is>
      </c>
      <c r="G59" t="inlineStr">
        <is>
          <t xml:space="preserve">W</t>
        </is>
      </c>
      <c r="H59" t="inlineStr">
        <is>
          <t xml:space="preserve">M</t>
        </is>
      </c>
      <c r="I59" t="inlineStr">
        <is>
          <t xml:space="preserve">S</t>
        </is>
      </c>
      <c r="J59" t="inlineStr">
        <is>
          <t xml:space="preserve">S</t>
        </is>
      </c>
    </row>
    <row r="60">
      <c r="A60" t="inlineStr">
        <is>
          <t xml:space="preserve">S59</t>
        </is>
      </c>
      <c r="B60" t="inlineStr">
        <is>
          <t xml:space="preserve">ST29</t>
        </is>
      </c>
      <c r="C60" t="inlineStr">
        <is>
          <t xml:space="preserve">What is your plan for warming seas and shrinking catches?</t>
        </is>
      </c>
      <c r="D60" t="inlineStr">
        <is>
          <t xml:space="preserve">Ocean changes</t>
        </is>
      </c>
      <c r="E60" t="inlineStr">
        <is>
          <t xml:space="preserve">M</t>
        </is>
      </c>
      <c r="F60" t="inlineStr">
        <is>
          <t xml:space="preserve">W</t>
        </is>
      </c>
      <c r="G60" t="inlineStr">
        <is>
          <t xml:space="preserve">M</t>
        </is>
      </c>
      <c r="H60" t="inlineStr">
        <is>
          <t xml:space="preserve">S</t>
        </is>
      </c>
      <c r="I60" t="inlineStr">
        <is>
          <t xml:space="preserve">M</t>
        </is>
      </c>
      <c r="J60" t="inlineStr">
        <is>
          <t xml:space="preserve">S</t>
        </is>
      </c>
    </row>
    <row r="61">
      <c r="A61" t="inlineStr">
        <is>
          <t xml:space="preserve">S60</t>
        </is>
      </c>
      <c r="B61" t="inlineStr">
        <is>
          <t xml:space="preserve">ST29</t>
        </is>
      </c>
      <c r="C61" t="inlineStr">
        <is>
          <t xml:space="preserve">Fuel costs eat our margins. Will you help?</t>
        </is>
      </c>
      <c r="D61" t="inlineStr">
        <is>
          <t xml:space="preserve">Fishing livelihoods</t>
        </is>
      </c>
      <c r="E61" t="inlineStr">
        <is>
          <t xml:space="preserve">W</t>
        </is>
      </c>
      <c r="F61" t="inlineStr">
        <is>
          <t xml:space="preserve">S</t>
        </is>
      </c>
      <c r="G61" t="inlineStr">
        <is>
          <t xml:space="preserve">S</t>
        </is>
      </c>
      <c r="H61" t="inlineStr">
        <is>
          <t xml:space="preserve">M</t>
        </is>
      </c>
      <c r="I61" t="inlineStr">
        <is>
          <t xml:space="preserve">W</t>
        </is>
      </c>
      <c r="J61" t="inlineStr">
        <is>
          <t xml:space="preserve">M</t>
        </is>
      </c>
    </row>
    <row r="62">
      <c r="A62" t="inlineStr">
        <is>
          <t xml:space="preserve">S61</t>
        </is>
      </c>
      <c r="B62" t="inlineStr">
        <is>
          <t xml:space="preserve">ST30</t>
        </is>
      </c>
      <c r="C62" t="inlineStr">
        <is>
          <t xml:space="preserve">Is the seafood on the shelf really caught in Yezo?</t>
        </is>
      </c>
      <c r="D62" t="inlineStr">
        <is>
          <t xml:space="preserve">Seafood labelling</t>
        </is>
      </c>
      <c r="E62" t="inlineStr">
        <is>
          <t xml:space="preserve">S</t>
        </is>
      </c>
      <c r="F62" t="inlineStr">
        <is>
          <t xml:space="preserve">W</t>
        </is>
      </c>
      <c r="G62" t="inlineStr">
        <is>
          <t xml:space="preserve">M</t>
        </is>
      </c>
      <c r="H62" t="inlineStr">
        <is>
          <t xml:space="preserve">S</t>
        </is>
      </c>
      <c r="I62" t="inlineStr">
        <is>
          <t xml:space="preserve">M</t>
        </is>
      </c>
      <c r="J62" t="inlineStr">
        <is>
          <t xml:space="preserve">W</t>
        </is>
      </c>
    </row>
    <row r="63">
      <c r="A63" t="inlineStr">
        <is>
          <t xml:space="preserve">S62</t>
        </is>
      </c>
      <c r="B63" t="inlineStr">
        <is>
          <t xml:space="preserve">ST30</t>
        </is>
      </c>
      <c r="C63" t="inlineStr">
        <is>
          <t xml:space="preserve">Shoppers say labels mislead them. Whose fault is that?</t>
        </is>
      </c>
      <c r="D63" t="inlineStr">
        <is>
          <t xml:space="preserve">Label accuracy</t>
        </is>
      </c>
      <c r="E63" t="inlineStr">
        <is>
          <t xml:space="preserve">M</t>
        </is>
      </c>
      <c r="F63" t="inlineStr">
        <is>
          <t xml:space="preserve">M</t>
        </is>
      </c>
      <c r="G63" t="inlineStr">
        <is>
          <t xml:space="preserve">W</t>
        </is>
      </c>
      <c r="H63" t="inlineStr">
        <is>
          <t xml:space="preserve">S</t>
        </is>
      </c>
      <c r="I63" t="inlineStr">
        <is>
          <t xml:space="preserve">S</t>
        </is>
      </c>
      <c r="J63" t="inlineStr">
        <is>
          <t xml:space="preserve">S</t>
        </is>
      </c>
    </row>
    <row r="64">
      <c r="A64" t="inlineStr">
        <is>
          <t xml:space="preserve">S63</t>
        </is>
      </c>
      <c r="B64" t="inlineStr">
        <is>
          <t xml:space="preserve">ST30</t>
        </is>
      </c>
      <c r="C64" t="inlineStr">
        <is>
          <t xml:space="preserve">Would you ban the word local on unverified packaging?</t>
        </is>
      </c>
      <c r="D64" t="inlineStr">
        <is>
          <t xml:space="preserve">Label accuracy</t>
        </is>
      </c>
      <c r="E64" t="inlineStr">
        <is>
          <t xml:space="preserve">S</t>
        </is>
      </c>
      <c r="F64" t="inlineStr">
        <is>
          <t xml:space="preserve">M</t>
        </is>
      </c>
      <c r="G64" t="inlineStr">
        <is>
          <t xml:space="preserve">W</t>
        </is>
      </c>
      <c r="H64" t="inlineStr">
        <is>
          <t xml:space="preserve">M</t>
        </is>
      </c>
      <c r="I64" t="inlineStr">
        <is>
          <t xml:space="preserve">S</t>
        </is>
      </c>
      <c r="J64" t="inlineStr">
        <is>
          <t xml:space="preserve">W</t>
        </is>
      </c>
    </row>
    <row r="65">
      <c r="A65" t="inlineStr">
        <is>
          <t xml:space="preserve">S64</t>
        </is>
      </c>
      <c r="B65" t="inlineStr">
        <is>
          <t xml:space="preserve">ST31</t>
        </is>
      </c>
      <c r="C65" t="inlineStr">
        <is>
          <t xml:space="preserve">On what evidence are the annual catch limits set?</t>
        </is>
      </c>
      <c r="D65" t="inlineStr">
        <is>
          <t xml:space="preserve">Fishing quotas</t>
        </is>
      </c>
      <c r="E65" t="inlineStr">
        <is>
          <t xml:space="preserve">S</t>
        </is>
      </c>
      <c r="F65" t="inlineStr">
        <is>
          <t xml:space="preserve">W</t>
        </is>
      </c>
      <c r="G65" t="inlineStr">
        <is>
          <t xml:space="preserve">M</t>
        </is>
      </c>
      <c r="H65" t="inlineStr">
        <is>
          <t xml:space="preserve">S</t>
        </is>
      </c>
      <c r="I65" t="inlineStr">
        <is>
          <t xml:space="preserve">W</t>
        </is>
      </c>
      <c r="J65" t="inlineStr">
        <is>
          <t xml:space="preserve">M</t>
        </is>
      </c>
    </row>
    <row r="66">
      <c r="A66" t="inlineStr">
        <is>
          <t xml:space="preserve">S65</t>
        </is>
      </c>
      <c r="B66" t="inlineStr">
        <is>
          <t xml:space="preserve">ST31</t>
        </is>
      </c>
      <c r="C66" t="inlineStr">
        <is>
          <t xml:space="preserve">Small boats say big fleets take the best quota. Is that fair?</t>
        </is>
      </c>
      <c r="D66" t="inlineStr">
        <is>
          <t xml:space="preserve">Fishing quotas</t>
        </is>
      </c>
      <c r="E66" t="inlineStr">
        <is>
          <t xml:space="preserve">M</t>
        </is>
      </c>
      <c r="F66" t="inlineStr">
        <is>
          <t xml:space="preserve">S</t>
        </is>
      </c>
      <c r="G66" t="inlineStr">
        <is>
          <t xml:space="preserve">M</t>
        </is>
      </c>
      <c r="H66" t="inlineStr">
        <is>
          <t xml:space="preserve">M</t>
        </is>
      </c>
      <c r="I66" t="inlineStr">
        <is>
          <t xml:space="preserve">S</t>
        </is>
      </c>
      <c r="J66" t="inlineStr">
        <is>
          <t xml:space="preserve">W</t>
        </is>
      </c>
    </row>
    <row r="67">
      <c r="A67" t="inlineStr">
        <is>
          <t xml:space="preserve">S66</t>
        </is>
      </c>
      <c r="B67" t="inlineStr">
        <is>
          <t xml:space="preserve">ST31</t>
        </is>
      </c>
      <c r="C67" t="inlineStr">
        <is>
          <t xml:space="preserve">How will you check that catch reports are honest?</t>
        </is>
      </c>
      <c r="D67" t="inlineStr">
        <is>
          <t xml:space="preserve">Catch reporting</t>
        </is>
      </c>
      <c r="E67" t="inlineStr">
        <is>
          <t xml:space="preserve">S</t>
        </is>
      </c>
      <c r="F67" t="inlineStr">
        <is>
          <t xml:space="preserve">W</t>
        </is>
      </c>
      <c r="G67" t="inlineStr">
        <is>
          <t xml:space="preserve">M</t>
        </is>
      </c>
      <c r="H67" t="inlineStr">
        <is>
          <t xml:space="preserve">M</t>
        </is>
      </c>
      <c r="I67" t="inlineStr">
        <is>
          <t xml:space="preserve">M</t>
        </is>
      </c>
      <c r="J67" t="inlineStr">
        <is>
          <t xml:space="preserve">S</t>
        </is>
      </c>
    </row>
    <row r="68">
      <c r="A68" t="inlineStr">
        <is>
          <t xml:space="preserve">S67</t>
        </is>
      </c>
      <c r="B68" t="inlineStr">
        <is>
          <t xml:space="preserve">ST31</t>
        </is>
      </c>
      <c r="C68" t="inlineStr">
        <is>
          <t xml:space="preserve">Should unused quota be returned to the pool?</t>
        </is>
      </c>
      <c r="D68" t="inlineStr">
        <is>
          <t xml:space="preserve">Fishing quotas</t>
        </is>
      </c>
      <c r="E68" t="inlineStr">
        <is>
          <t xml:space="preserve">M</t>
        </is>
      </c>
      <c r="F68" t="inlineStr">
        <is>
          <t xml:space="preserve">M</t>
        </is>
      </c>
      <c r="G68" t="inlineStr">
        <is>
          <t xml:space="preserve">W</t>
        </is>
      </c>
      <c r="H68" t="inlineStr">
        <is>
          <t xml:space="preserve">S</t>
        </is>
      </c>
      <c r="I68" t="inlineStr">
        <is>
          <t xml:space="preserve">M</t>
        </is>
      </c>
      <c r="J68" t="inlineStr">
        <is>
          <t xml:space="preserve">S</t>
        </is>
      </c>
    </row>
    <row r="69">
      <c r="A69" t="inlineStr">
        <is>
          <t xml:space="preserve">S68</t>
        </is>
      </c>
      <c r="B69" t="inlineStr">
        <is>
          <t xml:space="preserve">ST31</t>
        </is>
      </c>
      <c r="C69" t="inlineStr">
        <is>
          <t xml:space="preserve">Who pays for patrol boats against illegal fishing?</t>
        </is>
      </c>
      <c r="D69" t="inlineStr">
        <is>
          <t xml:space="preserve">Illegal fishing</t>
        </is>
      </c>
      <c r="E69" t="inlineStr">
        <is>
          <t xml:space="preserve">S</t>
        </is>
      </c>
      <c r="F69" t="inlineStr">
        <is>
          <t xml:space="preserve">M</t>
        </is>
      </c>
      <c r="G69" t="inlineStr">
        <is>
          <t xml:space="preserve">M</t>
        </is>
      </c>
      <c r="H69" t="inlineStr">
        <is>
          <t xml:space="preserve">M</t>
        </is>
      </c>
      <c r="I69" t="inlineStr">
        <is>
          <t xml:space="preserve">S</t>
        </is>
      </c>
      <c r="J69" t="inlineStr">
        <is>
          <t xml:space="preserve">M</t>
        </is>
      </c>
    </row>
    <row r="70">
      <c r="A70" t="inlineStr">
        <is>
          <t xml:space="preserve">S69</t>
        </is>
      </c>
      <c r="B70" t="inlineStr">
        <is>
          <t xml:space="preserve">ST31</t>
        </is>
      </c>
      <c r="C70" t="inlineStr">
        <is>
          <t xml:space="preserve">Will quota reform protect the family boats?</t>
        </is>
      </c>
      <c r="D70" t="inlineStr">
        <is>
          <t xml:space="preserve">Fishing livelihoods</t>
        </is>
      </c>
      <c r="E70" t="inlineStr">
        <is>
          <t xml:space="preserve">W</t>
        </is>
      </c>
      <c r="F70" t="inlineStr">
        <is>
          <t xml:space="preserve">S</t>
        </is>
      </c>
      <c r="G70" t="inlineStr">
        <is>
          <t xml:space="preserve">S</t>
        </is>
      </c>
      <c r="H70" t="inlineStr">
        <is>
          <t xml:space="preserve">M</t>
        </is>
      </c>
      <c r="I70" t="inlineStr">
        <is>
          <t xml:space="preserve">W</t>
        </is>
      </c>
      <c r="J70" t="inlineStr">
        <is>
          <t xml:space="preserve">S</t>
        </is>
      </c>
    </row>
    <row r="71">
      <c r="A71" t="inlineStr">
        <is>
          <t xml:space="preserve">S70</t>
        </is>
      </c>
      <c r="B71" t="inlineStr">
        <is>
          <t xml:space="preserve">ST01; ST09; ST10; ST11; ST12; ST13; ST14; ST15; ST16; ST17; ST18; ST27; ST31; ST33; ST54; ST37; ST47; ST80; ST90; ST95; ST51; ST57; ST77; ST60; ST63; ST66; ST69; ST74</t>
        </is>
      </c>
      <c r="C71" t="inlineStr">
        <is>
          <t xml:space="preserve">What does your proposal cost, and who pays for it?</t>
        </is>
      </c>
      <c r="D71" t="inlineStr">
        <is>
          <t xml:space="preserve">Cost</t>
        </is>
      </c>
      <c r="E71" t="inlineStr">
        <is>
          <t xml:space="preserve">M</t>
        </is>
      </c>
      <c r="F71" t="inlineStr">
        <is>
          <t xml:space="preserve">S</t>
        </is>
      </c>
      <c r="G71" t="inlineStr">
        <is>
          <t xml:space="preserve">W</t>
        </is>
      </c>
      <c r="H71" t="inlineStr">
        <is>
          <t xml:space="preserve">S</t>
        </is>
      </c>
      <c r="I71" t="inlineStr">
        <is>
          <t xml:space="preserve">M</t>
        </is>
      </c>
      <c r="J71" t="inlineStr">
        <is>
          <t xml:space="preserve">W</t>
        </is>
      </c>
    </row>
    <row r="72">
      <c r="A72" t="inlineStr">
        <is>
          <t xml:space="preserve">S71</t>
        </is>
      </c>
      <c r="B72" t="inlineStr">
        <is>
          <t xml:space="preserve">ST01; ST09; ST10; ST11; ST12; ST13; ST14; ST15; ST16; ST17; ST18; ST27; ST31; ST33; ST54; ST37; ST47; ST80; ST90; ST95; ST51; ST57; ST77; ST60; ST63; ST66; ST69; ST74</t>
        </is>
      </c>
      <c r="C72" t="inlineStr">
        <is>
          <t xml:space="preserve">What evidence supports the claims you are making?</t>
        </is>
      </c>
      <c r="D72" t="inlineStr">
        <is>
          <t xml:space="preserve">Evidence</t>
        </is>
      </c>
      <c r="E72" t="inlineStr">
        <is>
          <t xml:space="preserve">M</t>
        </is>
      </c>
      <c r="F72" t="inlineStr">
        <is>
          <t xml:space="preserve">W</t>
        </is>
      </c>
      <c r="G72" t="inlineStr">
        <is>
          <t xml:space="preserve">S</t>
        </is>
      </c>
      <c r="H72" t="inlineStr">
        <is>
          <t xml:space="preserve">S</t>
        </is>
      </c>
      <c r="I72" t="inlineStr">
        <is>
          <t xml:space="preserve">M</t>
        </is>
      </c>
      <c r="J72" t="inlineStr">
        <is>
          <t xml:space="preserve">W</t>
        </is>
      </c>
    </row>
    <row r="73">
      <c r="A73" t="inlineStr">
        <is>
          <t xml:space="preserve">S72</t>
        </is>
      </c>
      <c r="B73" t="inlineStr">
        <is>
          <t xml:space="preserve">ST01; ST09; ST10; ST11; ST12; ST13; ST14; ST15; ST16; ST17; ST18; ST27; ST31; ST33; ST54; ST37; ST47; ST80; ST90; ST95; ST51; ST57; ST77; ST60; ST63; ST66; ST69; ST74</t>
        </is>
      </c>
      <c r="C73" t="inlineStr">
        <is>
          <t xml:space="preserve">If this fails, who is accountable?</t>
        </is>
      </c>
      <c r="D73" t="inlineStr">
        <is>
          <t xml:space="preserve">Accountability</t>
        </is>
      </c>
      <c r="E73" t="inlineStr">
        <is>
          <t xml:space="preserve">S</t>
        </is>
      </c>
      <c r="F73" t="inlineStr">
        <is>
          <t xml:space="preserve">M</t>
        </is>
      </c>
      <c r="G73" t="inlineStr">
        <is>
          <t xml:space="preserve">M</t>
        </is>
      </c>
      <c r="H73" t="inlineStr">
        <is>
          <t xml:space="preserve">M</t>
        </is>
      </c>
      <c r="I73" t="inlineStr">
        <is>
          <t xml:space="preserve">S</t>
        </is>
      </c>
      <c r="J73" t="inlineStr">
        <is>
          <t xml:space="preserve">W</t>
        </is>
      </c>
    </row>
    <row r="74">
      <c r="A74" t="inlineStr">
        <is>
          <t xml:space="preserve">S73</t>
        </is>
      </c>
      <c r="B74" t="inlineStr">
        <is>
          <t xml:space="preserve">ST01; ST09; ST10; ST11; ST12; ST13; ST14; ST15; ST16; ST17; ST18; ST27; ST31; ST33; ST54; ST37; ST47; ST80; ST90; ST95; ST51; ST57; ST77; ST60; ST63; ST66; ST69; ST74</t>
        </is>
      </c>
      <c r="C74" t="inlineStr">
        <is>
          <t xml:space="preserve">Who will carry this out, and how soon can they start?</t>
        </is>
      </c>
      <c r="D74" t="inlineStr">
        <is>
          <t xml:space="preserve">Implementation</t>
        </is>
      </c>
      <c r="E74" t="inlineStr">
        <is>
          <t xml:space="preserve">M</t>
        </is>
      </c>
      <c r="F74" t="inlineStr">
        <is>
          <t xml:space="preserve">M</t>
        </is>
      </c>
      <c r="G74" t="inlineStr">
        <is>
          <t xml:space="preserve">S</t>
        </is>
      </c>
      <c r="H74" t="inlineStr">
        <is>
          <t xml:space="preserve">S</t>
        </is>
      </c>
      <c r="I74" t="inlineStr">
        <is>
          <t xml:space="preserve">W</t>
        </is>
      </c>
      <c r="J74" t="inlineStr">
        <is>
          <t xml:space="preserve">S</t>
        </is>
      </c>
    </row>
    <row r="75">
      <c r="A75" t="inlineStr">
        <is>
          <t xml:space="preserve">S74</t>
        </is>
      </c>
      <c r="B75" t="inlineStr">
        <is>
          <t xml:space="preserve">ST01; ST09; ST10; ST11; ST12; ST13; ST14; ST15; ST16; ST17; ST18; ST27; ST31; ST33; ST54; ST37; ST47; ST80; ST90; ST95; ST51; ST57; ST77; ST60; ST63; ST66; ST69; ST74</t>
        </is>
      </c>
      <c r="C75" t="inlineStr">
        <is>
          <t xml:space="preserve">Is this plan realistic with the people and money available?</t>
        </is>
      </c>
      <c r="D75" t="inlineStr">
        <is>
          <t xml:space="preserve">Feasibility</t>
        </is>
      </c>
      <c r="E75" t="inlineStr">
        <is>
          <t xml:space="preserve">S</t>
        </is>
      </c>
      <c r="F75" t="inlineStr">
        <is>
          <t xml:space="preserve">W</t>
        </is>
      </c>
      <c r="G75" t="inlineStr">
        <is>
          <t xml:space="preserve">M</t>
        </is>
      </c>
      <c r="H75" t="inlineStr">
        <is>
          <t xml:space="preserve">S</t>
        </is>
      </c>
      <c r="I75" t="inlineStr">
        <is>
          <t xml:space="preserve">M</t>
        </is>
      </c>
      <c r="J75" t="inlineStr">
        <is>
          <t xml:space="preserve">S</t>
        </is>
      </c>
    </row>
    <row r="76">
      <c r="A76" t="inlineStr">
        <is>
          <t xml:space="preserve">S75</t>
        </is>
      </c>
      <c r="B76" t="inlineStr">
        <is>
          <t xml:space="preserve">ST01; ST09; ST10; ST11; ST12; ST13; ST14; ST15; ST16; ST17; ST18; ST27; ST31; ST33; ST54; ST37; ST47; ST80; ST90; ST95; ST51; ST57; ST77; ST60; ST63; ST66; ST69; ST74</t>
        </is>
      </c>
      <c r="C76" t="inlineStr">
        <is>
          <t xml:space="preserve">Who will check that this is done as promised?</t>
        </is>
      </c>
      <c r="D76" t="inlineStr">
        <is>
          <t xml:space="preserve">Oversight</t>
        </is>
      </c>
      <c r="E76" t="inlineStr">
        <is>
          <t xml:space="preserve">M</t>
        </is>
      </c>
      <c r="F76" t="inlineStr">
        <is>
          <t xml:space="preserve">S</t>
        </is>
      </c>
      <c r="G76" t="inlineStr">
        <is>
          <t xml:space="preserve">W</t>
        </is>
      </c>
      <c r="H76" t="inlineStr">
        <is>
          <t xml:space="preserve">S</t>
        </is>
      </c>
      <c r="I76" t="inlineStr">
        <is>
          <t xml:space="preserve">M</t>
        </is>
      </c>
      <c r="J76" t="inlineStr">
        <is>
          <t xml:space="preserve">W</t>
        </is>
      </c>
    </row>
    <row r="77">
      <c r="A77" t="inlineStr">
        <is>
          <t xml:space="preserve">S76</t>
        </is>
      </c>
      <c r="B77" t="inlineStr">
        <is>
          <t xml:space="preserve">ST01; ST09; ST10; ST11; ST12; ST13; ST14; ST15; ST16; ST17; ST18; ST27; ST31; ST33; ST54; ST37; ST47; ST80; ST90; ST95; ST51; ST57; ST77; ST60; ST63; ST66; ST69; ST74</t>
        </is>
      </c>
      <c r="C77" t="inlineStr">
        <is>
          <t xml:space="preserve">Will you publish the details so the public can read them?</t>
        </is>
      </c>
      <c r="D77" t="inlineStr">
        <is>
          <t xml:space="preserve">Transparency</t>
        </is>
      </c>
      <c r="E77" t="inlineStr">
        <is>
          <t xml:space="preserve">S</t>
        </is>
      </c>
      <c r="F77" t="inlineStr">
        <is>
          <t xml:space="preserve">M</t>
        </is>
      </c>
      <c r="G77" t="inlineStr">
        <is>
          <t xml:space="preserve">S</t>
        </is>
      </c>
      <c r="H77" t="inlineStr">
        <is>
          <t xml:space="preserve">M</t>
        </is>
      </c>
      <c r="I77" t="inlineStr">
        <is>
          <t xml:space="preserve">W</t>
        </is>
      </c>
      <c r="J77" t="inlineStr">
        <is>
          <t xml:space="preserve">W</t>
        </is>
      </c>
    </row>
    <row r="78">
      <c r="A78" t="inlineStr">
        <is>
          <t xml:space="preserve">S77</t>
        </is>
      </c>
      <c r="B78" t="inlineStr">
        <is>
          <t xml:space="preserve">ST01; ST09; ST10; ST11; ST12; ST13; ST14; ST15; ST16; ST17; ST18; ST27; ST31; ST33; ST54; ST37; ST47; ST80; ST90; ST95; ST51; ST57; ST77; ST60; ST63; ST66; ST69; ST74</t>
        </is>
      </c>
      <c r="C78" t="inlineStr">
        <is>
          <t xml:space="preserve">Where does this proposal stop? What is outside it?</t>
        </is>
      </c>
      <c r="D78" t="inlineStr">
        <is>
          <t xml:space="preserve">Scope</t>
        </is>
      </c>
      <c r="E78" t="inlineStr">
        <is>
          <t xml:space="preserve">W</t>
        </is>
      </c>
      <c r="F78" t="inlineStr">
        <is>
          <t xml:space="preserve">W</t>
        </is>
      </c>
      <c r="G78" t="inlineStr">
        <is>
          <t xml:space="preserve">M</t>
        </is>
      </c>
      <c r="H78" t="inlineStr">
        <is>
          <t xml:space="preserve">S</t>
        </is>
      </c>
      <c r="I78" t="inlineStr">
        <is>
          <t xml:space="preserve">M</t>
        </is>
      </c>
      <c r="J78" t="inlineStr">
        <is>
          <t xml:space="preserve">S</t>
        </is>
      </c>
    </row>
    <row r="79">
      <c r="A79" t="inlineStr">
        <is>
          <t xml:space="preserve">S78</t>
        </is>
      </c>
      <c r="B79" t="inlineStr">
        <is>
          <t xml:space="preserve">ST01; ST09; ST10; ST11; ST12; ST13; ST14; ST15; ST16; ST17; ST18; ST27; ST31; ST33; ST54; ST37; ST47; ST80; ST90; ST95; ST51; ST57; ST77; ST60; ST63; ST66; ST69; ST74</t>
        </is>
      </c>
      <c r="C79" t="inlineStr">
        <is>
          <t xml:space="preserve">How will the rules be enforced against those who break them?</t>
        </is>
      </c>
      <c r="D79" t="inlineStr">
        <is>
          <t xml:space="preserve">Enforcement</t>
        </is>
      </c>
      <c r="E79" t="inlineStr">
        <is>
          <t xml:space="preserve">S</t>
        </is>
      </c>
      <c r="F79" t="inlineStr">
        <is>
          <t xml:space="preserve">M</t>
        </is>
      </c>
      <c r="G79" t="inlineStr">
        <is>
          <t xml:space="preserve">W</t>
        </is>
      </c>
      <c r="H79" t="inlineStr">
        <is>
          <t xml:space="preserve">M</t>
        </is>
      </c>
      <c r="I79" t="inlineStr">
        <is>
          <t xml:space="preserve">S</t>
        </is>
      </c>
      <c r="J79" t="inlineStr">
        <is>
          <t xml:space="preserve">W</t>
        </is>
      </c>
    </row>
    <row r="80">
      <c r="A80" t="inlineStr">
        <is>
          <t xml:space="preserve">S79</t>
        </is>
      </c>
      <c r="B80" t="inlineStr">
        <is>
          <t xml:space="preserve">ST01; ST09; ST10; ST11; ST12; ST13; ST14; ST15; ST16; ST17; ST18; ST27; ST31; ST33; ST54; ST37; ST47; ST80; ST90; ST95; ST51; ST57; ST77; ST60; ST63; ST66; ST69; ST74</t>
        </is>
      </c>
      <c r="C80" t="inlineStr">
        <is>
          <t xml:space="preserve">How do you define the key terms you rely on?</t>
        </is>
      </c>
      <c r="D80" t="inlineStr">
        <is>
          <t xml:space="preserve">Definitions</t>
        </is>
      </c>
      <c r="E80" t="inlineStr">
        <is>
          <t xml:space="preserve">W</t>
        </is>
      </c>
      <c r="F80" t="inlineStr">
        <is>
          <t xml:space="preserve">W</t>
        </is>
      </c>
      <c r="G80" t="inlineStr">
        <is>
          <t xml:space="preserve">W</t>
        </is>
      </c>
      <c r="H80" t="inlineStr">
        <is>
          <t xml:space="preserve">S</t>
        </is>
      </c>
      <c r="I80" t="inlineStr">
        <is>
          <t xml:space="preserve">S</t>
        </is>
      </c>
      <c r="J80" t="inlineStr">
        <is>
          <t xml:space="preserve">S</t>
        </is>
      </c>
    </row>
    <row r="81">
      <c r="A81" t="inlineStr">
        <is>
          <t xml:space="preserve">S80</t>
        </is>
      </c>
      <c r="B81" t="inlineStr">
        <is>
          <t xml:space="preserve">ST01; ST09; ST10; ST11; ST12; ST13; ST14; ST15; ST16; ST17; ST18; ST27; ST31; ST33; ST54; ST37; ST47; ST80; ST90; ST95; ST51; ST57; ST77; ST60; ST63; ST66; ST69; ST74</t>
        </is>
      </c>
      <c r="C81" t="inlineStr">
        <is>
          <t xml:space="preserve">What number tells us this has worked?</t>
        </is>
      </c>
      <c r="D81" t="inlineStr">
        <is>
          <t xml:space="preserve">Metrics</t>
        </is>
      </c>
      <c r="E81" t="inlineStr">
        <is>
          <t xml:space="preserve">M</t>
        </is>
      </c>
      <c r="F81" t="inlineStr">
        <is>
          <t xml:space="preserve">W</t>
        </is>
      </c>
      <c r="G81" t="inlineStr">
        <is>
          <t xml:space="preserve">M</t>
        </is>
      </c>
      <c r="H81" t="inlineStr">
        <is>
          <t xml:space="preserve">S</t>
        </is>
      </c>
      <c r="I81" t="inlineStr">
        <is>
          <t xml:space="preserve">W</t>
        </is>
      </c>
      <c r="J81" t="inlineStr">
        <is>
          <t xml:space="preserve">S</t>
        </is>
      </c>
    </row>
    <row r="82">
      <c r="A82" t="inlineStr">
        <is>
          <t xml:space="preserve">S81</t>
        </is>
      </c>
      <c r="B82" t="inlineStr">
        <is>
          <t xml:space="preserve">ST01; ST09; ST10; ST11; ST12; ST13; ST14; ST15; ST16; ST17; ST18; ST27; ST31; ST33; ST54; ST37; ST47; ST80; ST90; ST95; ST51; ST57; ST77; ST60; ST63; ST66; ST69; ST74</t>
        </is>
      </c>
      <c r="C82" t="inlineStr">
        <is>
          <t xml:space="preserve">Will you tell this committee plainly what you do not know?</t>
        </is>
      </c>
      <c r="D82" t="inlineStr">
        <is>
          <t xml:space="preserve">Honesty</t>
        </is>
      </c>
      <c r="E82" t="inlineStr">
        <is>
          <t xml:space="preserve">S</t>
        </is>
      </c>
      <c r="F82" t="inlineStr">
        <is>
          <t xml:space="preserve">S</t>
        </is>
      </c>
      <c r="G82" t="inlineStr">
        <is>
          <t xml:space="preserve">M</t>
        </is>
      </c>
      <c r="H82" t="inlineStr">
        <is>
          <t xml:space="preserve">W</t>
        </is>
      </c>
      <c r="I82" t="inlineStr">
        <is>
          <t xml:space="preserve">W</t>
        </is>
      </c>
      <c r="J82" t="inlineStr">
        <is>
          <t xml:space="preserve">M</t>
        </is>
      </c>
    </row>
    <row r="83">
      <c r="A83" t="inlineStr">
        <is>
          <t xml:space="preserve">S82</t>
        </is>
      </c>
      <c r="B83" t="inlineStr">
        <is>
          <t xml:space="preserve">ST01; ST09; ST10; ST11; ST12; ST13; ST14; ST15; ST16; ST17; ST18; ST27; ST31; ST33; ST54; ST37; ST47; ST80; ST90; ST95; ST51; ST57; ST77; ST60; ST63; ST66; ST69; ST74</t>
        </is>
      </c>
      <c r="C83" t="inlineStr">
        <is>
          <t xml:space="preserve">Who did you consult before bringing this forward?</t>
        </is>
      </c>
      <c r="D83" t="inlineStr">
        <is>
          <t xml:space="preserve">Consultation</t>
        </is>
      </c>
      <c r="E83" t="inlineStr">
        <is>
          <t xml:space="preserve">M</t>
        </is>
      </c>
      <c r="F83" t="inlineStr">
        <is>
          <t xml:space="preserve">M</t>
        </is>
      </c>
      <c r="G83" t="inlineStr">
        <is>
          <t xml:space="preserve">S</t>
        </is>
      </c>
      <c r="H83" t="inlineStr">
        <is>
          <t xml:space="preserve">M</t>
        </is>
      </c>
      <c r="I83" t="inlineStr">
        <is>
          <t xml:space="preserve">S</t>
        </is>
      </c>
      <c r="J83" t="inlineStr">
        <is>
          <t xml:space="preserve">S</t>
        </is>
      </c>
    </row>
    <row r="84">
      <c r="A84" t="inlineStr">
        <is>
          <t xml:space="preserve">S83</t>
        </is>
      </c>
      <c r="B84" t="inlineStr">
        <is>
          <t xml:space="preserve">ST01; ST09; ST10; ST11; ST12; ST13; ST14; ST15; ST16; ST17; ST18; ST27; ST31; ST33; ST54; ST37; ST47; ST80; ST90; ST95; ST51; ST57; ST77; ST60; ST63; ST66; ST69; ST74</t>
        </is>
      </c>
      <c r="C84" t="inlineStr">
        <is>
          <t xml:space="preserve">How do the agencies involved work together on this?</t>
        </is>
      </c>
      <c r="D84" t="inlineStr">
        <is>
          <t xml:space="preserve">Coordination</t>
        </is>
      </c>
      <c r="E84" t="inlineStr">
        <is>
          <t xml:space="preserve">W</t>
        </is>
      </c>
      <c r="F84" t="inlineStr">
        <is>
          <t xml:space="preserve">W</t>
        </is>
      </c>
      <c r="G84" t="inlineStr">
        <is>
          <t xml:space="preserve">S</t>
        </is>
      </c>
      <c r="H84" t="inlineStr">
        <is>
          <t xml:space="preserve">S</t>
        </is>
      </c>
      <c r="I84" t="inlineStr">
        <is>
          <t xml:space="preserve">M</t>
        </is>
      </c>
      <c r="J84" t="inlineStr">
        <is>
          <t xml:space="preserve">M</t>
        </is>
      </c>
    </row>
    <row r="85">
      <c r="A85" t="inlineStr">
        <is>
          <t xml:space="preserve">S84</t>
        </is>
      </c>
      <c r="B85" t="inlineStr">
        <is>
          <t xml:space="preserve">ST01; ST09; ST10; ST11; ST12; ST13; ST14; ST15; ST16; ST17; ST18; ST27; ST31; ST33; ST54; ST37; ST47; ST80; ST90; ST95; ST51; ST57; ST77; ST60; ST63; ST66; ST69; ST74</t>
        </is>
      </c>
      <c r="C85" t="inlineStr">
        <is>
          <t xml:space="preserve">What is the worst that could happen, and are you prepared for it?</t>
        </is>
      </c>
      <c r="D85" t="inlineStr">
        <is>
          <t xml:space="preserve">Risk</t>
        </is>
      </c>
      <c r="E85" t="inlineStr">
        <is>
          <t xml:space="preserve">S</t>
        </is>
      </c>
      <c r="F85" t="inlineStr">
        <is>
          <t xml:space="preserve">S</t>
        </is>
      </c>
      <c r="G85" t="inlineStr">
        <is>
          <t xml:space="preserve">M</t>
        </is>
      </c>
      <c r="H85" t="inlineStr">
        <is>
          <t xml:space="preserve">M</t>
        </is>
      </c>
      <c r="I85" t="inlineStr">
        <is>
          <t xml:space="preserve">W</t>
        </is>
      </c>
      <c r="J85" t="inlineStr">
        <is>
          <t xml:space="preserve">W</t>
        </is>
      </c>
    </row>
    <row r="86">
      <c r="A86" t="inlineStr">
        <is>
          <t xml:space="preserve">S85</t>
        </is>
      </c>
      <c r="B86" t="inlineStr">
        <is>
          <t xml:space="preserve">ST01; ST09; ST10; ST11; ST12; ST13; ST14; ST15; ST16; ST17; ST18; ST27; ST31; ST33; ST54; ST37; ST47; ST80; ST90; ST95; ST51; ST57; ST77; ST60; ST63; ST66; ST69; ST74</t>
        </is>
      </c>
      <c r="C86" t="inlineStr">
        <is>
          <t xml:space="preserve">Why should this come ahead of other demands on the budget?</t>
        </is>
      </c>
      <c r="D86" t="inlineStr">
        <is>
          <t xml:space="preserve">Priority</t>
        </is>
      </c>
      <c r="E86" t="inlineStr">
        <is>
          <t xml:space="preserve">M</t>
        </is>
      </c>
      <c r="F86" t="inlineStr">
        <is>
          <t xml:space="preserve">M</t>
        </is>
      </c>
      <c r="G86" t="inlineStr">
        <is>
          <t xml:space="preserve">S</t>
        </is>
      </c>
      <c r="H86" t="inlineStr">
        <is>
          <t xml:space="preserve">M</t>
        </is>
      </c>
      <c r="I86" t="inlineStr">
        <is>
          <t xml:space="preserve">S</t>
        </is>
      </c>
      <c r="J86" t="inlineStr">
        <is>
          <t xml:space="preserve">W</t>
        </is>
      </c>
    </row>
    <row r="87">
      <c r="A87" t="inlineStr">
        <is>
          <t xml:space="preserve">S86</t>
        </is>
      </c>
      <c r="B87" t="inlineStr">
        <is>
          <t xml:space="preserve">ST01; ST09; ST10; ST11; ST12; ST13; ST14; ST15; ST16; ST17; ST18; ST27; ST31; ST33; ST54; ST37; ST47; ST80; ST90; ST95; ST51; ST57; ST77; ST60; ST63; ST66; ST69; ST74</t>
        </is>
      </c>
      <c r="C87" t="inlineStr">
        <is>
          <t xml:space="preserve">In one sentence, what is this proposal for?</t>
        </is>
      </c>
      <c r="D87" t="inlineStr">
        <is>
          <t xml:space="preserve">Purpose</t>
        </is>
      </c>
      <c r="E87" t="inlineStr">
        <is>
          <t xml:space="preserve">S</t>
        </is>
      </c>
      <c r="F87" t="inlineStr">
        <is>
          <t xml:space="preserve">M</t>
        </is>
      </c>
      <c r="G87" t="inlineStr">
        <is>
          <t xml:space="preserve">S</t>
        </is>
      </c>
      <c r="H87" t="inlineStr">
        <is>
          <t xml:space="preserve">W</t>
        </is>
      </c>
      <c r="I87" t="inlineStr">
        <is>
          <t xml:space="preserve">M</t>
        </is>
      </c>
      <c r="J87" t="inlineStr">
        <is>
          <t xml:space="preserve">W</t>
        </is>
      </c>
    </row>
    <row r="88">
      <c r="A88" t="inlineStr">
        <is>
          <t xml:space="preserve">S87</t>
        </is>
      </c>
      <c r="B88" t="inlineStr">
        <is>
          <t xml:space="preserve">ST01; ST09; ST10; ST11; ST12; ST13; ST14; ST15; ST16; ST17; ST18; ST27; ST31; ST33; ST54; ST37; ST47; ST80; ST90; ST95; ST51; ST57; ST77; ST60; ST63; ST66; ST69; ST74</t>
        </is>
      </c>
      <c r="C88" t="inlineStr">
        <is>
          <t xml:space="preserve">Is this within the law as it stands? Who says so?</t>
        </is>
      </c>
      <c r="D88" t="inlineStr">
        <is>
          <t xml:space="preserve">Legality</t>
        </is>
      </c>
      <c r="E88" t="inlineStr">
        <is>
          <t xml:space="preserve">M</t>
        </is>
      </c>
      <c r="F88" t="inlineStr">
        <is>
          <t xml:space="preserve">W</t>
        </is>
      </c>
      <c r="G88" t="inlineStr">
        <is>
          <t xml:space="preserve">W</t>
        </is>
      </c>
      <c r="H88" t="inlineStr">
        <is>
          <t xml:space="preserve">S</t>
        </is>
      </c>
      <c r="I88" t="inlineStr">
        <is>
          <t xml:space="preserve">S</t>
        </is>
      </c>
      <c r="J88" t="inlineStr">
        <is>
          <t xml:space="preserve">M</t>
        </is>
      </c>
    </row>
    <row r="89">
      <c r="A89" t="inlineStr">
        <is>
          <t xml:space="preserve">S88</t>
        </is>
      </c>
      <c r="B89" t="inlineStr">
        <is>
          <t xml:space="preserve">ST01; ST09; ST10; ST11; ST12; ST13; ST14; ST15; ST16; ST17; ST18; ST27; ST31; ST33; ST54; ST37; ST47; ST80; ST90; ST95; ST51; ST57; ST77; ST60; ST63; ST66; ST69; ST74</t>
        </is>
      </c>
      <c r="C89" t="inlineStr">
        <is>
          <t xml:space="preserve">Which clause worries you most in your own draft?</t>
        </is>
      </c>
      <c r="D89" t="inlineStr">
        <is>
          <t xml:space="preserve">Drafting</t>
        </is>
      </c>
      <c r="E89" t="inlineStr">
        <is>
          <t xml:space="preserve">S</t>
        </is>
      </c>
      <c r="F89" t="inlineStr">
        <is>
          <t xml:space="preserve">M</t>
        </is>
      </c>
      <c r="G89" t="inlineStr">
        <is>
          <t xml:space="preserve">M</t>
        </is>
      </c>
      <c r="H89" t="inlineStr">
        <is>
          <t xml:space="preserve">W</t>
        </is>
      </c>
      <c r="I89" t="inlineStr">
        <is>
          <t xml:space="preserve">M</t>
        </is>
      </c>
      <c r="J89" t="inlineStr">
        <is>
          <t xml:space="preserve">S</t>
        </is>
      </c>
    </row>
    <row r="90">
      <c r="A90" t="inlineStr">
        <is>
          <t xml:space="preserve">S89</t>
        </is>
      </c>
      <c r="B90" t="inlineStr">
        <is>
          <t xml:space="preserve">ST01; ST09; ST10; ST11; ST12; ST13; ST14; ST15; ST16; ST17; ST18; ST27; ST31; ST33; ST54; ST37; ST47; ST80; ST90; ST95; ST51; ST57; ST77; ST60; ST63; ST66; ST69; ST74</t>
        </is>
      </c>
      <c r="C90" t="inlineStr">
        <is>
          <t xml:space="preserve">Why should this committee trust you to deliver this?</t>
        </is>
      </c>
      <c r="D90" t="inlineStr">
        <is>
          <t xml:space="preserve">Competence</t>
        </is>
      </c>
      <c r="E90" t="inlineStr">
        <is>
          <t xml:space="preserve">S</t>
        </is>
      </c>
      <c r="F90" t="inlineStr">
        <is>
          <t xml:space="preserve">S</t>
        </is>
      </c>
      <c r="G90" t="inlineStr">
        <is>
          <t xml:space="preserve">M</t>
        </is>
      </c>
      <c r="H90" t="inlineStr">
        <is>
          <t xml:space="preserve">M</t>
        </is>
      </c>
      <c r="I90" t="inlineStr">
        <is>
          <t xml:space="preserve">S</t>
        </is>
      </c>
      <c r="J90" t="inlineStr">
        <is>
          <t xml:space="preserve">W</t>
        </is>
      </c>
    </row>
    <row r="91">
      <c r="A91" t="inlineStr">
        <is>
          <t xml:space="preserve">S90</t>
        </is>
      </c>
      <c r="B91" t="inlineStr">
        <is>
          <t xml:space="preserve">ST01; ST09; ST10; ST11; ST12; ST13; ST14; ST15; ST16; ST17; ST18; ST27; ST31; ST33; ST54; ST37; ST47; ST80; ST90; ST95; ST51; ST57; ST77; ST60; ST63; ST66; ST69; ST74</t>
        </is>
      </c>
      <c r="C91" t="inlineStr">
        <is>
          <t xml:space="preserve">Members across the table doubt you. What would change their minds?</t>
        </is>
      </c>
      <c r="D91" t="inlineStr">
        <is>
          <t xml:space="preserve">Trust</t>
        </is>
      </c>
      <c r="E91" t="inlineStr">
        <is>
          <t xml:space="preserve">M</t>
        </is>
      </c>
      <c r="F91" t="inlineStr">
        <is>
          <t xml:space="preserve">S</t>
        </is>
      </c>
      <c r="G91" t="inlineStr">
        <is>
          <t xml:space="preserve">S</t>
        </is>
      </c>
      <c r="H91" t="inlineStr">
        <is>
          <t xml:space="preserve">W</t>
        </is>
      </c>
      <c r="I91" t="inlineStr">
        <is>
          <t xml:space="preserve">M</t>
        </is>
      </c>
      <c r="J91" t="inlineStr">
        <is>
          <t xml:space="preserve">M</t>
        </is>
      </c>
    </row>
    <row r="92">
      <c r="A92" t="inlineStr">
        <is>
          <t xml:space="preserve">S91</t>
        </is>
      </c>
      <c r="B92" t="inlineStr">
        <is>
          <t xml:space="preserve">ST01; ST09; ST10; ST11; ST12; ST13; ST14; ST15; ST16; ST17; ST18; ST27; ST31; ST33; ST54; ST37; ST47; ST80; ST90; ST95; ST51; ST57; ST77; ST60; ST63; ST66; ST69; ST74</t>
        </is>
      </c>
      <c r="C92" t="inlineStr">
        <is>
          <t xml:space="preserve">Who is worse off if this passes?</t>
        </is>
      </c>
      <c r="D92" t="inlineStr">
        <is>
          <t xml:space="preserve">Impact</t>
        </is>
      </c>
      <c r="E92" t="inlineStr">
        <is>
          <t xml:space="preserve">S</t>
        </is>
      </c>
      <c r="F92" t="inlineStr">
        <is>
          <t xml:space="preserve">S</t>
        </is>
      </c>
      <c r="G92" t="inlineStr">
        <is>
          <t xml:space="preserve">W</t>
        </is>
      </c>
      <c r="H92" t="inlineStr">
        <is>
          <t xml:space="preserve">M</t>
        </is>
      </c>
      <c r="I92" t="inlineStr">
        <is>
          <t xml:space="preserve">S</t>
        </is>
      </c>
      <c r="J92" t="inlineStr">
        <is>
          <t xml:space="preserve">M</t>
        </is>
      </c>
    </row>
    <row r="93">
      <c r="A93" t="inlineStr">
        <is>
          <t xml:space="preserve">S92</t>
        </is>
      </c>
      <c r="B93" t="inlineStr">
        <is>
          <t xml:space="preserve">ST01; ST09; ST10; ST11; ST12; ST13; ST14; ST15; ST16; ST17; ST18; ST27; ST31; ST33; ST54; ST37; ST47; ST80; ST90; ST95; ST51; ST57; ST77; ST60; ST63; ST66; ST69; ST74</t>
        </is>
      </c>
      <c r="C93" t="inlineStr">
        <is>
          <t xml:space="preserve">What would you give up to win broader support?</t>
        </is>
      </c>
      <c r="D93" t="inlineStr">
        <is>
          <t xml:space="preserve">Compromise</t>
        </is>
      </c>
      <c r="E93" t="inlineStr">
        <is>
          <t xml:space="preserve">W</t>
        </is>
      </c>
      <c r="F93" t="inlineStr">
        <is>
          <t xml:space="preserve">M</t>
        </is>
      </c>
      <c r="G93" t="inlineStr">
        <is>
          <t xml:space="preserve">S</t>
        </is>
      </c>
      <c r="H93" t="inlineStr">
        <is>
          <t xml:space="preserve">W</t>
        </is>
      </c>
      <c r="I93" t="inlineStr">
        <is>
          <t xml:space="preserve">W</t>
        </is>
      </c>
      <c r="J93" t="inlineStr">
        <is>
          <t xml:space="preserve">S</t>
        </is>
      </c>
    </row>
    <row r="94">
      <c r="A94" t="inlineStr">
        <is>
          <t xml:space="preserve">S93</t>
        </is>
      </c>
      <c r="B94" t="inlineStr">
        <is>
          <t xml:space="preserve">ST01; ST09; ST10; ST11; ST12; ST13; ST14; ST15; ST16; ST17; ST18; ST27; ST31; ST33; ST54; ST37; ST47; ST80; ST90; ST95; ST51; ST57; ST77; ST60; ST63; ST66; ST69; ST74</t>
        </is>
      </c>
      <c r="C94" t="inlineStr">
        <is>
          <t xml:space="preserve">What happens if the schedule slips?</t>
        </is>
      </c>
      <c r="D94" t="inlineStr">
        <is>
          <t xml:space="preserve">Implementation</t>
        </is>
      </c>
      <c r="E94" t="inlineStr">
        <is>
          <t xml:space="preserve">M</t>
        </is>
      </c>
      <c r="F94" t="inlineStr">
        <is>
          <t xml:space="preserve">W</t>
        </is>
      </c>
      <c r="G94" t="inlineStr">
        <is>
          <t xml:space="preserve">M</t>
        </is>
      </c>
      <c r="H94" t="inlineStr">
        <is>
          <t xml:space="preserve">M</t>
        </is>
      </c>
      <c r="I94" t="inlineStr">
        <is>
          <t xml:space="preserve">S</t>
        </is>
      </c>
      <c r="J94" t="inlineStr">
        <is>
          <t xml:space="preserve">S</t>
        </is>
      </c>
    </row>
    <row r="95">
      <c r="A95" t="inlineStr">
        <is>
          <t xml:space="preserve">S94</t>
        </is>
      </c>
      <c r="B95" t="inlineStr">
        <is>
          <t xml:space="preserve">ST01; ST09; ST10; ST11; ST12; ST13; ST14; ST15; ST16; ST17; ST18; ST27; ST31; ST33; ST54; ST37; ST47; ST80; ST90; ST95; ST51; ST57; ST77; ST60; ST63; ST66; ST69; ST74</t>
        </is>
      </c>
      <c r="C95" t="inlineStr">
        <is>
          <t xml:space="preserve">What alternatives did you reject, and why?</t>
        </is>
      </c>
      <c r="D95" t="inlineStr">
        <is>
          <t xml:space="preserve">Feasibility</t>
        </is>
      </c>
      <c r="E95" t="inlineStr">
        <is>
          <t xml:space="preserve">S</t>
        </is>
      </c>
      <c r="F95" t="inlineStr">
        <is>
          <t xml:space="preserve">M</t>
        </is>
      </c>
      <c r="G95" t="inlineStr">
        <is>
          <t xml:space="preserve">W</t>
        </is>
      </c>
      <c r="H95" t="inlineStr">
        <is>
          <t xml:space="preserve">S</t>
        </is>
      </c>
      <c r="I95" t="inlineStr">
        <is>
          <t xml:space="preserve">W</t>
        </is>
      </c>
      <c r="J95" t="inlineStr">
        <is>
          <t xml:space="preserve">M</t>
        </is>
      </c>
    </row>
    <row r="96">
      <c r="A96" t="inlineStr">
        <is>
          <t xml:space="preserve">S95</t>
        </is>
      </c>
      <c r="B96" t="inlineStr">
        <is>
          <t xml:space="preserve">ST01; ST09; ST10; ST11; ST12; ST13; ST14; ST15; ST16; ST17; ST18; ST27; ST31; ST33; ST54; ST37; ST47; ST80; ST90; ST95; ST51; ST57; ST77; ST60; ST63; ST66; ST69; ST74</t>
        </is>
      </c>
      <c r="C96" t="inlineStr">
        <is>
          <t xml:space="preserve">How will ordinary people hear about this and have their say?</t>
        </is>
      </c>
      <c r="D96" t="inlineStr">
        <is>
          <t xml:space="preserve">Openness</t>
        </is>
      </c>
      <c r="E96" t="inlineStr">
        <is>
          <t xml:space="preserve">S</t>
        </is>
      </c>
      <c r="F96" t="inlineStr">
        <is>
          <t xml:space="preserve">S</t>
        </is>
      </c>
      <c r="G96" t="inlineStr">
        <is>
          <t xml:space="preserve">S</t>
        </is>
      </c>
      <c r="H96" t="inlineStr">
        <is>
          <t xml:space="preserve">W</t>
        </is>
      </c>
      <c r="I96" t="inlineStr">
        <is>
          <t xml:space="preserve">W</t>
        </is>
      </c>
      <c r="J96" t="inlineStr">
        <is>
          <t xml:space="preserve">M</t>
        </is>
      </c>
    </row>
    <row r="97">
      <c r="A97" t="inlineStr">
        <is>
          <t xml:space="preserve">S96</t>
        </is>
      </c>
      <c r="B97" t="inlineStr">
        <is>
          <t xml:space="preserve">ST01; ST09; ST10; ST11; ST12; ST13; ST14; ST15; ST16; ST17; ST18; ST27; ST31; ST33; ST54; ST37; ST47; ST80; ST90; ST95; ST51; ST57; ST77; ST60; ST63; ST66; ST69; ST74</t>
        </is>
      </c>
      <c r="C97" t="inlineStr">
        <is>
          <t xml:space="preserve">When should this committee review the results?</t>
        </is>
      </c>
      <c r="D97" t="inlineStr">
        <is>
          <t xml:space="preserve">Metrics</t>
        </is>
      </c>
      <c r="E97" t="inlineStr">
        <is>
          <t xml:space="preserve">W</t>
        </is>
      </c>
      <c r="F97" t="inlineStr">
        <is>
          <t xml:space="preserve">M</t>
        </is>
      </c>
      <c r="G97" t="inlineStr">
        <is>
          <t xml:space="preserve">M</t>
        </is>
      </c>
      <c r="H97" t="inlineStr">
        <is>
          <t xml:space="preserve">S</t>
        </is>
      </c>
      <c r="I97" t="inlineStr">
        <is>
          <t xml:space="preserve">W</t>
        </is>
      </c>
      <c r="J97" t="inlineStr">
        <is>
          <t xml:space="preserve">S</t>
        </is>
      </c>
    </row>
    <row r="98">
      <c r="A98" t="inlineStr">
        <is>
          <t xml:space="preserve">S97</t>
        </is>
      </c>
      <c r="B98" t="inlineStr">
        <is>
          <t xml:space="preserve">ST01; ST09; ST10; ST11; ST12; ST13; ST14; ST15; ST16; ST17; ST18; ST27; ST31; ST33; ST54; ST37; ST47; ST80; ST90; ST95; ST51; ST57; ST77; ST60; ST63; ST66; ST69; ST74</t>
        </is>
      </c>
      <c r="C98" t="inlineStr">
        <is>
          <t xml:space="preserve">Is this fair to everyone it touches?</t>
        </is>
      </c>
      <c r="D98" t="inlineStr">
        <is>
          <t xml:space="preserve">Impact</t>
        </is>
      </c>
      <c r="E98" t="inlineStr">
        <is>
          <t xml:space="preserve">S</t>
        </is>
      </c>
      <c r="F98" t="inlineStr">
        <is>
          <t xml:space="preserve">S</t>
        </is>
      </c>
      <c r="G98" t="inlineStr">
        <is>
          <t xml:space="preserve">M</t>
        </is>
      </c>
      <c r="H98" t="inlineStr">
        <is>
          <t xml:space="preserve">M</t>
        </is>
      </c>
      <c r="I98" t="inlineStr">
        <is>
          <t xml:space="preserve">S</t>
        </is>
      </c>
      <c r="J98" t="inlineStr">
        <is>
          <t xml:space="preserve">W</t>
        </is>
      </c>
    </row>
    <row r="99">
      <c r="A99" t="inlineStr">
        <is>
          <t xml:space="preserve">S98</t>
        </is>
      </c>
      <c r="B99" t="inlineStr">
        <is>
          <t xml:space="preserve">ST26</t>
        </is>
      </c>
      <c r="C99" t="inlineStr">
        <is>
          <t xml:space="preserve">How much will a typical commuter pay each month if fares rise?</t>
        </is>
      </c>
      <c r="D99" t="inlineStr">
        <is>
          <t xml:space="preserve">Commuter fares</t>
        </is>
      </c>
      <c r="E99" t="inlineStr">
        <is>
          <t xml:space="preserve">S</t>
        </is>
      </c>
      <c r="F99" t="inlineStr">
        <is>
          <t xml:space="preserve">M</t>
        </is>
      </c>
      <c r="G99" t="inlineStr">
        <is>
          <t xml:space="preserve">M</t>
        </is>
      </c>
      <c r="H99" t="inlineStr">
        <is>
          <t xml:space="preserve">S</t>
        </is>
      </c>
      <c r="I99" t="inlineStr">
        <is>
          <t xml:space="preserve">W</t>
        </is>
      </c>
      <c r="J99" t="inlineStr">
        <is>
          <t xml:space="preserve">W</t>
        </is>
      </c>
    </row>
    <row r="100">
      <c r="A100" t="inlineStr">
        <is>
          <t xml:space="preserve">S99</t>
        </is>
      </c>
      <c r="B100" t="inlineStr">
        <is>
          <t xml:space="preserve">ST26</t>
        </is>
      </c>
      <c r="C100" t="inlineStr">
        <is>
          <t xml:space="preserve">Which lines would see the biggest increases?</t>
        </is>
      </c>
      <c r="D100" t="inlineStr">
        <is>
          <t xml:space="preserve">Rail operator costs</t>
        </is>
      </c>
      <c r="E100" t="inlineStr">
        <is>
          <t xml:space="preserve">M</t>
        </is>
      </c>
      <c r="F100" t="inlineStr">
        <is>
          <t xml:space="preserve">W</t>
        </is>
      </c>
      <c r="G100" t="inlineStr">
        <is>
          <t xml:space="preserve">M</t>
        </is>
      </c>
      <c r="H100" t="inlineStr">
        <is>
          <t xml:space="preserve">S</t>
        </is>
      </c>
      <c r="I100" t="inlineStr">
        <is>
          <t xml:space="preserve">S</t>
        </is>
      </c>
      <c r="J100" t="inlineStr">
        <is>
          <t xml:space="preserve">M</t>
        </is>
      </c>
    </row>
    <row r="101">
      <c r="A101" t="inlineStr">
        <is>
          <t xml:space="preserve">S100</t>
        </is>
      </c>
      <c r="B101" t="inlineStr">
        <is>
          <t xml:space="preserve">ST26</t>
        </is>
      </c>
      <c r="C101" t="inlineStr">
        <is>
          <t xml:space="preserve">Why not raise highway tolls instead of rail fares?</t>
        </is>
      </c>
      <c r="D101" t="inlineStr">
        <is>
          <t xml:space="preserve">Transit</t>
        </is>
      </c>
      <c r="E101" t="inlineStr">
        <is>
          <t xml:space="preserve">S</t>
        </is>
      </c>
      <c r="F101" t="inlineStr">
        <is>
          <t xml:space="preserve">M</t>
        </is>
      </c>
      <c r="G101" t="inlineStr">
        <is>
          <t xml:space="preserve">W</t>
        </is>
      </c>
      <c r="H101" t="inlineStr">
        <is>
          <t xml:space="preserve">M</t>
        </is>
      </c>
      <c r="I101" t="inlineStr">
        <is>
          <t xml:space="preserve">S</t>
        </is>
      </c>
      <c r="J101" t="inlineStr">
        <is>
          <t xml:space="preserve">M</t>
        </is>
      </c>
    </row>
    <row r="102">
      <c r="A102" t="inlineStr">
        <is>
          <t xml:space="preserve">S101</t>
        </is>
      </c>
      <c r="B102" t="inlineStr">
        <is>
          <t xml:space="preserve">ST26</t>
        </is>
      </c>
      <c r="C102" t="inlineStr">
        <is>
          <t xml:space="preserve">Is the rail operator being honest about its books?</t>
        </is>
      </c>
      <c r="D102" t="inlineStr">
        <is>
          <t xml:space="preserve">Rail operator costs</t>
        </is>
      </c>
      <c r="E102" t="inlineStr">
        <is>
          <t xml:space="preserve">S</t>
        </is>
      </c>
      <c r="F102" t="inlineStr">
        <is>
          <t xml:space="preserve">W</t>
        </is>
      </c>
      <c r="G102" t="inlineStr">
        <is>
          <t xml:space="preserve">M</t>
        </is>
      </c>
      <c r="H102" t="inlineStr">
        <is>
          <t xml:space="preserve">M</t>
        </is>
      </c>
      <c r="I102" t="inlineStr">
        <is>
          <t xml:space="preserve">S</t>
        </is>
      </c>
      <c r="J102" t="inlineStr">
        <is>
          <t xml:space="preserve">M</t>
        </is>
      </c>
    </row>
    <row r="103">
      <c r="A103" t="inlineStr">
        <is>
          <t xml:space="preserve">S102</t>
        </is>
      </c>
      <c r="B103" t="inlineStr">
        <is>
          <t xml:space="preserve">ST26</t>
        </is>
      </c>
      <c r="C103" t="inlineStr">
        <is>
          <t xml:space="preserve">Will rural lines lose service to pay for city ones?</t>
        </is>
      </c>
      <c r="D103" t="inlineStr">
        <is>
          <t xml:space="preserve">Rural rail service</t>
        </is>
      </c>
      <c r="E103" t="inlineStr">
        <is>
          <t xml:space="preserve">M</t>
        </is>
      </c>
      <c r="F103" t="inlineStr">
        <is>
          <t xml:space="preserve">S</t>
        </is>
      </c>
      <c r="G103" t="inlineStr">
        <is>
          <t xml:space="preserve">S</t>
        </is>
      </c>
      <c r="H103" t="inlineStr">
        <is>
          <t xml:space="preserve">M</t>
        </is>
      </c>
      <c r="I103" t="inlineStr">
        <is>
          <t xml:space="preserve">S</t>
        </is>
      </c>
      <c r="J103" t="inlineStr">
        <is>
          <t xml:space="preserve">W</t>
        </is>
      </c>
    </row>
    <row r="104">
      <c r="A104" t="inlineStr">
        <is>
          <t xml:space="preserve">S103</t>
        </is>
      </c>
      <c r="B104" t="inlineStr">
        <is>
          <t xml:space="preserve">ST26</t>
        </is>
      </c>
      <c r="C104" t="inlineStr">
        <is>
          <t xml:space="preserve">Do you ride the train yourself?</t>
        </is>
      </c>
      <c r="D104" t="inlineStr">
        <is>
          <t xml:space="preserve">Commuter fares</t>
        </is>
      </c>
      <c r="E104" t="inlineStr">
        <is>
          <t xml:space="preserve">S</t>
        </is>
      </c>
      <c r="F104" t="inlineStr">
        <is>
          <t xml:space="preserve">M</t>
        </is>
      </c>
      <c r="G104" t="inlineStr">
        <is>
          <t xml:space="preserve">S</t>
        </is>
      </c>
      <c r="H104" t="inlineStr">
        <is>
          <t xml:space="preserve">W</t>
        </is>
      </c>
      <c r="I104" t="inlineStr">
        <is>
          <t xml:space="preserve">M</t>
        </is>
      </c>
      <c r="J104" t="inlineStr">
        <is>
          <t xml:space="preserve">S</t>
        </is>
      </c>
    </row>
    <row r="105">
      <c r="A105" t="inlineStr">
        <is>
          <t xml:space="preserve">S104</t>
        </is>
      </c>
      <c r="B105" t="inlineStr">
        <is>
          <t xml:space="preserve">ST26</t>
        </is>
      </c>
      <c r="C105" t="inlineStr">
        <is>
          <t xml:space="preserve">Commuters say the last fare rise bought them nothing. Are they wrong?</t>
        </is>
      </c>
      <c r="D105" t="inlineStr">
        <is>
          <t xml:space="preserve">Commuter fares</t>
        </is>
      </c>
      <c r="E105" t="inlineStr">
        <is>
          <t xml:space="preserve">S</t>
        </is>
      </c>
      <c r="F105" t="inlineStr">
        <is>
          <t xml:space="preserve">S</t>
        </is>
      </c>
      <c r="G105" t="inlineStr">
        <is>
          <t xml:space="preserve">M</t>
        </is>
      </c>
      <c r="H105" t="inlineStr">
        <is>
          <t xml:space="preserve">M</t>
        </is>
      </c>
      <c r="I105" t="inlineStr">
        <is>
          <t xml:space="preserve">M</t>
        </is>
      </c>
      <c r="J105" t="inlineStr">
        <is>
          <t xml:space="preserve">W</t>
        </is>
      </c>
    </row>
    <row r="106">
      <c r="A106" t="inlineStr">
        <is>
          <t xml:space="preserve">S105</t>
        </is>
      </c>
      <c r="B106" t="inlineStr">
        <is>
          <t xml:space="preserve">ST26</t>
        </is>
      </c>
      <c r="C106" t="inlineStr">
        <is>
          <t xml:space="preserve">Would you freeze fares for a year, yes or no?</t>
        </is>
      </c>
      <c r="D106" t="inlineStr">
        <is>
          <t xml:space="preserve">Fare relief</t>
        </is>
      </c>
      <c r="E106" t="inlineStr">
        <is>
          <t xml:space="preserve">S</t>
        </is>
      </c>
      <c r="F106" t="inlineStr">
        <is>
          <t xml:space="preserve">M</t>
        </is>
      </c>
      <c r="G106" t="inlineStr">
        <is>
          <t xml:space="preserve">M</t>
        </is>
      </c>
      <c r="H106" t="inlineStr">
        <is>
          <t xml:space="preserve">S</t>
        </is>
      </c>
      <c r="I106" t="inlineStr">
        <is>
          <t xml:space="preserve">M</t>
        </is>
      </c>
      <c r="J106" t="inlineStr">
        <is>
          <t xml:space="preserve">S</t>
        </is>
      </c>
    </row>
    <row r="107">
      <c r="A107" t="inlineStr">
        <is>
          <t xml:space="preserve">S106</t>
        </is>
      </c>
      <c r="B107" t="inlineStr">
        <is>
          <t xml:space="preserve">ST26</t>
        </is>
      </c>
      <c r="C107" t="inlineStr">
        <is>
          <t xml:space="preserve">How do cheaper tickets for seniors get paid for?</t>
        </is>
      </c>
      <c r="D107" t="inlineStr">
        <is>
          <t xml:space="preserve">Fare relief</t>
        </is>
      </c>
      <c r="E107" t="inlineStr">
        <is>
          <t xml:space="preserve">W</t>
        </is>
      </c>
      <c r="F107" t="inlineStr">
        <is>
          <t xml:space="preserve">S</t>
        </is>
      </c>
      <c r="G107" t="inlineStr">
        <is>
          <t xml:space="preserve">S</t>
        </is>
      </c>
      <c r="H107" t="inlineStr">
        <is>
          <t xml:space="preserve">M</t>
        </is>
      </c>
      <c r="I107" t="inlineStr">
        <is>
          <t xml:space="preserve">W</t>
        </is>
      </c>
      <c r="J107" t="inlineStr">
        <is>
          <t xml:space="preserve">M</t>
        </is>
      </c>
    </row>
    <row r="108">
      <c r="A108" t="inlineStr">
        <is>
          <t xml:space="preserve">S107</t>
        </is>
      </c>
      <c r="B108" t="inlineStr">
        <is>
          <t xml:space="preserve">ST26</t>
        </is>
      </c>
      <c r="C108" t="inlineStr">
        <is>
          <t xml:space="preserve">Will you be at the station when the new fares start?</t>
        </is>
      </c>
      <c r="D108" t="inlineStr">
        <is>
          <t xml:space="preserve">Commuter fares</t>
        </is>
      </c>
      <c r="E108" t="inlineStr">
        <is>
          <t xml:space="preserve">M</t>
        </is>
      </c>
      <c r="F108" t="inlineStr">
        <is>
          <t xml:space="preserve">S</t>
        </is>
      </c>
      <c r="G108" t="inlineStr">
        <is>
          <t xml:space="preserve">S</t>
        </is>
      </c>
      <c r="H108" t="inlineStr">
        <is>
          <t xml:space="preserve">W</t>
        </is>
      </c>
      <c r="I108" t="inlineStr">
        <is>
          <t xml:space="preserve">M</t>
        </is>
      </c>
      <c r="J108" t="inlineStr">
        <is>
          <t xml:space="preserve">S</t>
        </is>
      </c>
    </row>
    <row r="109">
      <c r="A109" t="inlineStr">
        <is>
          <t xml:space="preserve">S108</t>
        </is>
      </c>
      <c r="B109" t="inlineStr">
        <is>
          <t xml:space="preserve">ST26</t>
        </is>
      </c>
      <c r="C109" t="inlineStr">
        <is>
          <t xml:space="preserve">Should rail fares ever rise faster than wages?</t>
        </is>
      </c>
      <c r="D109" t="inlineStr">
        <is>
          <t xml:space="preserve">Commuter fares</t>
        </is>
      </c>
      <c r="E109" t="inlineStr">
        <is>
          <t xml:space="preserve">S</t>
        </is>
      </c>
      <c r="F109" t="inlineStr">
        <is>
          <t xml:space="preserve">S</t>
        </is>
      </c>
      <c r="G109" t="inlineStr">
        <is>
          <t xml:space="preserve">W</t>
        </is>
      </c>
      <c r="H109" t="inlineStr">
        <is>
          <t xml:space="preserve">S</t>
        </is>
      </c>
      <c r="I109" t="inlineStr">
        <is>
          <t xml:space="preserve">S</t>
        </is>
      </c>
      <c r="J109" t="inlineStr">
        <is>
          <t xml:space="preserve">M</t>
        </is>
      </c>
    </row>
    <row r="110">
      <c r="A110" t="inlineStr">
        <is>
          <t xml:space="preserve">S109</t>
        </is>
      </c>
      <c r="B110" t="inlineStr">
        <is>
          <t xml:space="preserve">ST26</t>
        </is>
      </c>
      <c r="C110" t="inlineStr">
        <is>
          <t xml:space="preserve">Who at the ministry signed off on this rise?</t>
        </is>
      </c>
      <c r="D110" t="inlineStr">
        <is>
          <t xml:space="preserve">Rail funding</t>
        </is>
      </c>
      <c r="E110" t="inlineStr">
        <is>
          <t xml:space="preserve">M</t>
        </is>
      </c>
      <c r="F110" t="inlineStr">
        <is>
          <t xml:space="preserve">W</t>
        </is>
      </c>
      <c r="G110" t="inlineStr">
        <is>
          <t xml:space="preserve">M</t>
        </is>
      </c>
      <c r="H110" t="inlineStr">
        <is>
          <t xml:space="preserve">S</t>
        </is>
      </c>
      <c r="I110" t="inlineStr">
        <is>
          <t xml:space="preserve">S</t>
        </is>
      </c>
      <c r="J110" t="inlineStr">
        <is>
          <t xml:space="preserve">S</t>
        </is>
      </c>
    </row>
    <row r="111">
      <c r="A111" t="inlineStr">
        <is>
          <t xml:space="preserve">S110</t>
        </is>
      </c>
      <c r="B111" t="inlineStr">
        <is>
          <t xml:space="preserve">ST32; ST33; ST34</t>
        </is>
      </c>
      <c r="C111" t="inlineStr">
        <is>
          <t xml:space="preserve">What will protecting the wilderness save for our children?</t>
        </is>
      </c>
      <c r="D111" t="inlineStr">
        <is>
          <t xml:space="preserve">Wilderness protection</t>
        </is>
      </c>
      <c r="E111" t="inlineStr">
        <is>
          <t xml:space="preserve">S</t>
        </is>
      </c>
      <c r="F111" t="inlineStr">
        <is>
          <t xml:space="preserve">S</t>
        </is>
      </c>
      <c r="G111" t="inlineStr">
        <is>
          <t xml:space="preserve">M</t>
        </is>
      </c>
      <c r="H111" t="inlineStr">
        <is>
          <t xml:space="preserve">M</t>
        </is>
      </c>
      <c r="I111" t="inlineStr">
        <is>
          <t xml:space="preserve">W</t>
        </is>
      </c>
      <c r="J111" t="inlineStr">
        <is>
          <t xml:space="preserve">W</t>
        </is>
      </c>
    </row>
    <row r="112">
      <c r="A112" t="inlineStr">
        <is>
          <t xml:space="preserve">S111</t>
        </is>
      </c>
      <c r="B112" t="inlineStr">
        <is>
          <t xml:space="preserve">ST32; ST33; ST34</t>
        </is>
      </c>
      <c r="C112" t="inlineStr">
        <is>
          <t xml:space="preserve">Which animals are in danger if this bill fails?</t>
        </is>
      </c>
      <c r="D112" t="inlineStr">
        <is>
          <t xml:space="preserve">Wilderness protection</t>
        </is>
      </c>
      <c r="E112" t="inlineStr">
        <is>
          <t xml:space="preserve">S</t>
        </is>
      </c>
      <c r="F112" t="inlineStr">
        <is>
          <t xml:space="preserve">M</t>
        </is>
      </c>
      <c r="G112" t="inlineStr">
        <is>
          <t xml:space="preserve">W</t>
        </is>
      </c>
      <c r="H112" t="inlineStr">
        <is>
          <t xml:space="preserve">S</t>
        </is>
      </c>
      <c r="I112" t="inlineStr">
        <is>
          <t xml:space="preserve">M</t>
        </is>
      </c>
      <c r="J112" t="inlineStr">
        <is>
          <t xml:space="preserve">W</t>
        </is>
      </c>
    </row>
    <row r="113">
      <c r="A113" t="inlineStr">
        <is>
          <t xml:space="preserve">S112</t>
        </is>
      </c>
      <c r="B113" t="inlineStr">
        <is>
          <t xml:space="preserve">ST32; ST33; ST34</t>
        </is>
      </c>
      <c r="C113" t="inlineStr">
        <is>
          <t xml:space="preserve">Loggers will lose work. What do you say to them?</t>
        </is>
      </c>
      <c r="D113" t="inlineStr">
        <is>
          <t xml:space="preserve">Logging jobs</t>
        </is>
      </c>
      <c r="E113" t="inlineStr">
        <is>
          <t xml:space="preserve">M</t>
        </is>
      </c>
      <c r="F113" t="inlineStr">
        <is>
          <t xml:space="preserve">S</t>
        </is>
      </c>
      <c r="G113" t="inlineStr">
        <is>
          <t xml:space="preserve">S</t>
        </is>
      </c>
      <c r="H113" t="inlineStr">
        <is>
          <t xml:space="preserve">W</t>
        </is>
      </c>
      <c r="I113" t="inlineStr">
        <is>
          <t xml:space="preserve">W</t>
        </is>
      </c>
      <c r="J113" t="inlineStr">
        <is>
          <t xml:space="preserve">M</t>
        </is>
      </c>
    </row>
    <row r="114">
      <c r="A114" t="inlineStr">
        <is>
          <t xml:space="preserve">S113</t>
        </is>
      </c>
      <c r="B114" t="inlineStr">
        <is>
          <t xml:space="preserve">ST33; ST34</t>
        </is>
      </c>
      <c r="C114" t="inlineStr">
        <is>
          <t xml:space="preserve">Who pays for the new ranger stations?</t>
        </is>
      </c>
      <c r="D114" t="inlineStr">
        <is>
          <t xml:space="preserve">Logging jobs</t>
        </is>
      </c>
      <c r="E114" t="inlineStr">
        <is>
          <t xml:space="preserve">W</t>
        </is>
      </c>
      <c r="F114" t="inlineStr">
        <is>
          <t xml:space="preserve">M</t>
        </is>
      </c>
      <c r="G114" t="inlineStr">
        <is>
          <t xml:space="preserve">S</t>
        </is>
      </c>
      <c r="H114" t="inlineStr">
        <is>
          <t xml:space="preserve">S</t>
        </is>
      </c>
      <c r="I114" t="inlineStr">
        <is>
          <t xml:space="preserve">M</t>
        </is>
      </c>
      <c r="J114" t="inlineStr">
        <is>
          <t xml:space="preserve">W</t>
        </is>
      </c>
    </row>
    <row r="115">
      <c r="A115" t="inlineStr">
        <is>
          <t xml:space="preserve">S114</t>
        </is>
      </c>
      <c r="B115" t="inlineStr">
        <is>
          <t xml:space="preserve">ST33; ST34</t>
        </is>
      </c>
      <c r="C115" t="inlineStr">
        <is>
          <t xml:space="preserve">Who decides where the protected boundaries are drawn?</t>
        </is>
      </c>
      <c r="D115" t="inlineStr">
        <is>
          <t xml:space="preserve">Public access to nature</t>
        </is>
      </c>
      <c r="E115" t="inlineStr">
        <is>
          <t xml:space="preserve">S</t>
        </is>
      </c>
      <c r="F115" t="inlineStr">
        <is>
          <t xml:space="preserve">W</t>
        </is>
      </c>
      <c r="G115" t="inlineStr">
        <is>
          <t xml:space="preserve">S</t>
        </is>
      </c>
      <c r="H115" t="inlineStr">
        <is>
          <t xml:space="preserve">M</t>
        </is>
      </c>
      <c r="I115" t="inlineStr">
        <is>
          <t xml:space="preserve">W</t>
        </is>
      </c>
      <c r="J115" t="inlineStr">
        <is>
          <t xml:space="preserve">M</t>
        </is>
      </c>
    </row>
    <row r="116">
      <c r="A116" t="inlineStr">
        <is>
          <t xml:space="preserve">S115</t>
        </is>
      </c>
      <c r="B116" t="inlineStr">
        <is>
          <t xml:space="preserve">ST33; ST34</t>
        </is>
      </c>
      <c r="C116" t="inlineStr">
        <is>
          <t xml:space="preserve">Will hikers and local guides keep their access?</t>
        </is>
      </c>
      <c r="D116" t="inlineStr">
        <is>
          <t xml:space="preserve">Public access to nature</t>
        </is>
      </c>
      <c r="E116" t="inlineStr">
        <is>
          <t xml:space="preserve">M</t>
        </is>
      </c>
      <c r="F116" t="inlineStr">
        <is>
          <t xml:space="preserve">S</t>
        </is>
      </c>
      <c r="G116" t="inlineStr">
        <is>
          <t xml:space="preserve">M</t>
        </is>
      </c>
      <c r="H116" t="inlineStr">
        <is>
          <t xml:space="preserve">W</t>
        </is>
      </c>
      <c r="I116" t="inlineStr">
        <is>
          <t xml:space="preserve">S</t>
        </is>
      </c>
      <c r="J116" t="inlineStr">
        <is>
          <t xml:space="preserve">W</t>
        </is>
      </c>
    </row>
    <row r="117">
      <c r="A117" t="inlineStr">
        <is>
          <t xml:space="preserve">S116</t>
        </is>
      </c>
      <c r="B117" t="inlineStr">
        <is>
          <t xml:space="preserve">ST36; ST37</t>
        </is>
      </c>
      <c r="C117" t="inlineStr">
        <is>
          <t xml:space="preserve">My village is ninety minutes from an emergency room. Will this change that?</t>
        </is>
      </c>
      <c r="D117" t="inlineStr">
        <is>
          <t xml:space="preserve">Rural health care</t>
        </is>
      </c>
      <c r="E117" t="inlineStr">
        <is>
          <t xml:space="preserve">S</t>
        </is>
      </c>
      <c r="F117" t="inlineStr">
        <is>
          <t xml:space="preserve">S</t>
        </is>
      </c>
      <c r="G117" t="inlineStr">
        <is>
          <t xml:space="preserve">M</t>
        </is>
      </c>
      <c r="H117" t="inlineStr">
        <is>
          <t xml:space="preserve">M</t>
        </is>
      </c>
      <c r="I117" t="inlineStr">
        <is>
          <t xml:space="preserve">W</t>
        </is>
      </c>
      <c r="J117" t="inlineStr">
        <is>
          <t xml:space="preserve">W</t>
        </is>
      </c>
    </row>
    <row r="118">
      <c r="A118" t="inlineStr">
        <is>
          <t xml:space="preserve">S117</t>
        </is>
      </c>
      <c r="B118" t="inlineStr">
        <is>
          <t xml:space="preserve">ST36; ST37; ST38</t>
        </is>
      </c>
      <c r="C118" t="inlineStr">
        <is>
          <t xml:space="preserve">Will doctors really move to the countryside?</t>
        </is>
      </c>
      <c r="D118" t="inlineStr">
        <is>
          <t xml:space="preserve">Rural health care</t>
        </is>
      </c>
      <c r="E118" t="inlineStr">
        <is>
          <t xml:space="preserve">M</t>
        </is>
      </c>
      <c r="F118" t="inlineStr">
        <is>
          <t xml:space="preserve">S</t>
        </is>
      </c>
      <c r="G118" t="inlineStr">
        <is>
          <t xml:space="preserve">S</t>
        </is>
      </c>
      <c r="H118" t="inlineStr">
        <is>
          <t xml:space="preserve">W</t>
        </is>
      </c>
      <c r="I118" t="inlineStr">
        <is>
          <t xml:space="preserve">W</t>
        </is>
      </c>
      <c r="J118" t="inlineStr">
        <is>
          <t xml:space="preserve">M</t>
        </is>
      </c>
    </row>
    <row r="119">
      <c r="A119" t="inlineStr">
        <is>
          <t xml:space="preserve">S118</t>
        </is>
      </c>
      <c r="B119" t="inlineStr">
        <is>
          <t xml:space="preserve">ST36; ST37; ST38</t>
        </is>
      </c>
      <c r="C119" t="inlineStr">
        <is>
          <t xml:space="preserve">How much will the hospital network cost each year?</t>
        </is>
      </c>
      <c r="D119" t="inlineStr">
        <is>
          <t xml:space="preserve">Hospital funding</t>
        </is>
      </c>
      <c r="E119" t="inlineStr">
        <is>
          <t xml:space="preserve">S</t>
        </is>
      </c>
      <c r="F119" t="inlineStr">
        <is>
          <t xml:space="preserve">M</t>
        </is>
      </c>
      <c r="G119" t="inlineStr">
        <is>
          <t xml:space="preserve">W</t>
        </is>
      </c>
      <c r="H119" t="inlineStr">
        <is>
          <t xml:space="preserve">S</t>
        </is>
      </c>
      <c r="I119" t="inlineStr">
        <is>
          <t xml:space="preserve">M</t>
        </is>
      </c>
      <c r="J119" t="inlineStr">
        <is>
          <t xml:space="preserve">W</t>
        </is>
      </c>
    </row>
    <row r="120">
      <c r="A120" t="inlineStr">
        <is>
          <t xml:space="preserve">S119</t>
        </is>
      </c>
      <c r="B120" t="inlineStr">
        <is>
          <t xml:space="preserve">ST36; ST37; ST38</t>
        </is>
      </c>
      <c r="C120" t="inlineStr">
        <is>
          <t xml:space="preserve">Could small clinics close after the first few years?</t>
        </is>
      </c>
      <c r="D120" t="inlineStr">
        <is>
          <t xml:space="preserve">Hospital funding</t>
        </is>
      </c>
      <c r="E120" t="inlineStr">
        <is>
          <t xml:space="preserve">M</t>
        </is>
      </c>
      <c r="F120" t="inlineStr">
        <is>
          <t xml:space="preserve">W</t>
        </is>
      </c>
      <c r="G120" t="inlineStr">
        <is>
          <t xml:space="preserve">S</t>
        </is>
      </c>
      <c r="H120" t="inlineStr">
        <is>
          <t xml:space="preserve">S</t>
        </is>
      </c>
      <c r="I120" t="inlineStr">
        <is>
          <t xml:space="preserve">W</t>
        </is>
      </c>
      <c r="J120" t="inlineStr">
        <is>
          <t xml:space="preserve">M</t>
        </is>
      </c>
    </row>
    <row r="121">
      <c r="A121" t="inlineStr">
        <is>
          <t xml:space="preserve">S120</t>
        </is>
      </c>
      <c r="B121" t="inlineStr">
        <is>
          <t xml:space="preserve">ST36; ST37; ST38</t>
        </is>
      </c>
      <c r="C121" t="inlineStr">
        <is>
          <t xml:space="preserve">Why should cities pay for hospitals they will never use?</t>
        </is>
      </c>
      <c r="D121" t="inlineStr">
        <is>
          <t xml:space="preserve">City and country fairness</t>
        </is>
      </c>
      <c r="E121" t="inlineStr">
        <is>
          <t xml:space="preserve">W</t>
        </is>
      </c>
      <c r="F121" t="inlineStr">
        <is>
          <t xml:space="preserve">S</t>
        </is>
      </c>
      <c r="G121" t="inlineStr">
        <is>
          <t xml:space="preserve">M</t>
        </is>
      </c>
      <c r="H121" t="inlineStr">
        <is>
          <t xml:space="preserve">S</t>
        </is>
      </c>
      <c r="I121" t="inlineStr">
        <is>
          <t xml:space="preserve">M</t>
        </is>
      </c>
      <c r="J121" t="inlineStr">
        <is>
          <t xml:space="preserve">W</t>
        </is>
      </c>
    </row>
    <row r="122">
      <c r="A122" t="inlineStr">
        <is>
          <t xml:space="preserve">S121</t>
        </is>
      </c>
      <c r="B122" t="inlineStr">
        <is>
          <t xml:space="preserve">ST36; ST37; ST38</t>
        </is>
      </c>
      <c r="C122" t="inlineStr">
        <is>
          <t xml:space="preserve">Who staffs a clinic in a town of two hundred?</t>
        </is>
      </c>
      <c r="D122" t="inlineStr">
        <is>
          <t xml:space="preserve">City and country fairness</t>
        </is>
      </c>
      <c r="E122" t="inlineStr">
        <is>
          <t xml:space="preserve">S</t>
        </is>
      </c>
      <c r="F122" t="inlineStr">
        <is>
          <t xml:space="preserve">M</t>
        </is>
      </c>
      <c r="G122" t="inlineStr">
        <is>
          <t xml:space="preserve">W</t>
        </is>
      </c>
      <c r="H122" t="inlineStr">
        <is>
          <t xml:space="preserve">M</t>
        </is>
      </c>
      <c r="I122" t="inlineStr">
        <is>
          <t xml:space="preserve">W</t>
        </is>
      </c>
      <c r="J122" t="inlineStr">
        <is>
          <t xml:space="preserve">S</t>
        </is>
      </c>
    </row>
    <row r="123">
      <c r="A123" t="inlineStr">
        <is>
          <t xml:space="preserve">S122</t>
        </is>
      </c>
      <c r="B123" t="inlineStr">
        <is>
          <t xml:space="preserve">ST40</t>
        </is>
      </c>
      <c r="C123" t="inlineStr">
        <is>
          <t xml:space="preserve">Can one card really replace my tax, health and benefit papers?</t>
        </is>
      </c>
      <c r="D123" t="inlineStr">
        <is>
          <t xml:space="preserve">Digital convenience</t>
        </is>
      </c>
      <c r="E123" t="inlineStr">
        <is>
          <t xml:space="preserve">S</t>
        </is>
      </c>
      <c r="F123" t="inlineStr">
        <is>
          <t xml:space="preserve">W</t>
        </is>
      </c>
      <c r="G123" t="inlineStr">
        <is>
          <t xml:space="preserve">M</t>
        </is>
      </c>
      <c r="H123" t="inlineStr">
        <is>
          <t xml:space="preserve">S</t>
        </is>
      </c>
      <c r="I123" t="inlineStr">
        <is>
          <t xml:space="preserve">W</t>
        </is>
      </c>
      <c r="J123" t="inlineStr">
        <is>
          <t xml:space="preserve">M</t>
        </is>
      </c>
    </row>
    <row r="124">
      <c r="A124" t="inlineStr">
        <is>
          <t xml:space="preserve">S123</t>
        </is>
      </c>
      <c r="B124" t="inlineStr">
        <is>
          <t xml:space="preserve">ST40</t>
        </is>
      </c>
      <c r="C124" t="inlineStr">
        <is>
          <t xml:space="preserve">What happens to my records if the system is hacked?</t>
        </is>
      </c>
      <c r="D124" t="inlineStr">
        <is>
          <t xml:space="preserve">Data security</t>
        </is>
      </c>
      <c r="E124" t="inlineStr">
        <is>
          <t xml:space="preserve">S</t>
        </is>
      </c>
      <c r="F124" t="inlineStr">
        <is>
          <t xml:space="preserve">W</t>
        </is>
      </c>
      <c r="G124" t="inlineStr">
        <is>
          <t xml:space="preserve">S</t>
        </is>
      </c>
      <c r="H124" t="inlineStr">
        <is>
          <t xml:space="preserve">M</t>
        </is>
      </c>
      <c r="I124" t="inlineStr">
        <is>
          <t xml:space="preserve">M</t>
        </is>
      </c>
      <c r="J124" t="inlineStr">
        <is>
          <t xml:space="preserve">W</t>
        </is>
      </c>
    </row>
    <row r="125">
      <c r="A125" t="inlineStr">
        <is>
          <t xml:space="preserve">S124</t>
        </is>
      </c>
      <c r="B125" t="inlineStr">
        <is>
          <t xml:space="preserve">ST40</t>
        </is>
      </c>
      <c r="C125" t="inlineStr">
        <is>
          <t xml:space="preserve">Who will see my data, and who can sell it?</t>
        </is>
      </c>
      <c r="D125" t="inlineStr">
        <is>
          <t xml:space="preserve">Data security</t>
        </is>
      </c>
      <c r="E125" t="inlineStr">
        <is>
          <t xml:space="preserve">M</t>
        </is>
      </c>
      <c r="F125" t="inlineStr">
        <is>
          <t xml:space="preserve">M</t>
        </is>
      </c>
      <c r="G125" t="inlineStr">
        <is>
          <t xml:space="preserve">S</t>
        </is>
      </c>
      <c r="H125" t="inlineStr">
        <is>
          <t xml:space="preserve">W</t>
        </is>
      </c>
      <c r="I125" t="inlineStr">
        <is>
          <t xml:space="preserve">W</t>
        </is>
      </c>
      <c r="J125" t="inlineStr">
        <is>
          <t xml:space="preserve">S</t>
        </is>
      </c>
    </row>
    <row r="126">
      <c r="A126" t="inlineStr">
        <is>
          <t xml:space="preserve">S125</t>
        </is>
      </c>
      <c r="B126" t="inlineStr">
        <is>
          <t xml:space="preserve">ST40</t>
        </is>
      </c>
      <c r="C126" t="inlineStr">
        <is>
          <t xml:space="preserve">Is the card compulsory for the elderly?</t>
        </is>
      </c>
      <c r="D126" t="inlineStr">
        <is>
          <t xml:space="preserve">Personal privacy</t>
        </is>
      </c>
      <c r="E126" t="inlineStr">
        <is>
          <t xml:space="preserve">W</t>
        </is>
      </c>
      <c r="F126" t="inlineStr">
        <is>
          <t xml:space="preserve">W</t>
        </is>
      </c>
      <c r="G126" t="inlineStr">
        <is>
          <t xml:space="preserve">S</t>
        </is>
      </c>
      <c r="H126" t="inlineStr">
        <is>
          <t xml:space="preserve">S</t>
        </is>
      </c>
      <c r="I126" t="inlineStr">
        <is>
          <t xml:space="preserve">M</t>
        </is>
      </c>
      <c r="J126" t="inlineStr">
        <is>
          <t xml:space="preserve">M</t>
        </is>
      </c>
    </row>
    <row r="127">
      <c r="A127" t="inlineStr">
        <is>
          <t xml:space="preserve">S126</t>
        </is>
      </c>
      <c r="B127" t="inlineStr">
        <is>
          <t xml:space="preserve">ST40</t>
        </is>
      </c>
      <c r="C127" t="inlineStr">
        <is>
          <t xml:space="preserve">Why should I trust the state with everything in one place?</t>
        </is>
      </c>
      <c r="D127" t="inlineStr">
        <is>
          <t xml:space="preserve">Personal privacy</t>
        </is>
      </c>
      <c r="E127" t="inlineStr">
        <is>
          <t xml:space="preserve">S</t>
        </is>
      </c>
      <c r="F127" t="inlineStr">
        <is>
          <t xml:space="preserve">S</t>
        </is>
      </c>
      <c r="G127" t="inlineStr">
        <is>
          <t xml:space="preserve">M</t>
        </is>
      </c>
      <c r="H127" t="inlineStr">
        <is>
          <t xml:space="preserve">M</t>
        </is>
      </c>
      <c r="I127" t="inlineStr">
        <is>
          <t xml:space="preserve">W</t>
        </is>
      </c>
      <c r="J127" t="inlineStr">
        <is>
          <t xml:space="preserve">W</t>
        </is>
      </c>
    </row>
    <row r="128">
      <c r="A128" t="inlineStr">
        <is>
          <t xml:space="preserve">S127</t>
        </is>
      </c>
      <c r="B128" t="inlineStr">
        <is>
          <t xml:space="preserve">ST43</t>
        </is>
      </c>
      <c r="C128" t="inlineStr">
        <is>
          <t xml:space="preserve">How is independence not just a blank cheque?</t>
        </is>
      </c>
      <c r="D128" t="inlineStr">
        <is>
          <t xml:space="preserve">Broadcaster funding</t>
        </is>
      </c>
      <c r="E128" t="inlineStr">
        <is>
          <t xml:space="preserve">W</t>
        </is>
      </c>
      <c r="F128" t="inlineStr">
        <is>
          <t xml:space="preserve">S</t>
        </is>
      </c>
      <c r="G128" t="inlineStr">
        <is>
          <t xml:space="preserve">S</t>
        </is>
      </c>
      <c r="H128" t="inlineStr">
        <is>
          <t xml:space="preserve">M</t>
        </is>
      </c>
      <c r="I128" t="inlineStr">
        <is>
          <t xml:space="preserve">W</t>
        </is>
      </c>
      <c r="J128" t="inlineStr">
        <is>
          <t xml:space="preserve">M</t>
        </is>
      </c>
    </row>
    <row r="129">
      <c r="A129" t="inlineStr">
        <is>
          <t xml:space="preserve">S128</t>
        </is>
      </c>
      <c r="B129" t="inlineStr">
        <is>
          <t xml:space="preserve">ST43</t>
        </is>
      </c>
      <c r="C129" t="inlineStr">
        <is>
          <t xml:space="preserve">Who watches the watchers on the new board?</t>
        </is>
      </c>
      <c r="D129" t="inlineStr">
        <is>
          <t xml:space="preserve">Regional coverage</t>
        </is>
      </c>
      <c r="E129" t="inlineStr">
        <is>
          <t xml:space="preserve">S</t>
        </is>
      </c>
      <c r="F129" t="inlineStr">
        <is>
          <t xml:space="preserve">S</t>
        </is>
      </c>
      <c r="G129" t="inlineStr">
        <is>
          <t xml:space="preserve">M</t>
        </is>
      </c>
      <c r="H129" t="inlineStr">
        <is>
          <t xml:space="preserve">W</t>
        </is>
      </c>
      <c r="I129" t="inlineStr">
        <is>
          <t xml:space="preserve">M</t>
        </is>
      </c>
      <c r="J129" t="inlineStr">
        <is>
          <t xml:space="preserve">W</t>
        </is>
      </c>
    </row>
    <row r="130">
      <c r="A130" t="inlineStr">
        <is>
          <t xml:space="preserve">S129</t>
        </is>
      </c>
      <c r="B130" t="inlineStr">
        <is>
          <t xml:space="preserve">ST43</t>
        </is>
      </c>
      <c r="C130" t="inlineStr">
        <is>
          <t xml:space="preserve">Will rural viewers see more of their own region?</t>
        </is>
      </c>
      <c r="D130" t="inlineStr">
        <is>
          <t xml:space="preserve">Regional coverage</t>
        </is>
      </c>
      <c r="E130" t="inlineStr">
        <is>
          <t xml:space="preserve">M</t>
        </is>
      </c>
      <c r="F130" t="inlineStr">
        <is>
          <t xml:space="preserve">M</t>
        </is>
      </c>
      <c r="G130" t="inlineStr">
        <is>
          <t xml:space="preserve">W</t>
        </is>
      </c>
      <c r="H130" t="inlineStr">
        <is>
          <t xml:space="preserve">S</t>
        </is>
      </c>
      <c r="I130" t="inlineStr">
        <is>
          <t xml:space="preserve">W</t>
        </is>
      </c>
      <c r="J130" t="inlineStr">
        <is>
          <t xml:space="preserve">S</t>
        </is>
      </c>
    </row>
    <row r="131">
      <c r="A131" t="inlineStr">
        <is>
          <t xml:space="preserve">S130</t>
        </is>
      </c>
      <c r="B131" t="inlineStr">
        <is>
          <t xml:space="preserve">ST46; ST47; ST48</t>
        </is>
      </c>
      <c r="C131" t="inlineStr">
        <is>
          <t xml:space="preserve">Why should anyone hide who pays for a campaign?</t>
        </is>
      </c>
      <c r="D131" t="inlineStr">
        <is>
          <t xml:space="preserve">Campaign finance</t>
        </is>
      </c>
      <c r="E131" t="inlineStr">
        <is>
          <t xml:space="preserve">S</t>
        </is>
      </c>
      <c r="F131" t="inlineStr">
        <is>
          <t xml:space="preserve">W</t>
        </is>
      </c>
      <c r="G131" t="inlineStr">
        <is>
          <t xml:space="preserve">M</t>
        </is>
      </c>
      <c r="H131" t="inlineStr">
        <is>
          <t xml:space="preserve">S</t>
        </is>
      </c>
      <c r="I131" t="inlineStr">
        <is>
          <t xml:space="preserve">M</t>
        </is>
      </c>
      <c r="J131" t="inlineStr">
        <is>
          <t xml:space="preserve">W</t>
        </is>
      </c>
    </row>
    <row r="132">
      <c r="A132" t="inlineStr">
        <is>
          <t xml:space="preserve">S131</t>
        </is>
      </c>
      <c r="B132" t="inlineStr">
        <is>
          <t xml:space="preserve">ST47; ST48</t>
        </is>
      </c>
      <c r="C132" t="inlineStr">
        <is>
          <t xml:space="preserve">Will published donor lists end back-room deals?</t>
        </is>
      </c>
      <c r="D132" t="inlineStr">
        <is>
          <t xml:space="preserve">Campaign finance</t>
        </is>
      </c>
      <c r="E132" t="inlineStr">
        <is>
          <t xml:space="preserve">M</t>
        </is>
      </c>
      <c r="F132" t="inlineStr">
        <is>
          <t xml:space="preserve">M</t>
        </is>
      </c>
      <c r="G132" t="inlineStr">
        <is>
          <t xml:space="preserve">W</t>
        </is>
      </c>
      <c r="H132" t="inlineStr">
        <is>
          <t xml:space="preserve">S</t>
        </is>
      </c>
      <c r="I132" t="inlineStr">
        <is>
          <t xml:space="preserve">S</t>
        </is>
      </c>
      <c r="J132" t="inlineStr">
        <is>
          <t xml:space="preserve">W</t>
        </is>
      </c>
    </row>
    <row r="133">
      <c r="A133" t="inlineStr">
        <is>
          <t xml:space="preserve">S132</t>
        </is>
      </c>
      <c r="B133" t="inlineStr">
        <is>
          <t xml:space="preserve">ST47</t>
        </is>
      </c>
      <c r="C133" t="inlineStr">
        <is>
          <t xml:space="preserve">Small donors fear harassment if named. Will you protect them?</t>
        </is>
      </c>
      <c r="D133" t="inlineStr">
        <is>
          <t xml:space="preserve">Donor privacy</t>
        </is>
      </c>
      <c r="E133" t="inlineStr">
        <is>
          <t xml:space="preserve">S</t>
        </is>
      </c>
      <c r="F133" t="inlineStr">
        <is>
          <t xml:space="preserve">W</t>
        </is>
      </c>
      <c r="G133" t="inlineStr">
        <is>
          <t xml:space="preserve">S</t>
        </is>
      </c>
      <c r="H133" t="inlineStr">
        <is>
          <t xml:space="preserve">M</t>
        </is>
      </c>
      <c r="I133" t="inlineStr">
        <is>
          <t xml:space="preserve">W</t>
        </is>
      </c>
      <c r="J133" t="inlineStr">
        <is>
          <t xml:space="preserve">M</t>
        </is>
      </c>
    </row>
    <row r="134">
      <c r="A134" t="inlineStr">
        <is>
          <t xml:space="preserve">S133</t>
        </is>
      </c>
      <c r="B134" t="inlineStr">
        <is>
          <t xml:space="preserve">ST47</t>
        </is>
      </c>
      <c r="C134" t="inlineStr">
        <is>
          <t xml:space="preserve">Does a donation cap silence honest supporters?</t>
        </is>
      </c>
      <c r="D134" t="inlineStr">
        <is>
          <t xml:space="preserve">Donor privacy</t>
        </is>
      </c>
      <c r="E134" t="inlineStr">
        <is>
          <t xml:space="preserve">M</t>
        </is>
      </c>
      <c r="F134" t="inlineStr">
        <is>
          <t xml:space="preserve">M</t>
        </is>
      </c>
      <c r="G134" t="inlineStr">
        <is>
          <t xml:space="preserve">S</t>
        </is>
      </c>
      <c r="H134" t="inlineStr">
        <is>
          <t xml:space="preserve">W</t>
        </is>
      </c>
      <c r="I134" t="inlineStr">
        <is>
          <t xml:space="preserve">S</t>
        </is>
      </c>
      <c r="J134" t="inlineStr">
        <is>
          <t xml:space="preserve">W</t>
        </is>
      </c>
    </row>
    <row r="135">
      <c r="A135" t="inlineStr">
        <is>
          <t xml:space="preserve">S134</t>
        </is>
      </c>
      <c r="B135" t="inlineStr">
        <is>
          <t xml:space="preserve">ST46; ST47; ST48</t>
        </is>
      </c>
      <c r="C135" t="inlineStr">
        <is>
          <t xml:space="preserve">Who audits the new reports, and who audits the auditor?</t>
        </is>
      </c>
      <c r="D135" t="inlineStr">
        <is>
          <t xml:space="preserve">Member fundraising</t>
        </is>
      </c>
      <c r="E135" t="inlineStr">
        <is>
          <t xml:space="preserve">W</t>
        </is>
      </c>
      <c r="F135" t="inlineStr">
        <is>
          <t xml:space="preserve">W</t>
        </is>
      </c>
      <c r="G135" t="inlineStr">
        <is>
          <t xml:space="preserve">S</t>
        </is>
      </c>
      <c r="H135" t="inlineStr">
        <is>
          <t xml:space="preserve">S</t>
        </is>
      </c>
      <c r="I135" t="inlineStr">
        <is>
          <t xml:space="preserve">M</t>
        </is>
      </c>
      <c r="J135" t="inlineStr">
        <is>
          <t xml:space="preserve">M</t>
        </is>
      </c>
    </row>
    <row r="136">
      <c r="A136" t="inlineStr">
        <is>
          <t xml:space="preserve">S135</t>
        </is>
      </c>
      <c r="B136" t="inlineStr">
        <is>
          <t xml:space="preserve">ST46; ST47; ST48</t>
        </is>
      </c>
      <c r="C136" t="inlineStr">
        <is>
          <t xml:space="preserve">Why punish members for money their voters give freely?</t>
        </is>
      </c>
      <c r="D136" t="inlineStr">
        <is>
          <t xml:space="preserve">Member fundraising</t>
        </is>
      </c>
      <c r="E136" t="inlineStr">
        <is>
          <t xml:space="preserve">S</t>
        </is>
      </c>
      <c r="F136" t="inlineStr">
        <is>
          <t xml:space="preserve">S</t>
        </is>
      </c>
      <c r="G136" t="inlineStr">
        <is>
          <t xml:space="preserve">M</t>
        </is>
      </c>
      <c r="H136" t="inlineStr">
        <is>
          <t xml:space="preserve">M</t>
        </is>
      </c>
      <c r="I136" t="inlineStr">
        <is>
          <t xml:space="preserve">W</t>
        </is>
      </c>
      <c r="J136" t="inlineStr">
        <is>
          <t xml:space="preserve">W</t>
        </is>
      </c>
    </row>
    <row r="137">
      <c r="A137" t="inlineStr">
        <is>
          <t xml:space="preserve">S136</t>
        </is>
      </c>
      <c r="B137" t="inlineStr">
        <is>
          <t xml:space="preserve">ST50; ST51</t>
        </is>
      </c>
      <c r="C137" t="inlineStr">
        <is>
          <t xml:space="preserve">Will lower taxes really bring factories to Yezo?</t>
        </is>
      </c>
      <c r="D137" t="inlineStr">
        <is>
          <t xml:space="preserve">Business investment</t>
        </is>
      </c>
      <c r="E137" t="inlineStr">
        <is>
          <t xml:space="preserve">W</t>
        </is>
      </c>
      <c r="F137" t="inlineStr">
        <is>
          <t xml:space="preserve">W</t>
        </is>
      </c>
      <c r="G137" t="inlineStr">
        <is>
          <t xml:space="preserve">S</t>
        </is>
      </c>
      <c r="H137" t="inlineStr">
        <is>
          <t xml:space="preserve">S</t>
        </is>
      </c>
      <c r="I137" t="inlineStr">
        <is>
          <t xml:space="preserve">M</t>
        </is>
      </c>
      <c r="J137" t="inlineStr">
        <is>
          <t xml:space="preserve">M</t>
        </is>
      </c>
    </row>
    <row r="138">
      <c r="A138" t="inlineStr">
        <is>
          <t xml:space="preserve">S137</t>
        </is>
      </c>
      <c r="B138" t="inlineStr">
        <is>
          <t xml:space="preserve">ST50; ST51</t>
        </is>
      </c>
      <c r="C138" t="inlineStr">
        <is>
          <t xml:space="preserve">How many jobs does each yen of tax relief buy?</t>
        </is>
      </c>
      <c r="D138" t="inlineStr">
        <is>
          <t xml:space="preserve">Business investment</t>
        </is>
      </c>
      <c r="E138" t="inlineStr">
        <is>
          <t xml:space="preserve">M</t>
        </is>
      </c>
      <c r="F138" t="inlineStr">
        <is>
          <t xml:space="preserve">W</t>
        </is>
      </c>
      <c r="G138" t="inlineStr">
        <is>
          <t xml:space="preserve">M</t>
        </is>
      </c>
      <c r="H138" t="inlineStr">
        <is>
          <t xml:space="preserve">S</t>
        </is>
      </c>
      <c r="I138" t="inlineStr">
        <is>
          <t xml:space="preserve">W</t>
        </is>
      </c>
      <c r="J138" t="inlineStr">
        <is>
          <t xml:space="preserve">S</t>
        </is>
      </c>
    </row>
    <row r="139">
      <c r="A139" t="inlineStr">
        <is>
          <t xml:space="preserve">S138</t>
        </is>
      </c>
      <c r="B139" t="inlineStr">
        <is>
          <t xml:space="preserve">ST50; ST51</t>
        </is>
      </c>
      <c r="C139" t="inlineStr">
        <is>
          <t xml:space="preserve">Who makes up the lost revenue when taxes fall?</t>
        </is>
      </c>
      <c r="D139" t="inlineStr">
        <is>
          <t xml:space="preserve">Public revenue</t>
        </is>
      </c>
      <c r="E139" t="inlineStr">
        <is>
          <t xml:space="preserve">W</t>
        </is>
      </c>
      <c r="F139" t="inlineStr">
        <is>
          <t xml:space="preserve">M</t>
        </is>
      </c>
      <c r="G139" t="inlineStr">
        <is>
          <t xml:space="preserve">S</t>
        </is>
      </c>
      <c r="H139" t="inlineStr">
        <is>
          <t xml:space="preserve">M</t>
        </is>
      </c>
      <c r="I139" t="inlineStr">
        <is>
          <t xml:space="preserve">S</t>
        </is>
      </c>
      <c r="J139" t="inlineStr">
        <is>
          <t xml:space="preserve">W</t>
        </is>
      </c>
    </row>
    <row r="140">
      <c r="A140" t="inlineStr">
        <is>
          <t xml:space="preserve">S139</t>
        </is>
      </c>
      <c r="B140" t="inlineStr">
        <is>
          <t xml:space="preserve">ST50; ST51</t>
        </is>
      </c>
      <c r="C140" t="inlineStr">
        <is>
          <t xml:space="preserve">Do big firms get a gift while small shops wait?</t>
        </is>
      </c>
      <c r="D140" t="inlineStr">
        <is>
          <t xml:space="preserve">Public revenue</t>
        </is>
      </c>
      <c r="E140" t="inlineStr">
        <is>
          <t xml:space="preserve">M</t>
        </is>
      </c>
      <c r="F140" t="inlineStr">
        <is>
          <t xml:space="preserve">W</t>
        </is>
      </c>
      <c r="G140" t="inlineStr">
        <is>
          <t xml:space="preserve">M</t>
        </is>
      </c>
      <c r="H140" t="inlineStr">
        <is>
          <t xml:space="preserve">W</t>
        </is>
      </c>
      <c r="I140" t="inlineStr">
        <is>
          <t xml:space="preserve">S</t>
        </is>
      </c>
      <c r="J140" t="inlineStr">
        <is>
          <t xml:space="preserve">S</t>
        </is>
      </c>
    </row>
    <row r="141">
      <c r="A141" t="inlineStr">
        <is>
          <t xml:space="preserve">S140</t>
        </is>
      </c>
      <c r="B141" t="inlineStr">
        <is>
          <t xml:space="preserve">ST51</t>
        </is>
      </c>
      <c r="C141" t="inlineStr">
        <is>
          <t xml:space="preserve">Why cut taxes when schools are short of money?</t>
        </is>
      </c>
      <c r="D141" t="inlineStr">
        <is>
          <t xml:space="preserve">Small shop fairness</t>
        </is>
      </c>
      <c r="E141" t="inlineStr">
        <is>
          <t xml:space="preserve">W</t>
        </is>
      </c>
      <c r="F141" t="inlineStr">
        <is>
          <t xml:space="preserve">M</t>
        </is>
      </c>
      <c r="G141" t="inlineStr">
        <is>
          <t xml:space="preserve">W</t>
        </is>
      </c>
      <c r="H141" t="inlineStr">
        <is>
          <t xml:space="preserve">S</t>
        </is>
      </c>
      <c r="I141" t="inlineStr">
        <is>
          <t xml:space="preserve">S</t>
        </is>
      </c>
      <c r="J141" t="inlineStr">
        <is>
          <t xml:space="preserve">M</t>
        </is>
      </c>
    </row>
    <row r="142">
      <c r="A142" t="inlineStr">
        <is>
          <t xml:space="preserve">S141</t>
        </is>
      </c>
      <c r="B142" t="inlineStr">
        <is>
          <t xml:space="preserve">ST50; ST51</t>
        </is>
      </c>
      <c r="C142" t="inlineStr">
        <is>
          <t xml:space="preserve">What stops firms from pocketing the cut and leaving anyway?</t>
        </is>
      </c>
      <c r="D142" t="inlineStr">
        <is>
          <t xml:space="preserve">Small shop fairness</t>
        </is>
      </c>
      <c r="E142" t="inlineStr">
        <is>
          <t xml:space="preserve">S</t>
        </is>
      </c>
      <c r="F142" t="inlineStr">
        <is>
          <t xml:space="preserve">W</t>
        </is>
      </c>
      <c r="G142" t="inlineStr">
        <is>
          <t xml:space="preserve">S</t>
        </is>
      </c>
      <c r="H142" t="inlineStr">
        <is>
          <t xml:space="preserve">M</t>
        </is>
      </c>
      <c r="I142" t="inlineStr">
        <is>
          <t xml:space="preserve">M</t>
        </is>
      </c>
      <c r="J142" t="inlineStr">
        <is>
          <t xml:space="preserve">W</t>
        </is>
      </c>
    </row>
    <row r="143">
      <c r="A143" t="inlineStr">
        <is>
          <t xml:space="preserve">S142</t>
        </is>
      </c>
      <c r="B143" t="inlineStr">
        <is>
          <t xml:space="preserve">ST53; ST54; ST55</t>
        </is>
      </c>
      <c r="C143" t="inlineStr">
        <is>
          <t xml:space="preserve">Will cleaner air be worth a higher heating bill this winter?</t>
        </is>
      </c>
      <c r="D143" t="inlineStr">
        <is>
          <t xml:space="preserve">Clean air</t>
        </is>
      </c>
      <c r="E143" t="inlineStr">
        <is>
          <t xml:space="preserve">S</t>
        </is>
      </c>
      <c r="F143" t="inlineStr">
        <is>
          <t xml:space="preserve">M</t>
        </is>
      </c>
      <c r="G143" t="inlineStr">
        <is>
          <t xml:space="preserve">M</t>
        </is>
      </c>
      <c r="H143" t="inlineStr">
        <is>
          <t xml:space="preserve">S</t>
        </is>
      </c>
      <c r="I143" t="inlineStr">
        <is>
          <t xml:space="preserve">W</t>
        </is>
      </c>
      <c r="J143" t="inlineStr">
        <is>
          <t xml:space="preserve">W</t>
        </is>
      </c>
    </row>
    <row r="144">
      <c r="A144" t="inlineStr">
        <is>
          <t xml:space="preserve">S143</t>
        </is>
      </c>
      <c r="B144" t="inlineStr">
        <is>
          <t xml:space="preserve">ST53; ST54; ST55</t>
        </is>
      </c>
      <c r="C144" t="inlineStr">
        <is>
          <t xml:space="preserve">How much of the levy comes back to households?</t>
        </is>
      </c>
      <c r="D144" t="inlineStr">
        <is>
          <t xml:space="preserve">Clean air</t>
        </is>
      </c>
      <c r="E144" t="inlineStr">
        <is>
          <t xml:space="preserve">M</t>
        </is>
      </c>
      <c r="F144" t="inlineStr">
        <is>
          <t xml:space="preserve">S</t>
        </is>
      </c>
      <c r="G144" t="inlineStr">
        <is>
          <t xml:space="preserve">W</t>
        </is>
      </c>
      <c r="H144" t="inlineStr">
        <is>
          <t xml:space="preserve">S</t>
        </is>
      </c>
      <c r="I144" t="inlineStr">
        <is>
          <t xml:space="preserve">M</t>
        </is>
      </c>
      <c r="J144" t="inlineStr">
        <is>
          <t xml:space="preserve">W</t>
        </is>
      </c>
    </row>
    <row r="145">
      <c r="A145" t="inlineStr">
        <is>
          <t xml:space="preserve">S144</t>
        </is>
      </c>
      <c r="B145" t="inlineStr">
        <is>
          <t xml:space="preserve">ST53; ST54; ST55</t>
        </is>
      </c>
      <c r="C145" t="inlineStr">
        <is>
          <t xml:space="preserve">Farmers and fishers burn fuel for a living. Who protects them?</t>
        </is>
      </c>
      <c r="D145" t="inlineStr">
        <is>
          <t xml:space="preserve">Household energy costs</t>
        </is>
      </c>
      <c r="E145" t="inlineStr">
        <is>
          <t xml:space="preserve">S</t>
        </is>
      </c>
      <c r="F145" t="inlineStr">
        <is>
          <t xml:space="preserve">W</t>
        </is>
      </c>
      <c r="G145" t="inlineStr">
        <is>
          <t xml:space="preserve">S</t>
        </is>
      </c>
      <c r="H145" t="inlineStr">
        <is>
          <t xml:space="preserve">M</t>
        </is>
      </c>
      <c r="I145" t="inlineStr">
        <is>
          <t xml:space="preserve">W</t>
        </is>
      </c>
      <c r="J145" t="inlineStr">
        <is>
          <t xml:space="preserve">M</t>
        </is>
      </c>
    </row>
    <row r="146">
      <c r="A146" t="inlineStr">
        <is>
          <t xml:space="preserve">S145</t>
        </is>
      </c>
      <c r="B146" t="inlineStr">
        <is>
          <t xml:space="preserve">ST53; ST54</t>
        </is>
      </c>
      <c r="C146" t="inlineStr">
        <is>
          <t xml:space="preserve">Why tax a family before the factories change?</t>
        </is>
      </c>
      <c r="D146" t="inlineStr">
        <is>
          <t xml:space="preserve">Household energy costs</t>
        </is>
      </c>
      <c r="E146" t="inlineStr">
        <is>
          <t xml:space="preserve">M</t>
        </is>
      </c>
      <c r="F146" t="inlineStr">
        <is>
          <t xml:space="preserve">S</t>
        </is>
      </c>
      <c r="G146" t="inlineStr">
        <is>
          <t xml:space="preserve">S</t>
        </is>
      </c>
      <c r="H146" t="inlineStr">
        <is>
          <t xml:space="preserve">W</t>
        </is>
      </c>
      <c r="I146" t="inlineStr">
        <is>
          <t xml:space="preserve">M</t>
        </is>
      </c>
      <c r="J146" t="inlineStr">
        <is>
          <t xml:space="preserve">W</t>
        </is>
      </c>
    </row>
    <row r="147">
      <c r="A147" t="inlineStr">
        <is>
          <t xml:space="preserve">S146</t>
        </is>
      </c>
      <c r="B147" t="inlineStr">
        <is>
          <t xml:space="preserve">ST53; ST54</t>
        </is>
      </c>
      <c r="C147" t="inlineStr">
        <is>
          <t xml:space="preserve">Is this a climate measure or a tax grab?</t>
        </is>
      </c>
      <c r="D147" t="inlineStr">
        <is>
          <t xml:space="preserve">Fuel for farms and boats</t>
        </is>
      </c>
      <c r="E147" t="inlineStr">
        <is>
          <t xml:space="preserve">W</t>
        </is>
      </c>
      <c r="F147" t="inlineStr">
        <is>
          <t xml:space="preserve">M</t>
        </is>
      </c>
      <c r="G147" t="inlineStr">
        <is>
          <t xml:space="preserve">S</t>
        </is>
      </c>
      <c r="H147" t="inlineStr">
        <is>
          <t xml:space="preserve">S</t>
        </is>
      </c>
      <c r="I147" t="inlineStr">
        <is>
          <t xml:space="preserve">W</t>
        </is>
      </c>
      <c r="J147" t="inlineStr">
        <is>
          <t xml:space="preserve">M</t>
        </is>
      </c>
    </row>
    <row r="148">
      <c r="A148" t="inlineStr">
        <is>
          <t xml:space="preserve">S147</t>
        </is>
      </c>
      <c r="B148" t="inlineStr">
        <is>
          <t xml:space="preserve">ST53; ST54</t>
        </is>
      </c>
      <c r="C148" t="inlineStr">
        <is>
          <t xml:space="preserve">Will other countries do the same, or are we alone?</t>
        </is>
      </c>
      <c r="D148" t="inlineStr">
        <is>
          <t xml:space="preserve">Fuel for farms and boats</t>
        </is>
      </c>
      <c r="E148" t="inlineStr">
        <is>
          <t xml:space="preserve">S</t>
        </is>
      </c>
      <c r="F148" t="inlineStr">
        <is>
          <t xml:space="preserve">W</t>
        </is>
      </c>
      <c r="G148" t="inlineStr">
        <is>
          <t xml:space="preserve">M</t>
        </is>
      </c>
      <c r="H148" t="inlineStr">
        <is>
          <t xml:space="preserve">M</t>
        </is>
      </c>
      <c r="I148" t="inlineStr">
        <is>
          <t xml:space="preserve">S</t>
        </is>
      </c>
      <c r="J148" t="inlineStr">
        <is>
          <t xml:space="preserve">W</t>
        </is>
      </c>
    </row>
    <row r="149">
      <c r="A149" t="inlineStr">
        <is>
          <t xml:space="preserve">S148</t>
        </is>
      </c>
      <c r="B149" t="inlineStr">
        <is>
          <t xml:space="preserve">ST57; ST58</t>
        </is>
      </c>
      <c r="C149" t="inlineStr">
        <is>
          <t xml:space="preserve">Will tradeable quotas let big fleets buy out family boats?</t>
        </is>
      </c>
      <c r="D149" t="inlineStr">
        <is>
          <t xml:space="preserve">Quota trading</t>
        </is>
      </c>
      <c r="E149" t="inlineStr">
        <is>
          <t xml:space="preserve">S</t>
        </is>
      </c>
      <c r="F149" t="inlineStr">
        <is>
          <t xml:space="preserve">M</t>
        </is>
      </c>
      <c r="G149" t="inlineStr">
        <is>
          <t xml:space="preserve">M</t>
        </is>
      </c>
      <c r="H149" t="inlineStr">
        <is>
          <t xml:space="preserve">S</t>
        </is>
      </c>
      <c r="I149" t="inlineStr">
        <is>
          <t xml:space="preserve">W</t>
        </is>
      </c>
      <c r="J149" t="inlineStr">
        <is>
          <t xml:space="preserve">W</t>
        </is>
      </c>
    </row>
    <row r="150">
      <c r="A150" t="inlineStr">
        <is>
          <t xml:space="preserve">S149</t>
        </is>
      </c>
      <c r="B150" t="inlineStr">
        <is>
          <t xml:space="preserve">ST57; ST58</t>
        </is>
      </c>
      <c r="C150" t="inlineStr">
        <is>
          <t xml:space="preserve">How will onboard reporting catch cheats at sea?</t>
        </is>
      </c>
      <c r="D150" t="inlineStr">
        <is>
          <t xml:space="preserve">Quota trading</t>
        </is>
      </c>
      <c r="E150" t="inlineStr">
        <is>
          <t xml:space="preserve">M</t>
        </is>
      </c>
      <c r="F150" t="inlineStr">
        <is>
          <t xml:space="preserve">W</t>
        </is>
      </c>
      <c r="G150" t="inlineStr">
        <is>
          <t xml:space="preserve">S</t>
        </is>
      </c>
      <c r="H150" t="inlineStr">
        <is>
          <t xml:space="preserve">S</t>
        </is>
      </c>
      <c r="I150" t="inlineStr">
        <is>
          <t xml:space="preserve">W</t>
        </is>
      </c>
      <c r="J150" t="inlineStr">
        <is>
          <t xml:space="preserve">M</t>
        </is>
      </c>
    </row>
    <row r="151">
      <c r="A151" t="inlineStr">
        <is>
          <t xml:space="preserve">S150</t>
        </is>
      </c>
      <c r="B151" t="inlineStr">
        <is>
          <t xml:space="preserve">ST57; ST58</t>
        </is>
      </c>
      <c r="C151" t="inlineStr">
        <is>
          <t xml:space="preserve">Who owns a quota if my father's boat is sold?</t>
        </is>
      </c>
      <c r="D151" t="inlineStr">
        <is>
          <t xml:space="preserve">Catch monitoring</t>
        </is>
      </c>
      <c r="E151" t="inlineStr">
        <is>
          <t xml:space="preserve">S</t>
        </is>
      </c>
      <c r="F151" t="inlineStr">
        <is>
          <t xml:space="preserve">S</t>
        </is>
      </c>
      <c r="G151" t="inlineStr">
        <is>
          <t xml:space="preserve">W</t>
        </is>
      </c>
      <c r="H151" t="inlineStr">
        <is>
          <t xml:space="preserve">M</t>
        </is>
      </c>
      <c r="I151" t="inlineStr">
        <is>
          <t xml:space="preserve">M</t>
        </is>
      </c>
      <c r="J151" t="inlineStr">
        <is>
          <t xml:space="preserve">W</t>
        </is>
      </c>
    </row>
    <row r="152">
      <c r="A152" t="inlineStr">
        <is>
          <t xml:space="preserve">S151</t>
        </is>
      </c>
      <c r="B152" t="inlineStr">
        <is>
          <t xml:space="preserve">ST57; ST58</t>
        </is>
      </c>
      <c r="C152" t="inlineStr">
        <is>
          <t xml:space="preserve">Do the new limits follow science or politics?</t>
        </is>
      </c>
      <c r="D152" t="inlineStr">
        <is>
          <t xml:space="preserve">Catch monitoring</t>
        </is>
      </c>
      <c r="E152" t="inlineStr">
        <is>
          <t xml:space="preserve">M</t>
        </is>
      </c>
      <c r="F152" t="inlineStr">
        <is>
          <t xml:space="preserve">S</t>
        </is>
      </c>
      <c r="G152" t="inlineStr">
        <is>
          <t xml:space="preserve">S</t>
        </is>
      </c>
      <c r="H152" t="inlineStr">
        <is>
          <t xml:space="preserve">W</t>
        </is>
      </c>
      <c r="I152" t="inlineStr">
        <is>
          <t xml:space="preserve">W</t>
        </is>
      </c>
      <c r="J152" t="inlineStr">
        <is>
          <t xml:space="preserve">M</t>
        </is>
      </c>
    </row>
    <row r="153">
      <c r="A153" t="inlineStr">
        <is>
          <t xml:space="preserve">S152</t>
        </is>
      </c>
      <c r="B153" t="inlineStr">
        <is>
          <t xml:space="preserve">ST57; ST58</t>
        </is>
      </c>
      <c r="C153" t="inlineStr">
        <is>
          <t xml:space="preserve">Why must small harbours pay for monitoring equipment?</t>
        </is>
      </c>
      <c r="D153" t="inlineStr">
        <is>
          <t xml:space="preserve">Family boats</t>
        </is>
      </c>
      <c r="E153" t="inlineStr">
        <is>
          <t xml:space="preserve">W</t>
        </is>
      </c>
      <c r="F153" t="inlineStr">
        <is>
          <t xml:space="preserve">S</t>
        </is>
      </c>
      <c r="G153" t="inlineStr">
        <is>
          <t xml:space="preserve">M</t>
        </is>
      </c>
      <c r="H153" t="inlineStr">
        <is>
          <t xml:space="preserve">S</t>
        </is>
      </c>
      <c r="I153" t="inlineStr">
        <is>
          <t xml:space="preserve">M</t>
        </is>
      </c>
      <c r="J153" t="inlineStr">
        <is>
          <t xml:space="preserve">W</t>
        </is>
      </c>
    </row>
    <row r="154">
      <c r="A154" t="inlineStr">
        <is>
          <t xml:space="preserve">S153</t>
        </is>
      </c>
      <c r="B154" t="inlineStr">
        <is>
          <t xml:space="preserve">ST57; ST58</t>
        </is>
      </c>
      <c r="C154" t="inlineStr">
        <is>
          <t xml:space="preserve">What happens to quota when a fisher retires?</t>
        </is>
      </c>
      <c r="D154" t="inlineStr">
        <is>
          <t xml:space="preserve">Family boats</t>
        </is>
      </c>
      <c r="E154" t="inlineStr">
        <is>
          <t xml:space="preserve">S</t>
        </is>
      </c>
      <c r="F154" t="inlineStr">
        <is>
          <t xml:space="preserve">M</t>
        </is>
      </c>
      <c r="G154" t="inlineStr">
        <is>
          <t xml:space="preserve">W</t>
        </is>
      </c>
      <c r="H154" t="inlineStr">
        <is>
          <t xml:space="preserve">M</t>
        </is>
      </c>
      <c r="I154" t="inlineStr">
        <is>
          <t xml:space="preserve">W</t>
        </is>
      </c>
      <c r="J154" t="inlineStr">
        <is>
          <t xml:space="preserve">S</t>
        </is>
      </c>
    </row>
    <row r="155">
      <c r="A155" t="inlineStr">
        <is>
          <t xml:space="preserve">S154</t>
        </is>
      </c>
      <c r="B155" t="inlineStr">
        <is>
          <t xml:space="preserve">ST60; ST61</t>
        </is>
      </c>
      <c r="C155" t="inlineStr">
        <is>
          <t xml:space="preserve">How many yard jobs does a guaranteed order really protect?</t>
        </is>
      </c>
      <c r="D155" t="inlineStr">
        <is>
          <t xml:space="preserve">Shipyard jobs</t>
        </is>
      </c>
      <c r="E155" t="inlineStr">
        <is>
          <t xml:space="preserve">S</t>
        </is>
      </c>
      <c r="F155" t="inlineStr">
        <is>
          <t xml:space="preserve">W</t>
        </is>
      </c>
      <c r="G155" t="inlineStr">
        <is>
          <t xml:space="preserve">S</t>
        </is>
      </c>
      <c r="H155" t="inlineStr">
        <is>
          <t xml:space="preserve">M</t>
        </is>
      </c>
      <c r="I155" t="inlineStr">
        <is>
          <t xml:space="preserve">M</t>
        </is>
      </c>
      <c r="J155" t="inlineStr">
        <is>
          <t xml:space="preserve">W</t>
        </is>
      </c>
    </row>
    <row r="156">
      <c r="A156" t="inlineStr">
        <is>
          <t xml:space="preserve">S155</t>
        </is>
      </c>
      <c r="B156" t="inlineStr">
        <is>
          <t xml:space="preserve">ST60; ST61</t>
        </is>
      </c>
      <c r="C156" t="inlineStr">
        <is>
          <t xml:space="preserve">Will our own ships keep the coast safe?</t>
        </is>
      </c>
      <c r="D156" t="inlineStr">
        <is>
          <t xml:space="preserve">Shipyard jobs</t>
        </is>
      </c>
      <c r="E156" t="inlineStr">
        <is>
          <t xml:space="preserve">M</t>
        </is>
      </c>
      <c r="F156" t="inlineStr">
        <is>
          <t xml:space="preserve">M</t>
        </is>
      </c>
      <c r="G156" t="inlineStr">
        <is>
          <t xml:space="preserve">S</t>
        </is>
      </c>
      <c r="H156" t="inlineStr">
        <is>
          <t xml:space="preserve">S</t>
        </is>
      </c>
      <c r="I156" t="inlineStr">
        <is>
          <t xml:space="preserve">W</t>
        </is>
      </c>
      <c r="J156" t="inlineStr">
        <is>
          <t xml:space="preserve">W</t>
        </is>
      </c>
    </row>
    <row r="157">
      <c r="A157" t="inlineStr">
        <is>
          <t xml:space="preserve">S156</t>
        </is>
      </c>
      <c r="B157" t="inlineStr">
        <is>
          <t xml:space="preserve">ST60; ST61</t>
        </is>
      </c>
      <c r="C157" t="inlineStr">
        <is>
          <t xml:space="preserve">Why guarantee profits to defense firms with public money?</t>
        </is>
      </c>
      <c r="D157" t="inlineStr">
        <is>
          <t xml:space="preserve">Shipbuilding subsidies</t>
        </is>
      </c>
      <c r="E157" t="inlineStr">
        <is>
          <t xml:space="preserve">S</t>
        </is>
      </c>
      <c r="F157" t="inlineStr">
        <is>
          <t xml:space="preserve">W</t>
        </is>
      </c>
      <c r="G157" t="inlineStr">
        <is>
          <t xml:space="preserve">M</t>
        </is>
      </c>
      <c r="H157" t="inlineStr">
        <is>
          <t xml:space="preserve">W</t>
        </is>
      </c>
      <c r="I157" t="inlineStr">
        <is>
          <t xml:space="preserve">S</t>
        </is>
      </c>
      <c r="J157" t="inlineStr">
        <is>
          <t xml:space="preserve">M</t>
        </is>
      </c>
    </row>
    <row r="158">
      <c r="A158" t="inlineStr">
        <is>
          <t xml:space="preserve">S157</t>
        </is>
      </c>
      <c r="B158" t="inlineStr">
        <is>
          <t xml:space="preserve">ST60; ST61</t>
        </is>
      </c>
      <c r="C158" t="inlineStr">
        <is>
          <t xml:space="preserve">Could the same money build clinics instead?</t>
        </is>
      </c>
      <c r="D158" t="inlineStr">
        <is>
          <t xml:space="preserve">Shipbuilding subsidies</t>
        </is>
      </c>
      <c r="E158" t="inlineStr">
        <is>
          <t xml:space="preserve">M</t>
        </is>
      </c>
      <c r="F158" t="inlineStr">
        <is>
          <t xml:space="preserve">M</t>
        </is>
      </c>
      <c r="G158" t="inlineStr">
        <is>
          <t xml:space="preserve">W</t>
        </is>
      </c>
      <c r="H158" t="inlineStr">
        <is>
          <t xml:space="preserve">S</t>
        </is>
      </c>
      <c r="I158" t="inlineStr">
        <is>
          <t xml:space="preserve">S</t>
        </is>
      </c>
      <c r="J158" t="inlineStr">
        <is>
          <t xml:space="preserve">W</t>
        </is>
      </c>
    </row>
    <row r="159">
      <c r="A159" t="inlineStr">
        <is>
          <t xml:space="preserve">S158</t>
        </is>
      </c>
      <c r="B159" t="inlineStr">
        <is>
          <t xml:space="preserve">ST60; ST61</t>
        </is>
      </c>
      <c r="C159" t="inlineStr">
        <is>
          <t xml:space="preserve">Will the yards depend on exports to stay busy?</t>
        </is>
      </c>
      <c r="D159" t="inlineStr">
        <is>
          <t xml:space="preserve">Contract oversight</t>
        </is>
      </c>
      <c r="E159" t="inlineStr">
        <is>
          <t xml:space="preserve">W</t>
        </is>
      </c>
      <c r="F159" t="inlineStr">
        <is>
          <t xml:space="preserve">W</t>
        </is>
      </c>
      <c r="G159" t="inlineStr">
        <is>
          <t xml:space="preserve">S</t>
        </is>
      </c>
      <c r="H159" t="inlineStr">
        <is>
          <t xml:space="preserve">M</t>
        </is>
      </c>
      <c r="I159" t="inlineStr">
        <is>
          <t xml:space="preserve">S</t>
        </is>
      </c>
      <c r="J159" t="inlineStr">
        <is>
          <t xml:space="preserve">M</t>
        </is>
      </c>
    </row>
    <row r="160">
      <c r="A160" t="inlineStr">
        <is>
          <t xml:space="preserve">S159</t>
        </is>
      </c>
      <c r="B160" t="inlineStr">
        <is>
          <t xml:space="preserve">ST60; ST61</t>
        </is>
      </c>
      <c r="C160" t="inlineStr">
        <is>
          <t xml:space="preserve">Who inspects the contracts for waste?</t>
        </is>
      </c>
      <c r="D160" t="inlineStr">
        <is>
          <t xml:space="preserve">Contract oversight</t>
        </is>
      </c>
      <c r="E160" t="inlineStr">
        <is>
          <t xml:space="preserve">S</t>
        </is>
      </c>
      <c r="F160" t="inlineStr">
        <is>
          <t xml:space="preserve">S</t>
        </is>
      </c>
      <c r="G160" t="inlineStr">
        <is>
          <t xml:space="preserve">M</t>
        </is>
      </c>
      <c r="H160" t="inlineStr">
        <is>
          <t xml:space="preserve">W</t>
        </is>
      </c>
      <c r="I160" t="inlineStr">
        <is>
          <t xml:space="preserve">M</t>
        </is>
      </c>
      <c r="J160" t="inlineStr">
        <is>
          <t xml:space="preserve">W</t>
        </is>
      </c>
    </row>
    <row r="161">
      <c r="A161" t="inlineStr">
        <is>
          <t xml:space="preserve">S160</t>
        </is>
      </c>
      <c r="B161" t="inlineStr">
        <is>
          <t xml:space="preserve">ST63</t>
        </is>
      </c>
      <c r="C161" t="inlineStr">
        <is>
          <t xml:space="preserve">Why reopen the constitution when it has served us well?</t>
        </is>
      </c>
      <c r="D161" t="inlineStr">
        <is>
          <t xml:space="preserve">Constitutional reform</t>
        </is>
      </c>
      <c r="E161" t="inlineStr">
        <is>
          <t xml:space="preserve">S</t>
        </is>
      </c>
      <c r="F161" t="inlineStr">
        <is>
          <t xml:space="preserve">W</t>
        </is>
      </c>
      <c r="G161" t="inlineStr">
        <is>
          <t xml:space="preserve">M</t>
        </is>
      </c>
      <c r="H161" t="inlineStr">
        <is>
          <t xml:space="preserve">S</t>
        </is>
      </c>
      <c r="I161" t="inlineStr">
        <is>
          <t xml:space="preserve">W</t>
        </is>
      </c>
      <c r="J161" t="inlineStr">
        <is>
          <t xml:space="preserve">M</t>
        </is>
      </c>
    </row>
    <row r="162">
      <c r="A162" t="inlineStr">
        <is>
          <t xml:space="preserve">S161</t>
        </is>
      </c>
      <c r="B162" t="inlineStr">
        <is>
          <t xml:space="preserve">ST63</t>
        </is>
      </c>
      <c r="C162" t="inlineStr">
        <is>
          <t xml:space="preserve">Who will sit on the commission, and who picks them?</t>
        </is>
      </c>
      <c r="D162" t="inlineStr">
        <is>
          <t xml:space="preserve">Constitutional reform</t>
        </is>
      </c>
      <c r="E162" t="inlineStr">
        <is>
          <t xml:space="preserve">S</t>
        </is>
      </c>
      <c r="F162" t="inlineStr">
        <is>
          <t xml:space="preserve">M</t>
        </is>
      </c>
      <c r="G162" t="inlineStr">
        <is>
          <t xml:space="preserve">S</t>
        </is>
      </c>
      <c r="H162" t="inlineStr">
        <is>
          <t xml:space="preserve">M</t>
        </is>
      </c>
      <c r="I162" t="inlineStr">
        <is>
          <t xml:space="preserve">W</t>
        </is>
      </c>
      <c r="J162" t="inlineStr">
        <is>
          <t xml:space="preserve">W</t>
        </is>
      </c>
    </row>
    <row r="163">
      <c r="A163" t="inlineStr">
        <is>
          <t xml:space="preserve">S162</t>
        </is>
      </c>
      <c r="B163" t="inlineStr">
        <is>
          <t xml:space="preserve">ST63</t>
        </is>
      </c>
      <c r="C163" t="inlineStr">
        <is>
          <t xml:space="preserve">Could the review be used to weaken my rights?</t>
        </is>
      </c>
      <c r="D163" t="inlineStr">
        <is>
          <t xml:space="preserve">Commission membership</t>
        </is>
      </c>
      <c r="E163" t="inlineStr">
        <is>
          <t xml:space="preserve">M</t>
        </is>
      </c>
      <c r="F163" t="inlineStr">
        <is>
          <t xml:space="preserve">W</t>
        </is>
      </c>
      <c r="G163" t="inlineStr">
        <is>
          <t xml:space="preserve">W</t>
        </is>
      </c>
      <c r="H163" t="inlineStr">
        <is>
          <t xml:space="preserve">S</t>
        </is>
      </c>
      <c r="I163" t="inlineStr">
        <is>
          <t xml:space="preserve">M</t>
        </is>
      </c>
      <c r="J163" t="inlineStr">
        <is>
          <t xml:space="preserve">S</t>
        </is>
      </c>
    </row>
    <row r="164">
      <c r="A164" t="inlineStr">
        <is>
          <t xml:space="preserve">S163</t>
        </is>
      </c>
      <c r="B164" t="inlineStr">
        <is>
          <t xml:space="preserve">ST63; ST64</t>
        </is>
      </c>
      <c r="C164" t="inlineStr">
        <is>
          <t xml:space="preserve">How long will the commission study before it reports?</t>
        </is>
      </c>
      <c r="D164" t="inlineStr">
        <is>
          <t xml:space="preserve">Commission membership</t>
        </is>
      </c>
      <c r="E164" t="inlineStr">
        <is>
          <t xml:space="preserve">W</t>
        </is>
      </c>
      <c r="F164" t="inlineStr">
        <is>
          <t xml:space="preserve">M</t>
        </is>
      </c>
      <c r="G164" t="inlineStr">
        <is>
          <t xml:space="preserve">S</t>
        </is>
      </c>
      <c r="H164" t="inlineStr">
        <is>
          <t xml:space="preserve">M</t>
        </is>
      </c>
      <c r="I164" t="inlineStr">
        <is>
          <t xml:space="preserve">W</t>
        </is>
      </c>
      <c r="J164" t="inlineStr">
        <is>
          <t xml:space="preserve">S</t>
        </is>
      </c>
    </row>
    <row r="165">
      <c r="A165" t="inlineStr">
        <is>
          <t xml:space="preserve">S164</t>
        </is>
      </c>
      <c r="B165" t="inlineStr">
        <is>
          <t xml:space="preserve">ST63; ST64</t>
        </is>
      </c>
      <c r="C165" t="inlineStr">
        <is>
          <t xml:space="preserve">Will ordinary citizens have any say in the findings?</t>
        </is>
      </c>
      <c r="D165" t="inlineStr">
        <is>
          <t xml:space="preserve">Citizen rights</t>
        </is>
      </c>
      <c r="E165" t="inlineStr">
        <is>
          <t xml:space="preserve">S</t>
        </is>
      </c>
      <c r="F165" t="inlineStr">
        <is>
          <t xml:space="preserve">W</t>
        </is>
      </c>
      <c r="G165" t="inlineStr">
        <is>
          <t xml:space="preserve">M</t>
        </is>
      </c>
      <c r="H165" t="inlineStr">
        <is>
          <t xml:space="preserve">W</t>
        </is>
      </c>
      <c r="I165" t="inlineStr">
        <is>
          <t xml:space="preserve">M</t>
        </is>
      </c>
      <c r="J165" t="inlineStr">
        <is>
          <t xml:space="preserve">S</t>
        </is>
      </c>
    </row>
    <row r="166">
      <c r="A166" t="inlineStr">
        <is>
          <t xml:space="preserve">S165</t>
        </is>
      </c>
      <c r="B166" t="inlineStr">
        <is>
          <t xml:space="preserve">ST63; ST64</t>
        </is>
      </c>
      <c r="C166" t="inlineStr">
        <is>
          <t xml:space="preserve">What would you refuse to change, whatever the commission says?</t>
        </is>
      </c>
      <c r="D166" t="inlineStr">
        <is>
          <t xml:space="preserve">Citizen rights</t>
        </is>
      </c>
      <c r="E166" t="inlineStr">
        <is>
          <t xml:space="preserve">M</t>
        </is>
      </c>
      <c r="F166" t="inlineStr">
        <is>
          <t xml:space="preserve">S</t>
        </is>
      </c>
      <c r="G166" t="inlineStr">
        <is>
          <t xml:space="preserve">W</t>
        </is>
      </c>
      <c r="H166" t="inlineStr">
        <is>
          <t xml:space="preserve">S</t>
        </is>
      </c>
      <c r="I166" t="inlineStr">
        <is>
          <t xml:space="preserve">W</t>
        </is>
      </c>
      <c r="J166" t="inlineStr">
        <is>
          <t xml:space="preserve">M</t>
        </is>
      </c>
    </row>
    <row r="167">
      <c r="A167" t="inlineStr">
        <is>
          <t xml:space="preserve">S166</t>
        </is>
      </c>
      <c r="B167" t="inlineStr">
        <is>
          <t xml:space="preserve">ST66; ST67</t>
        </is>
      </c>
      <c r="C167" t="inlineStr">
        <is>
          <t xml:space="preserve">Will merged customs checks really shorten the queue at the port?</t>
        </is>
      </c>
      <c r="D167" t="inlineStr">
        <is>
          <t xml:space="preserve">Customs efficiency</t>
        </is>
      </c>
      <c r="E167" t="inlineStr">
        <is>
          <t xml:space="preserve">M</t>
        </is>
      </c>
      <c r="F167" t="inlineStr">
        <is>
          <t xml:space="preserve">W</t>
        </is>
      </c>
      <c r="G167" t="inlineStr">
        <is>
          <t xml:space="preserve">S</t>
        </is>
      </c>
      <c r="H167" t="inlineStr">
        <is>
          <t xml:space="preserve">S</t>
        </is>
      </c>
      <c r="I167" t="inlineStr">
        <is>
          <t xml:space="preserve">W</t>
        </is>
      </c>
      <c r="J167" t="inlineStr">
        <is>
          <t xml:space="preserve">M</t>
        </is>
      </c>
    </row>
    <row r="168">
      <c r="A168" t="inlineStr">
        <is>
          <t xml:space="preserve">S167</t>
        </is>
      </c>
      <c r="B168" t="inlineStr">
        <is>
          <t xml:space="preserve">ST66; ST67</t>
        </is>
      </c>
      <c r="C168" t="inlineStr">
        <is>
          <t xml:space="preserve">How much trade do we lose to delays every year?</t>
        </is>
      </c>
      <c r="D168" t="inlineStr">
        <is>
          <t xml:space="preserve">Customs efficiency</t>
        </is>
      </c>
      <c r="E168" t="inlineStr">
        <is>
          <t xml:space="preserve">S</t>
        </is>
      </c>
      <c r="F168" t="inlineStr">
        <is>
          <t xml:space="preserve">W</t>
        </is>
      </c>
      <c r="G168" t="inlineStr">
        <is>
          <t xml:space="preserve">M</t>
        </is>
      </c>
      <c r="H168" t="inlineStr">
        <is>
          <t xml:space="preserve">S</t>
        </is>
      </c>
      <c r="I168" t="inlineStr">
        <is>
          <t xml:space="preserve">M</t>
        </is>
      </c>
      <c r="J168" t="inlineStr">
        <is>
          <t xml:space="preserve">W</t>
        </is>
      </c>
    </row>
    <row r="169">
      <c r="A169" t="inlineStr">
        <is>
          <t xml:space="preserve">S168</t>
        </is>
      </c>
      <c r="B169" t="inlineStr">
        <is>
          <t xml:space="preserve">ST66</t>
        </is>
      </c>
      <c r="C169" t="inlineStr">
        <is>
          <t xml:space="preserve">What data would Japan receive about our citizens?</t>
        </is>
      </c>
      <c r="D169" t="inlineStr">
        <is>
          <t xml:space="preserve">Data sharing</t>
        </is>
      </c>
      <c r="E169" t="inlineStr">
        <is>
          <t xml:space="preserve">W</t>
        </is>
      </c>
      <c r="F169" t="inlineStr">
        <is>
          <t xml:space="preserve">M</t>
        </is>
      </c>
      <c r="G169" t="inlineStr">
        <is>
          <t xml:space="preserve">S</t>
        </is>
      </c>
      <c r="H169" t="inlineStr">
        <is>
          <t xml:space="preserve">M</t>
        </is>
      </c>
      <c r="I169" t="inlineStr">
        <is>
          <t xml:space="preserve">W</t>
        </is>
      </c>
      <c r="J169" t="inlineStr">
        <is>
          <t xml:space="preserve">S</t>
        </is>
      </c>
    </row>
    <row r="170">
      <c r="A170" t="inlineStr">
        <is>
          <t xml:space="preserve">S169</t>
        </is>
      </c>
      <c r="B170" t="inlineStr">
        <is>
          <t xml:space="preserve">ST66</t>
        </is>
      </c>
      <c r="C170" t="inlineStr">
        <is>
          <t xml:space="preserve">Who answers if the data is misused abroad?</t>
        </is>
      </c>
      <c r="D170" t="inlineStr">
        <is>
          <t xml:space="preserve">Data sharing</t>
        </is>
      </c>
      <c r="E170" t="inlineStr">
        <is>
          <t xml:space="preserve">S</t>
        </is>
      </c>
      <c r="F170" t="inlineStr">
        <is>
          <t xml:space="preserve">W</t>
        </is>
      </c>
      <c r="G170" t="inlineStr">
        <is>
          <t xml:space="preserve">M</t>
        </is>
      </c>
      <c r="H170" t="inlineStr">
        <is>
          <t xml:space="preserve">W</t>
        </is>
      </c>
      <c r="I170" t="inlineStr">
        <is>
          <t xml:space="preserve">M</t>
        </is>
      </c>
      <c r="J170" t="inlineStr">
        <is>
          <t xml:space="preserve">S</t>
        </is>
      </c>
    </row>
    <row r="171">
      <c r="A171" t="inlineStr">
        <is>
          <t xml:space="preserve">S170</t>
        </is>
      </c>
      <c r="B171" t="inlineStr">
        <is>
          <t xml:space="preserve">ST66; ST67</t>
        </is>
      </c>
      <c r="C171" t="inlineStr">
        <is>
          <t xml:space="preserve">Does sharing a border mean sharing our sovereignty?</t>
        </is>
      </c>
      <c r="D171" t="inlineStr">
        <is>
          <t xml:space="preserve">National sovereignty</t>
        </is>
      </c>
      <c r="E171" t="inlineStr">
        <is>
          <t xml:space="preserve">M</t>
        </is>
      </c>
      <c r="F171" t="inlineStr">
        <is>
          <t xml:space="preserve">M</t>
        </is>
      </c>
      <c r="G171" t="inlineStr">
        <is>
          <t xml:space="preserve">W</t>
        </is>
      </c>
      <c r="H171" t="inlineStr">
        <is>
          <t xml:space="preserve">S</t>
        </is>
      </c>
      <c r="I171" t="inlineStr">
        <is>
          <t xml:space="preserve">W</t>
        </is>
      </c>
      <c r="J171" t="inlineStr">
        <is>
          <t xml:space="preserve">S</t>
        </is>
      </c>
    </row>
    <row r="172">
      <c r="A172" t="inlineStr">
        <is>
          <t xml:space="preserve">S171</t>
        </is>
      </c>
      <c r="B172" t="inlineStr">
        <is>
          <t xml:space="preserve">ST66; ST67</t>
        </is>
      </c>
      <c r="C172" t="inlineStr">
        <is>
          <t xml:space="preserve">Why trust a neighbour's officers at our docks?</t>
        </is>
      </c>
      <c r="D172" t="inlineStr">
        <is>
          <t xml:space="preserve">National sovereignty</t>
        </is>
      </c>
      <c r="E172" t="inlineStr">
        <is>
          <t xml:space="preserve">W</t>
        </is>
      </c>
      <c r="F172" t="inlineStr">
        <is>
          <t xml:space="preserve">W</t>
        </is>
      </c>
      <c r="G172" t="inlineStr">
        <is>
          <t xml:space="preserve">S</t>
        </is>
      </c>
      <c r="H172" t="inlineStr">
        <is>
          <t xml:space="preserve">M</t>
        </is>
      </c>
      <c r="I172" t="inlineStr">
        <is>
          <t xml:space="preserve">S</t>
        </is>
      </c>
      <c r="J172" t="inlineStr">
        <is>
          <t xml:space="preserve">M</t>
        </is>
      </c>
    </row>
    <row r="173">
      <c r="A173" t="inlineStr">
        <is>
          <t xml:space="preserve">S172</t>
        </is>
      </c>
      <c r="B173" t="inlineStr">
        <is>
          <t xml:space="preserve">ST69; ST70; ST71</t>
        </is>
      </c>
      <c r="C173" t="inlineStr">
        <is>
          <t xml:space="preserve">What will the Chishima venture bring home to Yezo?</t>
        </is>
      </c>
      <c r="D173" t="inlineStr">
        <is>
          <t xml:space="preserve">Island resources</t>
        </is>
      </c>
      <c r="E173" t="inlineStr">
        <is>
          <t xml:space="preserve">M</t>
        </is>
      </c>
      <c r="F173" t="inlineStr">
        <is>
          <t xml:space="preserve">W</t>
        </is>
      </c>
      <c r="G173" t="inlineStr">
        <is>
          <t xml:space="preserve">S</t>
        </is>
      </c>
      <c r="H173" t="inlineStr">
        <is>
          <t xml:space="preserve">S</t>
        </is>
      </c>
      <c r="I173" t="inlineStr">
        <is>
          <t xml:space="preserve">W</t>
        </is>
      </c>
      <c r="J173" t="inlineStr">
        <is>
          <t xml:space="preserve">M</t>
        </is>
      </c>
    </row>
    <row r="174">
      <c r="A174" t="inlineStr">
        <is>
          <t xml:space="preserve">S173</t>
        </is>
      </c>
      <c r="B174" t="inlineStr">
        <is>
          <t xml:space="preserve">ST69; ST70; ST71</t>
        </is>
      </c>
      <c r="C174" t="inlineStr">
        <is>
          <t xml:space="preserve">Who is our partner, and what do they get?</t>
        </is>
      </c>
      <c r="D174" t="inlineStr">
        <is>
          <t xml:space="preserve">Island resources</t>
        </is>
      </c>
      <c r="E174" t="inlineStr">
        <is>
          <t xml:space="preserve">W</t>
        </is>
      </c>
      <c r="F174" t="inlineStr">
        <is>
          <t xml:space="preserve">M</t>
        </is>
      </c>
      <c r="G174" t="inlineStr">
        <is>
          <t xml:space="preserve">S</t>
        </is>
      </c>
      <c r="H174" t="inlineStr">
        <is>
          <t xml:space="preserve">M</t>
        </is>
      </c>
      <c r="I174" t="inlineStr">
        <is>
          <t xml:space="preserve">W</t>
        </is>
      </c>
      <c r="J174" t="inlineStr">
        <is>
          <t xml:space="preserve">S</t>
        </is>
      </c>
    </row>
    <row r="175">
      <c r="A175" t="inlineStr">
        <is>
          <t xml:space="preserve">S174</t>
        </is>
      </c>
      <c r="B175" t="inlineStr">
        <is>
          <t xml:space="preserve">ST69; ST71</t>
        </is>
      </c>
      <c r="C175" t="inlineStr">
        <is>
          <t xml:space="preserve">Fishers say the islands are their waters. What about them?</t>
        </is>
      </c>
      <c r="D175" t="inlineStr">
        <is>
          <t xml:space="preserve">Fishing waters</t>
        </is>
      </c>
      <c r="E175" t="inlineStr">
        <is>
          <t xml:space="preserve">S</t>
        </is>
      </c>
      <c r="F175" t="inlineStr">
        <is>
          <t xml:space="preserve">W</t>
        </is>
      </c>
      <c r="G175" t="inlineStr">
        <is>
          <t xml:space="preserve">M</t>
        </is>
      </c>
      <c r="H175" t="inlineStr">
        <is>
          <t xml:space="preserve">S</t>
        </is>
      </c>
      <c r="I175" t="inlineStr">
        <is>
          <t xml:space="preserve">M</t>
        </is>
      </c>
      <c r="J175" t="inlineStr">
        <is>
          <t xml:space="preserve">W</t>
        </is>
      </c>
    </row>
    <row r="176">
      <c r="A176" t="inlineStr">
        <is>
          <t xml:space="preserve">S175</t>
        </is>
      </c>
      <c r="B176" t="inlineStr">
        <is>
          <t xml:space="preserve">ST69</t>
        </is>
      </c>
      <c r="C176" t="inlineStr">
        <is>
          <t xml:space="preserve">Will island residents share the profits?</t>
        </is>
      </c>
      <c r="D176" t="inlineStr">
        <is>
          <t xml:space="preserve">Fishing waters</t>
        </is>
      </c>
      <c r="E176" t="inlineStr">
        <is>
          <t xml:space="preserve">S</t>
        </is>
      </c>
      <c r="F176" t="inlineStr">
        <is>
          <t xml:space="preserve">M</t>
        </is>
      </c>
      <c r="G176" t="inlineStr">
        <is>
          <t xml:space="preserve">W</t>
        </is>
      </c>
      <c r="H176" t="inlineStr">
        <is>
          <t xml:space="preserve">M</t>
        </is>
      </c>
      <c r="I176" t="inlineStr">
        <is>
          <t xml:space="preserve">W</t>
        </is>
      </c>
      <c r="J176" t="inlineStr">
        <is>
          <t xml:space="preserve">S</t>
        </is>
      </c>
    </row>
    <row r="177">
      <c r="A177" t="inlineStr">
        <is>
          <t xml:space="preserve">S176</t>
        </is>
      </c>
      <c r="B177" t="inlineStr">
        <is>
          <t xml:space="preserve">ST69</t>
        </is>
      </c>
      <c r="C177" t="inlineStr">
        <is>
          <t xml:space="preserve">Who guards the islands if tensions rise?</t>
        </is>
      </c>
      <c r="D177" t="inlineStr">
        <is>
          <t xml:space="preserve">Island security</t>
        </is>
      </c>
      <c r="E177" t="inlineStr">
        <is>
          <t xml:space="preserve">S</t>
        </is>
      </c>
      <c r="F177" t="inlineStr">
        <is>
          <t xml:space="preserve">W</t>
        </is>
      </c>
      <c r="G177" t="inlineStr">
        <is>
          <t xml:space="preserve">S</t>
        </is>
      </c>
      <c r="H177" t="inlineStr">
        <is>
          <t xml:space="preserve">W</t>
        </is>
      </c>
      <c r="I177" t="inlineStr">
        <is>
          <t xml:space="preserve">M</t>
        </is>
      </c>
      <c r="J177" t="inlineStr">
        <is>
          <t xml:space="preserve">M</t>
        </is>
      </c>
    </row>
    <row r="178">
      <c r="A178" t="inlineStr">
        <is>
          <t xml:space="preserve">S177</t>
        </is>
      </c>
      <c r="B178" t="inlineStr">
        <is>
          <t xml:space="preserve">ST69; ST70; ST71</t>
        </is>
      </c>
      <c r="C178" t="inlineStr">
        <is>
          <t xml:space="preserve">Could this deal anger a bigger neighbour?</t>
        </is>
      </c>
      <c r="D178" t="inlineStr">
        <is>
          <t xml:space="preserve">Island security</t>
        </is>
      </c>
      <c r="E178" t="inlineStr">
        <is>
          <t xml:space="preserve">M</t>
        </is>
      </c>
      <c r="F178" t="inlineStr">
        <is>
          <t xml:space="preserve">S</t>
        </is>
      </c>
      <c r="G178" t="inlineStr">
        <is>
          <t xml:space="preserve">M</t>
        </is>
      </c>
      <c r="H178" t="inlineStr">
        <is>
          <t xml:space="preserve">S</t>
        </is>
      </c>
      <c r="I178" t="inlineStr">
        <is>
          <t xml:space="preserve">W</t>
        </is>
      </c>
      <c r="J178" t="inlineStr">
        <is>
          <t xml:space="preserve">W</t>
        </is>
      </c>
    </row>
    <row r="179">
      <c r="A179" t="inlineStr">
        <is>
          <t xml:space="preserve">S178</t>
        </is>
      </c>
      <c r="B179" t="inlineStr">
        <is>
          <t xml:space="preserve">ST74</t>
        </is>
      </c>
      <c r="C179" t="inlineStr">
        <is>
          <t xml:space="preserve">Will cheaper goods help ordinary families or hurt local makers?</t>
        </is>
      </c>
      <c r="D179" t="inlineStr">
        <is>
          <t xml:space="preserve">Export gains</t>
        </is>
      </c>
      <c r="E179" t="inlineStr">
        <is>
          <t xml:space="preserve">W</t>
        </is>
      </c>
      <c r="F179" t="inlineStr">
        <is>
          <t xml:space="preserve">W</t>
        </is>
      </c>
      <c r="G179" t="inlineStr">
        <is>
          <t xml:space="preserve">S</t>
        </is>
      </c>
      <c r="H179" t="inlineStr">
        <is>
          <t xml:space="preserve">S</t>
        </is>
      </c>
      <c r="I179" t="inlineStr">
        <is>
          <t xml:space="preserve">M</t>
        </is>
      </c>
      <c r="J179" t="inlineStr">
        <is>
          <t xml:space="preserve">M</t>
        </is>
      </c>
    </row>
    <row r="180">
      <c r="A180" t="inlineStr">
        <is>
          <t xml:space="preserve">S179</t>
        </is>
      </c>
      <c r="B180" t="inlineStr">
        <is>
          <t xml:space="preserve">ST74</t>
        </is>
      </c>
      <c r="C180" t="inlineStr">
        <is>
          <t xml:space="preserve">How many exporters gain when the tariffs fall?</t>
        </is>
      </c>
      <c r="D180" t="inlineStr">
        <is>
          <t xml:space="preserve">Export gains</t>
        </is>
      </c>
      <c r="E180" t="inlineStr">
        <is>
          <t xml:space="preserve">M</t>
        </is>
      </c>
      <c r="F180" t="inlineStr">
        <is>
          <t xml:space="preserve">W</t>
        </is>
      </c>
      <c r="G180" t="inlineStr">
        <is>
          <t xml:space="preserve">M</t>
        </is>
      </c>
      <c r="H180" t="inlineStr">
        <is>
          <t xml:space="preserve">S</t>
        </is>
      </c>
      <c r="I180" t="inlineStr">
        <is>
          <t xml:space="preserve">W</t>
        </is>
      </c>
      <c r="J180" t="inlineStr">
        <is>
          <t xml:space="preserve">S</t>
        </is>
      </c>
    </row>
    <row r="181">
      <c r="A181" t="inlineStr">
        <is>
          <t xml:space="preserve">S180</t>
        </is>
      </c>
      <c r="B181" t="inlineStr">
        <is>
          <t xml:space="preserve">ST74</t>
        </is>
      </c>
      <c r="C181" t="inlineStr">
        <is>
          <t xml:space="preserve">Can a farm compete with imports at half the price?</t>
        </is>
      </c>
      <c r="D181" t="inlineStr">
        <is>
          <t xml:space="preserve">Local makers</t>
        </is>
      </c>
      <c r="E181" t="inlineStr">
        <is>
          <t xml:space="preserve">W</t>
        </is>
      </c>
      <c r="F181" t="inlineStr">
        <is>
          <t xml:space="preserve">M</t>
        </is>
      </c>
      <c r="G181" t="inlineStr">
        <is>
          <t xml:space="preserve">S</t>
        </is>
      </c>
      <c r="H181" t="inlineStr">
        <is>
          <t xml:space="preserve">M</t>
        </is>
      </c>
      <c r="I181" t="inlineStr">
        <is>
          <t xml:space="preserve">S</t>
        </is>
      </c>
      <c r="J181" t="inlineStr">
        <is>
          <t xml:space="preserve">W</t>
        </is>
      </c>
    </row>
    <row r="182">
      <c r="A182" t="inlineStr">
        <is>
          <t xml:space="preserve">S181</t>
        </is>
      </c>
      <c r="B182" t="inlineStr">
        <is>
          <t xml:space="preserve">ST74</t>
        </is>
      </c>
      <c r="C182" t="inlineStr">
        <is>
          <t xml:space="preserve">What stops us depending on one trading partner?</t>
        </is>
      </c>
      <c r="D182" t="inlineStr">
        <is>
          <t xml:space="preserve">Local makers</t>
        </is>
      </c>
      <c r="E182" t="inlineStr">
        <is>
          <t xml:space="preserve">M</t>
        </is>
      </c>
      <c r="F182" t="inlineStr">
        <is>
          <t xml:space="preserve">W</t>
        </is>
      </c>
      <c r="G182" t="inlineStr">
        <is>
          <t xml:space="preserve">M</t>
        </is>
      </c>
      <c r="H182" t="inlineStr">
        <is>
          <t xml:space="preserve">W</t>
        </is>
      </c>
      <c r="I182" t="inlineStr">
        <is>
          <t xml:space="preserve">S</t>
        </is>
      </c>
      <c r="J182" t="inlineStr">
        <is>
          <t xml:space="preserve">S</t>
        </is>
      </c>
    </row>
    <row r="183">
      <c r="A183" t="inlineStr">
        <is>
          <t xml:space="preserve">S182</t>
        </is>
      </c>
      <c r="B183" t="inlineStr">
        <is>
          <t xml:space="preserve">ST74</t>
        </is>
      </c>
      <c r="C183" t="inlineStr">
        <is>
          <t xml:space="preserve">Do we ignore human rights for cheaper goods?</t>
        </is>
      </c>
      <c r="D183" t="inlineStr">
        <is>
          <t xml:space="preserve">Trade dependence</t>
        </is>
      </c>
      <c r="E183" t="inlineStr">
        <is>
          <t xml:space="preserve">W</t>
        </is>
      </c>
      <c r="F183" t="inlineStr">
        <is>
          <t xml:space="preserve">M</t>
        </is>
      </c>
      <c r="G183" t="inlineStr">
        <is>
          <t xml:space="preserve">W</t>
        </is>
      </c>
      <c r="H183" t="inlineStr">
        <is>
          <t xml:space="preserve">S</t>
        </is>
      </c>
      <c r="I183" t="inlineStr">
        <is>
          <t xml:space="preserve">S</t>
        </is>
      </c>
      <c r="J183" t="inlineStr">
        <is>
          <t xml:space="preserve">M</t>
        </is>
      </c>
    </row>
    <row r="184">
      <c r="A184" t="inlineStr">
        <is>
          <t xml:space="preserve">S183</t>
        </is>
      </c>
      <c r="B184" t="inlineStr">
        <is>
          <t xml:space="preserve">ST74</t>
        </is>
      </c>
      <c r="C184" t="inlineStr">
        <is>
          <t xml:space="preserve">Who protects workers if a factory closes?</t>
        </is>
      </c>
      <c r="D184" t="inlineStr">
        <is>
          <t xml:space="preserve">Trade dependence</t>
        </is>
      </c>
      <c r="E184" t="inlineStr">
        <is>
          <t xml:space="preserve">S</t>
        </is>
      </c>
      <c r="F184" t="inlineStr">
        <is>
          <t xml:space="preserve">W</t>
        </is>
      </c>
      <c r="G184" t="inlineStr">
        <is>
          <t xml:space="preserve">S</t>
        </is>
      </c>
      <c r="H184" t="inlineStr">
        <is>
          <t xml:space="preserve">M</t>
        </is>
      </c>
      <c r="I184" t="inlineStr">
        <is>
          <t xml:space="preserve">M</t>
        </is>
      </c>
      <c r="J184" t="inlineStr">
        <is>
          <t xml:space="preserve">W</t>
        </is>
      </c>
    </row>
    <row r="185">
      <c r="A185" t="inlineStr">
        <is>
          <t xml:space="preserve">S184</t>
        </is>
      </c>
      <c r="B185" t="inlineStr">
        <is>
          <t xml:space="preserve">ST76; ST77</t>
        </is>
      </c>
      <c r="C185" t="inlineStr">
        <is>
          <t xml:space="preserve">Will a grant keep my son on the family farm?</t>
        </is>
      </c>
      <c r="D185" t="inlineStr">
        <is>
          <t xml:space="preserve">Young farmers</t>
        </is>
      </c>
      <c r="E185" t="inlineStr">
        <is>
          <t xml:space="preserve">S</t>
        </is>
      </c>
      <c r="F185" t="inlineStr">
        <is>
          <t xml:space="preserve">S</t>
        </is>
      </c>
      <c r="G185" t="inlineStr">
        <is>
          <t xml:space="preserve">M</t>
        </is>
      </c>
      <c r="H185" t="inlineStr">
        <is>
          <t xml:space="preserve">M</t>
        </is>
      </c>
      <c r="I185" t="inlineStr">
        <is>
          <t xml:space="preserve">W</t>
        </is>
      </c>
      <c r="J185" t="inlineStr">
        <is>
          <t xml:space="preserve">W</t>
        </is>
      </c>
    </row>
    <row r="186">
      <c r="A186" t="inlineStr">
        <is>
          <t xml:space="preserve">S185</t>
        </is>
      </c>
      <c r="B186" t="inlineStr">
        <is>
          <t xml:space="preserve">ST76; ST77</t>
        </is>
      </c>
      <c r="C186" t="inlineStr">
        <is>
          <t xml:space="preserve">How many young people want to farm if the money is there?</t>
        </is>
      </c>
      <c r="D186" t="inlineStr">
        <is>
          <t xml:space="preserve">Young farmers</t>
        </is>
      </c>
      <c r="E186" t="inlineStr">
        <is>
          <t xml:space="preserve">M</t>
        </is>
      </c>
      <c r="F186" t="inlineStr">
        <is>
          <t xml:space="preserve">S</t>
        </is>
      </c>
      <c r="G186" t="inlineStr">
        <is>
          <t xml:space="preserve">S</t>
        </is>
      </c>
      <c r="H186" t="inlineStr">
        <is>
          <t xml:space="preserve">W</t>
        </is>
      </c>
      <c r="I186" t="inlineStr">
        <is>
          <t xml:space="preserve">W</t>
        </is>
      </c>
      <c r="J186" t="inlineStr">
        <is>
          <t xml:space="preserve">M</t>
        </is>
      </c>
    </row>
    <row r="187">
      <c r="A187" t="inlineStr">
        <is>
          <t xml:space="preserve">S186</t>
        </is>
      </c>
      <c r="B187" t="inlineStr">
        <is>
          <t xml:space="preserve">ST76; ST77</t>
        </is>
      </c>
      <c r="C187" t="inlineStr">
        <is>
          <t xml:space="preserve">Why subsidize farms that cannot pay for themselves?</t>
        </is>
      </c>
      <c r="D187" t="inlineStr">
        <is>
          <t xml:space="preserve">Farm subsidies</t>
        </is>
      </c>
      <c r="E187" t="inlineStr">
        <is>
          <t xml:space="preserve">S</t>
        </is>
      </c>
      <c r="F187" t="inlineStr">
        <is>
          <t xml:space="preserve">M</t>
        </is>
      </c>
      <c r="G187" t="inlineStr">
        <is>
          <t xml:space="preserve">W</t>
        </is>
      </c>
      <c r="H187" t="inlineStr">
        <is>
          <t xml:space="preserve">S</t>
        </is>
      </c>
      <c r="I187" t="inlineStr">
        <is>
          <t xml:space="preserve">M</t>
        </is>
      </c>
      <c r="J187" t="inlineStr">
        <is>
          <t xml:space="preserve">W</t>
        </is>
      </c>
    </row>
    <row r="188">
      <c r="A188" t="inlineStr">
        <is>
          <t xml:space="preserve">S187</t>
        </is>
      </c>
      <c r="B188" t="inlineStr">
        <is>
          <t xml:space="preserve">ST76; ST77</t>
        </is>
      </c>
      <c r="C188" t="inlineStr">
        <is>
          <t xml:space="preserve">Does an inheritance tax cut only help the wealthy landowner?</t>
        </is>
      </c>
      <c r="D188" t="inlineStr">
        <is>
          <t xml:space="preserve">Farm subsidies</t>
        </is>
      </c>
      <c r="E188" t="inlineStr">
        <is>
          <t xml:space="preserve">M</t>
        </is>
      </c>
      <c r="F188" t="inlineStr">
        <is>
          <t xml:space="preserve">W</t>
        </is>
      </c>
      <c r="G188" t="inlineStr">
        <is>
          <t xml:space="preserve">S</t>
        </is>
      </c>
      <c r="H188" t="inlineStr">
        <is>
          <t xml:space="preserve">S</t>
        </is>
      </c>
      <c r="I188" t="inlineStr">
        <is>
          <t xml:space="preserve">W</t>
        </is>
      </c>
      <c r="J188" t="inlineStr">
        <is>
          <t xml:space="preserve">M</t>
        </is>
      </c>
    </row>
    <row r="189">
      <c r="A189" t="inlineStr">
        <is>
          <t xml:space="preserve">S188</t>
        </is>
      </c>
      <c r="B189" t="inlineStr">
        <is>
          <t xml:space="preserve">ST76; ST77</t>
        </is>
      </c>
      <c r="C189" t="inlineStr">
        <is>
          <t xml:space="preserve">What happens to farms with no heir?</t>
        </is>
      </c>
      <c r="D189" t="inlineStr">
        <is>
          <t xml:space="preserve">Small farm fairness</t>
        </is>
      </c>
      <c r="E189" t="inlineStr">
        <is>
          <t xml:space="preserve">W</t>
        </is>
      </c>
      <c r="F189" t="inlineStr">
        <is>
          <t xml:space="preserve">S</t>
        </is>
      </c>
      <c r="G189" t="inlineStr">
        <is>
          <t xml:space="preserve">M</t>
        </is>
      </c>
      <c r="H189" t="inlineStr">
        <is>
          <t xml:space="preserve">S</t>
        </is>
      </c>
      <c r="I189" t="inlineStr">
        <is>
          <t xml:space="preserve">M</t>
        </is>
      </c>
      <c r="J189" t="inlineStr">
        <is>
          <t xml:space="preserve">W</t>
        </is>
      </c>
    </row>
    <row r="190">
      <c r="A190" t="inlineStr">
        <is>
          <t xml:space="preserve">S189</t>
        </is>
      </c>
      <c r="B190" t="inlineStr">
        <is>
          <t xml:space="preserve">ST76; ST77</t>
        </is>
      </c>
      <c r="C190" t="inlineStr">
        <is>
          <t xml:space="preserve">Will the grant favour big farms over small ones?</t>
        </is>
      </c>
      <c r="D190" t="inlineStr">
        <is>
          <t xml:space="preserve">Small farm fairness</t>
        </is>
      </c>
      <c r="E190" t="inlineStr">
        <is>
          <t xml:space="preserve">S</t>
        </is>
      </c>
      <c r="F190" t="inlineStr">
        <is>
          <t xml:space="preserve">M</t>
        </is>
      </c>
      <c r="G190" t="inlineStr">
        <is>
          <t xml:space="preserve">W</t>
        </is>
      </c>
      <c r="H190" t="inlineStr">
        <is>
          <t xml:space="preserve">M</t>
        </is>
      </c>
      <c r="I190" t="inlineStr">
        <is>
          <t xml:space="preserve">W</t>
        </is>
      </c>
      <c r="J190" t="inlineStr">
        <is>
          <t xml:space="preserve">S</t>
        </is>
      </c>
    </row>
    <row r="191">
      <c r="A191" t="inlineStr">
        <is>
          <t xml:space="preserve">S190</t>
        </is>
      </c>
      <c r="B191" t="inlineStr">
        <is>
          <t xml:space="preserve">ST79; ST80</t>
        </is>
      </c>
      <c r="C191" t="inlineStr">
        <is>
          <t xml:space="preserve">What will doubling research grants discover that we need?</t>
        </is>
      </c>
      <c r="D191" t="inlineStr">
        <is>
          <t xml:space="preserve">Research and innovation</t>
        </is>
      </c>
      <c r="E191" t="inlineStr">
        <is>
          <t xml:space="preserve">S</t>
        </is>
      </c>
      <c r="F191" t="inlineStr">
        <is>
          <t xml:space="preserve">M</t>
        </is>
      </c>
      <c r="G191" t="inlineStr">
        <is>
          <t xml:space="preserve">M</t>
        </is>
      </c>
      <c r="H191" t="inlineStr">
        <is>
          <t xml:space="preserve">S</t>
        </is>
      </c>
      <c r="I191" t="inlineStr">
        <is>
          <t xml:space="preserve">W</t>
        </is>
      </c>
      <c r="J191" t="inlineStr">
        <is>
          <t xml:space="preserve">W</t>
        </is>
      </c>
    </row>
    <row r="192">
      <c r="A192" t="inlineStr">
        <is>
          <t xml:space="preserve">S191</t>
        </is>
      </c>
      <c r="B192" t="inlineStr">
        <is>
          <t xml:space="preserve">ST80</t>
        </is>
      </c>
      <c r="C192" t="inlineStr">
        <is>
          <t xml:space="preserve">Will graduates stay in Yezo if the labs are here?</t>
        </is>
      </c>
      <c r="D192" t="inlineStr">
        <is>
          <t xml:space="preserve">Research and innovation</t>
        </is>
      </c>
      <c r="E192" t="inlineStr">
        <is>
          <t xml:space="preserve">M</t>
        </is>
      </c>
      <c r="F192" t="inlineStr">
        <is>
          <t xml:space="preserve">W</t>
        </is>
      </c>
      <c r="G192" t="inlineStr">
        <is>
          <t xml:space="preserve">S</t>
        </is>
      </c>
      <c r="H192" t="inlineStr">
        <is>
          <t xml:space="preserve">S</t>
        </is>
      </c>
      <c r="I192" t="inlineStr">
        <is>
          <t xml:space="preserve">W</t>
        </is>
      </c>
      <c r="J192" t="inlineStr">
        <is>
          <t xml:space="preserve">M</t>
        </is>
      </c>
    </row>
    <row r="193">
      <c r="A193" t="inlineStr">
        <is>
          <t xml:space="preserve">S192</t>
        </is>
      </c>
      <c r="B193" t="inlineStr">
        <is>
          <t xml:space="preserve">ST79; ST80</t>
        </is>
      </c>
      <c r="C193" t="inlineStr">
        <is>
          <t xml:space="preserve">Who audits a university that controls its own budget?</t>
        </is>
      </c>
      <c r="D193" t="inlineStr">
        <is>
          <t xml:space="preserve">University spending</t>
        </is>
      </c>
      <c r="E193" t="inlineStr">
        <is>
          <t xml:space="preserve">S</t>
        </is>
      </c>
      <c r="F193" t="inlineStr">
        <is>
          <t xml:space="preserve">S</t>
        </is>
      </c>
      <c r="G193" t="inlineStr">
        <is>
          <t xml:space="preserve">W</t>
        </is>
      </c>
      <c r="H193" t="inlineStr">
        <is>
          <t xml:space="preserve">M</t>
        </is>
      </c>
      <c r="I193" t="inlineStr">
        <is>
          <t xml:space="preserve">M</t>
        </is>
      </c>
      <c r="J193" t="inlineStr">
        <is>
          <t xml:space="preserve">W</t>
        </is>
      </c>
    </row>
    <row r="194">
      <c r="A194" t="inlineStr">
        <is>
          <t xml:space="preserve">S193</t>
        </is>
      </c>
      <c r="B194" t="inlineStr">
        <is>
          <t xml:space="preserve">ST79; ST80</t>
        </is>
      </c>
      <c r="C194" t="inlineStr">
        <is>
          <t xml:space="preserve">Why spend on laboratories while schools lack teachers?</t>
        </is>
      </c>
      <c r="D194" t="inlineStr">
        <is>
          <t xml:space="preserve">University spending</t>
        </is>
      </c>
      <c r="E194" t="inlineStr">
        <is>
          <t xml:space="preserve">M</t>
        </is>
      </c>
      <c r="F194" t="inlineStr">
        <is>
          <t xml:space="preserve">S</t>
        </is>
      </c>
      <c r="G194" t="inlineStr">
        <is>
          <t xml:space="preserve">S</t>
        </is>
      </c>
      <c r="H194" t="inlineStr">
        <is>
          <t xml:space="preserve">W</t>
        </is>
      </c>
      <c r="I194" t="inlineStr">
        <is>
          <t xml:space="preserve">W</t>
        </is>
      </c>
      <c r="J194" t="inlineStr">
        <is>
          <t xml:space="preserve">M</t>
        </is>
      </c>
    </row>
    <row r="195">
      <c r="A195" t="inlineStr">
        <is>
          <t xml:space="preserve">S194</t>
        </is>
      </c>
      <c r="B195" t="inlineStr">
        <is>
          <t xml:space="preserve">ST79; ST80</t>
        </is>
      </c>
      <c r="C195" t="inlineStr">
        <is>
          <t xml:space="preserve">Will rural students ever benefit from this?</t>
        </is>
      </c>
      <c r="D195" t="inlineStr">
        <is>
          <t xml:space="preserve">Rural students</t>
        </is>
      </c>
      <c r="E195" t="inlineStr">
        <is>
          <t xml:space="preserve">W</t>
        </is>
      </c>
      <c r="F195" t="inlineStr">
        <is>
          <t xml:space="preserve">S</t>
        </is>
      </c>
      <c r="G195" t="inlineStr">
        <is>
          <t xml:space="preserve">M</t>
        </is>
      </c>
      <c r="H195" t="inlineStr">
        <is>
          <t xml:space="preserve">S</t>
        </is>
      </c>
      <c r="I195" t="inlineStr">
        <is>
          <t xml:space="preserve">M</t>
        </is>
      </c>
      <c r="J195" t="inlineStr">
        <is>
          <t xml:space="preserve">W</t>
        </is>
      </c>
    </row>
    <row r="196">
      <c r="A196" t="inlineStr">
        <is>
          <t xml:space="preserve">S195</t>
        </is>
      </c>
      <c r="B196" t="inlineStr">
        <is>
          <t xml:space="preserve">ST79; ST80</t>
        </is>
      </c>
      <c r="C196" t="inlineStr">
        <is>
          <t xml:space="preserve">Could autonomy let universities ignore national needs?</t>
        </is>
      </c>
      <c r="D196" t="inlineStr">
        <is>
          <t xml:space="preserve">Rural students</t>
        </is>
      </c>
      <c r="E196" t="inlineStr">
        <is>
          <t xml:space="preserve">S</t>
        </is>
      </c>
      <c r="F196" t="inlineStr">
        <is>
          <t xml:space="preserve">M</t>
        </is>
      </c>
      <c r="G196" t="inlineStr">
        <is>
          <t xml:space="preserve">W</t>
        </is>
      </c>
      <c r="H196" t="inlineStr">
        <is>
          <t xml:space="preserve">M</t>
        </is>
      </c>
      <c r="I196" t="inlineStr">
        <is>
          <t xml:space="preserve">W</t>
        </is>
      </c>
      <c r="J196" t="inlineStr">
        <is>
          <t xml:space="preserve">S</t>
        </is>
      </c>
    </row>
    <row r="197">
      <c r="A197" t="inlineStr">
        <is>
          <t xml:space="preserve">S196</t>
        </is>
      </c>
      <c r="B197" t="inlineStr">
        <is>
          <t xml:space="preserve">ST82</t>
        </is>
      </c>
      <c r="C197" t="inlineStr">
        <is>
          <t xml:space="preserve">Will the penalties really stop a manager who discriminates?</t>
        </is>
      </c>
      <c r="D197" t="inlineStr">
        <is>
          <t xml:space="preserve">Fair treatment at work</t>
        </is>
      </c>
      <c r="E197" t="inlineStr">
        <is>
          <t xml:space="preserve">S</t>
        </is>
      </c>
      <c r="F197" t="inlineStr">
        <is>
          <t xml:space="preserve">S</t>
        </is>
      </c>
      <c r="G197" t="inlineStr">
        <is>
          <t xml:space="preserve">M</t>
        </is>
      </c>
      <c r="H197" t="inlineStr">
        <is>
          <t xml:space="preserve">M</t>
        </is>
      </c>
      <c r="I197" t="inlineStr">
        <is>
          <t xml:space="preserve">W</t>
        </is>
      </c>
      <c r="J197" t="inlineStr">
        <is>
          <t xml:space="preserve">W</t>
        </is>
      </c>
    </row>
    <row r="198">
      <c r="A198" t="inlineStr">
        <is>
          <t xml:space="preserve">S197</t>
        </is>
      </c>
      <c r="B198" t="inlineStr">
        <is>
          <t xml:space="preserve">ST82</t>
        </is>
      </c>
      <c r="C198" t="inlineStr">
        <is>
          <t xml:space="preserve">How many workers face unequal pay today?</t>
        </is>
      </c>
      <c r="D198" t="inlineStr">
        <is>
          <t xml:space="preserve">Fair treatment at work</t>
        </is>
      </c>
      <c r="E198" t="inlineStr">
        <is>
          <t xml:space="preserve">S</t>
        </is>
      </c>
      <c r="F198" t="inlineStr">
        <is>
          <t xml:space="preserve">M</t>
        </is>
      </c>
      <c r="G198" t="inlineStr">
        <is>
          <t xml:space="preserve">W</t>
        </is>
      </c>
      <c r="H198" t="inlineStr">
        <is>
          <t xml:space="preserve">S</t>
        </is>
      </c>
      <c r="I198" t="inlineStr">
        <is>
          <t xml:space="preserve">M</t>
        </is>
      </c>
      <c r="J198" t="inlineStr">
        <is>
          <t xml:space="preserve">W</t>
        </is>
      </c>
    </row>
    <row r="199">
      <c r="A199" t="inlineStr">
        <is>
          <t xml:space="preserve">S198</t>
        </is>
      </c>
      <c r="B199" t="inlineStr">
        <is>
          <t xml:space="preserve">ST82</t>
        </is>
      </c>
      <c r="C199" t="inlineStr">
        <is>
          <t xml:space="preserve">Small shops fear lawsuits. Who protects them?</t>
        </is>
      </c>
      <c r="D199" t="inlineStr">
        <is>
          <t xml:space="preserve">Small employer burden</t>
        </is>
      </c>
      <c r="E199" t="inlineStr">
        <is>
          <t xml:space="preserve">M</t>
        </is>
      </c>
      <c r="F199" t="inlineStr">
        <is>
          <t xml:space="preserve">S</t>
        </is>
      </c>
      <c r="G199" t="inlineStr">
        <is>
          <t xml:space="preserve">S</t>
        </is>
      </c>
      <c r="H199" t="inlineStr">
        <is>
          <t xml:space="preserve">W</t>
        </is>
      </c>
      <c r="I199" t="inlineStr">
        <is>
          <t xml:space="preserve">W</t>
        </is>
      </c>
      <c r="J199" t="inlineStr">
        <is>
          <t xml:space="preserve">M</t>
        </is>
      </c>
    </row>
    <row r="200">
      <c r="A200" t="inlineStr">
        <is>
          <t xml:space="preserve">S199</t>
        </is>
      </c>
      <c r="B200" t="inlineStr">
        <is>
          <t xml:space="preserve">ST82; ST83</t>
        </is>
      </c>
      <c r="C200" t="inlineStr">
        <is>
          <t xml:space="preserve">Will the rules make bosses hire fewer people?</t>
        </is>
      </c>
      <c r="D200" t="inlineStr">
        <is>
          <t xml:space="preserve">Small employer burden</t>
        </is>
      </c>
      <c r="E200" t="inlineStr">
        <is>
          <t xml:space="preserve">W</t>
        </is>
      </c>
      <c r="F200" t="inlineStr">
        <is>
          <t xml:space="preserve">M</t>
        </is>
      </c>
      <c r="G200" t="inlineStr">
        <is>
          <t xml:space="preserve">S</t>
        </is>
      </c>
      <c r="H200" t="inlineStr">
        <is>
          <t xml:space="preserve">S</t>
        </is>
      </c>
      <c r="I200" t="inlineStr">
        <is>
          <t xml:space="preserve">M</t>
        </is>
      </c>
      <c r="J200" t="inlineStr">
        <is>
          <t xml:space="preserve">W</t>
        </is>
      </c>
    </row>
    <row r="201">
      <c r="A201" t="inlineStr">
        <is>
          <t xml:space="preserve">S200</t>
        </is>
      </c>
      <c r="B201" t="inlineStr">
        <is>
          <t xml:space="preserve">ST82; ST83</t>
        </is>
      </c>
      <c r="C201" t="inlineStr">
        <is>
          <t xml:space="preserve">Who decides what counts as discrimination?</t>
        </is>
      </c>
      <c r="D201" t="inlineStr">
        <is>
          <t xml:space="preserve">Defining discrimination</t>
        </is>
      </c>
      <c r="E201" t="inlineStr">
        <is>
          <t xml:space="preserve">S</t>
        </is>
      </c>
      <c r="F201" t="inlineStr">
        <is>
          <t xml:space="preserve">W</t>
        </is>
      </c>
      <c r="G201" t="inlineStr">
        <is>
          <t xml:space="preserve">S</t>
        </is>
      </c>
      <c r="H201" t="inlineStr">
        <is>
          <t xml:space="preserve">M</t>
        </is>
      </c>
      <c r="I201" t="inlineStr">
        <is>
          <t xml:space="preserve">W</t>
        </is>
      </c>
      <c r="J201" t="inlineStr">
        <is>
          <t xml:space="preserve">M</t>
        </is>
      </c>
    </row>
    <row r="202">
      <c r="A202" t="inlineStr">
        <is>
          <t xml:space="preserve">S201</t>
        </is>
      </c>
      <c r="B202" t="inlineStr">
        <is>
          <t xml:space="preserve">ST82; ST83</t>
        </is>
      </c>
      <c r="C202" t="inlineStr">
        <is>
          <t xml:space="preserve">Why legislate what a good boss would do anyway?</t>
        </is>
      </c>
      <c r="D202" t="inlineStr">
        <is>
          <t xml:space="preserve">Defining discrimination</t>
        </is>
      </c>
      <c r="E202" t="inlineStr">
        <is>
          <t xml:space="preserve">M</t>
        </is>
      </c>
      <c r="F202" t="inlineStr">
        <is>
          <t xml:space="preserve">S</t>
        </is>
      </c>
      <c r="G202" t="inlineStr">
        <is>
          <t xml:space="preserve">M</t>
        </is>
      </c>
      <c r="H202" t="inlineStr">
        <is>
          <t xml:space="preserve">W</t>
        </is>
      </c>
      <c r="I202" t="inlineStr">
        <is>
          <t xml:space="preserve">S</t>
        </is>
      </c>
      <c r="J202" t="inlineStr">
        <is>
          <t xml:space="preserve">W</t>
        </is>
      </c>
    </row>
    <row r="203">
      <c r="A203" t="inlineStr">
        <is>
          <t xml:space="preserve">S202</t>
        </is>
      </c>
      <c r="B203" t="inlineStr">
        <is>
          <t xml:space="preserve">ST86; ST87; ST88</t>
        </is>
      </c>
      <c r="C203" t="inlineStr">
        <is>
          <t xml:space="preserve">Will both parents really take leave without losing their jobs?</t>
        </is>
      </c>
      <c r="D203" t="inlineStr">
        <is>
          <t xml:space="preserve">Parent and child care</t>
        </is>
      </c>
      <c r="E203" t="inlineStr">
        <is>
          <t xml:space="preserve">S</t>
        </is>
      </c>
      <c r="F203" t="inlineStr">
        <is>
          <t xml:space="preserve">S</t>
        </is>
      </c>
      <c r="G203" t="inlineStr">
        <is>
          <t xml:space="preserve">M</t>
        </is>
      </c>
      <c r="H203" t="inlineStr">
        <is>
          <t xml:space="preserve">M</t>
        </is>
      </c>
      <c r="I203" t="inlineStr">
        <is>
          <t xml:space="preserve">W</t>
        </is>
      </c>
      <c r="J203" t="inlineStr">
        <is>
          <t xml:space="preserve">W</t>
        </is>
      </c>
    </row>
    <row r="204">
      <c r="A204" t="inlineStr">
        <is>
          <t xml:space="preserve">S203</t>
        </is>
      </c>
      <c r="B204" t="inlineStr">
        <is>
          <t xml:space="preserve">ST86; ST87; ST88</t>
        </is>
      </c>
      <c r="C204" t="inlineStr">
        <is>
          <t xml:space="preserve">Where will the new childcare places be built?</t>
        </is>
      </c>
      <c r="D204" t="inlineStr">
        <is>
          <t xml:space="preserve">Parent and child care</t>
        </is>
      </c>
      <c r="E204" t="inlineStr">
        <is>
          <t xml:space="preserve">M</t>
        </is>
      </c>
      <c r="F204" t="inlineStr">
        <is>
          <t xml:space="preserve">S</t>
        </is>
      </c>
      <c r="G204" t="inlineStr">
        <is>
          <t xml:space="preserve">W</t>
        </is>
      </c>
      <c r="H204" t="inlineStr">
        <is>
          <t xml:space="preserve">S</t>
        </is>
      </c>
      <c r="I204" t="inlineStr">
        <is>
          <t xml:space="preserve">W</t>
        </is>
      </c>
      <c r="J204" t="inlineStr">
        <is>
          <t xml:space="preserve">M</t>
        </is>
      </c>
    </row>
    <row r="205">
      <c r="A205" t="inlineStr">
        <is>
          <t xml:space="preserve">S204</t>
        </is>
      </c>
      <c r="B205" t="inlineStr">
        <is>
          <t xml:space="preserve">ST86; ST87</t>
        </is>
      </c>
      <c r="C205" t="inlineStr">
        <is>
          <t xml:space="preserve">Who pays for the leave: employers or taxpayers?</t>
        </is>
      </c>
      <c r="D205" t="inlineStr">
        <is>
          <t xml:space="preserve">Employer costs</t>
        </is>
      </c>
      <c r="E205" t="inlineStr">
        <is>
          <t xml:space="preserve">S</t>
        </is>
      </c>
      <c r="F205" t="inlineStr">
        <is>
          <t xml:space="preserve">M</t>
        </is>
      </c>
      <c r="G205" t="inlineStr">
        <is>
          <t xml:space="preserve">S</t>
        </is>
      </c>
      <c r="H205" t="inlineStr">
        <is>
          <t xml:space="preserve">W</t>
        </is>
      </c>
      <c r="I205" t="inlineStr">
        <is>
          <t xml:space="preserve">M</t>
        </is>
      </c>
      <c r="J205" t="inlineStr">
        <is>
          <t xml:space="preserve">W</t>
        </is>
      </c>
    </row>
    <row r="206">
      <c r="A206" t="inlineStr">
        <is>
          <t xml:space="preserve">S205</t>
        </is>
      </c>
      <c r="B206" t="inlineStr">
        <is>
          <t xml:space="preserve">ST86</t>
        </is>
      </c>
      <c r="C206" t="inlineStr">
        <is>
          <t xml:space="preserve">Will small firms survive having two staff away?</t>
        </is>
      </c>
      <c r="D206" t="inlineStr">
        <is>
          <t xml:space="preserve">Employer costs</t>
        </is>
      </c>
      <c r="E206" t="inlineStr">
        <is>
          <t xml:space="preserve">M</t>
        </is>
      </c>
      <c r="F206" t="inlineStr">
        <is>
          <t xml:space="preserve">W</t>
        </is>
      </c>
      <c r="G206" t="inlineStr">
        <is>
          <t xml:space="preserve">S</t>
        </is>
      </c>
      <c r="H206" t="inlineStr">
        <is>
          <t xml:space="preserve">S</t>
        </is>
      </c>
      <c r="I206" t="inlineStr">
        <is>
          <t xml:space="preserve">W</t>
        </is>
      </c>
      <c r="J206" t="inlineStr">
        <is>
          <t xml:space="preserve">M</t>
        </is>
      </c>
    </row>
    <row r="207">
      <c r="A207" t="inlineStr">
        <is>
          <t xml:space="preserve">S206</t>
        </is>
      </c>
      <c r="B207" t="inlineStr">
        <is>
          <t xml:space="preserve">ST86; ST87; ST88</t>
        </is>
      </c>
      <c r="C207" t="inlineStr">
        <is>
          <t xml:space="preserve">Does the state raise children now?</t>
        </is>
      </c>
      <c r="D207" t="inlineStr">
        <is>
          <t xml:space="preserve">Childcare fairness</t>
        </is>
      </c>
      <c r="E207" t="inlineStr">
        <is>
          <t xml:space="preserve">W</t>
        </is>
      </c>
      <c r="F207" t="inlineStr">
        <is>
          <t xml:space="preserve">S</t>
        </is>
      </c>
      <c r="G207" t="inlineStr">
        <is>
          <t xml:space="preserve">S</t>
        </is>
      </c>
      <c r="H207" t="inlineStr">
        <is>
          <t xml:space="preserve">M</t>
        </is>
      </c>
      <c r="I207" t="inlineStr">
        <is>
          <t xml:space="preserve">M</t>
        </is>
      </c>
      <c r="J207" t="inlineStr">
        <is>
          <t xml:space="preserve">W</t>
        </is>
      </c>
    </row>
    <row r="208">
      <c r="A208" t="inlineStr">
        <is>
          <t xml:space="preserve">S207</t>
        </is>
      </c>
      <c r="B208" t="inlineStr">
        <is>
          <t xml:space="preserve">ST86; ST87; ST88</t>
        </is>
      </c>
      <c r="C208" t="inlineStr">
        <is>
          <t xml:space="preserve">Why should people without children pay for this?</t>
        </is>
      </c>
      <c r="D208" t="inlineStr">
        <is>
          <t xml:space="preserve">Childcare fairness</t>
        </is>
      </c>
      <c r="E208" t="inlineStr">
        <is>
          <t xml:space="preserve">S</t>
        </is>
      </c>
      <c r="F208" t="inlineStr">
        <is>
          <t xml:space="preserve">M</t>
        </is>
      </c>
      <c r="G208" t="inlineStr">
        <is>
          <t xml:space="preserve">M</t>
        </is>
      </c>
      <c r="H208" t="inlineStr">
        <is>
          <t xml:space="preserve">W</t>
        </is>
      </c>
      <c r="I208" t="inlineStr">
        <is>
          <t xml:space="preserve">W</t>
        </is>
      </c>
      <c r="J208" t="inlineStr">
        <is>
          <t xml:space="preserve">S</t>
        </is>
      </c>
    </row>
    <row r="209">
      <c r="A209" t="inlineStr">
        <is>
          <t xml:space="preserve">S208</t>
        </is>
      </c>
      <c r="B209" t="inlineStr">
        <is>
          <t xml:space="preserve">ST90; ST92</t>
        </is>
      </c>
      <c r="C209" t="inlineStr">
        <is>
          <t xml:space="preserve">Will cameras at the station actually stop crime?</t>
        </is>
      </c>
      <c r="D209" t="inlineStr">
        <is>
          <t xml:space="preserve">Public safety</t>
        </is>
      </c>
      <c r="E209" t="inlineStr">
        <is>
          <t xml:space="preserve">S</t>
        </is>
      </c>
      <c r="F209" t="inlineStr">
        <is>
          <t xml:space="preserve">W</t>
        </is>
      </c>
      <c r="G209" t="inlineStr">
        <is>
          <t xml:space="preserve">W</t>
        </is>
      </c>
      <c r="H209" t="inlineStr">
        <is>
          <t xml:space="preserve">S</t>
        </is>
      </c>
      <c r="I209" t="inlineStr">
        <is>
          <t xml:space="preserve">M</t>
        </is>
      </c>
      <c r="J209" t="inlineStr">
        <is>
          <t xml:space="preserve">M</t>
        </is>
      </c>
    </row>
    <row r="210">
      <c r="A210" t="inlineStr">
        <is>
          <t xml:space="preserve">S209</t>
        </is>
      </c>
      <c r="B210" t="inlineStr">
        <is>
          <t xml:space="preserve">ST90; ST92</t>
        </is>
      </c>
      <c r="C210" t="inlineStr">
        <is>
          <t xml:space="preserve">How long is my face stored by the police?</t>
        </is>
      </c>
      <c r="D210" t="inlineStr">
        <is>
          <t xml:space="preserve">Public safety</t>
        </is>
      </c>
      <c r="E210" t="inlineStr">
        <is>
          <t xml:space="preserve">M</t>
        </is>
      </c>
      <c r="F210" t="inlineStr">
        <is>
          <t xml:space="preserve">W</t>
        </is>
      </c>
      <c r="G210" t="inlineStr">
        <is>
          <t xml:space="preserve">M</t>
        </is>
      </c>
      <c r="H210" t="inlineStr">
        <is>
          <t xml:space="preserve">S</t>
        </is>
      </c>
      <c r="I210" t="inlineStr">
        <is>
          <t xml:space="preserve">S</t>
        </is>
      </c>
      <c r="J210" t="inlineStr">
        <is>
          <t xml:space="preserve">W</t>
        </is>
      </c>
    </row>
    <row r="211">
      <c r="A211" t="inlineStr">
        <is>
          <t xml:space="preserve">S210</t>
        </is>
      </c>
      <c r="B211" t="inlineStr">
        <is>
          <t xml:space="preserve">ST90</t>
        </is>
      </c>
      <c r="C211" t="inlineStr">
        <is>
          <t xml:space="preserve">Who watches the people who watch the cameras?</t>
        </is>
      </c>
      <c r="D211" t="inlineStr">
        <is>
          <t xml:space="preserve">Surveillance limits</t>
        </is>
      </c>
      <c r="E211" t="inlineStr">
        <is>
          <t xml:space="preserve">S</t>
        </is>
      </c>
      <c r="F211" t="inlineStr">
        <is>
          <t xml:space="preserve">M</t>
        </is>
      </c>
      <c r="G211" t="inlineStr">
        <is>
          <t xml:space="preserve">W</t>
        </is>
      </c>
      <c r="H211" t="inlineStr">
        <is>
          <t xml:space="preserve">M</t>
        </is>
      </c>
      <c r="I211" t="inlineStr">
        <is>
          <t xml:space="preserve">W</t>
        </is>
      </c>
      <c r="J211" t="inlineStr">
        <is>
          <t xml:space="preserve">S</t>
        </is>
      </c>
    </row>
    <row r="212">
      <c r="A212" t="inlineStr">
        <is>
          <t xml:space="preserve">S211</t>
        </is>
      </c>
      <c r="B212" t="inlineStr">
        <is>
          <t xml:space="preserve">ST90</t>
        </is>
      </c>
      <c r="C212" t="inlineStr">
        <is>
          <t xml:space="preserve">Does everyday safety justify tracking everyone?</t>
        </is>
      </c>
      <c r="D212" t="inlineStr">
        <is>
          <t xml:space="preserve">Surveillance limits</t>
        </is>
      </c>
      <c r="E212" t="inlineStr">
        <is>
          <t xml:space="preserve">M</t>
        </is>
      </c>
      <c r="F212" t="inlineStr">
        <is>
          <t xml:space="preserve">W</t>
        </is>
      </c>
      <c r="G212" t="inlineStr">
        <is>
          <t xml:space="preserve">M</t>
        </is>
      </c>
      <c r="H212" t="inlineStr">
        <is>
          <t xml:space="preserve">W</t>
        </is>
      </c>
      <c r="I212" t="inlineStr">
        <is>
          <t xml:space="preserve">S</t>
        </is>
      </c>
      <c r="J212" t="inlineStr">
        <is>
          <t xml:space="preserve">S</t>
        </is>
      </c>
    </row>
    <row r="213">
      <c r="A213" t="inlineStr">
        <is>
          <t xml:space="preserve">S212</t>
        </is>
      </c>
      <c r="B213" t="inlineStr">
        <is>
          <t xml:space="preserve">ST90</t>
        </is>
      </c>
      <c r="C213" t="inlineStr">
        <is>
          <t xml:space="preserve">Could the footage be used against protesters?</t>
        </is>
      </c>
      <c r="D213" t="inlineStr">
        <is>
          <t xml:space="preserve">Protest and privacy</t>
        </is>
      </c>
      <c r="E213" t="inlineStr">
        <is>
          <t xml:space="preserve">W</t>
        </is>
      </c>
      <c r="F213" t="inlineStr">
        <is>
          <t xml:space="preserve">M</t>
        </is>
      </c>
      <c r="G213" t="inlineStr">
        <is>
          <t xml:space="preserve">W</t>
        </is>
      </c>
      <c r="H213" t="inlineStr">
        <is>
          <t xml:space="preserve">S</t>
        </is>
      </c>
      <c r="I213" t="inlineStr">
        <is>
          <t xml:space="preserve">M</t>
        </is>
      </c>
      <c r="J213" t="inlineStr">
        <is>
          <t xml:space="preserve">S</t>
        </is>
      </c>
    </row>
    <row r="214">
      <c r="A214" t="inlineStr">
        <is>
          <t xml:space="preserve">S213</t>
        </is>
      </c>
      <c r="B214" t="inlineStr">
        <is>
          <t xml:space="preserve">ST90; ST92</t>
        </is>
      </c>
      <c r="C214" t="inlineStr">
        <is>
          <t xml:space="preserve">Why should innocent people be tracked for the sake of suspects?</t>
        </is>
      </c>
      <c r="D214" t="inlineStr">
        <is>
          <t xml:space="preserve">Protest and privacy</t>
        </is>
      </c>
      <c r="E214" t="inlineStr">
        <is>
          <t xml:space="preserve">S</t>
        </is>
      </c>
      <c r="F214" t="inlineStr">
        <is>
          <t xml:space="preserve">W</t>
        </is>
      </c>
      <c r="G214" t="inlineStr">
        <is>
          <t xml:space="preserve">S</t>
        </is>
      </c>
      <c r="H214" t="inlineStr">
        <is>
          <t xml:space="preserve">M</t>
        </is>
      </c>
      <c r="I214" t="inlineStr">
        <is>
          <t xml:space="preserve">W</t>
        </is>
      </c>
      <c r="J214" t="inlineStr">
        <is>
          <t xml:space="preserve">M</t>
        </is>
      </c>
    </row>
    <row r="215">
      <c r="A215" t="inlineStr">
        <is>
          <t xml:space="preserve">S214</t>
        </is>
      </c>
      <c r="B215" t="inlineStr">
        <is>
          <t xml:space="preserve">ST94; ST95; ST96</t>
        </is>
      </c>
      <c r="C215" t="inlineStr">
        <is>
          <t xml:space="preserve">How much does merging two villages really save?</t>
        </is>
      </c>
      <c r="D215" t="inlineStr">
        <is>
          <t xml:space="preserve">Merger savings</t>
        </is>
      </c>
      <c r="E215" t="inlineStr">
        <is>
          <t xml:space="preserve">M</t>
        </is>
      </c>
      <c r="F215" t="inlineStr">
        <is>
          <t xml:space="preserve">M</t>
        </is>
      </c>
      <c r="G215" t="inlineStr">
        <is>
          <t xml:space="preserve">S</t>
        </is>
      </c>
      <c r="H215" t="inlineStr">
        <is>
          <t xml:space="preserve">S</t>
        </is>
      </c>
      <c r="I215" t="inlineStr">
        <is>
          <t xml:space="preserve">W</t>
        </is>
      </c>
      <c r="J215" t="inlineStr">
        <is>
          <t xml:space="preserve">W</t>
        </is>
      </c>
    </row>
    <row r="216">
      <c r="A216" t="inlineStr">
        <is>
          <t xml:space="preserve">S215</t>
        </is>
      </c>
      <c r="B216" t="inlineStr">
        <is>
          <t xml:space="preserve">ST94; ST95; ST96</t>
        </is>
      </c>
      <c r="C216" t="inlineStr">
        <is>
          <t xml:space="preserve">Will a merged town office still answer my phone call?</t>
        </is>
      </c>
      <c r="D216" t="inlineStr">
        <is>
          <t xml:space="preserve">Merger savings</t>
        </is>
      </c>
      <c r="E216" t="inlineStr">
        <is>
          <t xml:space="preserve">W</t>
        </is>
      </c>
      <c r="F216" t="inlineStr">
        <is>
          <t xml:space="preserve">S</t>
        </is>
      </c>
      <c r="G216" t="inlineStr">
        <is>
          <t xml:space="preserve">S</t>
        </is>
      </c>
      <c r="H216" t="inlineStr">
        <is>
          <t xml:space="preserve">M</t>
        </is>
      </c>
      <c r="I216" t="inlineStr">
        <is>
          <t xml:space="preserve">W</t>
        </is>
      </c>
      <c r="J216" t="inlineStr">
        <is>
          <t xml:space="preserve">M</t>
        </is>
      </c>
    </row>
    <row r="217">
      <c r="A217" t="inlineStr">
        <is>
          <t xml:space="preserve">S216</t>
        </is>
      </c>
      <c r="B217" t="inlineStr">
        <is>
          <t xml:space="preserve">ST94; ST95; ST96</t>
        </is>
      </c>
      <c r="C217" t="inlineStr">
        <is>
          <t xml:space="preserve">Will my village's name and festival disappear?</t>
        </is>
      </c>
      <c r="D217" t="inlineStr">
        <is>
          <t xml:space="preserve">Local identity</t>
        </is>
      </c>
      <c r="E217" t="inlineStr">
        <is>
          <t xml:space="preserve">S</t>
        </is>
      </c>
      <c r="F217" t="inlineStr">
        <is>
          <t xml:space="preserve">W</t>
        </is>
      </c>
      <c r="G217" t="inlineStr">
        <is>
          <t xml:space="preserve">M</t>
        </is>
      </c>
      <c r="H217" t="inlineStr">
        <is>
          <t xml:space="preserve">S</t>
        </is>
      </c>
      <c r="I217" t="inlineStr">
        <is>
          <t xml:space="preserve">M</t>
        </is>
      </c>
      <c r="J217" t="inlineStr">
        <is>
          <t xml:space="preserve">W</t>
        </is>
      </c>
    </row>
    <row r="218">
      <c r="A218" t="inlineStr">
        <is>
          <t xml:space="preserve">S217</t>
        </is>
      </c>
      <c r="B218" t="inlineStr">
        <is>
          <t xml:space="preserve">ST94; ST95; ST96</t>
        </is>
      </c>
      <c r="C218" t="inlineStr">
        <is>
          <t xml:space="preserve">What happens to the town hall staff?</t>
        </is>
      </c>
      <c r="D218" t="inlineStr">
        <is>
          <t xml:space="preserve">Local identity</t>
        </is>
      </c>
      <c r="E218" t="inlineStr">
        <is>
          <t xml:space="preserve">S</t>
        </is>
      </c>
      <c r="F218" t="inlineStr">
        <is>
          <t xml:space="preserve">S</t>
        </is>
      </c>
      <c r="G218" t="inlineStr">
        <is>
          <t xml:space="preserve">W</t>
        </is>
      </c>
      <c r="H218" t="inlineStr">
        <is>
          <t xml:space="preserve">M</t>
        </is>
      </c>
      <c r="I218" t="inlineStr">
        <is>
          <t xml:space="preserve">W</t>
        </is>
      </c>
      <c r="J218" t="inlineStr">
        <is>
          <t xml:space="preserve">M</t>
        </is>
      </c>
    </row>
    <row r="219">
      <c r="A219" t="inlineStr">
        <is>
          <t xml:space="preserve">S218</t>
        </is>
      </c>
      <c r="B219" t="inlineStr">
        <is>
          <t xml:space="preserve">ST94; ST95; ST96</t>
        </is>
      </c>
      <c r="C219" t="inlineStr">
        <is>
          <t xml:space="preserve">Who speaks for a small village inside a big town?</t>
        </is>
      </c>
      <c r="D219" t="inlineStr">
        <is>
          <t xml:space="preserve">Village representation</t>
        </is>
      </c>
      <c r="E219" t="inlineStr">
        <is>
          <t xml:space="preserve">S</t>
        </is>
      </c>
      <c r="F219" t="inlineStr">
        <is>
          <t xml:space="preserve">M</t>
        </is>
      </c>
      <c r="G219" t="inlineStr">
        <is>
          <t xml:space="preserve">S</t>
        </is>
      </c>
      <c r="H219" t="inlineStr">
        <is>
          <t xml:space="preserve">W</t>
        </is>
      </c>
      <c r="I219" t="inlineStr">
        <is>
          <t xml:space="preserve">M</t>
        </is>
      </c>
      <c r="J219" t="inlineStr">
        <is>
          <t xml:space="preserve">W</t>
        </is>
      </c>
    </row>
    <row r="220">
      <c r="A220" t="inlineStr">
        <is>
          <t xml:space="preserve">S219</t>
        </is>
      </c>
      <c r="B220" t="inlineStr">
        <is>
          <t xml:space="preserve">ST94; ST95</t>
        </is>
      </c>
      <c r="C220" t="inlineStr">
        <is>
          <t xml:space="preserve">Why force towns to merge when they can share services?</t>
        </is>
      </c>
      <c r="D220" t="inlineStr">
        <is>
          <t xml:space="preserve">Village representation</t>
        </is>
      </c>
      <c r="E220" t="inlineStr">
        <is>
          <t xml:space="preserve">M</t>
        </is>
      </c>
      <c r="F220" t="inlineStr">
        <is>
          <t xml:space="preserve">W</t>
        </is>
      </c>
      <c r="G220" t="inlineStr">
        <is>
          <t xml:space="preserve">M</t>
        </is>
      </c>
      <c r="H220" t="inlineStr">
        <is>
          <t xml:space="preserve">S</t>
        </is>
      </c>
      <c r="I220" t="inlineStr">
        <is>
          <t xml:space="preserve">W</t>
        </is>
      </c>
      <c r="J220" t="inlineStr">
        <is>
          <t xml:space="preserve">S</t>
        </is>
      </c>
    </row>
    <row r="221">
      <c r="A221" t="inlineStr">
        <is>
          <t xml:space="preserve">S220</t>
        </is>
      </c>
      <c r="B221" t="inlineStr">
        <is>
          <t xml:space="preserve">ST99</t>
        </is>
      </c>
      <c r="C221" t="inlineStr">
        <is>
          <t xml:space="preserve">Would open ballots end back-room deals?</t>
        </is>
      </c>
      <c r="D221" t="inlineStr">
        <is>
          <t xml:space="preserve">Internal democracy</t>
        </is>
      </c>
      <c r="E221" t="inlineStr">
        <is>
          <t xml:space="preserve">S</t>
        </is>
      </c>
      <c r="F221" t="inlineStr">
        <is>
          <t xml:space="preserve">W</t>
        </is>
      </c>
      <c r="G221" t="inlineStr">
        <is>
          <t xml:space="preserve">M</t>
        </is>
      </c>
      <c r="H221" t="inlineStr">
        <is>
          <t xml:space="preserve">S</t>
        </is>
      </c>
      <c r="I221" t="inlineStr">
        <is>
          <t xml:space="preserve">W</t>
        </is>
      </c>
      <c r="J221" t="inlineStr">
        <is>
          <t xml:space="preserve">M</t>
        </is>
      </c>
    </row>
    <row r="222">
      <c r="A222" t="inlineStr">
        <is>
          <t xml:space="preserve">S221</t>
        </is>
      </c>
      <c r="B222" t="inlineStr">
        <is>
          <t xml:space="preserve">ST99</t>
        </is>
      </c>
      <c r="C222" t="inlineStr">
        <is>
          <t xml:space="preserve">Will a membership vote reward popularity over ability?</t>
        </is>
      </c>
      <c r="D222" t="inlineStr">
        <is>
          <t xml:space="preserve">Party stability</t>
        </is>
      </c>
      <c r="E222" t="inlineStr">
        <is>
          <t xml:space="preserve">M</t>
        </is>
      </c>
      <c r="F222" t="inlineStr">
        <is>
          <t xml:space="preserve">M</t>
        </is>
      </c>
      <c r="G222" t="inlineStr">
        <is>
          <t xml:space="preserve">S</t>
        </is>
      </c>
      <c r="H222" t="inlineStr">
        <is>
          <t xml:space="preserve">W</t>
        </is>
      </c>
      <c r="I222" t="inlineStr">
        <is>
          <t xml:space="preserve">S</t>
        </is>
      </c>
      <c r="J222" t="inlineStr">
        <is>
          <t xml:space="preserve">W</t>
        </is>
      </c>
    </row>
    <row r="223">
      <c r="A223" t="inlineStr">
        <is>
          <t xml:space="preserve">S222</t>
        </is>
      </c>
      <c r="B223" t="inlineStr">
        <is>
          <t xml:space="preserve">ST99</t>
        </is>
      </c>
      <c r="C223" t="inlineStr">
        <is>
          <t xml:space="preserve">Do small parties even have enough members to vote?</t>
        </is>
      </c>
      <c r="D223" t="inlineStr">
        <is>
          <t xml:space="preserve">Party stability</t>
        </is>
      </c>
      <c r="E223" t="inlineStr">
        <is>
          <t xml:space="preserve">W</t>
        </is>
      </c>
      <c r="F223" t="inlineStr">
        <is>
          <t xml:space="preserve">W</t>
        </is>
      </c>
      <c r="G223" t="inlineStr">
        <is>
          <t xml:space="preserve">M</t>
        </is>
      </c>
      <c r="H223" t="inlineStr">
        <is>
          <t xml:space="preserve">S</t>
        </is>
      </c>
      <c r="I223" t="inlineStr">
        <is>
          <t xml:space="preserve">S</t>
        </is>
      </c>
      <c r="J223" t="inlineStr">
        <is>
          <t xml:space="preserve">M</t>
        </is>
      </c>
    </row>
  </sheetData>
  <legacyDrawing r:id="rId1"/>
</worksheet>
</file>

<file path=xl/worksheets/sheet47.xml><?xml version="1.0" encoding="utf-8"?>
<worksheet xmlns="http://schemas.openxmlformats.org/spreadsheetml/2006/main" xmlns:r="http://schemas.openxmlformats.org/officeDocument/2006/relationships">
  <dimension ref="A1:K104"/>
  <sheetViews>
    <sheetView workbookViewId="0">
      <pane ySplit="1" topLeftCell="A2" activePane="bottomLeft" state="frozen"/>
    </sheetView>
  </sheetViews>
  <sheetFormatPr defaultRowHeight="15"/>
  <cols>
    <col min="1" max="1" width="8" customWidth="1"/>
    <col min="2" max="2" width="9" customWidth="1"/>
    <col min="3" max="3" width="10" customWidth="1"/>
    <col min="4" max="4" width="12" customWidth="1"/>
    <col min="5" max="5" width="40" customWidth="1"/>
    <col min="6" max="6" width="12" customWidth="1"/>
    <col min="7" max="7" width="11" customWidth="1"/>
    <col min="8" max="8" width="10" customWidth="1"/>
    <col min="9" max="9" width="12" customWidth="1"/>
    <col min="10" max="10" width="8" customWidth="1"/>
    <col min="11" max="11" width="50" customWidth="1"/>
  </cols>
  <sheetData>
    <row r="1">
      <c r="A1" t="inlineStr">
        <is>
          <t xml:space="preserve">Law ID</t>
        </is>
      </c>
      <c r="B1" t="inlineStr">
        <is>
          <t xml:space="preserve">Bill ID</t>
        </is>
      </c>
      <c r="C1" t="inlineStr">
        <is>
          <t xml:space="preserve">Outcome</t>
        </is>
      </c>
      <c r="D1" t="inlineStr">
        <is>
          <t xml:space="preserve">Timing</t>
        </is>
      </c>
      <c r="E1" t="inlineStr">
        <is>
          <t xml:space="preserve">Effects</t>
        </is>
      </c>
      <c r="F1" t="inlineStr">
        <is>
          <t xml:space="preserve">Constituency support</t>
        </is>
      </c>
      <c r="G1" t="inlineStr">
        <is>
          <t xml:space="preserve">Reputation</t>
        </is>
      </c>
      <c r="H1" t="inlineStr">
        <is>
          <t xml:space="preserve">Funds</t>
        </is>
      </c>
      <c r="I1" t="inlineStr">
        <is>
          <t xml:space="preserve">Party support</t>
        </is>
      </c>
      <c r="J1" t="inlineStr">
        <is>
          <t xml:space="preserve">XP</t>
        </is>
      </c>
      <c r="K1" t="inlineStr">
        <is>
          <t xml:space="preserve">Note</t>
        </is>
      </c>
    </row>
    <row r="2">
      <c r="A2" t="inlineStr">
        <is>
          <t xml:space="preserve">LW01</t>
        </is>
      </c>
      <c r="B2" t="inlineStr">
        <is>
          <t xml:space="preserve">BI01</t>
        </is>
      </c>
      <c r="C2" t="inlineStr">
        <is>
          <t xml:space="preserve">Passed</t>
        </is>
      </c>
      <c r="D2" t="inlineStr">
        <is>
          <t xml:space="preserve">Once</t>
        </is>
      </c>
      <c r="E2" t="inlineStr">
        <is>
          <t xml:space="preserve">BO28 +3; BO29 +2; BO05 -2; BO15 -2</t>
        </is>
      </c>
      <c r="K2" t="inlineStr">
        <is>
          <t xml:space="preserve">Draft 2026-10-12: Ainu groups gain; traditionalists and taxpayers object. Rebalanced 2026-10-13 (draft): party-tier organisations now follow the player's party lean (Balance tab).</t>
        </is>
      </c>
    </row>
    <row r="3">
      <c r="A3" t="inlineStr">
        <is>
          <t xml:space="preserve">LW02</t>
        </is>
      </c>
      <c r="B3" t="inlineStr">
        <is>
          <t xml:space="preserve">BI01</t>
        </is>
      </c>
      <c r="C3" t="inlineStr">
        <is>
          <t xml:space="preserve">Failed</t>
        </is>
      </c>
      <c r="D3" t="inlineStr">
        <is>
          <t xml:space="preserve">Once</t>
        </is>
      </c>
      <c r="E3" t="inlineStr">
        <is>
          <t xml:space="preserve">BO28 -1; BO29 -1; BO05 +1; BO15 +1</t>
        </is>
      </c>
      <c r="K3" t="inlineStr">
        <is>
          <t xml:space="preserve">Draft 2026-10-12: supporters disappointed, opponents relieved.</t>
        </is>
      </c>
    </row>
    <row r="4">
      <c r="A4" t="inlineStr">
        <is>
          <t xml:space="preserve">LW03</t>
        </is>
      </c>
      <c r="B4" t="inlineStr">
        <is>
          <t xml:space="preserve">BI02</t>
        </is>
      </c>
      <c r="C4" t="inlineStr">
        <is>
          <t xml:space="preserve">Passed</t>
        </is>
      </c>
      <c r="D4" t="inlineStr">
        <is>
          <t xml:space="preserve">Once</t>
        </is>
      </c>
      <c r="E4" t="inlineStr">
        <is>
          <t xml:space="preserve">BO10 +3; BO30 +2; BO23 -2; BO26 -2</t>
        </is>
      </c>
      <c r="K4" t="inlineStr">
        <is>
          <t xml:space="preserve">Draft 2026-10-12: Farmers gain; taxpayers and consumers pay. Rebalanced 2026-10-13 (draft): party-tier organisations now follow the player's party lean (Balance tab).</t>
        </is>
      </c>
    </row>
    <row r="5">
      <c r="A5" t="inlineStr">
        <is>
          <t xml:space="preserve">LW04</t>
        </is>
      </c>
      <c r="B5" t="inlineStr">
        <is>
          <t xml:space="preserve">BI02</t>
        </is>
      </c>
      <c r="C5" t="inlineStr">
        <is>
          <t xml:space="preserve">Failed</t>
        </is>
      </c>
      <c r="D5" t="inlineStr">
        <is>
          <t xml:space="preserve">Once</t>
        </is>
      </c>
      <c r="E5" t="inlineStr">
        <is>
          <t xml:space="preserve">BO10 -1; BO30 -1; BO23 +1; BO26 +1</t>
        </is>
      </c>
      <c r="K5" t="inlineStr">
        <is>
          <t xml:space="preserve">Draft 2026-10-12: supporters disappointed, opponents relieved.</t>
        </is>
      </c>
    </row>
    <row r="6">
      <c r="A6" t="inlineStr">
        <is>
          <t xml:space="preserve">LW05</t>
        </is>
      </c>
      <c r="B6" t="inlineStr">
        <is>
          <t xml:space="preserve">BI03</t>
        </is>
      </c>
      <c r="C6" t="inlineStr">
        <is>
          <t xml:space="preserve">Passed</t>
        </is>
      </c>
      <c r="D6" t="inlineStr">
        <is>
          <t xml:space="preserve">Once</t>
        </is>
      </c>
      <c r="E6" t="inlineStr">
        <is>
          <t xml:space="preserve">BO05 +3; BO16 +2; BO24 +2; BO09 -2; BO13 -2; BO27 -2</t>
        </is>
      </c>
      <c r="K6" t="inlineStr">
        <is>
          <t xml:space="preserve">Draft 2026-10-12: Business gains; labour and city neighbourhoods lose protections. Rebalanced 2026-10-13 (draft): party-tier organisations now follow the player's party lean (Balance tab).</t>
        </is>
      </c>
    </row>
    <row r="7">
      <c r="A7" t="inlineStr">
        <is>
          <t xml:space="preserve">LW06</t>
        </is>
      </c>
      <c r="B7" t="inlineStr">
        <is>
          <t xml:space="preserve">BI03</t>
        </is>
      </c>
      <c r="C7" t="inlineStr">
        <is>
          <t xml:space="preserve">Failed</t>
        </is>
      </c>
      <c r="D7" t="inlineStr">
        <is>
          <t xml:space="preserve">Once</t>
        </is>
      </c>
      <c r="E7" t="inlineStr">
        <is>
          <t xml:space="preserve">BO05 -1; BO16 -1; BO24 -1; BO09 +1; BO13 +1; BO27 +1</t>
        </is>
      </c>
      <c r="K7" t="inlineStr">
        <is>
          <t xml:space="preserve">Draft 2026-10-12: supporters disappointed, opponents relieved.</t>
        </is>
      </c>
    </row>
    <row r="8">
      <c r="A8" t="inlineStr">
        <is>
          <t xml:space="preserve">LW07</t>
        </is>
      </c>
      <c r="B8" t="inlineStr">
        <is>
          <t xml:space="preserve">BI04</t>
        </is>
      </c>
      <c r="C8" t="inlineStr">
        <is>
          <t xml:space="preserve">Passed</t>
        </is>
      </c>
      <c r="D8" t="inlineStr">
        <is>
          <t xml:space="preserve">Once</t>
        </is>
      </c>
      <c r="E8" t="inlineStr">
        <is>
          <t xml:space="preserve">BO14 +3; BO04 +2; BO05 +2; BO23 -2</t>
        </is>
      </c>
      <c r="K8" t="inlineStr">
        <is>
          <t xml:space="preserve">Draft 2026-10-12: Commuters, mayors and business gain; taxpayers pay. Rebalanced 2026-10-13 (draft): party-tier organisations now follow the player's party lean (Balance tab).</t>
        </is>
      </c>
    </row>
    <row r="9">
      <c r="A9" t="inlineStr">
        <is>
          <t xml:space="preserve">LW08</t>
        </is>
      </c>
      <c r="B9" t="inlineStr">
        <is>
          <t xml:space="preserve">BI04</t>
        </is>
      </c>
      <c r="C9" t="inlineStr">
        <is>
          <t xml:space="preserve">Failed</t>
        </is>
      </c>
      <c r="D9" t="inlineStr">
        <is>
          <t xml:space="preserve">Once</t>
        </is>
      </c>
      <c r="E9" t="inlineStr">
        <is>
          <t xml:space="preserve">BO14 -1; BO04 -1; BO05 -1; BO23 +1</t>
        </is>
      </c>
      <c r="K9" t="inlineStr">
        <is>
          <t xml:space="preserve">Draft 2026-10-12: supporters disappointed, opponents relieved.</t>
        </is>
      </c>
    </row>
    <row r="10">
      <c r="A10" t="inlineStr">
        <is>
          <t xml:space="preserve">LW09</t>
        </is>
      </c>
      <c r="B10" t="inlineStr">
        <is>
          <t xml:space="preserve">BI05</t>
        </is>
      </c>
      <c r="C10" t="inlineStr">
        <is>
          <t xml:space="preserve">Passed</t>
        </is>
      </c>
      <c r="D10" t="inlineStr">
        <is>
          <t xml:space="preserve">Once</t>
        </is>
      </c>
      <c r="E10" t="inlineStr">
        <is>
          <t xml:space="preserve">BO22 +3; BO07 +2; BO15 +2; BO23 -2</t>
        </is>
      </c>
      <c r="K10" t="inlineStr">
        <is>
          <t xml:space="preserve">Draft 2026-10-12: Veterans and fishing towns gain; taxpayers pay. Rebalanced 2026-10-13 (draft): party-tier organisations now follow the player's party lean (Balance tab).</t>
        </is>
      </c>
    </row>
    <row r="11">
      <c r="A11" t="inlineStr">
        <is>
          <t xml:space="preserve">LW10</t>
        </is>
      </c>
      <c r="B11" t="inlineStr">
        <is>
          <t xml:space="preserve">BI05</t>
        </is>
      </c>
      <c r="C11" t="inlineStr">
        <is>
          <t xml:space="preserve">Failed</t>
        </is>
      </c>
      <c r="D11" t="inlineStr">
        <is>
          <t xml:space="preserve">Once</t>
        </is>
      </c>
      <c r="E11" t="inlineStr">
        <is>
          <t xml:space="preserve">BO22 -1; BO07 -1; BO15 -1; BO23 +1</t>
        </is>
      </c>
      <c r="K11" t="inlineStr">
        <is>
          <t xml:space="preserve">Draft 2026-10-12: supporters disappointed, opponents relieved.</t>
        </is>
      </c>
    </row>
    <row r="12">
      <c r="A12" t="inlineStr">
        <is>
          <t xml:space="preserve">LW11</t>
        </is>
      </c>
      <c r="B12" t="inlineStr">
        <is>
          <t xml:space="preserve">BI06</t>
        </is>
      </c>
      <c r="C12" t="inlineStr">
        <is>
          <t xml:space="preserve">Passed</t>
        </is>
      </c>
      <c r="D12" t="inlineStr">
        <is>
          <t xml:space="preserve">Once</t>
        </is>
      </c>
      <c r="E12" t="inlineStr">
        <is>
          <t xml:space="preserve">BO10 +3; BO07 +2; BO09 -2; BO15 -2</t>
        </is>
      </c>
      <c r="K12" t="inlineStr">
        <is>
          <t xml:space="preserve">Draft 2026-10-12: Employers gain workers; traditionalists and unions object. Rebalanced 2026-10-13 (draft): party-tier organisations now follow the player's party lean (Balance tab).</t>
        </is>
      </c>
    </row>
    <row r="13">
      <c r="A13" t="inlineStr">
        <is>
          <t xml:space="preserve">LW12</t>
        </is>
      </c>
      <c r="B13" t="inlineStr">
        <is>
          <t xml:space="preserve">BI06</t>
        </is>
      </c>
      <c r="C13" t="inlineStr">
        <is>
          <t xml:space="preserve">Failed</t>
        </is>
      </c>
      <c r="D13" t="inlineStr">
        <is>
          <t xml:space="preserve">Once</t>
        </is>
      </c>
      <c r="E13" t="inlineStr">
        <is>
          <t xml:space="preserve">BO10 -1; BO07 -1; BO09 +1; BO15 +1</t>
        </is>
      </c>
      <c r="K13" t="inlineStr">
        <is>
          <t xml:space="preserve">Draft 2026-10-12: supporters disappointed, opponents relieved.</t>
        </is>
      </c>
    </row>
    <row r="14">
      <c r="A14" t="inlineStr">
        <is>
          <t xml:space="preserve">LW13</t>
        </is>
      </c>
      <c r="B14" t="inlineStr">
        <is>
          <t xml:space="preserve">BI07</t>
        </is>
      </c>
      <c r="C14" t="inlineStr">
        <is>
          <t xml:space="preserve">Passed</t>
        </is>
      </c>
      <c r="D14" t="inlineStr">
        <is>
          <t xml:space="preserve">Once</t>
        </is>
      </c>
      <c r="E14" t="inlineStr">
        <is>
          <t xml:space="preserve">BO16 +3; BO04 +2; BO30 +2; BO05 -2; BO23 -2</t>
        </is>
      </c>
      <c r="K14" t="inlineStr">
        <is>
          <t xml:space="preserve">Draft 2026-10-12: Innovators, rural towns and mayors gain; taxpayers pay. Rebalanced 2026-10-13 (draft): party-tier organisations now follow the player's party lean (Balance tab).</t>
        </is>
      </c>
    </row>
    <row r="15">
      <c r="A15" t="inlineStr">
        <is>
          <t xml:space="preserve">LW14</t>
        </is>
      </c>
      <c r="B15" t="inlineStr">
        <is>
          <t xml:space="preserve">BI07</t>
        </is>
      </c>
      <c r="C15" t="inlineStr">
        <is>
          <t xml:space="preserve">Passed</t>
        </is>
      </c>
      <c r="D15" t="inlineStr">
        <is>
          <t xml:space="preserve">Each level</t>
        </is>
      </c>
      <c r="H15">
        <v>1000</v>
      </c>
      <c r="K15" t="inlineStr">
        <is>
          <t xml:space="preserve">Draft 2026-10-12: Cheaper, steadier power for the office.</t>
        </is>
      </c>
    </row>
    <row r="16">
      <c r="A16" t="inlineStr">
        <is>
          <t xml:space="preserve">LW15</t>
        </is>
      </c>
      <c r="B16" t="inlineStr">
        <is>
          <t xml:space="preserve">BI07</t>
        </is>
      </c>
      <c r="C16" t="inlineStr">
        <is>
          <t xml:space="preserve">Failed</t>
        </is>
      </c>
      <c r="D16" t="inlineStr">
        <is>
          <t xml:space="preserve">Once</t>
        </is>
      </c>
      <c r="E16" t="inlineStr">
        <is>
          <t xml:space="preserve">BO16 -1; BO04 -1; BO30 -1; BO05 +1; BO23 +1</t>
        </is>
      </c>
      <c r="K16" t="inlineStr">
        <is>
          <t xml:space="preserve">Draft 2026-10-12: supporters disappointed, opponents relieved.</t>
        </is>
      </c>
    </row>
    <row r="17">
      <c r="A17" t="inlineStr">
        <is>
          <t xml:space="preserve">LW16</t>
        </is>
      </c>
      <c r="B17" t="inlineStr">
        <is>
          <t xml:space="preserve">BI08</t>
        </is>
      </c>
      <c r="C17" t="inlineStr">
        <is>
          <t xml:space="preserve">Passed</t>
        </is>
      </c>
      <c r="D17" t="inlineStr">
        <is>
          <t xml:space="preserve">Once</t>
        </is>
      </c>
      <c r="E17" t="inlineStr">
        <is>
          <t xml:space="preserve">BO21 +3; BO14 -2; BO18 -2; BO23 -2; BO25 -2; BO26 -2</t>
        </is>
      </c>
      <c r="K17" t="inlineStr">
        <is>
          <t xml:space="preserve">Draft 2026-10-12: Care sector gains; consumers, small business and taxpayers pay. Rebalanced 2026-10-13 (draft): party-tier organisations now follow the player's party lean (Balance tab).</t>
        </is>
      </c>
    </row>
    <row r="18">
      <c r="A18" t="inlineStr">
        <is>
          <t xml:space="preserve">LW17</t>
        </is>
      </c>
      <c r="B18" t="inlineStr">
        <is>
          <t xml:space="preserve">BI08</t>
        </is>
      </c>
      <c r="C18" t="inlineStr">
        <is>
          <t xml:space="preserve">Failed</t>
        </is>
      </c>
      <c r="D18" t="inlineStr">
        <is>
          <t xml:space="preserve">Once</t>
        </is>
      </c>
      <c r="E18" t="inlineStr">
        <is>
          <t xml:space="preserve">BO21 -1; BO14 +1; BO18 +1; BO23 +1; BO25 +1; BO26 +1</t>
        </is>
      </c>
      <c r="K18" t="inlineStr">
        <is>
          <t xml:space="preserve">Draft 2026-10-12: supporters disappointed, opponents relieved.</t>
        </is>
      </c>
    </row>
    <row r="19">
      <c r="A19" t="inlineStr">
        <is>
          <t xml:space="preserve">LW18</t>
        </is>
      </c>
      <c r="B19" t="inlineStr">
        <is>
          <t xml:space="preserve">BI09</t>
        </is>
      </c>
      <c r="C19" t="inlineStr">
        <is>
          <t xml:space="preserve">Passed</t>
        </is>
      </c>
      <c r="D19" t="inlineStr">
        <is>
          <t xml:space="preserve">Once</t>
        </is>
      </c>
      <c r="E19" t="inlineStr">
        <is>
          <t xml:space="preserve">BO04 +3; BO03 +2; BO23 +2</t>
        </is>
      </c>
      <c r="K19" t="inlineStr">
        <is>
          <t xml:space="preserve">Draft 2026-10-12: Local government gains; party HQ loses central control. Rebalanced 2026-10-13 (draft): party-tier organisations now follow the player's party lean (Balance tab).</t>
        </is>
      </c>
    </row>
    <row r="20">
      <c r="A20" t="inlineStr">
        <is>
          <t xml:space="preserve">LW19</t>
        </is>
      </c>
      <c r="B20" t="inlineStr">
        <is>
          <t xml:space="preserve">BI09</t>
        </is>
      </c>
      <c r="C20" t="inlineStr">
        <is>
          <t xml:space="preserve">Failed</t>
        </is>
      </c>
      <c r="D20" t="inlineStr">
        <is>
          <t xml:space="preserve">Once</t>
        </is>
      </c>
      <c r="E20" t="inlineStr">
        <is>
          <t xml:space="preserve">BO04 -1; BO03 -1; BO23 -1</t>
        </is>
      </c>
      <c r="K20" t="inlineStr">
        <is>
          <t xml:space="preserve">Draft 2026-10-12: supporters disappointed, opponents relieved.</t>
        </is>
      </c>
    </row>
    <row r="21">
      <c r="A21" t="inlineStr">
        <is>
          <t xml:space="preserve">LW20</t>
        </is>
      </c>
      <c r="B21" t="inlineStr">
        <is>
          <t xml:space="preserve">BI10</t>
        </is>
      </c>
      <c r="C21" t="inlineStr">
        <is>
          <t xml:space="preserve">Passed</t>
        </is>
      </c>
      <c r="D21" t="inlineStr">
        <is>
          <t xml:space="preserve">Once</t>
        </is>
      </c>
      <c r="E21" t="inlineStr">
        <is>
          <t xml:space="preserve">BO12 +3</t>
        </is>
      </c>
      <c r="K21" t="inlineStr">
        <is>
          <t xml:space="preserve">Draft 2026-10-12: Families and students welcome it; factions lose seat patronage. Rebalanced 2026-10-13 (draft): party-tier organisations now follow the player's party lean (Balance tab).</t>
        </is>
      </c>
    </row>
    <row r="22">
      <c r="A22" t="inlineStr">
        <is>
          <t xml:space="preserve">LW21</t>
        </is>
      </c>
      <c r="B22" t="inlineStr">
        <is>
          <t xml:space="preserve">BI10</t>
        </is>
      </c>
      <c r="C22" t="inlineStr">
        <is>
          <t xml:space="preserve">Failed</t>
        </is>
      </c>
      <c r="D22" t="inlineStr">
        <is>
          <t xml:space="preserve">Once</t>
        </is>
      </c>
      <c r="E22" t="inlineStr">
        <is>
          <t xml:space="preserve">BO12 -1</t>
        </is>
      </c>
      <c r="K22" t="inlineStr">
        <is>
          <t xml:space="preserve">Draft 2026-10-12: supporters disappointed, opponents relieved.</t>
        </is>
      </c>
    </row>
    <row r="23">
      <c r="A23" t="inlineStr">
        <is>
          <t xml:space="preserve">LW22</t>
        </is>
      </c>
      <c r="B23" t="inlineStr">
        <is>
          <t xml:space="preserve">BI11</t>
        </is>
      </c>
      <c r="C23" t="inlineStr">
        <is>
          <t xml:space="preserve">Passed</t>
        </is>
      </c>
      <c r="D23" t="inlineStr">
        <is>
          <t xml:space="preserve">Once</t>
        </is>
      </c>
      <c r="E23" t="inlineStr">
        <is>
          <t xml:space="preserve">BO07 +3; BO14 +2</t>
        </is>
      </c>
      <c r="K23" t="inlineStr">
        <is>
          <t xml:space="preserve">Draft 2026-10-12: Fishers and commuters gain; traditionalists wary of Japan. Rebalanced 2026-10-13 (draft): party-tier organisations now follow the player's party lean (Balance tab).</t>
        </is>
      </c>
    </row>
    <row r="24">
      <c r="A24" t="inlineStr">
        <is>
          <t xml:space="preserve">LW23</t>
        </is>
      </c>
      <c r="B24" t="inlineStr">
        <is>
          <t xml:space="preserve">BI11</t>
        </is>
      </c>
      <c r="C24" t="inlineStr">
        <is>
          <t xml:space="preserve">Failed</t>
        </is>
      </c>
      <c r="D24" t="inlineStr">
        <is>
          <t xml:space="preserve">Once</t>
        </is>
      </c>
      <c r="E24" t="inlineStr">
        <is>
          <t xml:space="preserve">BO07 -1; BO14 -1</t>
        </is>
      </c>
      <c r="K24" t="inlineStr">
        <is>
          <t xml:space="preserve">Draft 2026-10-12: supporters disappointed, opponents relieved.</t>
        </is>
      </c>
    </row>
    <row r="25">
      <c r="A25" t="inlineStr">
        <is>
          <t xml:space="preserve">LW24</t>
        </is>
      </c>
      <c r="B25" t="inlineStr">
        <is>
          <t xml:space="preserve">BI12</t>
        </is>
      </c>
      <c r="C25" t="inlineStr">
        <is>
          <t xml:space="preserve">Passed</t>
        </is>
      </c>
      <c r="D25" t="inlineStr">
        <is>
          <t xml:space="preserve">Once</t>
        </is>
      </c>
      <c r="E25" t="inlineStr">
        <is>
          <t xml:space="preserve">BO08 +3; BO26 +2</t>
        </is>
      </c>
      <c r="K25" t="inlineStr">
        <is>
          <t xml:space="preserve">Draft 2026-10-12: Media and consumer watchdogs gain; the party loses appointments. Rebalanced 2026-10-13 (draft): party-tier organisations now follow the player's party lean (Balance tab).</t>
        </is>
      </c>
    </row>
    <row r="26">
      <c r="A26" t="inlineStr">
        <is>
          <t xml:space="preserve">LW25</t>
        </is>
      </c>
      <c r="B26" t="inlineStr">
        <is>
          <t xml:space="preserve">BI12</t>
        </is>
      </c>
      <c r="C26" t="inlineStr">
        <is>
          <t xml:space="preserve">Failed</t>
        </is>
      </c>
      <c r="D26" t="inlineStr">
        <is>
          <t xml:space="preserve">Once</t>
        </is>
      </c>
      <c r="E26" t="inlineStr">
        <is>
          <t xml:space="preserve">BO08 -1; BO26 -1</t>
        </is>
      </c>
      <c r="K26" t="inlineStr">
        <is>
          <t xml:space="preserve">Draft 2026-10-12: supporters disappointed, opponents relieved.</t>
        </is>
      </c>
    </row>
    <row r="27">
      <c r="A27" t="inlineStr">
        <is>
          <t xml:space="preserve">LW26</t>
        </is>
      </c>
      <c r="B27" t="inlineStr">
        <is>
          <t xml:space="preserve">BI13</t>
        </is>
      </c>
      <c r="C27" t="inlineStr">
        <is>
          <t xml:space="preserve">Passed</t>
        </is>
      </c>
      <c r="D27" t="inlineStr">
        <is>
          <t xml:space="preserve">Once</t>
        </is>
      </c>
      <c r="E27" t="inlineStr">
        <is>
          <t xml:space="preserve">BO19 +3; BO15 +2; BO20 +2</t>
        </is>
      </c>
      <c r="K27" t="inlineStr">
        <is>
          <t xml:space="preserve">Draft 2026-10-12: Temples, shrines and traditionalists gain; taxpayers pay. Rebalanced 2026-10-13 (draft): party-tier organisations now follow the player's party lean (Balance tab).</t>
        </is>
      </c>
    </row>
    <row r="28">
      <c r="A28" t="inlineStr">
        <is>
          <t xml:space="preserve">LW27</t>
        </is>
      </c>
      <c r="B28" t="inlineStr">
        <is>
          <t xml:space="preserve">BI13</t>
        </is>
      </c>
      <c r="C28" t="inlineStr">
        <is>
          <t xml:space="preserve">Failed</t>
        </is>
      </c>
      <c r="D28" t="inlineStr">
        <is>
          <t xml:space="preserve">Once</t>
        </is>
      </c>
      <c r="E28" t="inlineStr">
        <is>
          <t xml:space="preserve">BO19 -1; BO15 -1; BO20 -1</t>
        </is>
      </c>
      <c r="K28" t="inlineStr">
        <is>
          <t xml:space="preserve">Draft 2026-10-12: supporters disappointed, opponents relieved.</t>
        </is>
      </c>
    </row>
    <row r="29">
      <c r="A29" t="inlineStr">
        <is>
          <t xml:space="preserve">LW28</t>
        </is>
      </c>
      <c r="B29" t="inlineStr">
        <is>
          <t xml:space="preserve">BI14</t>
        </is>
      </c>
      <c r="C29" t="inlineStr">
        <is>
          <t xml:space="preserve">Passed</t>
        </is>
      </c>
      <c r="D29" t="inlineStr">
        <is>
          <t xml:space="preserve">Once</t>
        </is>
      </c>
      <c r="E29" t="inlineStr">
        <is>
          <t xml:space="preserve">BO17 +3; BO03 +2; BO06 +2; BO18 +2; BO08 -2; BO23 -2</t>
        </is>
      </c>
      <c r="F29">
        <v>2</v>
      </c>
      <c r="K29" t="inlineStr">
        <is>
          <t xml:space="preserve">Draft 2026-10-12: Members and districts gain; taxpayers and press call it pork. BO06 added: neighbourhood projects get funded. Rebalanced 2026-10-13 (draft): party-tier organisations now follow the player's party lean (Balance tab).</t>
        </is>
      </c>
    </row>
    <row r="30">
      <c r="A30" t="inlineStr">
        <is>
          <t xml:space="preserve">LW29</t>
        </is>
      </c>
      <c r="B30" t="inlineStr">
        <is>
          <t xml:space="preserve">BI14</t>
        </is>
      </c>
      <c r="C30" t="inlineStr">
        <is>
          <t xml:space="preserve">Passed</t>
        </is>
      </c>
      <c r="D30" t="inlineStr">
        <is>
          <t xml:space="preserve">Each level</t>
        </is>
      </c>
      <c r="H30">
        <v>2000</v>
      </c>
      <c r="K30" t="inlineStr">
        <is>
          <t xml:space="preserve">Draft 2026-10-12: Your own district grant.</t>
        </is>
      </c>
    </row>
    <row r="31">
      <c r="A31" t="inlineStr">
        <is>
          <t xml:space="preserve">LW30</t>
        </is>
      </c>
      <c r="B31" t="inlineStr">
        <is>
          <t xml:space="preserve">BI14</t>
        </is>
      </c>
      <c r="C31" t="inlineStr">
        <is>
          <t xml:space="preserve">Failed</t>
        </is>
      </c>
      <c r="D31" t="inlineStr">
        <is>
          <t xml:space="preserve">Once</t>
        </is>
      </c>
      <c r="E31" t="inlineStr">
        <is>
          <t xml:space="preserve">BO17 -1; BO03 -1; BO06 -1; BO18 -1; BO08 +1; BO23 +1</t>
        </is>
      </c>
      <c r="K31" t="inlineStr">
        <is>
          <t xml:space="preserve">Draft 2026-10-12: supporters disappointed, opponents relieved. BO06 added: the grants it hoped for are lost.</t>
        </is>
      </c>
    </row>
    <row r="32">
      <c r="A32" t="inlineStr">
        <is>
          <t xml:space="preserve">LW31</t>
        </is>
      </c>
      <c r="B32" t="inlineStr">
        <is>
          <t xml:space="preserve">BI15</t>
        </is>
      </c>
      <c r="C32" t="inlineStr">
        <is>
          <t xml:space="preserve">Passed</t>
        </is>
      </c>
      <c r="D32" t="inlineStr">
        <is>
          <t xml:space="preserve">Once</t>
        </is>
      </c>
      <c r="E32" t="inlineStr">
        <is>
          <t xml:space="preserve">BO16 +3; BO05 +2; BO11 +2; BO13 -2</t>
        </is>
      </c>
      <c r="K32" t="inlineStr">
        <is>
          <t xml:space="preserve">Draft 2026-10-12: Tech, students and business gain; artisans feel left behind. Rebalanced 2026-10-13 (draft): party-tier organisations now follow the player's party lean (Balance tab).</t>
        </is>
      </c>
    </row>
    <row r="33">
      <c r="A33" t="inlineStr">
        <is>
          <t xml:space="preserve">LW32</t>
        </is>
      </c>
      <c r="B33" t="inlineStr">
        <is>
          <t xml:space="preserve">BI15</t>
        </is>
      </c>
      <c r="C33" t="inlineStr">
        <is>
          <t xml:space="preserve">Failed</t>
        </is>
      </c>
      <c r="D33" t="inlineStr">
        <is>
          <t xml:space="preserve">Once</t>
        </is>
      </c>
      <c r="E33" t="inlineStr">
        <is>
          <t xml:space="preserve">BO16 -1; BO05 -1; BO11 -1; BO13 +1</t>
        </is>
      </c>
      <c r="K33" t="inlineStr">
        <is>
          <t xml:space="preserve">Draft 2026-10-12: supporters disappointed, opponents relieved.</t>
        </is>
      </c>
    </row>
    <row r="34">
      <c r="A34" t="inlineStr">
        <is>
          <t xml:space="preserve">LW33</t>
        </is>
      </c>
      <c r="B34" t="inlineStr">
        <is>
          <t xml:space="preserve">BI16</t>
        </is>
      </c>
      <c r="C34" t="inlineStr">
        <is>
          <t xml:space="preserve">Passed</t>
        </is>
      </c>
      <c r="D34" t="inlineStr">
        <is>
          <t xml:space="preserve">Once</t>
        </is>
      </c>
      <c r="E34" t="inlineStr">
        <is>
          <t xml:space="preserve">BO22 +3; BO15 +2; BO08 -2; BO24 -2; BO26 -2</t>
        </is>
      </c>
      <c r="K34" t="inlineStr">
        <is>
          <t xml:space="preserve">Draft 2026-10-12: Security-minded groups gain; press and civil liberties groups object. Rebalanced 2026-10-13 (draft): party-tier organisations now follow the player's party lean (Balance tab).</t>
        </is>
      </c>
    </row>
    <row r="35">
      <c r="A35" t="inlineStr">
        <is>
          <t xml:space="preserve">LW34</t>
        </is>
      </c>
      <c r="B35" t="inlineStr">
        <is>
          <t xml:space="preserve">BI16</t>
        </is>
      </c>
      <c r="C35" t="inlineStr">
        <is>
          <t xml:space="preserve">Failed</t>
        </is>
      </c>
      <c r="D35" t="inlineStr">
        <is>
          <t xml:space="preserve">Once</t>
        </is>
      </c>
      <c r="E35" t="inlineStr">
        <is>
          <t xml:space="preserve">BO22 -1; BO15 -1; BO08 +1; BO24 +1; BO26 +1</t>
        </is>
      </c>
      <c r="K35" t="inlineStr">
        <is>
          <t xml:space="preserve">Draft 2026-10-12: supporters disappointed, opponents relieved.</t>
        </is>
      </c>
    </row>
    <row r="36">
      <c r="A36" t="inlineStr">
        <is>
          <t xml:space="preserve">LW35</t>
        </is>
      </c>
      <c r="B36" t="inlineStr">
        <is>
          <t xml:space="preserve">BI17</t>
        </is>
      </c>
      <c r="C36" t="inlineStr">
        <is>
          <t xml:space="preserve">Passed</t>
        </is>
      </c>
      <c r="D36" t="inlineStr">
        <is>
          <t xml:space="preserve">Once</t>
        </is>
      </c>
      <c r="E36" t="inlineStr">
        <is>
          <t xml:space="preserve">BO11 +3; BO27 +2; BO12 -2; BO15 -2; BO20 -2</t>
        </is>
      </c>
      <c r="K36" t="inlineStr">
        <is>
          <t xml:space="preserve">Draft 2026-10-12: Students and city voters gain; traditionalists and shrines object. Rebalanced 2026-10-13 (draft): party-tier organisations now follow the player's party lean (Balance tab).</t>
        </is>
      </c>
    </row>
    <row r="37">
      <c r="A37" t="inlineStr">
        <is>
          <t xml:space="preserve">LW36</t>
        </is>
      </c>
      <c r="B37" t="inlineStr">
        <is>
          <t xml:space="preserve">BI17</t>
        </is>
      </c>
      <c r="C37" t="inlineStr">
        <is>
          <t xml:space="preserve">Failed</t>
        </is>
      </c>
      <c r="D37" t="inlineStr">
        <is>
          <t xml:space="preserve">Once</t>
        </is>
      </c>
      <c r="E37" t="inlineStr">
        <is>
          <t xml:space="preserve">BO11 -1; BO27 -1; BO12 +1; BO15 +1; BO20 +1</t>
        </is>
      </c>
      <c r="K37" t="inlineStr">
        <is>
          <t xml:space="preserve">Draft 2026-10-12: supporters disappointed, opponents relieved.</t>
        </is>
      </c>
    </row>
    <row r="38">
      <c r="A38" t="inlineStr">
        <is>
          <t xml:space="preserve">LW37</t>
        </is>
      </c>
      <c r="B38" t="inlineStr">
        <is>
          <t xml:space="preserve">BI18</t>
        </is>
      </c>
      <c r="C38" t="inlineStr">
        <is>
          <t xml:space="preserve">Passed</t>
        </is>
      </c>
      <c r="D38" t="inlineStr">
        <is>
          <t xml:space="preserve">Once</t>
        </is>
      </c>
      <c r="E38" t="inlineStr">
        <is>
          <t xml:space="preserve">BO22 +3; BO15 +2; BO04 -2; BO08 -2; BO11 -2; BO16 -2; BO18 -2; BO26 -2</t>
        </is>
      </c>
      <c r="K38" t="inlineStr">
        <is>
          <t xml:space="preserve">Draft 2026-10-12: Party HQ and veterans gain; press, watchdogs and mayors lose. Rebalanced 2026-10-13 (draft): party-tier organisations now follow the player's party lean (Balance tab).</t>
        </is>
      </c>
    </row>
    <row r="39">
      <c r="A39" t="inlineStr">
        <is>
          <t xml:space="preserve">LW38</t>
        </is>
      </c>
      <c r="B39" t="inlineStr">
        <is>
          <t xml:space="preserve">BI18</t>
        </is>
      </c>
      <c r="C39" t="inlineStr">
        <is>
          <t xml:space="preserve">Failed</t>
        </is>
      </c>
      <c r="D39" t="inlineStr">
        <is>
          <t xml:space="preserve">Once</t>
        </is>
      </c>
      <c r="E39" t="inlineStr">
        <is>
          <t xml:space="preserve">BO22 -1; BO15 -1; BO04 +1; BO08 +1; BO11 +1; BO16 +1; BO18 +1; BO26 +1</t>
        </is>
      </c>
      <c r="K39" t="inlineStr">
        <is>
          <t xml:space="preserve">Draft 2026-10-12: supporters disappointed, opponents relieved.</t>
        </is>
      </c>
    </row>
    <row r="40">
      <c r="A40" t="inlineStr">
        <is>
          <t xml:space="preserve">LW39</t>
        </is>
      </c>
      <c r="B40" t="inlineStr">
        <is>
          <t xml:space="preserve">BI19</t>
        </is>
      </c>
      <c r="C40" t="inlineStr">
        <is>
          <t xml:space="preserve">Passed</t>
        </is>
      </c>
      <c r="D40" t="inlineStr">
        <is>
          <t xml:space="preserve">Once</t>
        </is>
      </c>
      <c r="E40" t="inlineStr">
        <is>
          <t xml:space="preserve">BO22 +3; BO09 -2</t>
        </is>
      </c>
      <c r="K40" t="inlineStr">
        <is>
          <t xml:space="preserve">Draft 2026-10-12: Veterans and party HQ gain; unions object. Rebalanced 2026-10-13 (draft): party-tier organisations now follow the player's party lean (Balance tab).</t>
        </is>
      </c>
    </row>
    <row r="41">
      <c r="A41" t="inlineStr">
        <is>
          <t xml:space="preserve">LW40</t>
        </is>
      </c>
      <c r="B41" t="inlineStr">
        <is>
          <t xml:space="preserve">BI19</t>
        </is>
      </c>
      <c r="C41" t="inlineStr">
        <is>
          <t xml:space="preserve">Failed</t>
        </is>
      </c>
      <c r="D41" t="inlineStr">
        <is>
          <t xml:space="preserve">Once</t>
        </is>
      </c>
      <c r="E41" t="inlineStr">
        <is>
          <t xml:space="preserve">BO22 -1; BO09 +1</t>
        </is>
      </c>
      <c r="K41" t="inlineStr">
        <is>
          <t xml:space="preserve">Draft 2026-10-12: supporters disappointed, opponents relieved.</t>
        </is>
      </c>
    </row>
    <row r="42">
      <c r="A42" t="inlineStr">
        <is>
          <t xml:space="preserve">LW41</t>
        </is>
      </c>
      <c r="B42" t="inlineStr">
        <is>
          <t xml:space="preserve">BI20</t>
        </is>
      </c>
      <c r="C42" t="inlineStr">
        <is>
          <t xml:space="preserve">Passed</t>
        </is>
      </c>
      <c r="D42" t="inlineStr">
        <is>
          <t xml:space="preserve">Once</t>
        </is>
      </c>
      <c r="E42" t="inlineStr">
        <is>
          <t xml:space="preserve">BO05 +3; BO13 +2; BO24 +2; BO10 -2; BO30 -2</t>
        </is>
      </c>
      <c r="K42" t="inlineStr">
        <is>
          <t xml:space="preserve">Draft 2026-10-12: Exporters gain; farmers face EU dairy and wine. Rebalanced 2026-10-13 (draft): party-tier organisations now follow the player's party lean (Balance tab).</t>
        </is>
      </c>
    </row>
    <row r="43">
      <c r="A43" t="inlineStr">
        <is>
          <t xml:space="preserve">LW42</t>
        </is>
      </c>
      <c r="B43" t="inlineStr">
        <is>
          <t xml:space="preserve">BI20</t>
        </is>
      </c>
      <c r="C43" t="inlineStr">
        <is>
          <t xml:space="preserve">Failed</t>
        </is>
      </c>
      <c r="D43" t="inlineStr">
        <is>
          <t xml:space="preserve">Once</t>
        </is>
      </c>
      <c r="E43" t="inlineStr">
        <is>
          <t xml:space="preserve">BO05 -1; BO13 -1; BO24 -1; BO10 +1; BO30 +1</t>
        </is>
      </c>
      <c r="K43" t="inlineStr">
        <is>
          <t xml:space="preserve">Draft 2026-10-12: supporters disappointed, opponents relieved.</t>
        </is>
      </c>
    </row>
    <row r="44">
      <c r="A44" t="inlineStr">
        <is>
          <t xml:space="preserve">LW43</t>
        </is>
      </c>
      <c r="B44" t="inlineStr">
        <is>
          <t xml:space="preserve">BI21</t>
        </is>
      </c>
      <c r="C44" t="inlineStr">
        <is>
          <t xml:space="preserve">Passed</t>
        </is>
      </c>
      <c r="D44" t="inlineStr">
        <is>
          <t xml:space="preserve">Once</t>
        </is>
      </c>
      <c r="E44" t="inlineStr">
        <is>
          <t xml:space="preserve">BO22 +3; BO07 +2; BO15 +2; BO16 -2; BO24 -2</t>
        </is>
      </c>
      <c r="K44" t="inlineStr">
        <is>
          <t xml:space="preserve">Draft 2026-10-12: Security and coastal groups gain; finance loses deals. Rebalanced 2026-10-13 (draft): party-tier organisations now follow the player's party lean (Balance tab).</t>
        </is>
      </c>
    </row>
    <row r="45">
      <c r="A45" t="inlineStr">
        <is>
          <t xml:space="preserve">LW44</t>
        </is>
      </c>
      <c r="B45" t="inlineStr">
        <is>
          <t xml:space="preserve">BI21</t>
        </is>
      </c>
      <c r="C45" t="inlineStr">
        <is>
          <t xml:space="preserve">Failed</t>
        </is>
      </c>
      <c r="D45" t="inlineStr">
        <is>
          <t xml:space="preserve">Once</t>
        </is>
      </c>
      <c r="E45" t="inlineStr">
        <is>
          <t xml:space="preserve">BO22 -1; BO07 -1; BO15 -1; BO16 +1; BO24 +1</t>
        </is>
      </c>
      <c r="K45" t="inlineStr">
        <is>
          <t xml:space="preserve">Draft 2026-10-12: supporters disappointed, opponents relieved.</t>
        </is>
      </c>
    </row>
    <row r="46">
      <c r="A46" t="inlineStr">
        <is>
          <t xml:space="preserve">LW45</t>
        </is>
      </c>
      <c r="B46" t="inlineStr">
        <is>
          <t xml:space="preserve">BI22</t>
        </is>
      </c>
      <c r="C46" t="inlineStr">
        <is>
          <t xml:space="preserve">Passed</t>
        </is>
      </c>
      <c r="D46" t="inlineStr">
        <is>
          <t xml:space="preserve">Once</t>
        </is>
      </c>
      <c r="E46" t="inlineStr">
        <is>
          <t xml:space="preserve">BO25 +3; BO13 +2; BO15 -2</t>
        </is>
      </c>
      <c r="K46" t="inlineStr">
        <is>
          <t xml:space="preserve">Draft 2026-10-12: Tourism businesses gain; traditionalists wary. Rebalanced 2026-10-13 (draft): party-tier organisations now follow the player's party lean (Balance tab).</t>
        </is>
      </c>
    </row>
    <row r="47">
      <c r="A47" t="inlineStr">
        <is>
          <t xml:space="preserve">LW46</t>
        </is>
      </c>
      <c r="B47" t="inlineStr">
        <is>
          <t xml:space="preserve">BI22</t>
        </is>
      </c>
      <c r="C47" t="inlineStr">
        <is>
          <t xml:space="preserve">Failed</t>
        </is>
      </c>
      <c r="D47" t="inlineStr">
        <is>
          <t xml:space="preserve">Once</t>
        </is>
      </c>
      <c r="E47" t="inlineStr">
        <is>
          <t xml:space="preserve">BO25 -1; BO13 -1; BO15 +1</t>
        </is>
      </c>
      <c r="K47" t="inlineStr">
        <is>
          <t xml:space="preserve">Draft 2026-10-12: supporters disappointed, opponents relieved.</t>
        </is>
      </c>
    </row>
    <row r="48">
      <c r="A48" t="inlineStr">
        <is>
          <t xml:space="preserve">LW47</t>
        </is>
      </c>
      <c r="B48" t="inlineStr">
        <is>
          <t xml:space="preserve">BI23</t>
        </is>
      </c>
      <c r="C48" t="inlineStr">
        <is>
          <t xml:space="preserve">Passed</t>
        </is>
      </c>
      <c r="D48" t="inlineStr">
        <is>
          <t xml:space="preserve">Once</t>
        </is>
      </c>
      <c r="E48" t="inlineStr">
        <is>
          <t xml:space="preserve">BO07 +3; BO25 +2; BO15 -2; BO22 -2</t>
        </is>
      </c>
      <c r="K48" t="inlineStr">
        <is>
          <t xml:space="preserve">Draft 2026-10-12: Fishers and small business gain; veterans and traditionalists object. Rebalanced 2026-10-13 (draft): party-tier organisations now follow the player's party lean (Balance tab).</t>
        </is>
      </c>
    </row>
    <row r="49">
      <c r="A49" t="inlineStr">
        <is>
          <t xml:space="preserve">LW48</t>
        </is>
      </c>
      <c r="B49" t="inlineStr">
        <is>
          <t xml:space="preserve">BI23</t>
        </is>
      </c>
      <c r="C49" t="inlineStr">
        <is>
          <t xml:space="preserve">Failed</t>
        </is>
      </c>
      <c r="D49" t="inlineStr">
        <is>
          <t xml:space="preserve">Once</t>
        </is>
      </c>
      <c r="E49" t="inlineStr">
        <is>
          <t xml:space="preserve">BO07 -1; BO25 -1; BO15 +1; BO22 +1</t>
        </is>
      </c>
      <c r="K49" t="inlineStr">
        <is>
          <t xml:space="preserve">Draft 2026-10-12: supporters disappointed, opponents relieved.</t>
        </is>
      </c>
    </row>
    <row r="50">
      <c r="A50" t="inlineStr">
        <is>
          <t xml:space="preserve">LW49</t>
        </is>
      </c>
      <c r="B50" t="inlineStr">
        <is>
          <t xml:space="preserve">BI24</t>
        </is>
      </c>
      <c r="C50" t="inlineStr">
        <is>
          <t xml:space="preserve">Passed</t>
        </is>
      </c>
      <c r="D50" t="inlineStr">
        <is>
          <t xml:space="preserve">Once</t>
        </is>
      </c>
      <c r="E50" t="inlineStr">
        <is>
          <t xml:space="preserve">BO05 +3; BO24 +2; BO07 -2; BO11 -2; BO26 -2</t>
        </is>
      </c>
      <c r="K50" t="inlineStr">
        <is>
          <t xml:space="preserve">Draft 2026-10-12: Industry gains; fishers and consumer groups fear the risk. Rebalanced 2026-10-13 (draft): party-tier organisations now follow the player's party lean (Balance tab).</t>
        </is>
      </c>
    </row>
    <row r="51">
      <c r="A51" t="inlineStr">
        <is>
          <t xml:space="preserve">LW50</t>
        </is>
      </c>
      <c r="B51" t="inlineStr">
        <is>
          <t xml:space="preserve">BI24</t>
        </is>
      </c>
      <c r="C51" t="inlineStr">
        <is>
          <t xml:space="preserve">Passed</t>
        </is>
      </c>
      <c r="D51" t="inlineStr">
        <is>
          <t xml:space="preserve">Each level</t>
        </is>
      </c>
      <c r="H51">
        <v>1000</v>
      </c>
      <c r="K51" t="inlineStr">
        <is>
          <t xml:space="preserve">Draft 2026-10-12: Cheaper power for the office.</t>
        </is>
      </c>
    </row>
    <row r="52">
      <c r="A52" t="inlineStr">
        <is>
          <t xml:space="preserve">LW51</t>
        </is>
      </c>
      <c r="B52" t="inlineStr">
        <is>
          <t xml:space="preserve">BI24</t>
        </is>
      </c>
      <c r="C52" t="inlineStr">
        <is>
          <t xml:space="preserve">Failed</t>
        </is>
      </c>
      <c r="D52" t="inlineStr">
        <is>
          <t xml:space="preserve">Once</t>
        </is>
      </c>
      <c r="E52" t="inlineStr">
        <is>
          <t xml:space="preserve">BO05 -1; BO24 -1; BO07 +1; BO11 +1; BO26 +1</t>
        </is>
      </c>
      <c r="K52" t="inlineStr">
        <is>
          <t xml:space="preserve">Draft 2026-10-12: supporters disappointed, opponents relieved.</t>
        </is>
      </c>
    </row>
    <row r="53">
      <c r="A53" t="inlineStr">
        <is>
          <t xml:space="preserve">LW52</t>
        </is>
      </c>
      <c r="B53" t="inlineStr">
        <is>
          <t xml:space="preserve">BI25</t>
        </is>
      </c>
      <c r="C53" t="inlineStr">
        <is>
          <t xml:space="preserve">Passed</t>
        </is>
      </c>
      <c r="D53" t="inlineStr">
        <is>
          <t xml:space="preserve">Once</t>
        </is>
      </c>
      <c r="E53" t="inlineStr">
        <is>
          <t xml:space="preserve">BO05 +3; BO04 +2; BO23 +2; BO25 +2; BO06 -2; BO12 -2; BO19 -2; BO20 -2</t>
        </is>
      </c>
      <c r="K53" t="inlineStr">
        <is>
          <t xml:space="preserve">Draft 2026-10-12: Business and mayors gain; families and temples object. BO06 added: a casino resort is a neighbourhood worry. Rebalanced 2026-10-13 (draft): party-tier organisations now follow the player's party lean (Balance tab).</t>
        </is>
      </c>
    </row>
    <row r="54">
      <c r="A54" t="inlineStr">
        <is>
          <t xml:space="preserve">LW53</t>
        </is>
      </c>
      <c r="B54" t="inlineStr">
        <is>
          <t xml:space="preserve">BI25</t>
        </is>
      </c>
      <c r="C54" t="inlineStr">
        <is>
          <t xml:space="preserve">Failed</t>
        </is>
      </c>
      <c r="D54" t="inlineStr">
        <is>
          <t xml:space="preserve">Once</t>
        </is>
      </c>
      <c r="E54" t="inlineStr">
        <is>
          <t xml:space="preserve">BO05 -1; BO04 -1; BO23 -1; BO25 -1; BO06 +1; BO12 +1; BO19 +1; BO20 +1</t>
        </is>
      </c>
      <c r="K54" t="inlineStr">
        <is>
          <t xml:space="preserve">Draft 2026-10-12: supporters disappointed, opponents relieved. BO06 added: the neighbourhood is spared a casino.</t>
        </is>
      </c>
    </row>
    <row r="55">
      <c r="A55" t="inlineStr">
        <is>
          <t xml:space="preserve">LW54</t>
        </is>
      </c>
      <c r="B55" t="inlineStr">
        <is>
          <t xml:space="preserve">BI26</t>
        </is>
      </c>
      <c r="C55" t="inlineStr">
        <is>
          <t xml:space="preserve">Passed</t>
        </is>
      </c>
      <c r="D55" t="inlineStr">
        <is>
          <t xml:space="preserve">Once</t>
        </is>
      </c>
      <c r="E55" t="inlineStr">
        <is>
          <t xml:space="preserve">BO26 +3; BO08 +2; BO23 +2; BO03 -2; BO17 -2</t>
        </is>
      </c>
      <c r="K55" t="inlineStr">
        <is>
          <t xml:space="preserve">Draft 2026-10-12: Watchdogs gain; members and koenkai lose referrals. Rebalanced 2026-10-13 (draft): party-tier organisations now follow the player's party lean (Balance tab).</t>
        </is>
      </c>
    </row>
    <row r="56">
      <c r="A56" t="inlineStr">
        <is>
          <t xml:space="preserve">LW55</t>
        </is>
      </c>
      <c r="B56" t="inlineStr">
        <is>
          <t xml:space="preserve">BI26</t>
        </is>
      </c>
      <c r="C56" t="inlineStr">
        <is>
          <t xml:space="preserve">Failed</t>
        </is>
      </c>
      <c r="D56" t="inlineStr">
        <is>
          <t xml:space="preserve">Once</t>
        </is>
      </c>
      <c r="E56" t="inlineStr">
        <is>
          <t xml:space="preserve">BO26 -1; BO08 -1; BO23 -1; BO03 +1; BO17 +1</t>
        </is>
      </c>
      <c r="K56" t="inlineStr">
        <is>
          <t xml:space="preserve">Draft 2026-10-12: supporters disappointed, opponents relieved.</t>
        </is>
      </c>
    </row>
    <row r="57">
      <c r="A57" t="inlineStr">
        <is>
          <t xml:space="preserve">LW56</t>
        </is>
      </c>
      <c r="B57" t="inlineStr">
        <is>
          <t xml:space="preserve">BI27</t>
        </is>
      </c>
      <c r="C57" t="inlineStr">
        <is>
          <t xml:space="preserve">Passed</t>
        </is>
      </c>
      <c r="D57" t="inlineStr">
        <is>
          <t xml:space="preserve">Once</t>
        </is>
      </c>
      <c r="E57" t="inlineStr">
        <is>
          <t xml:space="preserve">BO09 +3; BO11 +2; BO05 -2; BO16 -2; BO25 -2</t>
        </is>
      </c>
      <c r="K57" t="inlineStr">
        <is>
          <t xml:space="preserve">Draft 2026-10-12: Workers and students gain; employers pay. Rebalanced 2026-10-13 (draft): party-tier organisations now follow the player's party lean (Balance tab).</t>
        </is>
      </c>
    </row>
    <row r="58">
      <c r="A58" t="inlineStr">
        <is>
          <t xml:space="preserve">LW57</t>
        </is>
      </c>
      <c r="B58" t="inlineStr">
        <is>
          <t xml:space="preserve">BI27</t>
        </is>
      </c>
      <c r="C58" t="inlineStr">
        <is>
          <t xml:space="preserve">Failed</t>
        </is>
      </c>
      <c r="D58" t="inlineStr">
        <is>
          <t xml:space="preserve">Once</t>
        </is>
      </c>
      <c r="E58" t="inlineStr">
        <is>
          <t xml:space="preserve">BO09 -1; BO11 -1; BO05 +1; BO16 +1; BO25 +1</t>
        </is>
      </c>
      <c r="K58" t="inlineStr">
        <is>
          <t xml:space="preserve">Draft 2026-10-12: supporters disappointed, opponents relieved.</t>
        </is>
      </c>
    </row>
    <row r="59">
      <c r="A59" t="inlineStr">
        <is>
          <t xml:space="preserve">LW58</t>
        </is>
      </c>
      <c r="B59" t="inlineStr">
        <is>
          <t xml:space="preserve">BI28</t>
        </is>
      </c>
      <c r="C59" t="inlineStr">
        <is>
          <t xml:space="preserve">Passed</t>
        </is>
      </c>
      <c r="D59" t="inlineStr">
        <is>
          <t xml:space="preserve">Once</t>
        </is>
      </c>
      <c r="E59" t="inlineStr">
        <is>
          <t xml:space="preserve">BO26 +3; BO08 +2; BO17 -2</t>
        </is>
      </c>
      <c r="K59" t="inlineStr">
        <is>
          <t xml:space="preserve">Draft 2026-10-12: Watchdogs gain; members and party HQ lose control of districts. Rebalanced 2026-10-13 (draft): party-tier organisations now follow the player's party lean (Balance tab).</t>
        </is>
      </c>
    </row>
    <row r="60">
      <c r="A60" t="inlineStr">
        <is>
          <t xml:space="preserve">LW59</t>
        </is>
      </c>
      <c r="B60" t="inlineStr">
        <is>
          <t xml:space="preserve">BI28</t>
        </is>
      </c>
      <c r="C60" t="inlineStr">
        <is>
          <t xml:space="preserve">Failed</t>
        </is>
      </c>
      <c r="D60" t="inlineStr">
        <is>
          <t xml:space="preserve">Once</t>
        </is>
      </c>
      <c r="E60" t="inlineStr">
        <is>
          <t xml:space="preserve">BO26 -1; BO08 -1; BO17 +1</t>
        </is>
      </c>
      <c r="K60" t="inlineStr">
        <is>
          <t xml:space="preserve">Draft 2026-10-12: supporters disappointed, opponents relieved.</t>
        </is>
      </c>
    </row>
    <row r="61">
      <c r="A61" t="inlineStr">
        <is>
          <t xml:space="preserve">LW60</t>
        </is>
      </c>
      <c r="B61" t="inlineStr">
        <is>
          <t xml:space="preserve">BI29</t>
        </is>
      </c>
      <c r="C61" t="inlineStr">
        <is>
          <t xml:space="preserve">Passed</t>
        </is>
      </c>
      <c r="D61" t="inlineStr">
        <is>
          <t xml:space="preserve">Once</t>
        </is>
      </c>
      <c r="E61" t="inlineStr">
        <is>
          <t xml:space="preserve">BO15 +3; BO19 +2; BO20 +2; BO11 -2; BO27 -2</t>
        </is>
      </c>
      <c r="K61" t="inlineStr">
        <is>
          <t xml:space="preserve">Draft 2026-10-12: Traditionalists gain; students and city voters object. Rebalanced 2026-10-13 (draft): party-tier organisations now follow the player's party lean (Balance tab).</t>
        </is>
      </c>
    </row>
    <row r="62">
      <c r="A62" t="inlineStr">
        <is>
          <t xml:space="preserve">LW61</t>
        </is>
      </c>
      <c r="B62" t="inlineStr">
        <is>
          <t xml:space="preserve">BI29</t>
        </is>
      </c>
      <c r="C62" t="inlineStr">
        <is>
          <t xml:space="preserve">Failed</t>
        </is>
      </c>
      <c r="D62" t="inlineStr">
        <is>
          <t xml:space="preserve">Once</t>
        </is>
      </c>
      <c r="E62" t="inlineStr">
        <is>
          <t xml:space="preserve">BO15 -1; BO19 -1; BO20 -1; BO11 +1; BO27 +1</t>
        </is>
      </c>
      <c r="K62" t="inlineStr">
        <is>
          <t xml:space="preserve">Draft 2026-10-12: supporters disappointed, opponents relieved.</t>
        </is>
      </c>
    </row>
    <row r="63">
      <c r="A63" t="inlineStr">
        <is>
          <t xml:space="preserve">LW62</t>
        </is>
      </c>
      <c r="B63" t="inlineStr">
        <is>
          <t xml:space="preserve">BI30</t>
        </is>
      </c>
      <c r="C63" t="inlineStr">
        <is>
          <t xml:space="preserve">Passed</t>
        </is>
      </c>
      <c r="D63" t="inlineStr">
        <is>
          <t xml:space="preserve">Once</t>
        </is>
      </c>
      <c r="E63" t="inlineStr">
        <is>
          <t xml:space="preserve">BO27 +3; BO26 +2; BO15 -2; BO22 -2</t>
        </is>
      </c>
      <c r="K63" t="inlineStr">
        <is>
          <t xml:space="preserve">Draft 2026-10-12: City voters gain; traditionalists and veterans object. Rebalanced 2026-10-13 (draft): party-tier organisations now follow the player's party lean (Balance tab).</t>
        </is>
      </c>
    </row>
    <row r="64">
      <c r="A64" t="inlineStr">
        <is>
          <t xml:space="preserve">LW63</t>
        </is>
      </c>
      <c r="B64" t="inlineStr">
        <is>
          <t xml:space="preserve">BI30</t>
        </is>
      </c>
      <c r="C64" t="inlineStr">
        <is>
          <t xml:space="preserve">Failed</t>
        </is>
      </c>
      <c r="D64" t="inlineStr">
        <is>
          <t xml:space="preserve">Once</t>
        </is>
      </c>
      <c r="E64" t="inlineStr">
        <is>
          <t xml:space="preserve">BO27 -1; BO26 -1; BO15 +1; BO22 +1</t>
        </is>
      </c>
      <c r="K64" t="inlineStr">
        <is>
          <t xml:space="preserve">Draft 2026-10-12: supporters disappointed, opponents relieved.</t>
        </is>
      </c>
    </row>
    <row r="65">
      <c r="A65" t="inlineStr">
        <is>
          <t xml:space="preserve">LW64</t>
        </is>
      </c>
      <c r="B65" t="inlineStr">
        <is>
          <t xml:space="preserve">BI31</t>
        </is>
      </c>
      <c r="C65" t="inlineStr">
        <is>
          <t xml:space="preserve">Passed</t>
        </is>
      </c>
      <c r="D65" t="inlineStr">
        <is>
          <t xml:space="preserve">Once</t>
        </is>
      </c>
      <c r="E65" t="inlineStr">
        <is>
          <t xml:space="preserve">BO28 +3; BO20 +2; BO05 -2; BO30 -2</t>
        </is>
      </c>
      <c r="K65" t="inlineStr">
        <is>
          <t xml:space="preserve">Draft 2026-10-13: Ainu groups, shrines and students gain; business and rural towns object. Rebalanced 2026-10-13 (draft): party-tier organisations now follow the player's party lean (Balance tab).</t>
        </is>
      </c>
    </row>
    <row r="66">
      <c r="A66" t="inlineStr">
        <is>
          <t xml:space="preserve">LW65</t>
        </is>
      </c>
      <c r="B66" t="inlineStr">
        <is>
          <t xml:space="preserve">BI31</t>
        </is>
      </c>
      <c r="C66" t="inlineStr">
        <is>
          <t xml:space="preserve">Failed</t>
        </is>
      </c>
      <c r="D66" t="inlineStr">
        <is>
          <t xml:space="preserve">Once</t>
        </is>
      </c>
      <c r="E66" t="inlineStr">
        <is>
          <t xml:space="preserve">BO28 -1; BO20 -1; BO05 +1; BO30 +1</t>
        </is>
      </c>
      <c r="K66" t="inlineStr">
        <is>
          <t xml:space="preserve">Draft 2026-10-13: supporters disappointed, opponents relieved.</t>
        </is>
      </c>
    </row>
    <row r="67">
      <c r="A67" t="inlineStr">
        <is>
          <t xml:space="preserve">LW66</t>
        </is>
      </c>
      <c r="B67" t="inlineStr">
        <is>
          <t xml:space="preserve">BI32</t>
        </is>
      </c>
      <c r="C67" t="inlineStr">
        <is>
          <t xml:space="preserve">Passed</t>
        </is>
      </c>
      <c r="D67" t="inlineStr">
        <is>
          <t xml:space="preserve">Once</t>
        </is>
      </c>
      <c r="E67" t="inlineStr">
        <is>
          <t xml:space="preserve">BO30 +3; BO04 +2; BO21 +2; BO23 -2</t>
        </is>
      </c>
      <c r="K67" t="inlineStr">
        <is>
          <t xml:space="preserve">Draft 2026-10-13: Rural towns, care and mayors gain; taxpayers pay. Rebalanced 2026-10-13 (draft): party-tier organisations now follow the player's party lean (Balance tab).</t>
        </is>
      </c>
    </row>
    <row r="68">
      <c r="A68" t="inlineStr">
        <is>
          <t xml:space="preserve">LW67</t>
        </is>
      </c>
      <c r="B68" t="inlineStr">
        <is>
          <t xml:space="preserve">BI32</t>
        </is>
      </c>
      <c r="C68" t="inlineStr">
        <is>
          <t xml:space="preserve">Failed</t>
        </is>
      </c>
      <c r="D68" t="inlineStr">
        <is>
          <t xml:space="preserve">Once</t>
        </is>
      </c>
      <c r="E68" t="inlineStr">
        <is>
          <t xml:space="preserve">BO30 -1; BO04 -1; BO21 -1; BO23 +1</t>
        </is>
      </c>
      <c r="K68" t="inlineStr">
        <is>
          <t xml:space="preserve">Draft 2026-10-13: supporters disappointed, opponents relieved.</t>
        </is>
      </c>
    </row>
    <row r="69">
      <c r="A69" t="inlineStr">
        <is>
          <t xml:space="preserve">LW68</t>
        </is>
      </c>
      <c r="B69" t="inlineStr">
        <is>
          <t xml:space="preserve">BI33</t>
        </is>
      </c>
      <c r="C69" t="inlineStr">
        <is>
          <t xml:space="preserve">Passed</t>
        </is>
      </c>
      <c r="D69" t="inlineStr">
        <is>
          <t xml:space="preserve">Once</t>
        </is>
      </c>
      <c r="E69" t="inlineStr">
        <is>
          <t xml:space="preserve">BO16 +3; BO24 +2; BO08 -2; BO26 -2</t>
        </is>
      </c>
      <c r="K69" t="inlineStr">
        <is>
          <t xml:space="preserve">Draft 2026-10-13: Tech and finance gain; press and consumer groups worry about privacy. Rebalanced 2026-10-13 (draft): party-tier organisations now follow the player's party lean (Balance tab).</t>
        </is>
      </c>
    </row>
    <row r="70">
      <c r="A70" t="inlineStr">
        <is>
          <t xml:space="preserve">LW69</t>
        </is>
      </c>
      <c r="B70" t="inlineStr">
        <is>
          <t xml:space="preserve">BI33</t>
        </is>
      </c>
      <c r="C70" t="inlineStr">
        <is>
          <t xml:space="preserve">Failed</t>
        </is>
      </c>
      <c r="D70" t="inlineStr">
        <is>
          <t xml:space="preserve">Once</t>
        </is>
      </c>
      <c r="E70" t="inlineStr">
        <is>
          <t xml:space="preserve">BO16 -1; BO24 -1; BO08 +1; BO26 +1</t>
        </is>
      </c>
      <c r="K70" t="inlineStr">
        <is>
          <t xml:space="preserve">Draft 2026-10-13: supporters disappointed, opponents relieved.</t>
        </is>
      </c>
    </row>
    <row r="71">
      <c r="A71" t="inlineStr">
        <is>
          <t xml:space="preserve">LW70</t>
        </is>
      </c>
      <c r="B71" t="inlineStr">
        <is>
          <t xml:space="preserve">BI34</t>
        </is>
      </c>
      <c r="C71" t="inlineStr">
        <is>
          <t xml:space="preserve">Passed</t>
        </is>
      </c>
      <c r="D71" t="inlineStr">
        <is>
          <t xml:space="preserve">Once</t>
        </is>
      </c>
      <c r="E71" t="inlineStr">
        <is>
          <t xml:space="preserve">BO08 +3</t>
        </is>
      </c>
      <c r="K71" t="inlineStr">
        <is>
          <t xml:space="preserve">Draft 2026-10-13: Press and students gain; party HQ loses influence over the broadcaster. Rebalanced 2026-10-13 (draft): party-tier organisations now follow the player's party lean (Balance tab).</t>
        </is>
      </c>
    </row>
    <row r="72">
      <c r="A72" t="inlineStr">
        <is>
          <t xml:space="preserve">LW71</t>
        </is>
      </c>
      <c r="B72" t="inlineStr">
        <is>
          <t xml:space="preserve">BI34</t>
        </is>
      </c>
      <c r="C72" t="inlineStr">
        <is>
          <t xml:space="preserve">Failed</t>
        </is>
      </c>
      <c r="D72" t="inlineStr">
        <is>
          <t xml:space="preserve">Once</t>
        </is>
      </c>
      <c r="E72" t="inlineStr">
        <is>
          <t xml:space="preserve">BO08 -1</t>
        </is>
      </c>
      <c r="K72" t="inlineStr">
        <is>
          <t xml:space="preserve">Draft 2026-10-13: supporters disappointed, opponents relieved.</t>
        </is>
      </c>
    </row>
    <row r="73">
      <c r="A73" t="inlineStr">
        <is>
          <t xml:space="preserve">LW72</t>
        </is>
      </c>
      <c r="B73" t="inlineStr">
        <is>
          <t xml:space="preserve">BI35</t>
        </is>
      </c>
      <c r="C73" t="inlineStr">
        <is>
          <t xml:space="preserve">Passed</t>
        </is>
      </c>
      <c r="D73" t="inlineStr">
        <is>
          <t xml:space="preserve">Once</t>
        </is>
      </c>
      <c r="E73" t="inlineStr">
        <is>
          <t xml:space="preserve">BO26 +3; BO08 +2; BO23 +2; BO05 -2; BO17 -2</t>
        </is>
      </c>
      <c r="K73" t="inlineStr">
        <is>
          <t xml:space="preserve">Draft 2026-10-13: Watchdogs gain; parties and members lose fundraising freedom. Rebalanced 2026-10-13 (draft): party-tier organisations now follow the player's party lean (Balance tab).</t>
        </is>
      </c>
    </row>
    <row r="74">
      <c r="A74" t="inlineStr">
        <is>
          <t xml:space="preserve">LW73</t>
        </is>
      </c>
      <c r="B74" t="inlineStr">
        <is>
          <t xml:space="preserve">BI35</t>
        </is>
      </c>
      <c r="C74" t="inlineStr">
        <is>
          <t xml:space="preserve">Failed</t>
        </is>
      </c>
      <c r="D74" t="inlineStr">
        <is>
          <t xml:space="preserve">Once</t>
        </is>
      </c>
      <c r="E74" t="inlineStr">
        <is>
          <t xml:space="preserve">BO26 -1; BO08 -1; BO23 -1; BO05 +1; BO17 +1</t>
        </is>
      </c>
      <c r="K74" t="inlineStr">
        <is>
          <t xml:space="preserve">Draft 2026-10-13: supporters disappointed, opponents relieved.</t>
        </is>
      </c>
    </row>
    <row r="75">
      <c r="A75" t="inlineStr">
        <is>
          <t xml:space="preserve">LW74</t>
        </is>
      </c>
      <c r="B75" t="inlineStr">
        <is>
          <t xml:space="preserve">BI36</t>
        </is>
      </c>
      <c r="C75" t="inlineStr">
        <is>
          <t xml:space="preserve">Passed</t>
        </is>
      </c>
      <c r="D75" t="inlineStr">
        <is>
          <t xml:space="preserve">Once</t>
        </is>
      </c>
      <c r="E75" t="inlineStr">
        <is>
          <t xml:space="preserve">BO05 +3; BO23 +3; BO24 +2; BO25 +2; BO04 -2; BO11 -2; BO21 -2</t>
        </is>
      </c>
      <c r="K75" t="inlineStr">
        <is>
          <t xml:space="preserve">Draft 2026-10-13: Business gains; care and local budgets lose. Rebalanced 2026-10-13 (draft): party-tier organisations now follow the player's party lean (Balance tab).</t>
        </is>
      </c>
    </row>
    <row r="76">
      <c r="A76" t="inlineStr">
        <is>
          <t xml:space="preserve">LW75</t>
        </is>
      </c>
      <c r="B76" t="inlineStr">
        <is>
          <t xml:space="preserve">BI36</t>
        </is>
      </c>
      <c r="C76" t="inlineStr">
        <is>
          <t xml:space="preserve">Failed</t>
        </is>
      </c>
      <c r="D76" t="inlineStr">
        <is>
          <t xml:space="preserve">Once</t>
        </is>
      </c>
      <c r="E76" t="inlineStr">
        <is>
          <t xml:space="preserve">BO05 -1; BO23 -1; BO24 -1; BO25 -1; BO04 +1; BO11 +1; BO21 +1</t>
        </is>
      </c>
      <c r="K76" t="inlineStr">
        <is>
          <t xml:space="preserve">Draft 2026-10-13: supporters disappointed, opponents relieved.</t>
        </is>
      </c>
    </row>
    <row r="77">
      <c r="A77" t="inlineStr">
        <is>
          <t xml:space="preserve">LW76</t>
        </is>
      </c>
      <c r="B77" t="inlineStr">
        <is>
          <t xml:space="preserve">BI37</t>
        </is>
      </c>
      <c r="C77" t="inlineStr">
        <is>
          <t xml:space="preserve">Passed</t>
        </is>
      </c>
      <c r="D77" t="inlineStr">
        <is>
          <t xml:space="preserve">Once</t>
        </is>
      </c>
      <c r="E77" t="inlineStr">
        <is>
          <t xml:space="preserve">BO16 +3; BO11 +2; BO27 +2; BO05 -2; BO07 -2; BO10 -2; BO14 -2; BO23 -2; BO24 -2</t>
        </is>
      </c>
      <c r="K77" t="inlineStr">
        <is>
          <t xml:space="preserve">Draft 2026-10-13: Innovators, students and cities gain; business, farmers and taxpayers pay. Rebalanced 2026-10-13 (draft): party-tier organisations now follow the player's party lean (Balance tab).</t>
        </is>
      </c>
    </row>
    <row r="78">
      <c r="A78" t="inlineStr">
        <is>
          <t xml:space="preserve">LW77</t>
        </is>
      </c>
      <c r="B78" t="inlineStr">
        <is>
          <t xml:space="preserve">BI37</t>
        </is>
      </c>
      <c r="C78" t="inlineStr">
        <is>
          <t xml:space="preserve">Failed</t>
        </is>
      </c>
      <c r="D78" t="inlineStr">
        <is>
          <t xml:space="preserve">Once</t>
        </is>
      </c>
      <c r="E78" t="inlineStr">
        <is>
          <t xml:space="preserve">BO16 -1; BO11 -1; BO27 -1; BO05 +1; BO07 +1; BO10 +1; BO14 +1; BO23 +1; BO24 +1</t>
        </is>
      </c>
      <c r="K78" t="inlineStr">
        <is>
          <t xml:space="preserve">Draft 2026-10-13: supporters disappointed, opponents relieved.</t>
        </is>
      </c>
    </row>
    <row r="79">
      <c r="A79" t="inlineStr">
        <is>
          <t xml:space="preserve">LW78</t>
        </is>
      </c>
      <c r="B79" t="inlineStr">
        <is>
          <t xml:space="preserve">BI38</t>
        </is>
      </c>
      <c r="C79" t="inlineStr">
        <is>
          <t xml:space="preserve">Passed</t>
        </is>
      </c>
      <c r="D79" t="inlineStr">
        <is>
          <t xml:space="preserve">Once</t>
        </is>
      </c>
      <c r="E79" t="inlineStr">
        <is>
          <t xml:space="preserve">BO07 +3; BO26 +2; BO25 -2</t>
        </is>
      </c>
      <c r="K79" t="inlineStr">
        <is>
          <t xml:space="preserve">Draft 2026-10-13: Fishers and consumers gain; small operators face new costs. Rebalanced 2026-10-13 (draft): party-tier organisations now follow the player's party lean (Balance tab).</t>
        </is>
      </c>
    </row>
    <row r="80">
      <c r="A80" t="inlineStr">
        <is>
          <t xml:space="preserve">LW79</t>
        </is>
      </c>
      <c r="B80" t="inlineStr">
        <is>
          <t xml:space="preserve">BI38</t>
        </is>
      </c>
      <c r="C80" t="inlineStr">
        <is>
          <t xml:space="preserve">Failed</t>
        </is>
      </c>
      <c r="D80" t="inlineStr">
        <is>
          <t xml:space="preserve">Once</t>
        </is>
      </c>
      <c r="E80" t="inlineStr">
        <is>
          <t xml:space="preserve">BO07 -1; BO26 -1; BO25 +1</t>
        </is>
      </c>
      <c r="K80" t="inlineStr">
        <is>
          <t xml:space="preserve">Draft 2026-10-13: supporters disappointed, opponents relieved.</t>
        </is>
      </c>
    </row>
    <row r="81">
      <c r="A81" t="inlineStr">
        <is>
          <t xml:space="preserve">LW80</t>
        </is>
      </c>
      <c r="B81" t="inlineStr">
        <is>
          <t xml:space="preserve">BI39</t>
        </is>
      </c>
      <c r="C81" t="inlineStr">
        <is>
          <t xml:space="preserve">Passed</t>
        </is>
      </c>
      <c r="D81" t="inlineStr">
        <is>
          <t xml:space="preserve">Once</t>
        </is>
      </c>
      <c r="E81" t="inlineStr">
        <is>
          <t xml:space="preserve">BO22 +3; BO05 +2; BO09 +2; BO15 +2; BO11 -2; BO21 -2; BO23 -2; BO26 -2</t>
        </is>
      </c>
      <c r="K81" t="inlineStr">
        <is>
          <t xml:space="preserve">Draft 2026-10-13: Veterans, industry and labour gain; taxpayers and consumers pay. Rebalanced 2026-10-13 (draft): party-tier organisations now follow the player's party lean (Balance tab).</t>
        </is>
      </c>
    </row>
    <row r="82">
      <c r="A82" t="inlineStr">
        <is>
          <t xml:space="preserve">LW81</t>
        </is>
      </c>
      <c r="B82" t="inlineStr">
        <is>
          <t xml:space="preserve">BI39</t>
        </is>
      </c>
      <c r="C82" t="inlineStr">
        <is>
          <t xml:space="preserve">Failed</t>
        </is>
      </c>
      <c r="D82" t="inlineStr">
        <is>
          <t xml:space="preserve">Once</t>
        </is>
      </c>
      <c r="E82" t="inlineStr">
        <is>
          <t xml:space="preserve">BO22 -1; BO05 -1; BO09 -1; BO15 -1; BO11 +1; BO21 +1; BO23 +1; BO26 +1</t>
        </is>
      </c>
      <c r="K82" t="inlineStr">
        <is>
          <t xml:space="preserve">Draft 2026-10-13: supporters disappointed, opponents relieved.</t>
        </is>
      </c>
    </row>
    <row r="83">
      <c r="A83" t="inlineStr">
        <is>
          <t xml:space="preserve">LW82</t>
        </is>
      </c>
      <c r="B83" t="inlineStr">
        <is>
          <t xml:space="preserve">BI40</t>
        </is>
      </c>
      <c r="C83" t="inlineStr">
        <is>
          <t xml:space="preserve">Passed</t>
        </is>
      </c>
      <c r="D83" t="inlineStr">
        <is>
          <t xml:space="preserve">Once</t>
        </is>
      </c>
      <c r="E83" t="inlineStr">
        <is>
          <t xml:space="preserve">BO17 +3</t>
        </is>
      </c>
      <c r="K83" t="inlineStr">
        <is>
          <t xml:space="preserve">Draft 2026-10-13: Members and students gain; traditionalists wary of change. Rebalanced 2026-10-13 (draft): party-tier organisations now follow the player's party lean (Balance tab).</t>
        </is>
      </c>
    </row>
    <row r="84">
      <c r="A84" t="inlineStr">
        <is>
          <t xml:space="preserve">LW83</t>
        </is>
      </c>
      <c r="B84" t="inlineStr">
        <is>
          <t xml:space="preserve">BI40</t>
        </is>
      </c>
      <c r="C84" t="inlineStr">
        <is>
          <t xml:space="preserve">Failed</t>
        </is>
      </c>
      <c r="D84" t="inlineStr">
        <is>
          <t xml:space="preserve">Once</t>
        </is>
      </c>
      <c r="E84" t="inlineStr">
        <is>
          <t xml:space="preserve">BO17 -1</t>
        </is>
      </c>
      <c r="K84" t="inlineStr">
        <is>
          <t xml:space="preserve">Draft 2026-10-13: supporters disappointed, opponents relieved.</t>
        </is>
      </c>
    </row>
    <row r="85">
      <c r="A85" t="inlineStr">
        <is>
          <t xml:space="preserve">LW84</t>
        </is>
      </c>
      <c r="B85" t="inlineStr">
        <is>
          <t xml:space="preserve">BI41</t>
        </is>
      </c>
      <c r="C85" t="inlineStr">
        <is>
          <t xml:space="preserve">Passed</t>
        </is>
      </c>
      <c r="D85" t="inlineStr">
        <is>
          <t xml:space="preserve">Once</t>
        </is>
      </c>
      <c r="E85" t="inlineStr">
        <is>
          <t xml:space="preserve">BO25 +3; BO15 -2; BO28 -2</t>
        </is>
      </c>
      <c r="K85" t="inlineStr">
        <is>
          <t xml:space="preserve">Draft 2026-10-13: Business gains; traditionalists and Ainu groups wary of border sharing. Rebalanced 2026-10-13 (draft): party-tier organisations now follow the player's party lean (Balance tab).</t>
        </is>
      </c>
    </row>
    <row r="86">
      <c r="A86" t="inlineStr">
        <is>
          <t xml:space="preserve">LW85</t>
        </is>
      </c>
      <c r="B86" t="inlineStr">
        <is>
          <t xml:space="preserve">BI41</t>
        </is>
      </c>
      <c r="C86" t="inlineStr">
        <is>
          <t xml:space="preserve">Failed</t>
        </is>
      </c>
      <c r="D86" t="inlineStr">
        <is>
          <t xml:space="preserve">Once</t>
        </is>
      </c>
      <c r="E86" t="inlineStr">
        <is>
          <t xml:space="preserve">BO25 -1; BO15 +1; BO28 +1</t>
        </is>
      </c>
      <c r="K86" t="inlineStr">
        <is>
          <t xml:space="preserve">Draft 2026-10-13: supporters disappointed, opponents relieved.</t>
        </is>
      </c>
    </row>
    <row r="87">
      <c r="A87" t="inlineStr">
        <is>
          <t xml:space="preserve">LW86</t>
        </is>
      </c>
      <c r="B87" t="inlineStr">
        <is>
          <t xml:space="preserve">BI42</t>
        </is>
      </c>
      <c r="C87" t="inlineStr">
        <is>
          <t xml:space="preserve">Passed</t>
        </is>
      </c>
      <c r="D87" t="inlineStr">
        <is>
          <t xml:space="preserve">Once</t>
        </is>
      </c>
      <c r="E87" t="inlineStr">
        <is>
          <t xml:space="preserve">BO16 +3; BO07 -2; BO22 -2; BO28 -2; BO29 -2</t>
        </is>
      </c>
      <c r="K87" t="inlineStr">
        <is>
          <t xml:space="preserve">Draft 2026-10-13: Industry gains; fishers and Ainu groups object to island development. Rebalanced 2026-10-13 (draft): party-tier organisations now follow the player's party lean (Balance tab).</t>
        </is>
      </c>
    </row>
    <row r="88">
      <c r="A88" t="inlineStr">
        <is>
          <t xml:space="preserve">LW87</t>
        </is>
      </c>
      <c r="B88" t="inlineStr">
        <is>
          <t xml:space="preserve">BI42</t>
        </is>
      </c>
      <c r="C88" t="inlineStr">
        <is>
          <t xml:space="preserve">Failed</t>
        </is>
      </c>
      <c r="D88" t="inlineStr">
        <is>
          <t xml:space="preserve">Once</t>
        </is>
      </c>
      <c r="E88" t="inlineStr">
        <is>
          <t xml:space="preserve">BO16 -1; BO07 +1; BO22 +1; BO28 +1; BO29 +1</t>
        </is>
      </c>
      <c r="K88" t="inlineStr">
        <is>
          <t xml:space="preserve">Draft 2026-10-13: supporters disappointed, opponents relieved.</t>
        </is>
      </c>
    </row>
    <row r="89">
      <c r="A89" t="inlineStr">
        <is>
          <t xml:space="preserve">LW88</t>
        </is>
      </c>
      <c r="B89" t="inlineStr">
        <is>
          <t xml:space="preserve">BI43</t>
        </is>
      </c>
      <c r="C89" t="inlineStr">
        <is>
          <t xml:space="preserve">Passed</t>
        </is>
      </c>
      <c r="D89" t="inlineStr">
        <is>
          <t xml:space="preserve">Once</t>
        </is>
      </c>
      <c r="E89" t="inlineStr">
        <is>
          <t xml:space="preserve">BO05 +3; BO25 +2; BO26 +2; BO09 -2; BO10 -2; BO13 -2; BO22 -2</t>
        </is>
      </c>
      <c r="K89" t="inlineStr">
        <is>
          <t xml:space="preserve">Draft 2026-10-13: Business and consumers gain; farmers, labour and veterans object. Rebalanced 2026-10-13 (draft): party-tier organisations now follow the player's party lean (Balance tab).</t>
        </is>
      </c>
    </row>
    <row r="90">
      <c r="A90" t="inlineStr">
        <is>
          <t xml:space="preserve">LW89</t>
        </is>
      </c>
      <c r="B90" t="inlineStr">
        <is>
          <t xml:space="preserve">BI43</t>
        </is>
      </c>
      <c r="C90" t="inlineStr">
        <is>
          <t xml:space="preserve">Failed</t>
        </is>
      </c>
      <c r="D90" t="inlineStr">
        <is>
          <t xml:space="preserve">Once</t>
        </is>
      </c>
      <c r="E90" t="inlineStr">
        <is>
          <t xml:space="preserve">BO05 -1; BO25 -1; BO26 -1; BO09 +1; BO10 +1; BO13 +1; BO22 +1</t>
        </is>
      </c>
      <c r="K90" t="inlineStr">
        <is>
          <t xml:space="preserve">Draft 2026-10-13: supporters disappointed, opponents relieved.</t>
        </is>
      </c>
    </row>
    <row r="91">
      <c r="A91" t="inlineStr">
        <is>
          <t xml:space="preserve">LW90</t>
        </is>
      </c>
      <c r="B91" t="inlineStr">
        <is>
          <t xml:space="preserve">BI44</t>
        </is>
      </c>
      <c r="C91" t="inlineStr">
        <is>
          <t xml:space="preserve">Passed</t>
        </is>
      </c>
      <c r="D91" t="inlineStr">
        <is>
          <t xml:space="preserve">Once</t>
        </is>
      </c>
      <c r="E91" t="inlineStr">
        <is>
          <t xml:space="preserve">BO10 +3; BO15 +2; BO30 +2; BO23 -2</t>
        </is>
      </c>
      <c r="K91" t="inlineStr">
        <is>
          <t xml:space="preserve">Draft 2026-10-13: Farmers, rural towns and families gain; taxpayers pay. Rebalanced 2026-10-13 (draft): party-tier organisations now follow the player's party lean (Balance tab).</t>
        </is>
      </c>
    </row>
    <row r="92">
      <c r="A92" t="inlineStr">
        <is>
          <t xml:space="preserve">LW91</t>
        </is>
      </c>
      <c r="B92" t="inlineStr">
        <is>
          <t xml:space="preserve">BI44</t>
        </is>
      </c>
      <c r="C92" t="inlineStr">
        <is>
          <t xml:space="preserve">Failed</t>
        </is>
      </c>
      <c r="D92" t="inlineStr">
        <is>
          <t xml:space="preserve">Once</t>
        </is>
      </c>
      <c r="E92" t="inlineStr">
        <is>
          <t xml:space="preserve">BO10 -1; BO15 -1; BO30 -1; BO23 +1</t>
        </is>
      </c>
      <c r="K92" t="inlineStr">
        <is>
          <t xml:space="preserve">Draft 2026-10-13: supporters disappointed, opponents relieved.</t>
        </is>
      </c>
    </row>
    <row r="93">
      <c r="A93" t="inlineStr">
        <is>
          <t xml:space="preserve">LW92</t>
        </is>
      </c>
      <c r="B93" t="inlineStr">
        <is>
          <t xml:space="preserve">BI45</t>
        </is>
      </c>
      <c r="C93" t="inlineStr">
        <is>
          <t xml:space="preserve">Passed</t>
        </is>
      </c>
      <c r="D93" t="inlineStr">
        <is>
          <t xml:space="preserve">Once</t>
        </is>
      </c>
      <c r="E93" t="inlineStr">
        <is>
          <t xml:space="preserve">BO11 +3; BO12 +2</t>
        </is>
      </c>
      <c r="K93" t="inlineStr">
        <is>
          <t xml:space="preserve">Draft 2026-10-13: Students, innovators and families gain; taxpayers pay. Rebalanced 2026-10-13 (draft): party-tier organisations now follow the player's party lean (Balance tab).</t>
        </is>
      </c>
    </row>
    <row r="94">
      <c r="A94" t="inlineStr">
        <is>
          <t xml:space="preserve">LW93</t>
        </is>
      </c>
      <c r="B94" t="inlineStr">
        <is>
          <t xml:space="preserve">BI45</t>
        </is>
      </c>
      <c r="C94" t="inlineStr">
        <is>
          <t xml:space="preserve">Failed</t>
        </is>
      </c>
      <c r="D94" t="inlineStr">
        <is>
          <t xml:space="preserve">Once</t>
        </is>
      </c>
      <c r="E94" t="inlineStr">
        <is>
          <t xml:space="preserve">BO11 -1; BO12 -1</t>
        </is>
      </c>
      <c r="K94" t="inlineStr">
        <is>
          <t xml:space="preserve">Draft 2026-10-13: supporters disappointed, opponents relieved.</t>
        </is>
      </c>
    </row>
    <row r="95">
      <c r="A95" t="inlineStr">
        <is>
          <t xml:space="preserve">LW94</t>
        </is>
      </c>
      <c r="B95" t="inlineStr">
        <is>
          <t xml:space="preserve">BI46</t>
        </is>
      </c>
      <c r="C95" t="inlineStr">
        <is>
          <t xml:space="preserve">Passed</t>
        </is>
      </c>
      <c r="D95" t="inlineStr">
        <is>
          <t xml:space="preserve">Once</t>
        </is>
      </c>
      <c r="E95" t="inlineStr">
        <is>
          <t xml:space="preserve">BO09 +3; BO11 +2; BO28 +2; BO29 +2; BO05 -2; BO25 -2</t>
        </is>
      </c>
      <c r="K95" t="inlineStr">
        <is>
          <t xml:space="preserve">Draft 2026-10-13: Labour, students, Ainu groups and families gain; employers object. Rebalanced 2026-10-13 (draft): party-tier organisations now follow the player's party lean (Balance tab).</t>
        </is>
      </c>
    </row>
    <row r="96">
      <c r="A96" t="inlineStr">
        <is>
          <t xml:space="preserve">LW95</t>
        </is>
      </c>
      <c r="B96" t="inlineStr">
        <is>
          <t xml:space="preserve">BI46</t>
        </is>
      </c>
      <c r="C96" t="inlineStr">
        <is>
          <t xml:space="preserve">Failed</t>
        </is>
      </c>
      <c r="D96" t="inlineStr">
        <is>
          <t xml:space="preserve">Once</t>
        </is>
      </c>
      <c r="E96" t="inlineStr">
        <is>
          <t xml:space="preserve">BO09 -1; BO11 -1; BO28 -1; BO29 -1; BO05 +1; BO25 +1</t>
        </is>
      </c>
      <c r="K96" t="inlineStr">
        <is>
          <t xml:space="preserve">Draft 2026-10-13: supporters disappointed, opponents relieved.</t>
        </is>
      </c>
    </row>
    <row r="97">
      <c r="A97" t="inlineStr">
        <is>
          <t xml:space="preserve">LW96</t>
        </is>
      </c>
      <c r="B97" t="inlineStr">
        <is>
          <t xml:space="preserve">BI47</t>
        </is>
      </c>
      <c r="C97" t="inlineStr">
        <is>
          <t xml:space="preserve">Passed</t>
        </is>
      </c>
      <c r="D97" t="inlineStr">
        <is>
          <t xml:space="preserve">Once</t>
        </is>
      </c>
      <c r="E97" t="inlineStr">
        <is>
          <t xml:space="preserve">BO12 +3; BO09 +2; BO21 +2; BO05 -2; BO16 -2; BO25 -2</t>
        </is>
      </c>
      <c r="K97" t="inlineStr">
        <is>
          <t xml:space="preserve">Draft 2026-10-13: Families, labour and care gain; employers pay. Rebalanced 2026-10-13 (draft): party-tier organisations now follow the player's party lean (Balance tab).</t>
        </is>
      </c>
    </row>
    <row r="98">
      <c r="A98" t="inlineStr">
        <is>
          <t xml:space="preserve">LW97</t>
        </is>
      </c>
      <c r="B98" t="inlineStr">
        <is>
          <t xml:space="preserve">BI47</t>
        </is>
      </c>
      <c r="C98" t="inlineStr">
        <is>
          <t xml:space="preserve">Failed</t>
        </is>
      </c>
      <c r="D98" t="inlineStr">
        <is>
          <t xml:space="preserve">Once</t>
        </is>
      </c>
      <c r="E98" t="inlineStr">
        <is>
          <t xml:space="preserve">BO12 -1; BO09 -1; BO21 -1; BO05 +1; BO16 +1; BO25 +1</t>
        </is>
      </c>
      <c r="K98" t="inlineStr">
        <is>
          <t xml:space="preserve">Draft 2026-10-13: supporters disappointed, opponents relieved.</t>
        </is>
      </c>
    </row>
    <row r="99">
      <c r="A99" t="inlineStr">
        <is>
          <t xml:space="preserve">LW98</t>
        </is>
      </c>
      <c r="B99" t="inlineStr">
        <is>
          <t xml:space="preserve">BI48</t>
        </is>
      </c>
      <c r="C99" t="inlineStr">
        <is>
          <t xml:space="preserve">Passed</t>
        </is>
      </c>
      <c r="D99" t="inlineStr">
        <is>
          <t xml:space="preserve">Once</t>
        </is>
      </c>
      <c r="E99" t="inlineStr">
        <is>
          <t xml:space="preserve">BO22 +3; BO16 +2; BO27 +2; BO08 -2; BO11 -2; BO26 -2</t>
        </is>
      </c>
      <c r="K99" t="inlineStr">
        <is>
          <t xml:space="preserve">Draft 2026-10-13: Veterans, cities and tech gain; press, consumers and students object. Rebalanced 2026-10-13 (draft): party-tier organisations now follow the player's party lean (Balance tab).</t>
        </is>
      </c>
    </row>
    <row r="100">
      <c r="A100" t="inlineStr">
        <is>
          <t xml:space="preserve">LW99</t>
        </is>
      </c>
      <c r="B100" t="inlineStr">
        <is>
          <t xml:space="preserve">BI48</t>
        </is>
      </c>
      <c r="C100" t="inlineStr">
        <is>
          <t xml:space="preserve">Failed</t>
        </is>
      </c>
      <c r="D100" t="inlineStr">
        <is>
          <t xml:space="preserve">Once</t>
        </is>
      </c>
      <c r="E100" t="inlineStr">
        <is>
          <t xml:space="preserve">BO22 -1; BO16 -1; BO27 -1; BO08 +1; BO11 +1; BO26 +1</t>
        </is>
      </c>
      <c r="K100" t="inlineStr">
        <is>
          <t xml:space="preserve">Draft 2026-10-13: supporters disappointed, opponents relieved.</t>
        </is>
      </c>
    </row>
    <row r="101">
      <c r="A101" t="inlineStr">
        <is>
          <t xml:space="preserve">LW100</t>
        </is>
      </c>
      <c r="B101" t="inlineStr">
        <is>
          <t xml:space="preserve">BI49</t>
        </is>
      </c>
      <c r="C101" t="inlineStr">
        <is>
          <t xml:space="preserve">Passed</t>
        </is>
      </c>
      <c r="D101" t="inlineStr">
        <is>
          <t xml:space="preserve">Once</t>
        </is>
      </c>
      <c r="E101" t="inlineStr">
        <is>
          <t xml:space="preserve">BO23 +3; BO05 +2; BO04 -2; BO06 -2; BO18 -2; BO30 -2</t>
        </is>
      </c>
      <c r="K101" t="inlineStr">
        <is>
          <t xml:space="preserve">Draft 2026-10-13: Taxpayers and business gain; mayors, neighbourhoods and rural towns lose. Rebalanced 2026-10-13 (draft): party-tier organisations now follow the player's party lean (Balance tab).</t>
        </is>
      </c>
    </row>
    <row r="102">
      <c r="A102" t="inlineStr">
        <is>
          <t xml:space="preserve">LW101</t>
        </is>
      </c>
      <c r="B102" t="inlineStr">
        <is>
          <t xml:space="preserve">BI49</t>
        </is>
      </c>
      <c r="C102" t="inlineStr">
        <is>
          <t xml:space="preserve">Failed</t>
        </is>
      </c>
      <c r="D102" t="inlineStr">
        <is>
          <t xml:space="preserve">Once</t>
        </is>
      </c>
      <c r="E102" t="inlineStr">
        <is>
          <t xml:space="preserve">BO23 -1; BO05 -1; BO04 +1; BO06 +1; BO18 +1; BO30 +1</t>
        </is>
      </c>
      <c r="K102" t="inlineStr">
        <is>
          <t xml:space="preserve">Draft 2026-10-13: supporters disappointed, opponents relieved.</t>
        </is>
      </c>
    </row>
    <row r="103">
      <c r="A103" t="inlineStr">
        <is>
          <t xml:space="preserve">LW102</t>
        </is>
      </c>
      <c r="B103" t="inlineStr">
        <is>
          <t xml:space="preserve">BI50</t>
        </is>
      </c>
      <c r="C103" t="inlineStr">
        <is>
          <t xml:space="preserve">Passed</t>
        </is>
      </c>
      <c r="D103" t="inlineStr">
        <is>
          <t xml:space="preserve">Once</t>
        </is>
      </c>
      <c r="E103" t="inlineStr">
        <is>
          <t xml:space="preserve">BO11 +3; BO08 +2; BO18 +2; BO17 -2</t>
        </is>
      </c>
      <c r="K103" t="inlineStr">
        <is>
          <t xml:space="preserve">Draft 2026-10-13: Students, press and voters gain; party HQ and factions lose control. Rebalanced 2026-10-13 (draft): party-tier organisations now follow the player's party lean (Balance tab).</t>
        </is>
      </c>
    </row>
    <row r="104">
      <c r="A104" t="inlineStr">
        <is>
          <t xml:space="preserve">LW103</t>
        </is>
      </c>
      <c r="B104" t="inlineStr">
        <is>
          <t xml:space="preserve">BI50</t>
        </is>
      </c>
      <c r="C104" t="inlineStr">
        <is>
          <t xml:space="preserve">Failed</t>
        </is>
      </c>
      <c r="D104" t="inlineStr">
        <is>
          <t xml:space="preserve">Once</t>
        </is>
      </c>
      <c r="E104" t="inlineStr">
        <is>
          <t xml:space="preserve">BO11 -1; BO08 -1; BO18 -1; BO17 +1</t>
        </is>
      </c>
      <c r="K104" t="inlineStr">
        <is>
          <t xml:space="preserve">Draft 2026-10-13: supporters disappointed, opponents relieved.</t>
        </is>
      </c>
    </row>
  </sheetData>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README</vt:lpstr>
      <vt:lpstr>Balance</vt:lpstr>
      <vt:lpstr>Player</vt:lpstr>
      <vt:lpstr>Office Notices</vt:lpstr>
      <vt:lpstr>Suits</vt:lpstr>
      <vt:lpstr>Stages</vt:lpstr>
      <vt:lpstr>Levels</vt:lpstr>
      <vt:lpstr>Affinity</vt:lpstr>
      <vt:lpstr>Cards</vt:lpstr>
      <vt:lpstr>Segments</vt:lpstr>
      <vt:lpstr>Modifiers</vt:lpstr>
      <vt:lpstr>Boosters</vt:lpstr>
      <vt:lpstr>Shop</vt:lpstr>
      <vt:lpstr>Staff</vt:lpstr>
      <vt:lpstr>Opponents</vt:lpstr>
      <vt:lpstr>Sanban</vt:lpstr>
      <vt:lpstr>Text</vt:lpstr>
      <vt:lpstr>Flavor Text</vt:lpstr>
      <vt:lpstr>Tone Guide</vt:lpstr>
      <vt:lpstr>Press Questions</vt:lpstr>
      <vt:lpstr>Town Hall Questions</vt:lpstr>
      <vt:lpstr>Lobbyist Questions</vt:lpstr>
      <vt:lpstr>Study Session Questions</vt:lpstr>
      <vt:lpstr>Media Ambush Questions</vt:lpstr>
      <vt:lpstr>Question Themes</vt:lpstr>
      <vt:lpstr>Visitors</vt:lpstr>
      <vt:lpstr>Visitor Questions</vt:lpstr>
      <vt:lpstr>Opponent Cues</vt:lpstr>
      <vt:lpstr>Assets</vt:lpstr>
      <vt:lpstr>Parties</vt:lpstr>
      <vt:lpstr>Floor Vote Bills</vt:lpstr>
      <vt:lpstr>Floor Vote Party Positions</vt:lpstr>
      <vt:lpstr>Vote Tally &amp; Swing</vt:lpstr>
      <vt:lpstr>Level Intro Cues</vt:lpstr>
      <vt:lpstr>Office Ticker</vt:lpstr>
      <vt:lpstr>Vote Influence Triggers</vt:lpstr>
      <vt:lpstr>Vote Influence Cues</vt:lpstr>
      <vt:lpstr>Cosmetic Packages</vt:lpstr>
      <vt:lpstr>Level Intro Thoughts</vt:lpstr>
      <vt:lpstr>Transition Cast</vt:lpstr>
      <vt:lpstr>Transition Backgrounds</vt:lpstr>
      <vt:lpstr>Transition Dialogue</vt:lpstr>
      <vt:lpstr>How To 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Cameron Gil</cp:lastModifiedBy>
  <cp:revision>0</cp:revision>
  <dcterms:created xsi:type="dcterms:W3CDTF">2026-09-18T14:33:20Z</dcterms:created>
  <dcterms:modified xsi:type="dcterms:W3CDTF">2026-10-06T08:09:20Z</dcterms:modified>
  <dc:language>en-US</dc:language>
</cp:coreProperties>
</file>